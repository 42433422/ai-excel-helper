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4"/>
  </bookViews>
  <sheets>
    <sheet name="贾总" sheetId="1" r:id="rId1"/>
    <sheet name="贾总出货" sheetId="12" state="hidden" r:id="rId2"/>
    <sheet name="25出货" sheetId="20" r:id="rId3"/>
    <sheet name="材料" sheetId="21" r:id="rId4"/>
    <sheet name="回款" sheetId="19" r:id="rId5"/>
    <sheet name="代号明细" sheetId="17" r:id="rId6"/>
    <sheet name="24材料明细" sheetId="16" state="hidden" r:id="rId7"/>
    <sheet name="贾总购原材料" sheetId="11" state="hidden" r:id="rId8"/>
  </sheets>
  <definedNames>
    <definedName name="_xlnm._FilterDatabase" localSheetId="1" hidden="1">贾总出货!$A$3:$R$696</definedName>
    <definedName name="_xlnm._FilterDatabase" localSheetId="2" hidden="1">'25出货'!$A$1686:$Z$1902</definedName>
    <definedName name="_xlnm._FilterDatabase" localSheetId="6" hidden="1">'24材料明细'!$A$318:$BT$374</definedName>
    <definedName name="_xlnm.Print_Area" localSheetId="0">贾总!$A$1:$J$16</definedName>
    <definedName name="_xlnm.Print_Area" localSheetId="7">贾总购原材料!#REF!</definedName>
    <definedName name="_xlnm.Print_Area" localSheetId="6">'24材料明细'!$A$402:$AF$442</definedName>
    <definedName name="_xlnm.Print_Area" localSheetId="4">回款!$A$89:$G$130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<sst xmlns="http://schemas.openxmlformats.org/spreadsheetml/2006/main" count="11116" uniqueCount="1477">
  <si>
    <t>成都国圣工业有限公司（五星花）送货单</t>
  </si>
  <si>
    <t>购货单位： 贾总       联系人：贾总              2026年01月22日                  订单编号：26-010062A</t>
  </si>
  <si>
    <t xml:space="preserve"> 产 品 型 号</t>
  </si>
  <si>
    <t xml:space="preserve"> 产 品 名 称</t>
  </si>
  <si>
    <t>数量/件</t>
  </si>
  <si>
    <t>规格/KG</t>
  </si>
  <si>
    <t>数量/KG</t>
  </si>
  <si>
    <t>单价/元</t>
  </si>
  <si>
    <t>金额/元</t>
  </si>
  <si>
    <t>备  注</t>
  </si>
  <si>
    <t>贾总</t>
  </si>
  <si>
    <t>邻居杨总</t>
  </si>
  <si>
    <t>807A</t>
  </si>
  <si>
    <t>白浆：自备</t>
  </si>
  <si>
    <t>1#浆:35%</t>
  </si>
  <si>
    <t>3#浆：:17%</t>
  </si>
  <si>
    <t>108树脂：自备</t>
  </si>
  <si>
    <t>亮白（普）加工费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</si>
  <si>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</si>
  <si>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</si>
  <si>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</si>
  <si>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</si>
  <si>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</si>
  <si>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</si>
  <si>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</si>
  <si>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</si>
  <si>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①</t>
  </si>
  <si>
    <t>3月</t>
  </si>
  <si>
    <t>金额总计</t>
  </si>
  <si>
    <t>李总材料金额</t>
  </si>
  <si>
    <t>加工费</t>
  </si>
  <si>
    <t>成品</t>
  </si>
  <si>
    <t>加工吨位</t>
  </si>
  <si>
    <t>包装桶金额</t>
  </si>
  <si>
    <t>总金额</t>
  </si>
  <si>
    <t>日期</t>
  </si>
  <si>
    <t>单号</t>
  </si>
  <si>
    <t>产品型号</t>
  </si>
  <si>
    <t>产品名称</t>
  </si>
  <si>
    <t>备注</t>
  </si>
  <si>
    <t>金额合计</t>
  </si>
  <si>
    <t>待改材料未入账</t>
  </si>
  <si>
    <t>108树脂：自备（三木）</t>
  </si>
  <si>
    <t>环己酮:</t>
  </si>
  <si>
    <t>1/2":715浆：自备</t>
  </si>
  <si>
    <t>30"：730浆：自备</t>
  </si>
  <si>
    <t>仲丁酯</t>
  </si>
  <si>
    <t>ABS光油加工费</t>
  </si>
  <si>
    <t>另加包装桶：20L</t>
  </si>
  <si>
    <t>7号</t>
  </si>
  <si>
    <t>ABS光油：11桶*17KG</t>
  </si>
  <si>
    <t>商标：ABS光油/重量：17±0.1KG</t>
  </si>
  <si>
    <t>24号</t>
  </si>
  <si>
    <t>甲缩醛</t>
  </si>
  <si>
    <t>粗甲酯</t>
  </si>
  <si>
    <t>环己酮</t>
  </si>
  <si>
    <t>稀料加工费</t>
  </si>
  <si>
    <t>25号</t>
  </si>
  <si>
    <t>自提：黑色浆自备</t>
  </si>
  <si>
    <t>自提：红色浆自备</t>
  </si>
  <si>
    <t>自提：715浆自备</t>
  </si>
  <si>
    <t>自提：730浆自备</t>
  </si>
  <si>
    <t>自提：7025银粉</t>
  </si>
  <si>
    <t>另加包装桶：4L</t>
  </si>
  <si>
    <t>26号</t>
  </si>
  <si>
    <t>715粉：自备</t>
  </si>
  <si>
    <t>715浆加工费</t>
  </si>
  <si>
    <t>30秒：自备</t>
  </si>
  <si>
    <t>730浆加工费</t>
  </si>
  <si>
    <t>27号</t>
  </si>
  <si>
    <t>1206树脂：自备（15%）</t>
  </si>
  <si>
    <t>108树脂：自备夏总（3%）</t>
  </si>
  <si>
    <t>C311浆：自备（15%）</t>
  </si>
  <si>
    <t>715浆：自备（7%）</t>
  </si>
  <si>
    <t>730浆：自备（26%）</t>
  </si>
  <si>
    <t>350哑粉：自备（0.8%）</t>
  </si>
  <si>
    <t>808（15%）</t>
  </si>
  <si>
    <t>807+（18.2%)</t>
  </si>
  <si>
    <t>电镀黑半光漆加工费</t>
  </si>
  <si>
    <t>52号</t>
  </si>
  <si>
    <t>分散剂：自备</t>
  </si>
  <si>
    <t>996钛白粉：借黄总</t>
  </si>
  <si>
    <t>丁酯</t>
  </si>
  <si>
    <t>二甲苯</t>
  </si>
  <si>
    <t>白色浆加工费</t>
  </si>
  <si>
    <t>53号</t>
  </si>
  <si>
    <t>715浆：自备</t>
  </si>
  <si>
    <t>730浆：自备</t>
  </si>
  <si>
    <t>57号</t>
  </si>
  <si>
    <t>14分散剂：自备</t>
  </si>
  <si>
    <t>996钛白粉：</t>
  </si>
  <si>
    <t>63号</t>
  </si>
  <si>
    <t>防尘浆：自备</t>
  </si>
  <si>
    <t>中黄粉：：自备</t>
  </si>
  <si>
    <t>净重156kg</t>
  </si>
  <si>
    <t>ABS中黄浆加工费</t>
  </si>
  <si>
    <t>64号</t>
  </si>
  <si>
    <t>730粉：自备</t>
  </si>
  <si>
    <t>65号</t>
  </si>
  <si>
    <t>酞蓝粉：：自备</t>
  </si>
  <si>
    <t>损耗：17.5KG</t>
  </si>
  <si>
    <t>净重：180KG</t>
  </si>
  <si>
    <t>酞青蓝浆加工费</t>
  </si>
  <si>
    <t>贾总借20L白大口桶</t>
  </si>
  <si>
    <t>从3月26日起漆类配方均已调整</t>
  </si>
  <si>
    <t>77号</t>
  </si>
  <si>
    <t>ABS光油：</t>
  </si>
  <si>
    <t>79号</t>
  </si>
  <si>
    <t>聚酮浆：自备</t>
  </si>
  <si>
    <t>聚酮液加工费</t>
  </si>
  <si>
    <t>购亮光固化剂</t>
  </si>
  <si>
    <t>3月27、28</t>
  </si>
  <si>
    <t>购包装：20L白大口</t>
  </si>
  <si>
    <t>80号</t>
  </si>
  <si>
    <t>中黄浆:自备</t>
  </si>
  <si>
    <t>聚酮液：自备</t>
  </si>
  <si>
    <t>18KG/桶</t>
  </si>
  <si>
    <t>亮中黄（普）加工费</t>
  </si>
  <si>
    <t xml:space="preserve"> </t>
  </si>
  <si>
    <t>81号</t>
  </si>
  <si>
    <t xml:space="preserve">  </t>
  </si>
  <si>
    <t>82号</t>
  </si>
  <si>
    <t>1206树脂：自备</t>
  </si>
  <si>
    <t>108树脂：自备夏总</t>
  </si>
  <si>
    <t>C311浆：自备</t>
  </si>
  <si>
    <t>807+</t>
  </si>
  <si>
    <t>17KG/桶</t>
  </si>
  <si>
    <t>电镀黑亮光漆加工费</t>
  </si>
  <si>
    <t>83号</t>
  </si>
  <si>
    <t>C311黑浆:自备</t>
  </si>
  <si>
    <t>烤漆黑加工费</t>
  </si>
  <si>
    <t>84号</t>
  </si>
  <si>
    <t>812+</t>
  </si>
  <si>
    <t>350哑粉：自备</t>
  </si>
  <si>
    <t>ABS平光黑加工费</t>
  </si>
  <si>
    <t>85号</t>
  </si>
  <si>
    <t>5R大红浆:自备</t>
  </si>
  <si>
    <t>3000目重钙</t>
  </si>
  <si>
    <t>哑红加工费</t>
  </si>
  <si>
    <t>87号</t>
  </si>
  <si>
    <t>三月金额</t>
  </si>
  <si>
    <t>4月</t>
  </si>
  <si>
    <t>包装</t>
  </si>
  <si>
    <t>材料</t>
  </si>
  <si>
    <t>合计金额</t>
  </si>
  <si>
    <t>9号</t>
  </si>
  <si>
    <t>730浆：自提</t>
  </si>
  <si>
    <t>C311黑浆:自提</t>
  </si>
  <si>
    <t>10号</t>
  </si>
  <si>
    <t>715浆</t>
  </si>
  <si>
    <t>橡底黑亮光加工费</t>
  </si>
  <si>
    <t>11号</t>
  </si>
  <si>
    <t>802A</t>
  </si>
  <si>
    <t>16号</t>
  </si>
  <si>
    <t>17号</t>
  </si>
  <si>
    <t>白桶：40桶*18KG 其余装贾总的桶</t>
  </si>
  <si>
    <t>另加白包装桶：20L</t>
  </si>
  <si>
    <t>18号</t>
  </si>
  <si>
    <t>20号</t>
  </si>
  <si>
    <t>2桶稀料加工费：</t>
  </si>
  <si>
    <t>包装：自备</t>
  </si>
  <si>
    <t>41号</t>
  </si>
  <si>
    <t>磨ABS平光黑加：808</t>
  </si>
  <si>
    <t>磨ABS平光黑加：812+</t>
  </si>
  <si>
    <t>磨ABS平光黑：自备半成品</t>
  </si>
  <si>
    <r>
      <rPr>
        <sz val="16"/>
        <color theme="9" tint="-0.25"/>
        <rFont val="宋体"/>
        <charset val="134"/>
      </rPr>
      <t>返工ABS平光黑（磨）</t>
    </r>
    <r>
      <rPr>
        <sz val="12"/>
        <color theme="9" tint="-0.25"/>
        <rFont val="宋体"/>
        <charset val="134"/>
      </rPr>
      <t>加工费</t>
    </r>
  </si>
  <si>
    <t>1090只算1000加工费</t>
  </si>
  <si>
    <t>另购20L白大口桶</t>
  </si>
  <si>
    <t>48号</t>
  </si>
  <si>
    <t>半成品黑浆</t>
  </si>
  <si>
    <t>分散剂：20000</t>
  </si>
  <si>
    <t>C311粉：自备</t>
  </si>
  <si>
    <t>808：</t>
  </si>
  <si>
    <r>
      <rPr>
        <sz val="16"/>
        <color theme="9" tint="-0.25"/>
        <rFont val="宋体"/>
        <charset val="134"/>
      </rPr>
      <t>平光黑浆加工费</t>
    </r>
    <r>
      <rPr>
        <sz val="12"/>
        <color theme="9" tint="-0.25"/>
        <rFont val="宋体"/>
        <charset val="134"/>
      </rPr>
      <t>（用311粉磨）</t>
    </r>
  </si>
  <si>
    <t>净重779KG</t>
  </si>
  <si>
    <t>49号</t>
  </si>
  <si>
    <t>108树脂：自备:夏</t>
  </si>
  <si>
    <t>环己酮：</t>
  </si>
  <si>
    <t>501-10损耗=140KG</t>
  </si>
  <si>
    <t>C311黑浆加工费</t>
  </si>
  <si>
    <t>50号</t>
  </si>
  <si>
    <t>环己酮：自备</t>
  </si>
  <si>
    <t>ABS优特黑：58桶*17KG</t>
  </si>
  <si>
    <t>C311浆:自备</t>
  </si>
  <si>
    <t>包装桶自备（商标：名称/重量</t>
  </si>
  <si>
    <t>商标：ABS优特黑/重量：17±0.1KG</t>
  </si>
  <si>
    <t>ABS优特黑加工费</t>
  </si>
  <si>
    <t>58号</t>
  </si>
  <si>
    <t>59号</t>
  </si>
  <si>
    <t>紫色标注是ABS优特黑原配方：500KG</t>
  </si>
  <si>
    <r>
      <rPr>
        <sz val="10"/>
        <color rgb="FF00B0F0"/>
        <rFont val="宋体"/>
        <charset val="134"/>
      </rPr>
      <t>15/4的ABS优特黑1000KG-</t>
    </r>
    <r>
      <rPr>
        <sz val="10"/>
        <color rgb="FF7030A0"/>
        <rFont val="宋体"/>
        <charset val="134"/>
      </rPr>
      <t>500：16/4已改</t>
    </r>
    <r>
      <rPr>
        <sz val="10"/>
        <color rgb="FF00B0F0"/>
        <rFont val="宋体"/>
        <charset val="134"/>
      </rPr>
      <t>=500KG未改</t>
    </r>
  </si>
  <si>
    <t>106D</t>
  </si>
  <si>
    <t>62号</t>
  </si>
  <si>
    <t>ABS光油：600（含改29/2日的4桶）</t>
  </si>
  <si>
    <t>未打印</t>
  </si>
  <si>
    <t>环己酮：贾总自提</t>
  </si>
  <si>
    <t>807+：贾总自提</t>
  </si>
  <si>
    <t>包装/20L白大口:贾总自提</t>
  </si>
  <si>
    <t>68号</t>
  </si>
  <si>
    <t>橙黄粉</t>
  </si>
  <si>
    <t>净重：151KG(182-31KG)</t>
  </si>
  <si>
    <t>15/4的ABS优特黑1000KG-500：16/4已改=500KG未改</t>
  </si>
  <si>
    <t>34#ABS橙红浆加工费</t>
  </si>
  <si>
    <t>69号</t>
  </si>
  <si>
    <t>净重722KG=750-28损耗</t>
  </si>
  <si>
    <t>70号</t>
  </si>
  <si>
    <t>71号</t>
  </si>
  <si>
    <t>白浆:自备</t>
  </si>
  <si>
    <t>106D哑粉</t>
  </si>
  <si>
    <t>13.07/KG</t>
  </si>
  <si>
    <t>20KG/桶</t>
  </si>
  <si>
    <t>防尘浆:自备</t>
  </si>
  <si>
    <t>哑白（普）加工费</t>
  </si>
  <si>
    <t>86号</t>
  </si>
  <si>
    <t>106D哑粉：</t>
  </si>
  <si>
    <t>17KG/桶*23</t>
  </si>
  <si>
    <t>醛酮浆（聚酮液）自备</t>
  </si>
  <si>
    <t>17KG/桶*29</t>
  </si>
  <si>
    <t>橡皮漆黑亮光加工费</t>
  </si>
  <si>
    <t>88号</t>
  </si>
  <si>
    <t>89号</t>
  </si>
  <si>
    <t>橙红浆:自备</t>
  </si>
  <si>
    <t>橙红：17KG/桶*29</t>
  </si>
  <si>
    <t>橙红加工费</t>
  </si>
  <si>
    <t>90号</t>
  </si>
  <si>
    <t>91号</t>
  </si>
  <si>
    <t>商标：应去掉普字</t>
  </si>
  <si>
    <t>大红（普）加工费</t>
  </si>
  <si>
    <t>97号</t>
  </si>
  <si>
    <t>98号</t>
  </si>
  <si>
    <t>23/4忘记开生产单了</t>
  </si>
  <si>
    <t>27/4日补的生产单</t>
  </si>
  <si>
    <t>106号</t>
  </si>
  <si>
    <t>107号</t>
  </si>
  <si>
    <t>C311浆:自备：</t>
  </si>
  <si>
    <t>5月</t>
  </si>
  <si>
    <t>8号</t>
  </si>
  <si>
    <t>购亮光金油</t>
  </si>
  <si>
    <t>定制</t>
  </si>
  <si>
    <t>酞蓝半成品</t>
  </si>
  <si>
    <t>聚酮液</t>
  </si>
  <si>
    <t>返工酞青蓝漆加工费</t>
  </si>
  <si>
    <t>色片白</t>
  </si>
  <si>
    <t>15号</t>
  </si>
  <si>
    <t>5月6-8号</t>
  </si>
  <si>
    <t>较上次多10斤树脂</t>
  </si>
  <si>
    <t>净重662=685-23斤损耗</t>
  </si>
  <si>
    <t>21号</t>
  </si>
  <si>
    <t>16K/桶</t>
  </si>
  <si>
    <t>消光剂（哑光浆）</t>
  </si>
  <si>
    <t>22号</t>
  </si>
  <si>
    <t>108树脂：自备（夏）</t>
  </si>
  <si>
    <t>5014分散剂:自备</t>
  </si>
  <si>
    <t>中黄粉：自备</t>
  </si>
  <si>
    <t>净重：323.6KG(353.6-30KG)</t>
  </si>
  <si>
    <t>23号</t>
  </si>
  <si>
    <t>二元氯醋树脂:自备</t>
  </si>
  <si>
    <t>橡皮漆底黑加工费</t>
  </si>
  <si>
    <t>购812+</t>
  </si>
  <si>
    <t>贾总自提洗桶水</t>
  </si>
  <si>
    <t>亮黄：自备</t>
  </si>
  <si>
    <t>将亮黄改成哑黄加工费</t>
  </si>
  <si>
    <t>白裂纹加工费</t>
  </si>
  <si>
    <t>44号</t>
  </si>
  <si>
    <t>5月10-13日</t>
  </si>
  <si>
    <t>108树脂：自备夏</t>
  </si>
  <si>
    <t>5RK粉:自备</t>
  </si>
  <si>
    <t>340-44损耗=296</t>
  </si>
  <si>
    <t>5R大红浆加工费</t>
  </si>
  <si>
    <t>45号</t>
  </si>
  <si>
    <t>46号</t>
  </si>
  <si>
    <t>ABS光油：600（含改29/2日的4桶：改第二次，还剩3桶未改）</t>
  </si>
  <si>
    <t>47号</t>
  </si>
  <si>
    <t>购双组份哑白面</t>
  </si>
  <si>
    <t>普哑白：18.8KG+6KG:哑光白浆+0.2kg：106D</t>
  </si>
  <si>
    <t>含包装13.2</t>
  </si>
  <si>
    <t>3月26日起所有订单必须按照生产单</t>
  </si>
  <si>
    <t>51号</t>
  </si>
  <si>
    <t>15/4的ABS优特黑1000KG-500：16/4已改=500KG未改-500KG于17/5已改</t>
  </si>
  <si>
    <t>54号</t>
  </si>
  <si>
    <t>55号</t>
  </si>
  <si>
    <t>56号</t>
  </si>
  <si>
    <t>亮光固化剂：换货</t>
  </si>
  <si>
    <t>换货</t>
  </si>
  <si>
    <t>亮光固化剂</t>
  </si>
  <si>
    <t>固化剂包装:4L方罐</t>
  </si>
  <si>
    <t>购亮光金油：大桶</t>
  </si>
  <si>
    <t>购亮光金油：小桶</t>
  </si>
  <si>
    <t>从5月24日起996粉不计价替369粉</t>
  </si>
  <si>
    <t>996钛白粉</t>
  </si>
  <si>
    <t>6月份</t>
  </si>
  <si>
    <t>自提：108树脂（三木）自备</t>
  </si>
  <si>
    <t>自提黑色浆:自备</t>
  </si>
  <si>
    <t>艳红色片</t>
  </si>
  <si>
    <t>色固：37%</t>
  </si>
  <si>
    <t>净重：</t>
  </si>
  <si>
    <t>艳红色浆加工费</t>
  </si>
  <si>
    <t>艳红浆：自备</t>
  </si>
  <si>
    <t>730浆</t>
  </si>
  <si>
    <t>艳红加工费</t>
  </si>
  <si>
    <t>5R大红浆：自备</t>
  </si>
  <si>
    <t>大红普加工费</t>
  </si>
  <si>
    <t>42号</t>
  </si>
  <si>
    <t>108树脂：自备（三）</t>
  </si>
  <si>
    <t>平光黑加工费</t>
  </si>
  <si>
    <t>43号</t>
  </si>
  <si>
    <t>另加包装：20L彩桶</t>
  </si>
  <si>
    <t>配方于18/6已调</t>
  </si>
  <si>
    <t>商标已打印8张</t>
  </si>
  <si>
    <t>60号</t>
  </si>
  <si>
    <t>毛重787.5-37.5损耗=750</t>
  </si>
  <si>
    <t>净重：750</t>
  </si>
  <si>
    <t>61号</t>
  </si>
  <si>
    <t>15.35/KG</t>
  </si>
  <si>
    <t>商标：已打印（去掉普字）</t>
  </si>
  <si>
    <t>1206树脂</t>
  </si>
  <si>
    <t>108树脂</t>
  </si>
  <si>
    <t>电镀亮白加工费</t>
  </si>
  <si>
    <t>807+（上批货）</t>
  </si>
  <si>
    <t>6月18-21</t>
  </si>
  <si>
    <t>第①槽损耗34</t>
  </si>
  <si>
    <t>净重716=750-34斤损耗</t>
  </si>
  <si>
    <t>第②槽损耗28</t>
  </si>
  <si>
    <t>净重722=750-28斤损耗</t>
  </si>
  <si>
    <t>74号</t>
  </si>
  <si>
    <t>15.72/KG</t>
  </si>
  <si>
    <t>含包装</t>
  </si>
  <si>
    <t>75号</t>
  </si>
  <si>
    <t>108夏：自备</t>
  </si>
  <si>
    <t>桃红浆：自备</t>
  </si>
  <si>
    <t>桃红加工费</t>
  </si>
  <si>
    <t>17KG*28</t>
  </si>
  <si>
    <t>自提酞蓝浆：自备</t>
  </si>
  <si>
    <t>包装桶：20L彩桶（大口）</t>
  </si>
  <si>
    <t>76号</t>
  </si>
  <si>
    <t>5014*：自备</t>
  </si>
  <si>
    <t>桃红粉：自备</t>
  </si>
  <si>
    <t>40/KG</t>
  </si>
  <si>
    <t>净重249-8损耗=241</t>
  </si>
  <si>
    <t>桃红浆加工费</t>
  </si>
  <si>
    <t>20.3/KG</t>
  </si>
  <si>
    <t>78号</t>
  </si>
  <si>
    <t>中黄浆</t>
  </si>
  <si>
    <t>商标电镀黄漆：18KG/桶</t>
  </si>
  <si>
    <t>电镀中黄加工费</t>
  </si>
  <si>
    <t>5RK大红浆</t>
  </si>
  <si>
    <t>电镀大红加工费</t>
  </si>
  <si>
    <t>6月27-28日</t>
  </si>
  <si>
    <t>净重671=690-19损耗</t>
  </si>
  <si>
    <t>购382砂面粉</t>
  </si>
  <si>
    <t>另加包装：4L方桶</t>
  </si>
  <si>
    <t>另加包装4L圆桶</t>
  </si>
  <si>
    <t>中黄浆：自备</t>
  </si>
  <si>
    <t>商标：亮黄</t>
  </si>
  <si>
    <t>18KG*27</t>
  </si>
  <si>
    <t>亮黄普加工费</t>
  </si>
  <si>
    <t>92号</t>
  </si>
  <si>
    <t>7月份</t>
  </si>
  <si>
    <t>3号</t>
  </si>
  <si>
    <t>待改：54KG</t>
  </si>
  <si>
    <t>4号</t>
  </si>
  <si>
    <t>实际投料</t>
  </si>
  <si>
    <t>108树：134</t>
  </si>
  <si>
    <t>808:73</t>
  </si>
  <si>
    <t>ABS光油:500（含改29/2日的3桶：改第三次，已改完）</t>
  </si>
  <si>
    <t>715浆：82</t>
  </si>
  <si>
    <t>730浆：157</t>
  </si>
  <si>
    <t>446KG</t>
  </si>
  <si>
    <t>合计：500KG</t>
  </si>
  <si>
    <t>38号</t>
  </si>
  <si>
    <t>39号</t>
  </si>
  <si>
    <t>黑裂纹漆加工费</t>
  </si>
  <si>
    <t>40号</t>
  </si>
  <si>
    <t>7900防尘浆：自备</t>
  </si>
  <si>
    <t>弹性树脂：自备</t>
  </si>
  <si>
    <t>K-18表干剂：自备</t>
  </si>
  <si>
    <t>手感剂：100：自备</t>
  </si>
  <si>
    <t>手感剂：777：自备</t>
  </si>
  <si>
    <t>消光粉：520：自备</t>
  </si>
  <si>
    <t>MIBK：自备</t>
  </si>
  <si>
    <t>乙酯：自备</t>
  </si>
  <si>
    <t>弹性漆样板</t>
  </si>
  <si>
    <t>大红优加工费</t>
  </si>
  <si>
    <t>C311浆:自提</t>
  </si>
  <si>
    <t>67号</t>
  </si>
  <si>
    <t>73号</t>
  </si>
  <si>
    <t>106D哑粉：自备</t>
  </si>
  <si>
    <t>16K/桶*22桶</t>
  </si>
  <si>
    <t>半成品</t>
  </si>
  <si>
    <t>消光剂（哑光浆）加工费</t>
  </si>
  <si>
    <t>95号</t>
  </si>
  <si>
    <t>购买6303A树脂</t>
  </si>
  <si>
    <t>购买6102B树脂</t>
  </si>
  <si>
    <t>99号</t>
  </si>
  <si>
    <t>8月份</t>
  </si>
  <si>
    <t>12号</t>
  </si>
  <si>
    <t>购买20L白大口</t>
  </si>
  <si>
    <t>购20L白大口桶</t>
  </si>
  <si>
    <t>此单装白桶：18KG*10桶(发货的）剩下装彩桶车盖的</t>
  </si>
  <si>
    <t>29/8所有烤漆黑商标已打印</t>
  </si>
  <si>
    <t>16/8日已打印</t>
  </si>
  <si>
    <r>
      <rPr>
        <sz val="16"/>
        <color rgb="FFFF0000"/>
        <rFont val="宋体"/>
        <charset val="134"/>
      </rPr>
      <t>16/8日已打印</t>
    </r>
    <r>
      <rPr>
        <sz val="16"/>
        <color rgb="FF00B0F0"/>
        <rFont val="宋体"/>
        <charset val="134"/>
      </rPr>
      <t>商标：亮黄</t>
    </r>
  </si>
  <si>
    <t>上批货</t>
  </si>
  <si>
    <t>8月中黄浆稀料已调整</t>
  </si>
  <si>
    <t>93号</t>
  </si>
  <si>
    <t>5014分散剂：自备</t>
  </si>
  <si>
    <t>808*</t>
  </si>
  <si>
    <t>净重364kg=378-14</t>
  </si>
  <si>
    <t>94号</t>
  </si>
  <si>
    <t>30-31号</t>
  </si>
  <si>
    <t>大红粉：：自备</t>
  </si>
  <si>
    <t>净重184kg=190.3-6.3</t>
  </si>
  <si>
    <t>5RK大红浆加工费</t>
  </si>
  <si>
    <t>8月30-31</t>
  </si>
  <si>
    <t>净重213kg=220.3-7.3</t>
  </si>
  <si>
    <t>酞蓝浆加工费</t>
  </si>
  <si>
    <t>另加自提色浆包装：4L</t>
  </si>
  <si>
    <t>2/9自提715浆、730浆各1桶（自备包装）均未称重</t>
  </si>
  <si>
    <t>9月</t>
  </si>
  <si>
    <t>33号</t>
  </si>
  <si>
    <t>分散剂：5050自备</t>
  </si>
  <si>
    <t>净重215KG=233.7-8.7损耗</t>
  </si>
  <si>
    <t>34号</t>
  </si>
  <si>
    <t>35号</t>
  </si>
  <si>
    <t>9月9-10</t>
  </si>
  <si>
    <t>损耗19</t>
  </si>
  <si>
    <t>净重730=750-20斤损耗</t>
  </si>
  <si>
    <t>37号</t>
  </si>
  <si>
    <t>9月10-11</t>
  </si>
  <si>
    <t>哑光固化剂</t>
  </si>
  <si>
    <t>成品:535L</t>
  </si>
  <si>
    <t>哑光黑面漆</t>
  </si>
  <si>
    <t>70FB:4KG+8333:50g+106D:160g+黑色浆：0.8KG</t>
  </si>
  <si>
    <t>（含包装：16.44/KG)</t>
  </si>
  <si>
    <t>15.6/KG</t>
  </si>
  <si>
    <t>ABS亮黄加工费</t>
  </si>
  <si>
    <t>17KG/桶（除白桶18KG*5桶）</t>
  </si>
  <si>
    <t>另加包装：20L白大口</t>
  </si>
  <si>
    <t>酞青蓝浆：自备</t>
  </si>
  <si>
    <t>17KG/桶*6</t>
  </si>
  <si>
    <t>酞青蓝漆加工费</t>
  </si>
  <si>
    <t>购紫色浆</t>
  </si>
  <si>
    <t>自提桃红浆：包装4L</t>
  </si>
  <si>
    <t>购紫色浆包装：4L</t>
  </si>
  <si>
    <t>5014B:自备</t>
  </si>
  <si>
    <t>紫粉：自备</t>
  </si>
  <si>
    <t>净重220KG</t>
  </si>
  <si>
    <t>228-8KG损耗</t>
  </si>
  <si>
    <t>甲苯胺紫</t>
  </si>
  <si>
    <t>另加自提色浆包装：5L</t>
  </si>
  <si>
    <t>以上除哑白其余均已打印商标</t>
  </si>
  <si>
    <t>104号</t>
  </si>
  <si>
    <t>甲苯胺紫浆：自备</t>
  </si>
  <si>
    <t>玫瑰红漆加工费</t>
  </si>
  <si>
    <t>10月</t>
  </si>
  <si>
    <t>14号</t>
  </si>
  <si>
    <t>白浆加工费</t>
  </si>
  <si>
    <t>28号</t>
  </si>
  <si>
    <t>802A（上批货）</t>
  </si>
  <si>
    <t>29号</t>
  </si>
  <si>
    <r>
      <rPr>
        <sz val="16"/>
        <color rgb="FF00B0F0"/>
        <rFont val="宋体"/>
        <charset val="134"/>
      </rPr>
      <t>自提黑色浆</t>
    </r>
    <r>
      <rPr>
        <sz val="10"/>
        <color rgb="FF00B0F0"/>
        <rFont val="宋体"/>
        <charset val="134"/>
      </rPr>
      <t>（未称重）</t>
    </r>
    <r>
      <rPr>
        <sz val="12"/>
        <color rgb="FF00B0F0"/>
        <rFont val="宋体"/>
        <charset val="134"/>
      </rPr>
      <t>包装：20L</t>
    </r>
  </si>
  <si>
    <t>36号</t>
  </si>
  <si>
    <t>半成品：自备</t>
  </si>
  <si>
    <t>C311平光浆：自备</t>
  </si>
  <si>
    <t>实在810KG损耗5KG</t>
  </si>
  <si>
    <t>改黑裂纹漆加工费</t>
  </si>
  <si>
    <t>3000目</t>
  </si>
  <si>
    <t>已打印20张</t>
  </si>
  <si>
    <t>生产单是半哑白：龙泉西河</t>
  </si>
  <si>
    <t>商标;哑白</t>
  </si>
  <si>
    <t>半哑白加工费</t>
  </si>
  <si>
    <t>10月14-15</t>
  </si>
  <si>
    <t>损耗14</t>
  </si>
  <si>
    <t>净重736=750-14斤损耗</t>
  </si>
  <si>
    <t>莹光粉莹</t>
  </si>
  <si>
    <t>莹光浆加工费</t>
  </si>
  <si>
    <t>另加包装：4L方罐</t>
  </si>
  <si>
    <t>聚酮粉：自备</t>
  </si>
  <si>
    <t>715（1/4）粉：自备</t>
  </si>
  <si>
    <t>120粉：自备</t>
  </si>
  <si>
    <t>120浆加工费</t>
  </si>
  <si>
    <t>120浆：自备</t>
  </si>
  <si>
    <t>从29/10日起：715、730浆后面有“自备”字样的都是以前，“外购”的是新货</t>
  </si>
  <si>
    <t>100号</t>
  </si>
  <si>
    <t>102号</t>
  </si>
  <si>
    <t>（含包装：12.5/KG)</t>
  </si>
  <si>
    <t>双组份二分光黑面漆</t>
  </si>
  <si>
    <t>70FB:3.67KG+106D:80g+黑色浆：1.25KG</t>
  </si>
  <si>
    <t>103号</t>
  </si>
  <si>
    <t>715浆：外购</t>
  </si>
  <si>
    <t>730浆：外购</t>
  </si>
  <si>
    <t>108号</t>
  </si>
  <si>
    <t>11月</t>
  </si>
  <si>
    <t>1号</t>
  </si>
  <si>
    <t>购5L圆罐</t>
  </si>
  <si>
    <t>白桶：18KG*15桶</t>
  </si>
  <si>
    <t>另加包装桶20L白桶</t>
  </si>
  <si>
    <t>19号</t>
  </si>
  <si>
    <t>白桶18KG*2桶</t>
  </si>
  <si>
    <t>购20L白大口</t>
  </si>
  <si>
    <t>购4L圆罐</t>
  </si>
  <si>
    <t>70FB:14.5KG+106D:0.7KG+黑色浆：4.8KG+20g:8333</t>
  </si>
  <si>
    <t>（含包装：14/KG)</t>
  </si>
  <si>
    <t>303B</t>
  </si>
  <si>
    <t>30号</t>
  </si>
  <si>
    <t>3桶稀料加工费：</t>
  </si>
  <si>
    <t>715浆外购</t>
  </si>
  <si>
    <t>730浆外购</t>
  </si>
  <si>
    <t>11月19-20</t>
  </si>
  <si>
    <t>715浆以前浆</t>
  </si>
  <si>
    <t>730浆以前浆</t>
  </si>
  <si>
    <t>730:以前货</t>
  </si>
  <si>
    <t>66号</t>
  </si>
  <si>
    <t>100C</t>
  </si>
  <si>
    <t>另加包装费:20L</t>
  </si>
  <si>
    <t>亮黄商标未打印</t>
  </si>
  <si>
    <t>11-25-26</t>
  </si>
  <si>
    <t>自提C311黑色浆的包装：20L</t>
  </si>
  <si>
    <t>96号</t>
  </si>
  <si>
    <t>亮黄普：自备</t>
  </si>
  <si>
    <t>亮黄改遮盖力加工费</t>
  </si>
  <si>
    <t>亮白（普）半成品</t>
  </si>
  <si>
    <t>防尘浆</t>
  </si>
  <si>
    <t>亮白半成品</t>
  </si>
  <si>
    <t>亮白（普）改哑白加工费</t>
  </si>
  <si>
    <t>12月</t>
  </si>
  <si>
    <t>不开单</t>
  </si>
  <si>
    <t>XG350#</t>
  </si>
  <si>
    <t>哑光黑面专用固化剂</t>
  </si>
  <si>
    <t>3浆：自备</t>
  </si>
  <si>
    <t>1浆：自备</t>
  </si>
  <si>
    <t>购白大口桶</t>
  </si>
  <si>
    <t>自提黄色浆包装5L</t>
  </si>
  <si>
    <t>1#浆</t>
  </si>
  <si>
    <t>3号浆</t>
  </si>
  <si>
    <t>11月粉</t>
  </si>
  <si>
    <t>李借炭黑色粉</t>
  </si>
  <si>
    <t>31号</t>
  </si>
  <si>
    <t>购净味哑光白面漆</t>
  </si>
  <si>
    <t>蕊芯货R709：三哥经手</t>
  </si>
  <si>
    <t>净重40kg</t>
  </si>
  <si>
    <t>柠檬黄：18KG</t>
  </si>
  <si>
    <t>柠檬黄浆</t>
  </si>
  <si>
    <t>柠檬黄漆加工费</t>
  </si>
  <si>
    <t>哑光黄色漆</t>
  </si>
  <si>
    <t>哑光红色漆</t>
  </si>
  <si>
    <t>3号浆：自备</t>
  </si>
  <si>
    <t>3#浆</t>
  </si>
  <si>
    <t>715（1/4）浆：自备</t>
  </si>
  <si>
    <t>改亮大红成品</t>
  </si>
  <si>
    <t>12月20-21</t>
  </si>
  <si>
    <t>21.36元/KG</t>
  </si>
  <si>
    <t>另加包装20L</t>
  </si>
  <si>
    <t>3#浆：自备</t>
  </si>
  <si>
    <t>装平光黑发货</t>
  </si>
  <si>
    <t>101号</t>
  </si>
  <si>
    <t>截止12月31号未计价的钛白粉为2100-2050KG:R369=50（多的）</t>
  </si>
  <si>
    <t>64号单起（亮白、亮黄、ABS光油、哑红、大红、消光剂、烤漆黑、优特黑6/3已打印）打印商标</t>
  </si>
  <si>
    <t>1月2-3</t>
  </si>
  <si>
    <r>
      <rPr>
        <sz val="16"/>
        <color rgb="FF7030A0"/>
        <rFont val="宋体"/>
        <charset val="134"/>
      </rPr>
      <t>亮光红色漆</t>
    </r>
    <r>
      <rPr>
        <sz val="12"/>
        <color rgb="FF7030A0"/>
        <rFont val="宋体"/>
        <charset val="134"/>
      </rPr>
      <t>（亮光金油+40%大红浆）</t>
    </r>
  </si>
  <si>
    <r>
      <rPr>
        <sz val="16"/>
        <color rgb="FF7030A0"/>
        <rFont val="宋体"/>
        <charset val="134"/>
      </rPr>
      <t>亮光黄色漆</t>
    </r>
    <r>
      <rPr>
        <sz val="12"/>
        <color rgb="FF7030A0"/>
        <rFont val="宋体"/>
        <charset val="134"/>
      </rPr>
      <t>（亮光金油+40%中黄浆）</t>
    </r>
  </si>
  <si>
    <r>
      <rPr>
        <sz val="16"/>
        <color rgb="FF7030A0"/>
        <rFont val="宋体"/>
        <charset val="134"/>
      </rPr>
      <t>亮光黑面漆</t>
    </r>
    <r>
      <rPr>
        <sz val="16"/>
        <color rgb="FF00B0F0"/>
        <rFont val="宋体"/>
        <charset val="134"/>
      </rPr>
      <t>（亮光金油+40%黑浆）</t>
    </r>
  </si>
  <si>
    <r>
      <rPr>
        <sz val="16"/>
        <color rgb="FF7030A0"/>
        <rFont val="宋体"/>
        <charset val="134"/>
      </rPr>
      <t>亮光白色漆</t>
    </r>
    <r>
      <rPr>
        <sz val="12"/>
        <color rgb="FF7030A0"/>
        <rFont val="宋体"/>
        <charset val="134"/>
      </rPr>
      <t>(亮光白面+白浆）</t>
    </r>
  </si>
  <si>
    <t>1月10-11</t>
  </si>
  <si>
    <t>1月14-15</t>
  </si>
  <si>
    <t>13号</t>
  </si>
  <si>
    <t>亮黄成品</t>
  </si>
  <si>
    <t>6920防尘浆</t>
  </si>
  <si>
    <t>加0.5</t>
  </si>
  <si>
    <t>加2.0</t>
  </si>
  <si>
    <t>加0.2</t>
  </si>
  <si>
    <t>哑黄加工费</t>
  </si>
  <si>
    <t>自提黑色浆包装</t>
  </si>
  <si>
    <t>2月22、24</t>
  </si>
  <si>
    <t>5RK大红粉</t>
  </si>
  <si>
    <t>23.2/KG</t>
  </si>
  <si>
    <t>152=170-18损耗</t>
  </si>
  <si>
    <t>自提大红、白浆包装5L</t>
  </si>
  <si>
    <t>18KG*4桶</t>
  </si>
  <si>
    <t>亮大红加工费</t>
  </si>
  <si>
    <t>2#浆</t>
  </si>
  <si>
    <t>橡皮漆底黑成品</t>
  </si>
  <si>
    <t>亮白多打印了1缸、哑白、亮黄、哑黄、大红、优特黑、烤漆黑一缸商标已打印</t>
  </si>
  <si>
    <t>2月</t>
  </si>
  <si>
    <t>25年2月起加工金额合计</t>
  </si>
  <si>
    <t>25年2月加工费总计</t>
  </si>
  <si>
    <t>亮白多打印了1缸、亮黄、哑黄、大红、橡皮漆底黑、优特黑、烤漆黑一缸商标已打印</t>
  </si>
  <si>
    <t>购亮光白面</t>
  </si>
  <si>
    <t>含包装（GAA:7.5KG+2.5KG白浆/桶）</t>
  </si>
  <si>
    <t>2#浆：自备</t>
  </si>
  <si>
    <t>以上商标均已打印（除元月烤漆黑一缸未打印外）</t>
  </si>
  <si>
    <t>红色浆磨第二次加仲丁酯5KG未开单</t>
  </si>
  <si>
    <t>5RK大红浆磨第二次：807+</t>
  </si>
  <si>
    <t>白桶：18KG*10桶发货</t>
  </si>
  <si>
    <t>11/3日亮白较以前的实际加量多加了23斤802</t>
  </si>
  <si>
    <t>亮白多2桶已放好，下次少2桶</t>
  </si>
  <si>
    <t>另加包装费20L:白大口</t>
  </si>
  <si>
    <t>11/3烤漆黑较以前的实际加量多加了多加了75斤802</t>
  </si>
  <si>
    <t>白桶：18KG*15桶发货</t>
  </si>
  <si>
    <t>1#浆：自备</t>
  </si>
  <si>
    <t>白桶：18KG*3桶发货</t>
  </si>
  <si>
    <t>4桶稀料加工费：</t>
  </si>
  <si>
    <t xml:space="preserve">3月12库存（做亮光金油：90KG-44调色用）=46KG-18KG:22/3贾提=28KG-18KG:28/3=10kg未用 </t>
  </si>
  <si>
    <t>PU亮光黄色漆</t>
  </si>
  <si>
    <t>（亮光金油+7KG中黄浆）</t>
  </si>
  <si>
    <t>苏州  
丹阳</t>
  </si>
  <si>
    <t>ben:16</t>
  </si>
  <si>
    <t>PU亮光黑面漆</t>
  </si>
  <si>
    <t>（亮光金油+6KG黑浆）</t>
  </si>
  <si>
    <t>ben:15.5</t>
  </si>
  <si>
    <t>PU亮光红色漆</t>
  </si>
  <si>
    <t>（亮光金油+7KG:1号大红浆）</t>
  </si>
  <si>
    <t>ben:21.8</t>
  </si>
  <si>
    <t>PU亮光白色漆</t>
  </si>
  <si>
    <t>(亮光白面+6KG白浆）</t>
  </si>
  <si>
    <t>ben:13.6</t>
  </si>
  <si>
    <t>(807A+75A)见配方</t>
  </si>
  <si>
    <t>ben:11</t>
  </si>
  <si>
    <t>另加红色浆包装费4L:</t>
  </si>
  <si>
    <t>购金黄珠光粉</t>
  </si>
  <si>
    <t>大红普（样）加工费</t>
  </si>
  <si>
    <t>三和哑白样</t>
  </si>
  <si>
    <t>龙泉西河哑白样</t>
  </si>
  <si>
    <t>以上商标均已打印</t>
  </si>
  <si>
    <t>梅（桃）红粉：：自备</t>
  </si>
  <si>
    <t>净重</t>
  </si>
  <si>
    <t>梅（桃）红浆加工费</t>
  </si>
  <si>
    <t>另加包装费4L:</t>
  </si>
  <si>
    <t>中黄浆加工费</t>
  </si>
  <si>
    <t>5RK浆：自备</t>
  </si>
  <si>
    <t>哑大红加工费</t>
  </si>
  <si>
    <t>亮光金油</t>
  </si>
  <si>
    <t>另加助剂</t>
  </si>
  <si>
    <t>11/3日亮白多2桶本次已加入</t>
  </si>
  <si>
    <t>115号</t>
  </si>
  <si>
    <t>亮光红色漆</t>
  </si>
  <si>
    <t>亮光黄色漆</t>
  </si>
  <si>
    <t>亮光黑色漆</t>
  </si>
  <si>
    <t>亮光白色漆</t>
  </si>
  <si>
    <t>ABS光油包装20L</t>
  </si>
  <si>
    <t>116号</t>
  </si>
  <si>
    <t>117号</t>
  </si>
  <si>
    <t>3月31-4月1日</t>
  </si>
  <si>
    <t>5号</t>
  </si>
  <si>
    <t>6号</t>
  </si>
  <si>
    <t>4月2-3号</t>
  </si>
  <si>
    <t>白桶：18KG*5桶发货</t>
  </si>
  <si>
    <t>自购丁酯：自备包装</t>
  </si>
  <si>
    <t>艳红浆</t>
  </si>
  <si>
    <t>32号</t>
  </si>
  <si>
    <t>待改成品3桶*17</t>
  </si>
  <si>
    <t>贾总购20白桶大口</t>
  </si>
  <si>
    <t>电镀哑白加工费</t>
  </si>
  <si>
    <t>另加包装费</t>
  </si>
  <si>
    <t>艳红浆（色片浆）</t>
  </si>
  <si>
    <t>72号</t>
  </si>
  <si>
    <t>18KG/桶（除白桶18KG*5桶发货）</t>
  </si>
  <si>
    <t>亮黄改哑黄加工费</t>
  </si>
  <si>
    <r>
      <rPr>
        <sz val="16"/>
        <rFont val="宋体"/>
        <charset val="134"/>
      </rPr>
      <t>购买20L白大口（</t>
    </r>
    <r>
      <rPr>
        <sz val="16"/>
        <color rgb="FF7030A0"/>
        <rFont val="宋体"/>
        <charset val="134"/>
      </rPr>
      <t>亮黄、玫红翻桶</t>
    </r>
    <r>
      <rPr>
        <sz val="16"/>
        <rFont val="宋体"/>
        <charset val="134"/>
      </rPr>
      <t>）</t>
    </r>
  </si>
  <si>
    <t>7个桶发货的</t>
  </si>
  <si>
    <t>4-22-23</t>
  </si>
  <si>
    <t>白桶：18KG*20桶发货</t>
  </si>
  <si>
    <t>分散剂：5014</t>
  </si>
  <si>
    <t>5RK粉：自备</t>
  </si>
  <si>
    <t>1桶稀料加工费：</t>
  </si>
  <si>
    <t>PU亮光白面漆</t>
  </si>
  <si>
    <t>另加固化剂包装费4L:</t>
  </si>
  <si>
    <t>1252浆：自备</t>
  </si>
  <si>
    <t>1号浆：自备</t>
  </si>
  <si>
    <t>环保亮黄加工费</t>
  </si>
  <si>
    <t>以上商标已打印：（除哑黄）</t>
  </si>
  <si>
    <t>发货的大红翻桶</t>
  </si>
  <si>
    <t>购买树脂</t>
  </si>
  <si>
    <t>6501-80</t>
  </si>
  <si>
    <t>另加包装费1L</t>
  </si>
  <si>
    <t>5月6、8</t>
  </si>
  <si>
    <t>装清面、固化剂包装</t>
  </si>
  <si>
    <t>温总4分光清面、LF固化剂</t>
  </si>
  <si>
    <t xml:space="preserve">    </t>
  </si>
  <si>
    <t>亮光金油（烤漆金油）</t>
  </si>
  <si>
    <t>0.8L圆罐：打样</t>
  </si>
  <si>
    <t>4L圆罐：打样</t>
  </si>
  <si>
    <t>20L白大口：黑色翻桶</t>
  </si>
  <si>
    <t>从15/5起光油已改配方</t>
  </si>
  <si>
    <t>另加包装桶20L白大口</t>
  </si>
  <si>
    <t>10%的损耗：18.2/kg</t>
  </si>
  <si>
    <t>亮白、大红、平光黑、光油商标已打印（除哑白）</t>
  </si>
  <si>
    <t>购4L圆罐：</t>
  </si>
  <si>
    <t>购0.8L圆罐（装树脂、浆类）</t>
  </si>
  <si>
    <t>购买树脂6501</t>
  </si>
  <si>
    <t>从20/5日亮白配方已改</t>
  </si>
  <si>
    <t>自提红、黄、黑和白浆包装0.8L</t>
  </si>
  <si>
    <t>贾杨</t>
  </si>
  <si>
    <t>购砂面粉</t>
  </si>
  <si>
    <t>382贾杨</t>
  </si>
  <si>
    <t>从22/5日优特黑配方已改</t>
  </si>
  <si>
    <t>优特黑(A)加工费</t>
  </si>
  <si>
    <t>自提CY0440(1#浆35%）包装4L</t>
  </si>
  <si>
    <t>贾总弟</t>
  </si>
  <si>
    <t>拉丝漆翻桶包装20L白大口</t>
  </si>
  <si>
    <t>购环己酮</t>
  </si>
  <si>
    <t>CY0440(715:35%)浆</t>
  </si>
  <si>
    <t>5月27-28</t>
  </si>
  <si>
    <t>截止5月15磨白浆用996钛白粉</t>
  </si>
  <si>
    <t>白浆</t>
  </si>
  <si>
    <t>亮白（普） A加工费</t>
  </si>
  <si>
    <t>哑白（普） A 加工费</t>
  </si>
  <si>
    <t>20/5-28/5的均已打印商标</t>
  </si>
  <si>
    <t>6月</t>
  </si>
  <si>
    <t>黑浆:自备</t>
  </si>
  <si>
    <t>3#浆:自备</t>
  </si>
  <si>
    <t>1#浆:自备</t>
  </si>
  <si>
    <t>1#浆:自备（35%）</t>
  </si>
  <si>
    <t>优特黑加工费</t>
  </si>
  <si>
    <t>优特黑101A-1加工费</t>
  </si>
  <si>
    <t>另加包装费10L</t>
  </si>
  <si>
    <t>6月6-7日</t>
  </si>
  <si>
    <t>购买807A</t>
  </si>
  <si>
    <t>购买8333</t>
  </si>
  <si>
    <t>另加包装费20L</t>
  </si>
  <si>
    <t>待改：加的1#浆的固含实际是28%</t>
  </si>
  <si>
    <t>发货翻桶：购包装桶</t>
  </si>
  <si>
    <t>二元树脂</t>
  </si>
  <si>
    <t>13/6配方已改</t>
  </si>
  <si>
    <t>橡皮漆底黑</t>
  </si>
  <si>
    <t>1#浆:自备28%</t>
  </si>
  <si>
    <t>1#浆:自备（28%）</t>
  </si>
  <si>
    <t>6月18-19</t>
  </si>
  <si>
    <t>净重156</t>
  </si>
  <si>
    <r>
      <rPr>
        <sz val="16"/>
        <color rgb="FFFF0000"/>
        <rFont val="宋体"/>
        <charset val="134"/>
      </rPr>
      <t>1浆：自备:28</t>
    </r>
    <r>
      <rPr>
        <strike/>
        <sz val="16"/>
        <color rgb="FFFF0000"/>
        <rFont val="宋体"/>
        <charset val="134"/>
      </rPr>
      <t>%</t>
    </r>
  </si>
  <si>
    <t>桃红浆：自备:13.4%</t>
  </si>
  <si>
    <t>17KG*29</t>
  </si>
  <si>
    <t>6月19-20</t>
  </si>
  <si>
    <t>5R大红粉：：自备</t>
  </si>
  <si>
    <t>龙泉西河：哑白加工费</t>
  </si>
  <si>
    <t>1浆：自备（28%）</t>
  </si>
  <si>
    <t>17KG/桶*2</t>
  </si>
  <si>
    <t>1#浆28%：自备</t>
  </si>
  <si>
    <t>酞蓝漆加工费</t>
  </si>
  <si>
    <t>17KG/桶*30</t>
  </si>
  <si>
    <t>2350树脂：自备</t>
  </si>
  <si>
    <t>平光黑加工费 （双组份）</t>
  </si>
  <si>
    <t>1#浆：自备（28%）</t>
  </si>
  <si>
    <t>44桶*18</t>
  </si>
  <si>
    <t>见生产单：哑白1002.5-206（白裂纹基料）=796（44桶）</t>
  </si>
  <si>
    <t>另加哑粉20KG</t>
  </si>
  <si>
    <t>另加812+：64</t>
  </si>
  <si>
    <t>另加807+：73</t>
  </si>
  <si>
    <t>见27/6生产单：哑白1002-793（44桶）=206（白裂纹基料）</t>
  </si>
  <si>
    <t>白裂纹漆加工费</t>
  </si>
  <si>
    <t>7月</t>
  </si>
  <si>
    <t>双组份抗划痕哑白加工费</t>
  </si>
  <si>
    <t>双组份抗划痕哑黄加工费</t>
  </si>
  <si>
    <t>5RK浆:自备</t>
  </si>
  <si>
    <t>双组份抗划痕哑红加工费</t>
  </si>
  <si>
    <t>另购5RK浆:李总货</t>
  </si>
  <si>
    <t>另加包装费4L</t>
  </si>
  <si>
    <r>
      <rPr>
        <b/>
        <sz val="16"/>
        <color rgb="FFFF0000"/>
        <rFont val="宋体"/>
        <charset val="134"/>
      </rPr>
      <t>贾总5/7日对公赵永平：</t>
    </r>
    <r>
      <rPr>
        <b/>
        <sz val="16"/>
        <color rgb="FF00B0F0"/>
        <rFont val="宋体"/>
        <charset val="134"/>
      </rPr>
      <t>14540含税点</t>
    </r>
    <r>
      <rPr>
        <b/>
        <sz val="16"/>
        <color rgb="FFFF0000"/>
        <rFont val="宋体"/>
        <charset val="134"/>
      </rPr>
      <t>-购：996钛白粉（1000*14.2）=</t>
    </r>
    <r>
      <rPr>
        <b/>
        <sz val="16"/>
        <color rgb="FF00B0F0"/>
        <rFont val="宋体"/>
        <charset val="134"/>
      </rPr>
      <t>340含税点</t>
    </r>
  </si>
  <si>
    <t>双组份抗划痕哑黑加工费</t>
  </si>
  <si>
    <r>
      <rPr>
        <sz val="16"/>
        <color rgb="FF00B0F0"/>
        <rFont val="宋体"/>
        <charset val="134"/>
      </rPr>
      <t>另加包装费20L五星花（</t>
    </r>
    <r>
      <rPr>
        <sz val="16"/>
        <color rgb="FFFF0000"/>
        <rFont val="宋体"/>
        <charset val="134"/>
      </rPr>
      <t>含购买丁酯和助剂桶</t>
    </r>
    <r>
      <rPr>
        <sz val="16"/>
        <color rgb="FF00B0F0"/>
        <rFont val="宋体"/>
        <charset val="134"/>
      </rPr>
      <t>）</t>
    </r>
  </si>
  <si>
    <t>另加包装费20L五星花</t>
  </si>
  <si>
    <t>另购丁酯</t>
  </si>
  <si>
    <t>购买50%8333</t>
  </si>
  <si>
    <t>以上商标已打印</t>
  </si>
  <si>
    <t>购圆罐5L:自提1#、3#浆</t>
  </si>
  <si>
    <t>发货包装</t>
  </si>
  <si>
    <t>996：自备</t>
  </si>
  <si>
    <t>大红半成品</t>
  </si>
  <si>
    <t>亮红改哑红加工费</t>
  </si>
  <si>
    <t>购买8333原装</t>
  </si>
  <si>
    <t>另购包装20L</t>
  </si>
  <si>
    <t>自提黑色浆包装：4L</t>
  </si>
  <si>
    <t>(借龙总4L方罐：20个）</t>
  </si>
  <si>
    <t>7月25-26</t>
  </si>
  <si>
    <t>分散剂：已换新的</t>
  </si>
  <si>
    <t xml:space="preserve"> S-20000:(已换成新产品）</t>
  </si>
  <si>
    <t>黑半光</t>
  </si>
  <si>
    <t>黑半光改黑裂纹加工费</t>
  </si>
  <si>
    <t>8月</t>
  </si>
  <si>
    <t>另购包装4L</t>
  </si>
  <si>
    <t>1#浆:自备40%（含28%：7KG)</t>
  </si>
  <si>
    <t>购106D消光粉</t>
  </si>
  <si>
    <t>1#浆:自备40%</t>
  </si>
  <si>
    <t>优特黑101A加工费</t>
  </si>
  <si>
    <t>8月9、11</t>
  </si>
  <si>
    <t>1#浆:自备（40%）</t>
  </si>
  <si>
    <t>8月25-26</t>
  </si>
  <si>
    <t>以上商标已打印：19/8优特黑多打印30张,21/8多20张）</t>
  </si>
  <si>
    <t>聚酮粉</t>
  </si>
  <si>
    <t>购8333</t>
  </si>
  <si>
    <t>购807A</t>
  </si>
  <si>
    <t>防尘浆:李总货</t>
  </si>
  <si>
    <t>2号</t>
  </si>
  <si>
    <t>0.8L罐子</t>
  </si>
  <si>
    <t>1#浆：自备：40%</t>
  </si>
  <si>
    <t>减李总购黑色粉</t>
  </si>
  <si>
    <t>打印环保商标</t>
  </si>
  <si>
    <t>购100C哑粉</t>
  </si>
  <si>
    <t>1号浆：40%自备</t>
  </si>
  <si>
    <t>防尘浆：李总货</t>
  </si>
  <si>
    <t>环保哑黄加工费</t>
  </si>
  <si>
    <t>108C树脂：自备</t>
  </si>
  <si>
    <t>18KG/桶*10</t>
  </si>
  <si>
    <t>购包装桶：20L白大口（发货）</t>
  </si>
  <si>
    <t>购包装桶：4L白大口（发货）</t>
  </si>
  <si>
    <t>另加包装桶20L</t>
  </si>
  <si>
    <t>9月25-26</t>
  </si>
  <si>
    <t>以上商标已打印（大红普除外）</t>
  </si>
  <si>
    <t>1#浆:40%</t>
  </si>
  <si>
    <t>9月27-28</t>
  </si>
  <si>
    <r>
      <rPr>
        <sz val="16"/>
        <color rgb="FF00B0F0"/>
        <rFont val="宋体"/>
        <charset val="134"/>
      </rPr>
      <t>1浆：自备:28</t>
    </r>
    <r>
      <rPr>
        <strike/>
        <sz val="16"/>
        <color rgb="FF00B0F0"/>
        <rFont val="宋体"/>
        <charset val="134"/>
      </rPr>
      <t>%</t>
    </r>
  </si>
  <si>
    <t>108树：自备</t>
  </si>
  <si>
    <t>18KG/桶*20</t>
  </si>
  <si>
    <t>沈阳平光黑加工费</t>
  </si>
  <si>
    <t>10月15</t>
  </si>
  <si>
    <t>双组份哑白(色度最高的）</t>
  </si>
  <si>
    <t>蕊芯0709：2KG+30g：8333</t>
  </si>
  <si>
    <t xml:space="preserve">                                                                      ben13</t>
  </si>
  <si>
    <t>双组份哑光黑(色度最高的）</t>
  </si>
  <si>
    <r>
      <rPr>
        <sz val="16"/>
        <color rgb="FFFF0000"/>
        <rFont val="宋体"/>
        <charset val="134"/>
      </rPr>
      <t xml:space="preserve">50FB:1.5+0.5：黑色浆+30g：8333                                          </t>
    </r>
    <r>
      <rPr>
        <sz val="10"/>
        <color rgb="FFFF0000"/>
        <rFont val="宋体"/>
        <charset val="134"/>
      </rPr>
      <t xml:space="preserve">  ben 16</t>
    </r>
  </si>
  <si>
    <t>双组份亮中黄(色度最高的）</t>
  </si>
  <si>
    <r>
      <rPr>
        <sz val="16"/>
        <color rgb="FFFF0000"/>
        <rFont val="宋体"/>
        <charset val="134"/>
      </rPr>
      <t xml:space="preserve">烤漆精油：0.8+0.4:965树+0.8：中黄浆+30g：8333                            </t>
    </r>
    <r>
      <rPr>
        <sz val="10"/>
        <color rgb="FFFF0000"/>
        <rFont val="宋体"/>
        <charset val="134"/>
      </rPr>
      <t xml:space="preserve"> ben17.2</t>
    </r>
  </si>
  <si>
    <t>双组份亮大红（色度最高的）</t>
  </si>
  <si>
    <r>
      <rPr>
        <sz val="16"/>
        <color rgb="FFFF0000"/>
        <rFont val="宋体"/>
        <charset val="134"/>
      </rPr>
      <t xml:space="preserve">烤漆精油：0.8+0.4:965树+0.8：1号紫红浆+30g：8333                            </t>
    </r>
    <r>
      <rPr>
        <sz val="10"/>
        <color rgb="FFFF0000"/>
        <rFont val="宋体"/>
        <charset val="134"/>
      </rPr>
      <t>ben：20</t>
    </r>
  </si>
  <si>
    <t>10月18</t>
  </si>
  <si>
    <r>
      <rPr>
        <sz val="16"/>
        <color rgb="FFFF0000"/>
        <rFont val="宋体"/>
        <charset val="134"/>
      </rPr>
      <t xml:space="preserve">烤漆精油：10KG+4KG:965树+6KG：国圣F5R大红浆（35/kg）+0.3KG：8333    </t>
    </r>
    <r>
      <rPr>
        <sz val="11"/>
        <color rgb="FFFF0000"/>
        <rFont val="宋体"/>
        <charset val="134"/>
      </rPr>
      <t xml:space="preserve">（21.05KG)   </t>
    </r>
    <r>
      <rPr>
        <sz val="16"/>
        <color rgb="FFFF0000"/>
        <rFont val="宋体"/>
        <charset val="134"/>
      </rPr>
      <t xml:space="preserve">                 </t>
    </r>
    <r>
      <rPr>
        <sz val="10"/>
        <color rgb="FFFF0000"/>
        <rFont val="宋体"/>
        <charset val="134"/>
      </rPr>
      <t>ben:22.71</t>
    </r>
  </si>
  <si>
    <t>另加包装费5L</t>
  </si>
  <si>
    <t>未开单</t>
  </si>
  <si>
    <t>减烤漆金精油</t>
  </si>
  <si>
    <t>金油应15元/KG</t>
  </si>
  <si>
    <t>10月15-16</t>
  </si>
  <si>
    <t>10月16-17</t>
  </si>
  <si>
    <t>柠檬黄粉：：自备</t>
  </si>
  <si>
    <t>柠檬黄浆加工费</t>
  </si>
  <si>
    <t>货误打成108C:67kg+33KG:108</t>
  </si>
  <si>
    <t>减李总购5RK色粉</t>
  </si>
  <si>
    <t>10-22-23</t>
  </si>
  <si>
    <t>购6501树脂</t>
  </si>
  <si>
    <t>购防尘浆</t>
  </si>
  <si>
    <t>3#浆：:25%</t>
  </si>
  <si>
    <t>另加包装费20L：发货</t>
  </si>
  <si>
    <t>3号浆：自备（25%）</t>
  </si>
  <si>
    <t>3#浆25%</t>
  </si>
  <si>
    <t>购黑色浆</t>
  </si>
  <si>
    <t>16KG/桶</t>
  </si>
  <si>
    <t>酞蓝漆</t>
  </si>
  <si>
    <t>（酞蓝浆：1.2+1.8:965+0.02:8333）</t>
  </si>
  <si>
    <t>ben :18.5(965:12.6       酞蓝浆：30）</t>
  </si>
  <si>
    <t>减贾自备烤漆金油</t>
  </si>
  <si>
    <t>535F(哑白专用）</t>
  </si>
  <si>
    <t>见配方</t>
  </si>
  <si>
    <t>双组份亮光黑(色度最高的）</t>
  </si>
  <si>
    <t>双组份亮酞蓝漆(色度最高的）</t>
  </si>
  <si>
    <t>以后常用配方</t>
  </si>
  <si>
    <t>7920防尘浆：李总货</t>
  </si>
  <si>
    <t>)</t>
  </si>
  <si>
    <t>3#浆:自备:20%</t>
  </si>
  <si>
    <t>1#浆:自备35%</t>
  </si>
  <si>
    <t>11月13-14</t>
  </si>
  <si>
    <t>购样品罐</t>
  </si>
  <si>
    <t>3#浆:自备:28%</t>
  </si>
  <si>
    <t>3#浆：:28%</t>
  </si>
  <si>
    <t>1#浆：自备：35%</t>
  </si>
  <si>
    <t>3#浆：自备：20%</t>
  </si>
  <si>
    <t>双组份亮中黄色漆</t>
  </si>
  <si>
    <t>双组份亮大红色漆</t>
  </si>
  <si>
    <t>另加 包装费4L</t>
  </si>
  <si>
    <t>3#浆:自备:28%%</t>
  </si>
  <si>
    <t>1#浆:自备40%%</t>
  </si>
  <si>
    <t>11月20-21</t>
  </si>
  <si>
    <t>3号浆：自备（28%%）</t>
  </si>
  <si>
    <t>另购包装5L</t>
  </si>
  <si>
    <t>715粉</t>
  </si>
  <si>
    <t>715#浆35%加工费</t>
  </si>
  <si>
    <t>1#浆：自备35%</t>
  </si>
  <si>
    <t>另购包装5L（装白浆）</t>
  </si>
  <si>
    <t>全哑黑面漆</t>
  </si>
  <si>
    <t>全哑白面漆</t>
  </si>
  <si>
    <t>全哑红色面漆</t>
  </si>
  <si>
    <t>全哑黄色漆</t>
  </si>
  <si>
    <t>535L</t>
  </si>
  <si>
    <t>12月8-9</t>
  </si>
  <si>
    <t>12月9-10</t>
  </si>
  <si>
    <t>购乙烷</t>
  </si>
  <si>
    <t>另购包装10L（装白浆）</t>
  </si>
  <si>
    <t>另加包装20L白大口（发货）</t>
  </si>
  <si>
    <t>小贾总购黑色浆</t>
  </si>
  <si>
    <t>另加包装4L</t>
  </si>
  <si>
    <t>另购包装20L发货</t>
  </si>
  <si>
    <t>12月21-23</t>
  </si>
  <si>
    <t>甲苯胺紫红粉：：自备</t>
  </si>
  <si>
    <t>5014分散剂</t>
  </si>
  <si>
    <t>甲苯胺紫红浆加工费</t>
  </si>
  <si>
    <t>715#浆:自备（35%）</t>
  </si>
  <si>
    <t>3#浆:28%</t>
  </si>
  <si>
    <t>自备亮黄成品：待改</t>
  </si>
  <si>
    <t>730粉</t>
  </si>
  <si>
    <t>730#浆17%加工费</t>
  </si>
  <si>
    <t>715#浆35%：自备</t>
  </si>
  <si>
    <t>730#浆28%：自备</t>
  </si>
  <si>
    <t>3#浆：自备：25%</t>
  </si>
  <si>
    <t>哑白（普）成品</t>
  </si>
  <si>
    <t>购包装桶</t>
  </si>
  <si>
    <t>(807A：45+75A:55)见配方</t>
  </si>
  <si>
    <r>
      <rPr>
        <sz val="16"/>
        <color rgb="FF00B0F0"/>
        <rFont val="宋体"/>
        <charset val="134"/>
      </rPr>
      <t>1浆：自备:35</t>
    </r>
    <r>
      <rPr>
        <strike/>
        <sz val="16"/>
        <color rgb="FF00B0F0"/>
        <rFont val="宋体"/>
        <charset val="134"/>
      </rPr>
      <t>%</t>
    </r>
  </si>
  <si>
    <t>3浆：自备:20%</t>
  </si>
  <si>
    <t>3#浆：:20%</t>
  </si>
  <si>
    <t>26年01月贾材料明细表</t>
  </si>
  <si>
    <t>李总材料金额合计</t>
  </si>
  <si>
    <t>摘要</t>
  </si>
  <si>
    <r>
      <rPr>
        <b/>
        <sz val="12"/>
        <rFont val="宋体"/>
        <charset val="134"/>
      </rPr>
      <t>106D、</t>
    </r>
    <r>
      <rPr>
        <b/>
        <sz val="12"/>
        <color rgb="FFFF0000"/>
        <rFont val="宋体"/>
        <charset val="134"/>
      </rPr>
      <t>100C是红色字体</t>
    </r>
  </si>
  <si>
    <t>7025浆：银粉</t>
  </si>
  <si>
    <t>20000分散</t>
  </si>
  <si>
    <r>
      <rPr>
        <b/>
        <sz val="12"/>
        <rFont val="宋体"/>
        <charset val="134"/>
      </rPr>
      <t>8333:红色字体是</t>
    </r>
    <r>
      <rPr>
        <b/>
        <sz val="12"/>
        <color rgb="FFFF0000"/>
        <rFont val="宋体"/>
        <charset val="134"/>
      </rPr>
      <t>已稀的</t>
    </r>
  </si>
  <si>
    <t>品名</t>
  </si>
  <si>
    <t>生产量/KG</t>
  </si>
  <si>
    <t>数量</t>
  </si>
  <si>
    <t>单价</t>
  </si>
  <si>
    <t>金额</t>
  </si>
  <si>
    <t>优特黑101A</t>
  </si>
  <si>
    <t>25年12月贾材料明细表</t>
  </si>
  <si>
    <t>电镀大红</t>
  </si>
  <si>
    <t>亮黄</t>
  </si>
  <si>
    <t>C311黑色浆</t>
  </si>
  <si>
    <t>亮大红</t>
  </si>
  <si>
    <t>柠檬黄漆</t>
  </si>
  <si>
    <t>甲苯胺紫红浆</t>
  </si>
  <si>
    <t>哑黄</t>
  </si>
  <si>
    <t>730浆：17%</t>
  </si>
  <si>
    <t>玫瑰红漆</t>
  </si>
  <si>
    <t>哑白</t>
  </si>
  <si>
    <t>白裂纹</t>
  </si>
  <si>
    <t>25年11月贾材料明细表</t>
  </si>
  <si>
    <t>消光剂</t>
  </si>
  <si>
    <t>沈阳平光黑</t>
  </si>
  <si>
    <t>哑红</t>
  </si>
  <si>
    <t>黑色浆</t>
  </si>
  <si>
    <t>平光黑</t>
  </si>
  <si>
    <t>优特黑101A-1</t>
  </si>
  <si>
    <t>亮白</t>
  </si>
  <si>
    <t>11-231</t>
  </si>
  <si>
    <t>11-20-21*</t>
  </si>
  <si>
    <t>715浆：35%</t>
  </si>
  <si>
    <t>25年10月贾材料明细表</t>
  </si>
  <si>
    <t>ABS光油</t>
  </si>
  <si>
    <t>10-14-15</t>
  </si>
  <si>
    <t>10-15-16</t>
  </si>
  <si>
    <t>10-16-17</t>
  </si>
  <si>
    <t>25年9月贾材料明细表</t>
  </si>
  <si>
    <t>稀料</t>
  </si>
  <si>
    <t>哑大红</t>
  </si>
  <si>
    <r>
      <rPr>
        <b/>
        <sz val="12"/>
        <rFont val="宋体"/>
        <charset val="134"/>
      </rPr>
      <t>消光剂、购哑粉、</t>
    </r>
    <r>
      <rPr>
        <b/>
        <sz val="12"/>
        <color rgb="FFFF0000"/>
        <rFont val="宋体"/>
        <charset val="134"/>
      </rPr>
      <t>李购黑色粉30KG(3包）已减</t>
    </r>
  </si>
  <si>
    <t>购哑粉、白浆</t>
  </si>
  <si>
    <t>环保亮黄</t>
  </si>
  <si>
    <t>环保哑黄</t>
  </si>
  <si>
    <t>平光黑、白大口桶</t>
  </si>
  <si>
    <t>优特黑101A-1：2缸</t>
  </si>
  <si>
    <t>桃红浆</t>
  </si>
  <si>
    <t>桃红漆</t>
  </si>
  <si>
    <t>25年8月贾材料明细表</t>
  </si>
  <si>
    <t>4010助</t>
  </si>
  <si>
    <t xml:space="preserve">中黄浆、购106D:2包*10KG </t>
  </si>
  <si>
    <t>大红普</t>
  </si>
  <si>
    <t>聚酮液  、106D哑粉、8333和807A</t>
  </si>
  <si>
    <t>25年7月贾材料明细表</t>
  </si>
  <si>
    <t>双组份哑白</t>
  </si>
  <si>
    <t>双组份哑黄</t>
  </si>
  <si>
    <t>双组份哑红</t>
  </si>
  <si>
    <t>双组份抗划痕哑白</t>
  </si>
  <si>
    <t>双组份抗划痕哑黑</t>
  </si>
  <si>
    <t>双组份抗划痕哑红</t>
  </si>
  <si>
    <t>亮黄改哑黄</t>
  </si>
  <si>
    <t>亮红改哑红</t>
  </si>
  <si>
    <t>黑半光改成黑裂纹</t>
  </si>
  <si>
    <t>25年6月贾材料明细表</t>
  </si>
  <si>
    <t>亮白样</t>
  </si>
  <si>
    <t>购甲缩醛</t>
  </si>
  <si>
    <t>C311黑浆</t>
  </si>
  <si>
    <t>大红</t>
  </si>
  <si>
    <t>大红浆</t>
  </si>
  <si>
    <t>龙泉西河：哑白</t>
  </si>
  <si>
    <t>橡皮漆黑亮光</t>
  </si>
  <si>
    <t>酞蓝漆:2桶（测试酞蓝浆）</t>
  </si>
  <si>
    <t>25年5月贾材料明细表</t>
  </si>
  <si>
    <t>6920浆</t>
  </si>
  <si>
    <t>磨白浆1槽用钛白粉（不加助剂）</t>
  </si>
  <si>
    <t>哑白普</t>
  </si>
  <si>
    <t>亮白普</t>
  </si>
  <si>
    <t>优特黑</t>
  </si>
  <si>
    <t>ABS光油、</t>
  </si>
  <si>
    <t>优特黑（A)</t>
  </si>
  <si>
    <t>哑白样</t>
  </si>
  <si>
    <t>25年4月贾材料明细表</t>
  </si>
  <si>
    <t>3月31-4月1</t>
  </si>
  <si>
    <t>白色浆：2槽</t>
  </si>
  <si>
    <t>白色浆：1槽</t>
  </si>
  <si>
    <t>亮白普：2槽</t>
  </si>
  <si>
    <t>烤漆黑</t>
  </si>
  <si>
    <t>电镀中黄</t>
  </si>
  <si>
    <t>电镀黑半光（待改成品：51）</t>
  </si>
  <si>
    <t>电镀哑白</t>
  </si>
  <si>
    <t>电镀亮白</t>
  </si>
  <si>
    <t>亮黄改哑黄、白桶包装12个：5+7（待改成品：310）</t>
  </si>
  <si>
    <t>亮白、包装20个</t>
  </si>
  <si>
    <t>玫瑰红</t>
  </si>
  <si>
    <t>ABS光油、白面、固化剂、包装桶</t>
  </si>
  <si>
    <t>25年3月贾材料明细表</t>
  </si>
  <si>
    <t>结存</t>
  </si>
  <si>
    <t>返工大红浆</t>
  </si>
  <si>
    <t>白色浆</t>
  </si>
  <si>
    <t>苏州丹阳稀料</t>
  </si>
  <si>
    <t>哑白普（三和样）</t>
  </si>
  <si>
    <t>哑白普（西河样）</t>
  </si>
  <si>
    <t>梅（桃）红浆</t>
  </si>
  <si>
    <t>亮桃红</t>
  </si>
  <si>
    <t>亮中黄</t>
  </si>
  <si>
    <t>改橡皮漆底黑</t>
  </si>
  <si>
    <t>大红样</t>
  </si>
  <si>
    <t>25年2月贾材料明细表</t>
  </si>
  <si>
    <t>1月16</t>
  </si>
  <si>
    <t>大红（树脂90、3#浆：128）</t>
  </si>
  <si>
    <t>亮黄（树脂：99.5、1#浆154.5、3#浆39）</t>
  </si>
  <si>
    <t>哑黄（亮黄673、防尘浆3）</t>
  </si>
  <si>
    <t>白浆(108:48,5014B:4.5)</t>
  </si>
  <si>
    <t>白浆(108:24)</t>
  </si>
  <si>
    <t>入库白浆:2%损耗</t>
  </si>
  <si>
    <t>亮大红浆（树：50,5RK大红粉：25）</t>
  </si>
  <si>
    <t>入库大红浆10.6%损耗</t>
  </si>
  <si>
    <t>亮白（树：10.8,2#浆：2.75，3#浆：11.6）</t>
  </si>
  <si>
    <t>亮大红漆（树：7.65,3#浆：10.88）</t>
  </si>
  <si>
    <t>25年1月贾材料明细表</t>
  </si>
  <si>
    <t>12月31</t>
  </si>
  <si>
    <t>31/12结存</t>
  </si>
  <si>
    <t>1月2-3日</t>
  </si>
  <si>
    <t>中黄浆（树40、色粉100、未入库）</t>
  </si>
  <si>
    <t>入库中黄浆</t>
  </si>
  <si>
    <t>聚酮液（聚酮300未入库）</t>
  </si>
  <si>
    <t>入库聚酮液</t>
  </si>
  <si>
    <t>107#亮黄漆（108树：56、1#浆：87、3#浆：22未入库）</t>
  </si>
  <si>
    <t>亮白（树脂：240、白浆：240、715浆84、3#浆：257</t>
  </si>
  <si>
    <t>白浆（树：96  5014B:9  996:300  )</t>
  </si>
  <si>
    <t>入库白浆</t>
  </si>
  <si>
    <t>哑白（树100）</t>
  </si>
  <si>
    <t>亮白（树脂：480、、2#浆122、3#浆：514）</t>
  </si>
  <si>
    <t>烤漆黑（树400、1#102、3#428)</t>
  </si>
  <si>
    <t>优特黑（树150，1#浆：,147、3#浆：253未入库）</t>
  </si>
  <si>
    <t>2026年1月贾总回款</t>
  </si>
  <si>
    <t>日  期</t>
  </si>
  <si>
    <t>应付款合计金额/元</t>
  </si>
  <si>
    <t>已付款合计金额/元</t>
  </si>
  <si>
    <t>下欠款合计金额/元</t>
  </si>
  <si>
    <t xml:space="preserve">明细如下：    </t>
  </si>
  <si>
    <t>随机单号</t>
  </si>
  <si>
    <t>内容摘要</t>
  </si>
  <si>
    <t>已付款金额</t>
  </si>
  <si>
    <t>下欠款金额结存</t>
  </si>
  <si>
    <t>亮光固化剂、包装</t>
  </si>
  <si>
    <t>购996钛白粉:14200</t>
  </si>
  <si>
    <t>桃红</t>
  </si>
  <si>
    <t>国圣购1/2浆：144KG*16.8=756</t>
  </si>
  <si>
    <t>蓉渝达原材料（预支款）</t>
  </si>
  <si>
    <t>730#浆</t>
  </si>
  <si>
    <t>贾总购钛白粉明细如下：</t>
  </si>
  <si>
    <t>件数/包</t>
  </si>
  <si>
    <r>
      <rPr>
        <b/>
        <sz val="11"/>
        <rFont val="宋体"/>
        <charset val="134"/>
      </rPr>
      <t>数量/KG</t>
    </r>
    <r>
      <rPr>
        <b/>
        <sz val="10"/>
        <rFont val="宋体"/>
        <charset val="134"/>
      </rPr>
      <t>（规格：25KG/件）</t>
    </r>
  </si>
  <si>
    <t>2025.12.31</t>
  </si>
  <si>
    <t>贾总结存钛白粉</t>
  </si>
  <si>
    <t>2026.01.09</t>
  </si>
  <si>
    <r>
      <rPr>
        <b/>
        <sz val="11"/>
        <rFont val="宋体"/>
        <charset val="134"/>
      </rPr>
      <t>购996钛白粉1吨</t>
    </r>
    <r>
      <rPr>
        <b/>
        <sz val="11"/>
        <color rgb="FFFF0000"/>
        <rFont val="宋体"/>
        <charset val="134"/>
      </rPr>
      <t>:14200(未付款）</t>
    </r>
  </si>
  <si>
    <t>2026.01.10</t>
  </si>
  <si>
    <t>磨白浆1.5槽用钛白粉</t>
  </si>
  <si>
    <t>截止2025年12月30日贾总结存钛白粉数量/KG</t>
  </si>
  <si>
    <t>2025年12月贾总回款</t>
  </si>
  <si>
    <t>全哑白面、黑面、红色和黄色面漆</t>
  </si>
  <si>
    <t>优特黑101A、购乙烷</t>
  </si>
  <si>
    <t>亮红、发货包装桶</t>
  </si>
  <si>
    <t>甲苯胺紫红色粉托运费</t>
  </si>
  <si>
    <t>辉杰鞋厂对公国圣</t>
  </si>
  <si>
    <t>辉杰鞋厂对公国圣税点3%</t>
  </si>
  <si>
    <t>柠檬黄、17-19号购发货包装桶</t>
  </si>
  <si>
    <t>2025.07.17</t>
  </si>
  <si>
    <t>购996钛白粉（17/7开单）:14200</t>
  </si>
  <si>
    <t>19/7货单已交贾总</t>
  </si>
  <si>
    <t>2025.07.22</t>
  </si>
  <si>
    <t>2025.9.22</t>
  </si>
  <si>
    <t>2025.10.09</t>
  </si>
  <si>
    <t>2025.10.27</t>
  </si>
  <si>
    <t>2025.11.15</t>
  </si>
  <si>
    <t>2025.12.30</t>
  </si>
  <si>
    <t>2025年11月贾总回款</t>
  </si>
  <si>
    <t>消光剂：20桶、购买黑浆2KG和包装</t>
  </si>
  <si>
    <t>沈阳平光黑、20L白桶、酞蓝漆</t>
  </si>
  <si>
    <t>烤漆金油、固化剂、包装、双组份亮黑、蓝、哑白</t>
  </si>
  <si>
    <t>优特黑101A-1、购买样罐</t>
  </si>
  <si>
    <t>优特黑101A、双组份亮黄、亮大红</t>
  </si>
  <si>
    <t>国圣购1/2浆：45KG*16.8=756</t>
  </si>
  <si>
    <t>截止2025年11月15日贾总结存钛白粉数量/KG</t>
  </si>
  <si>
    <t>2025年10月贾总回款</t>
  </si>
  <si>
    <t>小贾总微转李总</t>
  </si>
  <si>
    <t>双组份样品:亮中黄、亮大红、哑黑、哑白</t>
  </si>
  <si>
    <t>购包装桶：296个</t>
  </si>
  <si>
    <t>优特黑101A-1  、李总购5RK色粉：10KG已减账</t>
  </si>
  <si>
    <t>振中电气（三人合作）的利润和材料款</t>
  </si>
  <si>
    <t>购6501、防尘浆</t>
  </si>
  <si>
    <t>截止2025年10月27日贾总结存钛白粉数量/KG</t>
  </si>
  <si>
    <t>2025年9月贾总回款</t>
  </si>
  <si>
    <t>稀料、白大口20L、罐子</t>
  </si>
  <si>
    <t>截止2025年9月22日贾总结存钛白粉数量/KG</t>
  </si>
  <si>
    <t>2025年8月贾总回款</t>
  </si>
  <si>
    <t>25%的1#浆</t>
  </si>
  <si>
    <t>聚酮液、购材料、助剂和白大口桶</t>
  </si>
  <si>
    <t>截止2025年7月22日贾总结存钛白粉数量/KG</t>
  </si>
  <si>
    <t>2025年7月起贾总回款</t>
  </si>
  <si>
    <t>换货66kg807+</t>
  </si>
  <si>
    <t xml:space="preserve">明细如下：     </t>
  </si>
  <si>
    <t>金银岛原材料（预支款）</t>
  </si>
  <si>
    <t>双组份抗划痕哑黄</t>
  </si>
  <si>
    <t>贾总购996钛白粉对公多付340*（1-7%）</t>
  </si>
  <si>
    <t>亮光金油、固化剂、包装、助剂等</t>
  </si>
  <si>
    <r>
      <rPr>
        <b/>
        <sz val="12"/>
        <rFont val="宋体"/>
        <charset val="134"/>
      </rPr>
      <t>贾总2025.07.17自购钛白粉1吨：14540元（5/7对公）-14200元（含7%税点）=</t>
    </r>
    <r>
      <rPr>
        <b/>
        <sz val="12"/>
        <color rgb="FFFF0000"/>
        <rFont val="宋体"/>
        <charset val="134"/>
      </rPr>
      <t>340*（1-7%）=316元（对公余额减了7%的税点）</t>
    </r>
  </si>
  <si>
    <t>购货单于19/7已交贾总</t>
  </si>
  <si>
    <t>截止2025年7月22日贾总 结存钛白粉数量/KG</t>
  </si>
  <si>
    <t>2025年6月起贾总回款</t>
  </si>
  <si>
    <t>明细如下：</t>
  </si>
  <si>
    <t>烤漆金油、固化剂、包装</t>
  </si>
  <si>
    <t>消光剂（哑光浆），购8333、807A</t>
  </si>
  <si>
    <t>ABS亮黄</t>
  </si>
  <si>
    <t>哑白：龙泉西河</t>
  </si>
  <si>
    <t>2025年5月起贾总回款</t>
  </si>
  <si>
    <t>ABS光油、20L白大口、0.8L和4L罐子</t>
  </si>
  <si>
    <t>优特黑（A)、自提浆类包装，购砂面粉</t>
  </si>
  <si>
    <t>优特黑（A)、</t>
  </si>
  <si>
    <t>白浆、15/5未计价的75KG钛白粉</t>
  </si>
  <si>
    <t>亮白A,哑白A小样</t>
  </si>
  <si>
    <t>2025.04.22</t>
  </si>
  <si>
    <t>结存钛白粉</t>
  </si>
  <si>
    <t>2025.05.05</t>
  </si>
  <si>
    <t>2025.05.15</t>
  </si>
  <si>
    <t>截止2025年5月15日贾总结存钛白粉数量/KG</t>
  </si>
  <si>
    <t>75KG于28/5已开单</t>
  </si>
  <si>
    <t>2025年4月起贾总回款</t>
  </si>
  <si>
    <t>电镀黑半光</t>
  </si>
  <si>
    <t>亮黄改哑黄、白桶包装12个：5+7</t>
  </si>
  <si>
    <t>广汉包装桶</t>
  </si>
  <si>
    <t>2025.03.31</t>
  </si>
  <si>
    <t>2025.3-31-4.1</t>
  </si>
  <si>
    <t>磨白浆2槽用钛白粉（不加助剂）</t>
  </si>
  <si>
    <t>2025.4.2</t>
  </si>
  <si>
    <t>2025.4.14</t>
  </si>
  <si>
    <t>2025.4.22</t>
  </si>
  <si>
    <t>截止2025年4月22日贾总结存钛白粉数量/KG</t>
  </si>
  <si>
    <t>2025年3月起贾总回款</t>
  </si>
  <si>
    <t>2月28</t>
  </si>
  <si>
    <t>亮白面20KG    哑白普</t>
  </si>
  <si>
    <t>玫红粉托运费</t>
  </si>
  <si>
    <t>白浆（未加助剂）、磨大红浆加807+</t>
  </si>
  <si>
    <t>ABS稀料</t>
  </si>
  <si>
    <t>苏州丹阳货亮黄红黑白固化、珠光粉</t>
  </si>
  <si>
    <t>大红普（样）</t>
  </si>
  <si>
    <t>桃（梅）红浆</t>
  </si>
  <si>
    <t>亮桃红漆</t>
  </si>
  <si>
    <t>亮黄漆</t>
  </si>
  <si>
    <t>亮白、亮光金油、助剂</t>
  </si>
  <si>
    <t>亮红、黄、黑、白色漆</t>
  </si>
  <si>
    <t>2025.01.16</t>
  </si>
  <si>
    <t>2025.02.22</t>
  </si>
  <si>
    <t>2025.3.10</t>
  </si>
  <si>
    <t>2025.3.21</t>
  </si>
  <si>
    <t>2025.3.24</t>
  </si>
  <si>
    <t>截止2025年3月24日贾总结存钛白粉数量/KG</t>
  </si>
  <si>
    <t>2025年2月起贾总回款</t>
  </si>
  <si>
    <t>亮大红漆样</t>
  </si>
  <si>
    <r>
      <rPr>
        <b/>
        <sz val="14"/>
        <rFont val="宋体"/>
        <charset val="134"/>
      </rPr>
      <t>数量/KG</t>
    </r>
    <r>
      <rPr>
        <b/>
        <sz val="12"/>
        <rFont val="宋体"/>
        <charset val="134"/>
      </rPr>
      <t>（规格：25KG/件）</t>
    </r>
  </si>
  <si>
    <t>截止2025年2月22日贾总结存钛白粉数量/KG</t>
  </si>
  <si>
    <t>贾总2024.12.25</t>
  </si>
  <si>
    <t>产品代号</t>
  </si>
  <si>
    <t>名称</t>
  </si>
  <si>
    <t>规格</t>
  </si>
  <si>
    <t>101A</t>
  </si>
  <si>
    <t>橙  红</t>
  </si>
  <si>
    <t>桃  红</t>
  </si>
  <si>
    <t>艳  红</t>
  </si>
  <si>
    <t>亮  白</t>
  </si>
  <si>
    <t>哑  白</t>
  </si>
  <si>
    <t>黑裂纹</t>
  </si>
  <si>
    <t>弹性漆</t>
  </si>
  <si>
    <t>亮  黄</t>
  </si>
  <si>
    <t>哑  黄</t>
  </si>
  <si>
    <t>印花精油</t>
  </si>
  <si>
    <t>电镀黑亮光</t>
  </si>
  <si>
    <t>柠檬黄</t>
  </si>
  <si>
    <t>绿  色</t>
  </si>
  <si>
    <t>烤漆亮光精油</t>
  </si>
  <si>
    <t>11月11日前购的11桶中3#是25%</t>
  </si>
  <si>
    <t>11月11</t>
  </si>
  <si>
    <t>购1#浆35%</t>
  </si>
  <si>
    <t>200*6*16.5=19800</t>
  </si>
  <si>
    <t>购3#浆20%</t>
  </si>
  <si>
    <t>190*5桶*13.2=12540</t>
  </si>
  <si>
    <t>24年12月贾2材料明细表</t>
  </si>
  <si>
    <t>715、730浆含贾总自提的2桶和以前自提均未减账</t>
  </si>
  <si>
    <t>甲胺紫浆</t>
  </si>
  <si>
    <r>
      <rPr>
        <b/>
        <sz val="12"/>
        <rFont val="宋体"/>
        <charset val="134"/>
      </rPr>
      <t>108树脂</t>
    </r>
    <r>
      <rPr>
        <b/>
        <sz val="12"/>
        <color theme="9" tint="-0.25"/>
        <rFont val="宋体"/>
        <charset val="134"/>
      </rPr>
      <t>未统计购货</t>
    </r>
  </si>
  <si>
    <t>5R大红浆</t>
  </si>
  <si>
    <t>31/8:5R大红浆</t>
  </si>
  <si>
    <t>酞青蓝浆</t>
  </si>
  <si>
    <t>橙红浆</t>
  </si>
  <si>
    <t>平光黑浆半成品</t>
  </si>
  <si>
    <t>平光黑浆成品</t>
  </si>
  <si>
    <t>7900-2x防尘浆</t>
  </si>
  <si>
    <t>5050分散剂</t>
  </si>
  <si>
    <t>120浆</t>
  </si>
  <si>
    <t>中黄色粉</t>
  </si>
  <si>
    <t>350粉</t>
  </si>
  <si>
    <t>520粉</t>
  </si>
  <si>
    <t>C311粉</t>
  </si>
  <si>
    <t>5RK粉</t>
  </si>
  <si>
    <t>11月30</t>
  </si>
  <si>
    <t>30/11结存</t>
  </si>
  <si>
    <t>12月5</t>
  </si>
  <si>
    <t>亮大红（108：75KG、3号浆107未入库）</t>
  </si>
  <si>
    <t>桃红漆（桃红浆100KG，树脂75,1号浆52、3号浆73未入库）</t>
  </si>
  <si>
    <t>电镀黑亮光（1206:100、108:12、1号浆21、3号浆：58未入库）</t>
  </si>
  <si>
    <t>烤漆黑（树脂200、1号浆：51、3号浆：214未入库）</t>
  </si>
  <si>
    <t>优特黑（108树脂150、1号浆147、3号浆253未入库）</t>
  </si>
  <si>
    <t>橡皮漆底黑（二元氯醋：100未入库）</t>
  </si>
  <si>
    <t>中黄浆（中黄粉：25KG,108:10未入库</t>
  </si>
  <si>
    <t>入库中黄浆：15%的损耗</t>
  </si>
  <si>
    <t>白浆（树脂：96KG,5014B:9KG未入库）</t>
  </si>
  <si>
    <t>入库白浆（2%损耗）</t>
  </si>
  <si>
    <r>
      <rPr>
        <b/>
        <sz val="11"/>
        <rFont val="宋体"/>
        <charset val="134"/>
      </rPr>
      <t>柠檬黄漆</t>
    </r>
    <r>
      <rPr>
        <b/>
        <sz val="10"/>
        <rFont val="宋体"/>
        <charset val="134"/>
      </rPr>
      <t>（108树脂：58、柠檬浆63、1#浆26、3#浆：37未入库</t>
    </r>
  </si>
  <si>
    <r>
      <rPr>
        <b/>
        <sz val="11"/>
        <rFont val="宋体"/>
        <charset val="134"/>
      </rPr>
      <t>亮白普</t>
    </r>
    <r>
      <rPr>
        <b/>
        <sz val="9"/>
        <rFont val="宋体"/>
        <charset val="134"/>
      </rPr>
      <t>（108：200KG、外购715:51KG、外购730:214KG未入库）</t>
    </r>
  </si>
  <si>
    <t>玫瑰红漆（树脂45KG、3号浆64未入库）</t>
  </si>
  <si>
    <r>
      <rPr>
        <b/>
        <sz val="11"/>
        <rFont val="宋体"/>
        <charset val="134"/>
      </rPr>
      <t>哑白普(108:100，</t>
    </r>
    <r>
      <rPr>
        <b/>
        <sz val="10"/>
        <rFont val="宋体"/>
        <charset val="134"/>
      </rPr>
      <t>色片白100、白浆100、715浆136、防尘浆2.5）</t>
    </r>
  </si>
  <si>
    <t>亮黄漆（108:6.48,1#浆：10.08,3#浆：2.52，黄浆：7.2</t>
  </si>
  <si>
    <t>ABS光油（108:150,1/4浆（715）：85 730浆：160</t>
  </si>
  <si>
    <r>
      <rPr>
        <b/>
        <sz val="9"/>
        <color theme="9" tint="-0.25"/>
        <rFont val="宋体"/>
        <charset val="134"/>
      </rPr>
      <t>哑红（树脂：50KG，1/4）：70,，防尘浆：2，改</t>
    </r>
    <r>
      <rPr>
        <b/>
        <sz val="9"/>
        <color rgb="FFFF0000"/>
        <rFont val="宋体"/>
        <charset val="134"/>
      </rPr>
      <t>亮大红：53未入</t>
    </r>
    <r>
      <rPr>
        <b/>
        <sz val="9"/>
        <color theme="9" tint="-0.25"/>
        <rFont val="宋体"/>
        <charset val="134"/>
      </rPr>
      <t>库）</t>
    </r>
  </si>
  <si>
    <t>C311黑浆（色粉：100KG,树脂200KG未计入库存）</t>
  </si>
  <si>
    <t>12-20-21</t>
  </si>
  <si>
    <t>入库黑色浆</t>
  </si>
  <si>
    <r>
      <rPr>
        <b/>
        <sz val="11"/>
        <rFont val="宋体"/>
        <charset val="134"/>
      </rPr>
      <t>亮白普</t>
    </r>
    <r>
      <rPr>
        <b/>
        <sz val="9"/>
        <rFont val="宋体"/>
        <charset val="134"/>
      </rPr>
      <t>（108180KG、外购715:46KG、外购730:193KG未入库）</t>
    </r>
  </si>
  <si>
    <t>亮黄（树脂27，1号浆：,421、3号浆：10.5未入库</t>
  </si>
  <si>
    <t>亮大红（108：90KG、3号浆128未入库）</t>
  </si>
  <si>
    <t>平光黑（树脂150、3#浆145、6920；3未入库）</t>
  </si>
  <si>
    <t>消光剂（树脂：3）</t>
  </si>
  <si>
    <t>24年10月贾总材料明细表</t>
  </si>
  <si>
    <t>31/10结存</t>
  </si>
  <si>
    <t>白浆（树脂：48KG,5014B:4.5KG未入库）</t>
  </si>
  <si>
    <r>
      <rPr>
        <b/>
        <sz val="11"/>
        <rFont val="宋体"/>
        <charset val="134"/>
      </rPr>
      <t>亮白普（</t>
    </r>
    <r>
      <rPr>
        <b/>
        <sz val="9"/>
        <rFont val="宋体"/>
        <charset val="134"/>
      </rPr>
      <t>108：200KG、外购715:51KG、外购730:214KG未入库）</t>
    </r>
  </si>
  <si>
    <t>烤漆黑（树脂200、715外购51、730外购214未入库）</t>
  </si>
  <si>
    <t>哑白普（色片白：100KG,树脂100KG未入库）</t>
  </si>
  <si>
    <t>稀料540</t>
  </si>
  <si>
    <t>亮黄普（树脂：56、715外购28、、外购112未入库）</t>
  </si>
  <si>
    <t>亮大红（108：75KG、未入库）</t>
  </si>
  <si>
    <t>烤漆黑（树脂400未入库）</t>
  </si>
  <si>
    <r>
      <rPr>
        <b/>
        <sz val="11"/>
        <rFont val="宋体"/>
        <charset val="134"/>
      </rPr>
      <t>聚酮液</t>
    </r>
    <r>
      <rPr>
        <b/>
        <sz val="8"/>
        <color rgb="FFFF0000"/>
        <rFont val="宋体"/>
        <charset val="134"/>
      </rPr>
      <t>（19/9入库聚酮粉：1000KG-300:21/9-300：20/11)</t>
    </r>
  </si>
  <si>
    <t>入库：聚酮液（2%损耗已减）</t>
  </si>
  <si>
    <t>平光黑（树脂150未入库）</t>
  </si>
  <si>
    <t>亮黄普（树脂：56、715外购28、、外购50未入库）</t>
  </si>
  <si>
    <t>消光剂（树脂：0.4）</t>
  </si>
  <si>
    <t>11-25、26</t>
  </si>
  <si>
    <t>亮黄改遮盖力54未入库</t>
  </si>
  <si>
    <t>亮白改哑白（半成品540、色片白100未入库）</t>
  </si>
  <si>
    <t>31/8结存</t>
  </si>
  <si>
    <t>哑红（树脂：50KG未入库）</t>
  </si>
  <si>
    <t>入库白浆（损耗2%）</t>
  </si>
  <si>
    <t>ABS光油(树脂：210未入库，</t>
  </si>
  <si>
    <t>亮黄普（树脂：70未入库）</t>
  </si>
  <si>
    <t>730浆（200KG：730粉未入库）</t>
  </si>
  <si>
    <t>入库730浆</t>
  </si>
  <si>
    <t>ABS亮大红（树脂：75未入库）</t>
  </si>
  <si>
    <t>将亮黄改成哑黄（自备亮黄：560KG、未入库）</t>
  </si>
  <si>
    <t>改黑裂纹漆(半成品：380KG：350哑粉:60KG）</t>
  </si>
  <si>
    <t>半哑白（树脂：46KG未入库)</t>
  </si>
  <si>
    <t>C311黑浆（色粉：100=10件*10、树脂200未计入库存）</t>
  </si>
  <si>
    <t>入库C311黑色浆浆(损耗14KG)</t>
  </si>
  <si>
    <t>莹光浆（莹光粉：10、树脂：10、5014B:0.6未入库）</t>
  </si>
  <si>
    <t>亮白普（树脂128KG未入库）</t>
  </si>
  <si>
    <t>聚酮液（19/9入库聚酮粉：1000KG-300:21/9)</t>
  </si>
  <si>
    <t>入库：聚酮液</t>
  </si>
  <si>
    <t>亮白普（白浆：200KG未入库）</t>
  </si>
  <si>
    <t>715浆（1/4粉：375未入库）</t>
  </si>
  <si>
    <t>入库715浆</t>
  </si>
  <si>
    <t>120浆（120粉：150未入库）</t>
  </si>
  <si>
    <t>入库120浆</t>
  </si>
  <si>
    <t>白裂纹（树脂：32KG，350哑粉:40未入库）</t>
  </si>
  <si>
    <t>730浆（150KG：730粉未入库）</t>
  </si>
  <si>
    <t>入库960浆</t>
  </si>
  <si>
    <t>酞青蓝漆（树脂75、酞青蓝浆75未入库）</t>
  </si>
  <si>
    <t>ABS亮大红（树脂：75未入库、大红41KG 以前的）</t>
  </si>
  <si>
    <t>亮白普（108：200KG未入库）</t>
  </si>
  <si>
    <t>优特黑（树脂150K未入库）</t>
  </si>
  <si>
    <t>24年9月贾总材料明细表</t>
  </si>
  <si>
    <t>酞青蓝粉</t>
  </si>
  <si>
    <r>
      <rPr>
        <b/>
        <sz val="11"/>
        <rFont val="宋体"/>
        <charset val="134"/>
      </rPr>
      <t>C311黑浆（色粉：</t>
    </r>
    <r>
      <rPr>
        <b/>
        <sz val="11"/>
        <color rgb="FF00B0F0"/>
        <rFont val="宋体"/>
        <charset val="134"/>
      </rPr>
      <t>20KG：树40</t>
    </r>
    <r>
      <rPr>
        <b/>
        <sz val="11"/>
        <rFont val="宋体"/>
        <charset val="134"/>
      </rPr>
      <t>KG未计入库存）</t>
    </r>
  </si>
  <si>
    <t>入库C311黑浆</t>
  </si>
  <si>
    <r>
      <rPr>
        <b/>
        <sz val="11"/>
        <rFont val="宋体"/>
        <charset val="134"/>
      </rPr>
      <t>730浆（</t>
    </r>
    <r>
      <rPr>
        <b/>
        <sz val="11"/>
        <color rgb="FF00B0F0"/>
        <rFont val="宋体"/>
        <charset val="134"/>
      </rPr>
      <t>200KG：730粉</t>
    </r>
    <r>
      <rPr>
        <b/>
        <sz val="11"/>
        <rFont val="宋体"/>
        <charset val="134"/>
      </rPr>
      <t>未入库）</t>
    </r>
  </si>
  <si>
    <t>9月10</t>
  </si>
  <si>
    <r>
      <rPr>
        <b/>
        <sz val="11"/>
        <rFont val="宋体"/>
        <charset val="134"/>
      </rPr>
      <t>C311黑浆（色粉：</t>
    </r>
    <r>
      <rPr>
        <b/>
        <sz val="11"/>
        <color rgb="FF00B0F0"/>
        <rFont val="宋体"/>
        <charset val="134"/>
      </rPr>
      <t>200KG</t>
    </r>
    <r>
      <rPr>
        <b/>
        <sz val="11"/>
        <rFont val="宋体"/>
        <charset val="134"/>
      </rPr>
      <t>,树脂</t>
    </r>
    <r>
      <rPr>
        <b/>
        <sz val="11"/>
        <color rgb="FF00B0F0"/>
        <rFont val="宋体"/>
        <charset val="134"/>
      </rPr>
      <t>200</t>
    </r>
    <r>
      <rPr>
        <b/>
        <sz val="11"/>
        <rFont val="宋体"/>
        <charset val="134"/>
      </rPr>
      <t>KG未计入库存）</t>
    </r>
  </si>
  <si>
    <r>
      <rPr>
        <b/>
        <sz val="11"/>
        <rFont val="宋体"/>
        <charset val="134"/>
      </rPr>
      <t>优特黑（</t>
    </r>
    <r>
      <rPr>
        <b/>
        <sz val="11"/>
        <color rgb="FF00B0F0"/>
        <rFont val="宋体"/>
        <charset val="134"/>
      </rPr>
      <t>树脂300K未入库</t>
    </r>
    <r>
      <rPr>
        <b/>
        <sz val="11"/>
        <rFont val="宋体"/>
        <charset val="134"/>
      </rPr>
      <t>）</t>
    </r>
  </si>
  <si>
    <t>ABS亮黄(树脂：70未入库）</t>
  </si>
  <si>
    <t>ABS亮大红（树脂75KG未入库）</t>
  </si>
  <si>
    <t>酞青蓝漆（树脂15未入库）</t>
  </si>
  <si>
    <t>电镀黑半光漆（树脂：1206 ，108:12未入库</t>
  </si>
  <si>
    <t>甲苯胺紫浆（树脂：35、5014B:1.5,紫粉：25未入库）</t>
  </si>
  <si>
    <r>
      <rPr>
        <b/>
        <sz val="11"/>
        <rFont val="宋体"/>
        <charset val="134"/>
      </rPr>
      <t>入库甲胺紫浆（</t>
    </r>
    <r>
      <rPr>
        <b/>
        <sz val="11"/>
        <color rgb="FFFF0000"/>
        <rFont val="宋体"/>
        <charset val="134"/>
      </rPr>
      <t>含自提的数量</t>
    </r>
    <r>
      <rPr>
        <b/>
        <sz val="11"/>
        <rFont val="宋体"/>
        <charset val="134"/>
      </rPr>
      <t>）</t>
    </r>
  </si>
  <si>
    <t>玫瑰红漆（树脂45KG未入库）</t>
  </si>
  <si>
    <t>24年8月贾总材料明细表</t>
  </si>
  <si>
    <t>聚酮</t>
  </si>
  <si>
    <t>31/7结存</t>
  </si>
  <si>
    <t>亮黄普（已改配方）</t>
  </si>
  <si>
    <t>715浆（715粉：375未入库）</t>
  </si>
  <si>
    <t>中黄浆（中黄粉：200KG未入库5014分散剂6KG未入库）</t>
  </si>
  <si>
    <t>入库中黄浆(溶剂已调整）</t>
  </si>
  <si>
    <t>5RK大红浆（5014分散剂：1.5KG，5RK大红粉25KG未入库）</t>
  </si>
  <si>
    <t>入库5RK大红浆(</t>
  </si>
  <si>
    <r>
      <rPr>
        <b/>
        <sz val="10"/>
        <rFont val="宋体"/>
        <charset val="134"/>
      </rPr>
      <t>酞青蓝浆</t>
    </r>
    <r>
      <rPr>
        <b/>
        <sz val="10"/>
        <color theme="9" tint="-0.25"/>
        <rFont val="宋体"/>
        <charset val="134"/>
      </rPr>
      <t>（5014分散剂：1.5KG、25KG钛蓝粉未入库）</t>
    </r>
  </si>
  <si>
    <t>入库酞蓝浆</t>
  </si>
  <si>
    <t>24年7月贾总材料明细表</t>
  </si>
  <si>
    <t>730截止1/7晚结存0</t>
  </si>
  <si>
    <t>30/6结存</t>
  </si>
  <si>
    <t>ABS优特黑</t>
  </si>
  <si>
    <t>入库730粉</t>
  </si>
  <si>
    <t>黑裂纹漆（350哑粉：20KG未入库）</t>
  </si>
  <si>
    <t>730浆（400KG：730粉未入库）</t>
  </si>
  <si>
    <t>哑白普（色片白：100未入库）</t>
  </si>
  <si>
    <t>大红优</t>
  </si>
  <si>
    <t>弹性漆样板（弹性漆的自备原材料均未入库）丁酯除外</t>
  </si>
  <si>
    <t xml:space="preserve">自提C311黑浆：54KG </t>
  </si>
  <si>
    <t>消光剂（含半成品：180）</t>
  </si>
  <si>
    <t>消光剂（哑光浆）：</t>
  </si>
  <si>
    <t>24年6月贾总材料明细表</t>
  </si>
  <si>
    <t>31/5结存</t>
  </si>
  <si>
    <t>自提黑浆：10KG  三木108树脂26KG  20L白大口：2个</t>
  </si>
  <si>
    <r>
      <rPr>
        <b/>
        <sz val="11"/>
        <rFont val="宋体"/>
        <charset val="134"/>
      </rPr>
      <t>艳红浆：（</t>
    </r>
    <r>
      <rPr>
        <b/>
        <sz val="11"/>
        <color rgb="FF00B0F0"/>
        <rFont val="宋体"/>
        <charset val="134"/>
      </rPr>
      <t>艳色片：自备229未入库</t>
    </r>
    <r>
      <rPr>
        <b/>
        <sz val="11"/>
        <rFont val="宋体"/>
        <charset val="134"/>
      </rPr>
      <t>）</t>
    </r>
  </si>
  <si>
    <t>入库艳红浆（未统计损耗）</t>
  </si>
  <si>
    <t>哑白普（色片白：100自备）</t>
  </si>
  <si>
    <t>艳红漆</t>
  </si>
  <si>
    <t>入库715、730粉</t>
  </si>
  <si>
    <t>入库715浆、730浆   6月购108树（夏）</t>
  </si>
  <si>
    <t>消光剂（哑光浆）：106D</t>
  </si>
  <si>
    <t>白色浆（5014:13.5）</t>
  </si>
  <si>
    <t>电镀亮白（1206树脂:80未入库)</t>
  </si>
  <si>
    <t>730浆(400KG:730粉未入库）807+（含上批货360KG:7.4/KG)</t>
  </si>
  <si>
    <t>6月18-21号</t>
  </si>
  <si>
    <t>C311黑浆（色粉：100=10件*10未计入库存）</t>
  </si>
  <si>
    <t>入库C311黑浆716(损耗34）+722（损耗28）=1438</t>
  </si>
  <si>
    <t>桃红漆（桃红浆27KG未入库）</t>
  </si>
  <si>
    <t>桃红浆（桃红粉30KG,5014:2KG未入库）</t>
  </si>
  <si>
    <t>入库桃红浆</t>
  </si>
  <si>
    <t>电镀中黄漆（1206树脂：40未入库看）</t>
  </si>
  <si>
    <t>电镀大红漆（1206树脂：40未入库看）</t>
  </si>
  <si>
    <t>6-27-28</t>
  </si>
  <si>
    <t>5RK大红浆（分散剂：7KG,5RK粉100KG未入库）</t>
  </si>
  <si>
    <t>入库5RK大红浆</t>
  </si>
  <si>
    <t>消光剂（哑光浆）：106D、350哑粉各1KG</t>
  </si>
  <si>
    <t>亮黄普</t>
  </si>
  <si>
    <t>24年5月贾总材料明细表</t>
  </si>
  <si>
    <t>30/4:130</t>
  </si>
  <si>
    <t>11/4入库779-75:17/4=704</t>
  </si>
  <si>
    <t>1160浆</t>
  </si>
  <si>
    <t>4月30</t>
  </si>
  <si>
    <t>部分材料结存</t>
  </si>
  <si>
    <t>入库108树：夏、中黄色粉、5RK粉、聚酮；平光黑浆和C311浆：30/4结存</t>
  </si>
  <si>
    <t>返工酞蓝漆：半成品：485未计入库存</t>
  </si>
  <si>
    <r>
      <rPr>
        <b/>
        <sz val="11"/>
        <rFont val="宋体"/>
        <charset val="134"/>
      </rPr>
      <t>C311黑浆（色粉：9件*10未计入库存</t>
    </r>
    <r>
      <rPr>
        <b/>
        <sz val="11"/>
        <color theme="9" tint="-0.25"/>
        <rFont val="宋体"/>
        <charset val="134"/>
      </rPr>
      <t>）</t>
    </r>
  </si>
  <si>
    <t>入库C311黑浆、 损耗23KG</t>
  </si>
  <si>
    <r>
      <rPr>
        <b/>
        <sz val="11"/>
        <rFont val="宋体"/>
        <charset val="134"/>
      </rPr>
      <t>哑白普(</t>
    </r>
    <r>
      <rPr>
        <b/>
        <sz val="9"/>
        <color theme="9" tint="-0.25"/>
        <rFont val="宋体"/>
        <charset val="134"/>
      </rPr>
      <t>色片白100、白浆110、715浆136、730浆260防尘浆1.8</t>
    </r>
  </si>
  <si>
    <r>
      <rPr>
        <b/>
        <sz val="11"/>
        <rFont val="宋体"/>
        <charset val="134"/>
      </rPr>
      <t>消光剂（哑光浆）：</t>
    </r>
    <r>
      <rPr>
        <b/>
        <sz val="11"/>
        <color rgb="FF7030A0"/>
        <rFont val="宋体"/>
        <charset val="134"/>
      </rPr>
      <t>350哑粉40未入库</t>
    </r>
  </si>
  <si>
    <r>
      <rPr>
        <b/>
        <sz val="11"/>
        <rFont val="宋体"/>
        <charset val="134"/>
      </rPr>
      <t>ABS中黄浆（</t>
    </r>
    <r>
      <rPr>
        <b/>
        <sz val="11"/>
        <color rgb="FF7030A0"/>
        <rFont val="宋体"/>
        <charset val="134"/>
      </rPr>
      <t>分散剂：6KG、防尘浆3.6KG未入库</t>
    </r>
    <r>
      <rPr>
        <b/>
        <sz val="11"/>
        <rFont val="宋体"/>
        <charset val="134"/>
      </rPr>
      <t>）</t>
    </r>
  </si>
  <si>
    <r>
      <rPr>
        <b/>
        <sz val="11"/>
        <rFont val="宋体"/>
        <charset val="134"/>
      </rPr>
      <t>橡皮漆底黑（</t>
    </r>
    <r>
      <rPr>
        <b/>
        <sz val="11"/>
        <color rgb="FF7030A0"/>
        <rFont val="宋体"/>
        <charset val="134"/>
      </rPr>
      <t>二元氯醋：100未入库</t>
    </r>
    <r>
      <rPr>
        <b/>
        <sz val="11"/>
        <rFont val="宋体"/>
        <charset val="134"/>
      </rPr>
      <t>）</t>
    </r>
  </si>
  <si>
    <r>
      <rPr>
        <b/>
        <sz val="11"/>
        <rFont val="宋体"/>
        <charset val="134"/>
      </rPr>
      <t>将亮黄改成哑黄（</t>
    </r>
    <r>
      <rPr>
        <b/>
        <sz val="11"/>
        <color rgb="FF7030A0"/>
        <rFont val="宋体"/>
        <charset val="134"/>
      </rPr>
      <t>亮黄：504KG、防尘浆2KG未入库）</t>
    </r>
  </si>
  <si>
    <t>入库108树三木     350哑粉</t>
  </si>
  <si>
    <t>5-10-13日</t>
  </si>
  <si>
    <r>
      <rPr>
        <b/>
        <sz val="11"/>
        <rFont val="宋体"/>
        <charset val="134"/>
      </rPr>
      <t>白裂纹（</t>
    </r>
    <r>
      <rPr>
        <b/>
        <sz val="10"/>
        <color rgb="FF7030A0"/>
        <rFont val="宋体"/>
        <charset val="134"/>
      </rPr>
      <t>白浆：40KG库、715:27KG,730浆：52KG）</t>
    </r>
  </si>
  <si>
    <t>5月10-13号</t>
  </si>
  <si>
    <r>
      <rPr>
        <b/>
        <sz val="11"/>
        <rFont val="宋体"/>
        <charset val="134"/>
      </rPr>
      <t>5RK大红浆（分散剂：</t>
    </r>
    <r>
      <rPr>
        <b/>
        <sz val="11"/>
        <color rgb="FF7030A0"/>
        <rFont val="宋体"/>
        <charset val="134"/>
      </rPr>
      <t>6KG</t>
    </r>
    <r>
      <rPr>
        <b/>
        <sz val="11"/>
        <rFont val="宋体"/>
        <charset val="134"/>
      </rPr>
      <t>）</t>
    </r>
  </si>
  <si>
    <t>入库聚酮粉</t>
  </si>
  <si>
    <t>入库715粉、730粉</t>
  </si>
  <si>
    <t>入库715浆、730浆</t>
  </si>
  <si>
    <t>ABS平光黑(含返工ABS优特黑：500KG的原材料)</t>
  </si>
  <si>
    <t>亮中黄（普）：</t>
  </si>
  <si>
    <r>
      <rPr>
        <b/>
        <sz val="11"/>
        <rFont val="宋体"/>
        <charset val="134"/>
      </rPr>
      <t>亮白普（</t>
    </r>
    <r>
      <rPr>
        <b/>
        <sz val="11"/>
        <color rgb="FF7030A0"/>
        <rFont val="宋体"/>
        <charset val="134"/>
      </rPr>
      <t>白浆：200KG、聚酮液：69.5KG未入库）</t>
    </r>
  </si>
  <si>
    <r>
      <rPr>
        <b/>
        <sz val="11"/>
        <rFont val="宋体"/>
        <charset val="134"/>
      </rPr>
      <t>白色浆（分散剂：</t>
    </r>
    <r>
      <rPr>
        <b/>
        <sz val="11"/>
        <color rgb="FF7030A0"/>
        <rFont val="宋体"/>
        <charset val="134"/>
      </rPr>
      <t>9KG</t>
    </r>
    <r>
      <rPr>
        <b/>
        <sz val="11"/>
        <rFont val="宋体"/>
        <charset val="134"/>
      </rPr>
      <t>）</t>
    </r>
  </si>
  <si>
    <t>24年贾总材料明细表</t>
  </si>
  <si>
    <r>
      <rPr>
        <b/>
        <sz val="8"/>
        <rFont val="宋体"/>
        <charset val="134"/>
      </rPr>
      <t>4月5起</t>
    </r>
    <r>
      <rPr>
        <b/>
        <sz val="12"/>
        <rFont val="宋体"/>
        <charset val="134"/>
      </rPr>
      <t>C311黑浆</t>
    </r>
  </si>
  <si>
    <t>R369</t>
  </si>
  <si>
    <t>入库：聚酮</t>
  </si>
  <si>
    <t>自提货：C311色浆、NC浆</t>
  </si>
  <si>
    <t>做橡胶黑亮光</t>
  </si>
  <si>
    <t>入库：白浆（2%损耗已减）</t>
  </si>
  <si>
    <t>平光黑浆（C311粉磨）</t>
  </si>
  <si>
    <t>入库平光黑浆</t>
  </si>
  <si>
    <t>返工ABS平光黑（磨）；半成品1000</t>
  </si>
  <si>
    <t>入库：C311浆（6.7%损耗已减:10kg）</t>
  </si>
  <si>
    <t>入库：730粉</t>
  </si>
  <si>
    <r>
      <rPr>
        <b/>
        <sz val="10"/>
        <rFont val="宋体"/>
        <charset val="134"/>
      </rPr>
      <t xml:space="preserve">ABS平光黑: </t>
    </r>
    <r>
      <rPr>
        <b/>
        <sz val="10"/>
        <color rgb="FFFF0000"/>
        <rFont val="宋体"/>
        <charset val="134"/>
      </rPr>
      <t>改23年的货ABS优黑500</t>
    </r>
  </si>
  <si>
    <t>入库橙红粉</t>
  </si>
  <si>
    <t>入库橙红浆</t>
  </si>
  <si>
    <t>入库黑色粉</t>
  </si>
  <si>
    <t>入库：715粉</t>
  </si>
  <si>
    <t>入库聚酮</t>
  </si>
  <si>
    <r>
      <rPr>
        <b/>
        <sz val="10"/>
        <rFont val="宋体"/>
        <charset val="134"/>
      </rPr>
      <t>聚酮液（醛酮浆）、</t>
    </r>
    <r>
      <rPr>
        <b/>
        <sz val="10"/>
        <color theme="9" tint="-0.25"/>
        <rFont val="宋体"/>
        <charset val="134"/>
      </rPr>
      <t>入库聚酮液（2%损耗已减）</t>
    </r>
  </si>
  <si>
    <r>
      <rPr>
        <b/>
        <sz val="10"/>
        <rFont val="宋体"/>
        <charset val="134"/>
      </rPr>
      <t>白浆</t>
    </r>
    <r>
      <rPr>
        <b/>
        <sz val="10"/>
        <color theme="9" tint="-0.25"/>
        <rFont val="宋体"/>
        <charset val="134"/>
      </rPr>
      <t xml:space="preserve">   、</t>
    </r>
  </si>
  <si>
    <t xml:space="preserve"> 入库白浆（2%损耗已减）</t>
  </si>
  <si>
    <t>入库108树脂:6桶（无单）</t>
  </si>
  <si>
    <t>730浆（27/4才查出此单无生产单）</t>
  </si>
  <si>
    <t>入库：730浆</t>
  </si>
  <si>
    <t>电镀黑半光漆</t>
  </si>
  <si>
    <t>橙红</t>
  </si>
  <si>
    <t>1046-225=821（225是未改的平光黑的）</t>
  </si>
  <si>
    <t>平光黑浆</t>
  </si>
  <si>
    <t>580粉</t>
  </si>
  <si>
    <t>入库：369钛白粉</t>
  </si>
  <si>
    <t>3月6、7号</t>
  </si>
  <si>
    <t>自提货：色浆、NC浆、7025浆</t>
  </si>
  <si>
    <t>3月6、7</t>
  </si>
  <si>
    <t>入库：715粉、730粉</t>
  </si>
  <si>
    <t>入库：715浆、730浆、1206树脂</t>
  </si>
  <si>
    <t>入库：5014、5050、7900-2X防尘浆</t>
  </si>
  <si>
    <t>入库：酞青蓝粉、中黄粉</t>
  </si>
  <si>
    <t>入库：中黄浆</t>
  </si>
  <si>
    <r>
      <rPr>
        <b/>
        <sz val="10"/>
        <color theme="9" tint="-0.25"/>
        <rFont val="宋体"/>
        <charset val="134"/>
      </rPr>
      <t>入库：715浆、730浆、酞青蓝浆</t>
    </r>
    <r>
      <rPr>
        <b/>
        <sz val="8"/>
        <color theme="9" tint="-0.25"/>
        <rFont val="宋体"/>
        <charset val="134"/>
      </rPr>
      <t>（8.86%损耗）</t>
    </r>
  </si>
  <si>
    <t>入库：1206树脂、聚酮</t>
  </si>
  <si>
    <t>亮中黄普</t>
  </si>
  <si>
    <t>ABS平光黑</t>
  </si>
  <si>
    <t>合计</t>
  </si>
  <si>
    <t>316.5含以前的损耗和自提浆</t>
  </si>
  <si>
    <t>23年10月23日起贾总购货明细</t>
  </si>
  <si>
    <t>客户名</t>
  </si>
  <si>
    <t>件数/桶</t>
  </si>
  <si>
    <t>10-23日</t>
  </si>
  <si>
    <t>金银岛</t>
  </si>
  <si>
    <t>溶剂购货单贾总于24/10日已提</t>
  </si>
  <si>
    <t>入库</t>
  </si>
  <si>
    <t>1160黑色浆</t>
  </si>
  <si>
    <t>无购货单：贾、李总经手</t>
  </si>
  <si>
    <t>托运部送</t>
  </si>
  <si>
    <t>酞青蓝色粉</t>
  </si>
  <si>
    <t>无购货单：李总经手</t>
  </si>
  <si>
    <t>托运费：李总付</t>
  </si>
  <si>
    <t>送货未给单</t>
  </si>
  <si>
    <t>购30"</t>
  </si>
  <si>
    <t>24购材料</t>
  </si>
  <si>
    <t>赵永平</t>
  </si>
  <si>
    <t>R369钛白粉</t>
  </si>
  <si>
    <t>入库：贾总带来</t>
  </si>
  <si>
    <t>文萱：长圣</t>
  </si>
  <si>
    <t>7900-20X防尘浆</t>
  </si>
  <si>
    <t>田如海：028-83989981</t>
  </si>
  <si>
    <t>余氏东风</t>
  </si>
  <si>
    <t>无货单</t>
  </si>
  <si>
    <t>购中络黄粉</t>
  </si>
  <si>
    <t>托运费：李总付:37</t>
  </si>
  <si>
    <t>无货单：蓉经手</t>
  </si>
  <si>
    <t>广汉</t>
  </si>
  <si>
    <t>五星花印方桶</t>
  </si>
  <si>
    <t>规格/kg</t>
  </si>
  <si>
    <t>购108树脂：夏</t>
  </si>
  <si>
    <t>购中络黄色粉</t>
  </si>
  <si>
    <t>有托运单、无货单</t>
  </si>
  <si>
    <t>购5RK大红粉</t>
  </si>
  <si>
    <t>购三木108树脂</t>
  </si>
  <si>
    <t>老板经手</t>
  </si>
  <si>
    <t>购715粉</t>
  </si>
  <si>
    <t>购730粉</t>
  </si>
  <si>
    <t>无单</t>
  </si>
  <si>
    <t>聚酮粉：CF-120</t>
  </si>
  <si>
    <t>购5R大红粉</t>
  </si>
  <si>
    <t>二千金鞋厂对公赵永平35200元购钛白粉</t>
  </si>
  <si>
    <t>24.10.29</t>
  </si>
  <si>
    <t>购715浆新</t>
  </si>
  <si>
    <t>购730浆新</t>
  </si>
  <si>
    <t>鑫业</t>
  </si>
  <si>
    <t>F5RK:大红</t>
  </si>
  <si>
    <t>103-2A：中络黄</t>
  </si>
  <si>
    <t>科立孚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</si>
</sst>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General&quot;桶&quot;"/>
    <numFmt numFmtId="178" formatCode="General&quot;件&quot;"/>
    <numFmt numFmtId="179" formatCode="0.0_ "/>
    <numFmt numFmtId="180" formatCode="0_ "/>
    <numFmt numFmtId="181" formatCode="000000"/>
    <numFmt numFmtId="182" formatCode="m&quot;月&quot;d&quot;日&quot;;@"/>
    <numFmt numFmtId="183" formatCode="General&quot;号&quot;"/>
    <numFmt numFmtId="184" formatCode="General&quot;KG&quot;"/>
    <numFmt numFmtId="185" formatCode="0.00_ "/>
    <numFmt numFmtId="186" formatCode="[DBNum2][$RMB]General;[Red][DBNum2][$RMB]General"/>
  </numFmts>
  <fonts count="108">
    <font>
      <sz val="12"/>
      <name val="宋体"/>
      <charset val="134"/>
    </font>
    <font>
      <b/>
      <sz val="12"/>
      <name val="宋体"/>
      <charset val="134"/>
    </font>
    <font>
      <b/>
      <sz val="12"/>
      <color rgb="FF00B0F0"/>
      <name val="宋体"/>
      <charset val="134"/>
    </font>
    <font>
      <sz val="10"/>
      <name val="宋体"/>
      <charset val="134"/>
    </font>
    <font>
      <sz val="10"/>
      <color rgb="FF00B0F0"/>
      <name val="宋体"/>
      <charset val="134"/>
    </font>
    <font>
      <sz val="12"/>
      <color rgb="FF00B0F0"/>
      <name val="宋体"/>
      <charset val="134"/>
    </font>
    <font>
      <b/>
      <sz val="12"/>
      <color theme="9" tint="-0.25"/>
      <name val="宋体"/>
      <charset val="134"/>
    </font>
    <font>
      <sz val="11"/>
      <color rgb="FF7030A0"/>
      <name val="宋体"/>
      <charset val="134"/>
      <scheme val="minor"/>
    </font>
    <font>
      <b/>
      <sz val="10"/>
      <color rgb="FF00B0F0"/>
      <name val="宋体"/>
      <charset val="134"/>
    </font>
    <font>
      <b/>
      <sz val="12"/>
      <color rgb="FFFF0000"/>
      <name val="宋体"/>
      <charset val="134"/>
    </font>
    <font>
      <sz val="8"/>
      <name val="宋体"/>
      <charset val="134"/>
    </font>
    <font>
      <sz val="10"/>
      <name val="宋体"/>
      <charset val="134"/>
      <scheme val="minor"/>
    </font>
    <font>
      <b/>
      <sz val="11"/>
      <color rgb="FF7030A0"/>
      <name val="宋体"/>
      <charset val="134"/>
      <scheme val="minor"/>
    </font>
    <font>
      <sz val="12"/>
      <color theme="9" tint="-0.25"/>
      <name val="宋体"/>
      <charset val="134"/>
    </font>
    <font>
      <b/>
      <sz val="10"/>
      <name val="宋体"/>
      <charset val="134"/>
    </font>
    <font>
      <b/>
      <sz val="10"/>
      <color theme="9" tint="-0.25"/>
      <name val="宋体"/>
      <charset val="134"/>
    </font>
    <font>
      <sz val="11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11"/>
      <name val="宋体"/>
      <charset val="134"/>
    </font>
    <font>
      <b/>
      <sz val="12"/>
      <color rgb="FF00B050"/>
      <name val="宋体"/>
      <charset val="134"/>
    </font>
    <font>
      <b/>
      <sz val="10"/>
      <color rgb="FFFF0000"/>
      <name val="宋体"/>
      <charset val="134"/>
    </font>
    <font>
      <b/>
      <sz val="11"/>
      <color theme="9" tint="-0.25"/>
      <name val="宋体"/>
      <charset val="134"/>
    </font>
    <font>
      <b/>
      <sz val="9"/>
      <color theme="9" tint="-0.25"/>
      <name val="宋体"/>
      <charset val="134"/>
    </font>
    <font>
      <b/>
      <sz val="12"/>
      <color rgb="FF002060"/>
      <name val="宋体"/>
      <charset val="134"/>
    </font>
    <font>
      <b/>
      <sz val="8"/>
      <name val="宋体"/>
      <charset val="134"/>
    </font>
    <font>
      <b/>
      <sz val="11"/>
      <color rgb="FF00B050"/>
      <name val="宋体"/>
      <charset val="134"/>
    </font>
    <font>
      <b/>
      <sz val="11"/>
      <color rgb="FFFF0000"/>
      <name val="宋体"/>
      <charset val="134"/>
    </font>
    <font>
      <b/>
      <sz val="10"/>
      <color theme="9"/>
      <name val="宋体"/>
      <charset val="134"/>
    </font>
    <font>
      <b/>
      <sz val="18"/>
      <color rgb="FFFF0000"/>
      <name val="宋体"/>
      <charset val="134"/>
    </font>
    <font>
      <sz val="12"/>
      <color rgb="FFFF0000"/>
      <name val="宋体"/>
      <charset val="134"/>
    </font>
    <font>
      <b/>
      <sz val="18"/>
      <color rgb="FF7030A0"/>
      <name val="宋体"/>
      <charset val="134"/>
    </font>
    <font>
      <b/>
      <sz val="18"/>
      <color theme="0"/>
      <name val="宋体"/>
      <charset val="134"/>
    </font>
    <font>
      <b/>
      <sz val="18"/>
      <name val="宋体"/>
      <charset val="134"/>
    </font>
    <font>
      <b/>
      <sz val="12"/>
      <color rgb="FF7030A0"/>
      <name val="宋体"/>
      <charset val="134"/>
    </font>
    <font>
      <b/>
      <sz val="11"/>
      <color theme="3"/>
      <name val="宋体"/>
      <charset val="134"/>
    </font>
    <font>
      <b/>
      <sz val="12"/>
      <color theme="3"/>
      <name val="宋体"/>
      <charset val="134"/>
    </font>
    <font>
      <b/>
      <sz val="14"/>
      <color rgb="FF00B0F0"/>
      <name val="宋体"/>
      <charset val="134"/>
    </font>
    <font>
      <b/>
      <sz val="14"/>
      <name val="宋体"/>
      <charset val="134"/>
    </font>
    <font>
      <b/>
      <sz val="11"/>
      <color rgb="FF7030A0"/>
      <name val="宋体"/>
      <charset val="134"/>
    </font>
    <font>
      <sz val="16"/>
      <color rgb="FF00B0F0"/>
      <name val="宋体"/>
      <charset val="134"/>
    </font>
    <font>
      <sz val="16"/>
      <name val="宋体"/>
      <charset val="134"/>
    </font>
    <font>
      <b/>
      <sz val="11"/>
      <color rgb="FF00B0F0"/>
      <name val="宋体"/>
      <charset val="134"/>
    </font>
    <font>
      <b/>
      <sz val="8"/>
      <color rgb="FF7030A0"/>
      <name val="宋体"/>
      <charset val="134"/>
    </font>
    <font>
      <sz val="16"/>
      <color rgb="FF7030A0"/>
      <name val="宋体"/>
      <charset val="134"/>
    </font>
    <font>
      <sz val="16"/>
      <color rgb="FFFF0000"/>
      <name val="宋体"/>
      <charset val="134"/>
    </font>
    <font>
      <sz val="16"/>
      <color rgb="FFFFC000"/>
      <name val="宋体"/>
      <charset val="134"/>
    </font>
    <font>
      <sz val="16"/>
      <color theme="9" tint="-0.25"/>
      <name val="宋体"/>
      <charset val="134"/>
    </font>
    <font>
      <sz val="12"/>
      <color rgb="FF7030A0"/>
      <name val="宋体"/>
      <charset val="134"/>
    </font>
    <font>
      <b/>
      <sz val="16"/>
      <color rgb="FF7030A0"/>
      <name val="宋体"/>
      <charset val="134"/>
    </font>
    <font>
      <b/>
      <sz val="14"/>
      <color rgb="FF7030A0"/>
      <name val="宋体"/>
      <charset val="134"/>
    </font>
    <font>
      <b/>
      <sz val="16"/>
      <color theme="5"/>
      <name val="宋体"/>
      <charset val="134"/>
    </font>
    <font>
      <b/>
      <sz val="16"/>
      <color theme="9" tint="-0.25"/>
      <name val="宋体"/>
      <charset val="134"/>
    </font>
    <font>
      <b/>
      <sz val="16"/>
      <name val="宋体"/>
      <charset val="134"/>
    </font>
    <font>
      <sz val="16"/>
      <color theme="5"/>
      <name val="宋体"/>
      <charset val="134"/>
    </font>
    <font>
      <sz val="14"/>
      <color rgb="FF00B0F0"/>
      <name val="宋体"/>
      <charset val="134"/>
    </font>
    <font>
      <sz val="14"/>
      <name val="宋体"/>
      <charset val="134"/>
    </font>
    <font>
      <sz val="14"/>
      <color rgb="FF7030A0"/>
      <name val="宋体"/>
      <charset val="134"/>
    </font>
    <font>
      <b/>
      <sz val="16"/>
      <color rgb="FFFF0000"/>
      <name val="宋体"/>
      <charset val="134"/>
    </font>
    <font>
      <sz val="18"/>
      <color rgb="FFFF0000"/>
      <name val="宋体"/>
      <charset val="134"/>
    </font>
    <font>
      <sz val="16"/>
      <color rgb="FF002060"/>
      <name val="宋体"/>
      <charset val="134"/>
    </font>
    <font>
      <b/>
      <sz val="16"/>
      <color rgb="FF00B0F0"/>
      <name val="宋体"/>
      <charset val="134"/>
    </font>
    <font>
      <sz val="10"/>
      <color rgb="FFFF0000"/>
      <name val="宋体"/>
      <charset val="134"/>
    </font>
    <font>
      <sz val="16"/>
      <color theme="3" tint="0.4"/>
      <name val="宋体"/>
      <charset val="134"/>
    </font>
    <font>
      <sz val="16"/>
      <color theme="1"/>
      <name val="宋体"/>
      <charset val="134"/>
    </font>
    <font>
      <sz val="14"/>
      <color rgb="FFFF0000"/>
      <name val="宋体"/>
      <charset val="134"/>
    </font>
    <font>
      <sz val="16"/>
      <color rgb="FFFFFF00"/>
      <name val="宋体"/>
      <charset val="134"/>
    </font>
    <font>
      <sz val="9"/>
      <color rgb="FFFF0000"/>
      <name val="宋体"/>
      <charset val="134"/>
    </font>
    <font>
      <sz val="14"/>
      <color theme="1"/>
      <name val="宋体"/>
      <charset val="134"/>
    </font>
    <font>
      <sz val="14"/>
      <color theme="9" tint="-0.25"/>
      <name val="宋体"/>
      <charset val="134"/>
    </font>
    <font>
      <sz val="10"/>
      <color rgb="FF7030A0"/>
      <name val="宋体"/>
      <charset val="134"/>
    </font>
    <font>
      <sz val="8"/>
      <color rgb="FF00B0F0"/>
      <name val="宋体"/>
      <charset val="134"/>
    </font>
    <font>
      <sz val="14"/>
      <color rgb="FF002060"/>
      <name val="宋体"/>
      <charset val="134"/>
    </font>
    <font>
      <sz val="11"/>
      <color rgb="FF00B0F0"/>
      <name val="宋体"/>
      <charset val="134"/>
    </font>
    <font>
      <sz val="11"/>
      <color rgb="FFFF0000"/>
      <name val="宋体"/>
      <charset val="134"/>
    </font>
    <font>
      <sz val="11"/>
      <color rgb="FF7030A0"/>
      <name val="宋体"/>
      <charset val="134"/>
    </font>
    <font>
      <sz val="18"/>
      <name val="宋体"/>
      <charset val="134"/>
    </font>
    <font>
      <sz val="24"/>
      <name val="宋体"/>
      <charset val="134"/>
    </font>
    <font>
      <sz val="1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trike/>
      <sz val="16"/>
      <color rgb="FFFF0000"/>
      <name val="宋体"/>
      <charset val="134"/>
    </font>
    <font>
      <strike/>
      <sz val="16"/>
      <color rgb="FF00B0F0"/>
      <name val="宋体"/>
      <charset val="134"/>
    </font>
    <font>
      <b/>
      <sz val="10"/>
      <color rgb="FF7030A0"/>
      <name val="宋体"/>
      <charset val="134"/>
    </font>
    <font>
      <b/>
      <sz val="8"/>
      <color theme="9" tint="-0.25"/>
      <name val="宋体"/>
      <charset val="134"/>
    </font>
    <font>
      <b/>
      <sz val="8"/>
      <color rgb="FFFF000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80" fillId="0" borderId="0" applyFont="0" applyFill="0" applyBorder="0" applyAlignment="0" applyProtection="0">
      <alignment vertical="center"/>
    </xf>
    <xf numFmtId="44" fontId="80" fillId="0" borderId="0" applyFont="0" applyFill="0" applyBorder="0" applyAlignment="0" applyProtection="0">
      <alignment vertical="center"/>
    </xf>
    <xf numFmtId="9" fontId="80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>
      <alignment vertical="center"/>
    </xf>
    <xf numFmtId="42" fontId="80" fillId="0" borderId="0" applyFon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0" fillId="12" borderId="16" applyNumberFormat="0" applyFon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17" applyNumberFormat="0" applyFill="0" applyAlignment="0" applyProtection="0">
      <alignment vertical="center"/>
    </xf>
    <xf numFmtId="0" fontId="87" fillId="0" borderId="17" applyNumberFormat="0" applyFill="0" applyAlignment="0" applyProtection="0">
      <alignment vertical="center"/>
    </xf>
    <xf numFmtId="0" fontId="88" fillId="0" borderId="18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13" borderId="19" applyNumberFormat="0" applyAlignment="0" applyProtection="0">
      <alignment vertical="center"/>
    </xf>
    <xf numFmtId="0" fontId="90" fillId="14" borderId="20" applyNumberFormat="0" applyAlignment="0" applyProtection="0">
      <alignment vertical="center"/>
    </xf>
    <xf numFmtId="0" fontId="91" fillId="14" borderId="19" applyNumberFormat="0" applyAlignment="0" applyProtection="0">
      <alignment vertical="center"/>
    </xf>
    <xf numFmtId="0" fontId="92" fillId="15" borderId="21" applyNumberFormat="0" applyAlignment="0" applyProtection="0">
      <alignment vertical="center"/>
    </xf>
    <xf numFmtId="0" fontId="93" fillId="0" borderId="22" applyNumberFormat="0" applyFill="0" applyAlignment="0" applyProtection="0">
      <alignment vertical="center"/>
    </xf>
    <xf numFmtId="0" fontId="94" fillId="0" borderId="23" applyNumberFormat="0" applyFill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0" fillId="18" borderId="0" applyNumberFormat="0" applyBorder="0" applyAlignment="0" applyProtection="0">
      <alignment vertical="center"/>
    </xf>
    <xf numFmtId="0" fontId="0" fillId="0" borderId="0"/>
    <xf numFmtId="0" fontId="101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80" fillId="0" borderId="0"/>
    <xf numFmtId="0" fontId="80" fillId="0" borderId="0">
      <alignment vertical="center"/>
    </xf>
    <xf numFmtId="0" fontId="102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</cellStyleXfs>
  <cellXfs count="70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58" fontId="1" fillId="0" borderId="0" xfId="0" applyNumberFormat="1" applyFont="1" applyAlignment="1">
      <alignment horizontal="left" vertical="center"/>
    </xf>
    <xf numFmtId="58" fontId="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58" fontId="11" fillId="0" borderId="0" xfId="0" applyNumberFormat="1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58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58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58" fontId="0" fillId="0" borderId="0" xfId="0" applyNumberFormat="1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58" fontId="5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58" fontId="6" fillId="0" borderId="0" xfId="0" applyNumberFormat="1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58" fontId="7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ont="1" applyBorder="1">
      <alignment vertical="center"/>
    </xf>
    <xf numFmtId="0" fontId="13" fillId="0" borderId="0" xfId="0" applyFont="1" applyBorder="1">
      <alignment vertical="center"/>
    </xf>
    <xf numFmtId="0" fontId="14" fillId="0" borderId="0" xfId="0" applyFont="1">
      <alignment vertical="center"/>
    </xf>
    <xf numFmtId="0" fontId="8" fillId="0" borderId="0" xfId="0" applyFont="1">
      <alignment vertical="center"/>
    </xf>
    <xf numFmtId="0" fontId="15" fillId="0" borderId="0" xfId="0" applyFont="1">
      <alignment vertical="center"/>
    </xf>
    <xf numFmtId="0" fontId="16" fillId="2" borderId="0" xfId="0" applyFont="1" applyFill="1">
      <alignment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179" fontId="0" fillId="5" borderId="0" xfId="0" applyNumberForma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79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1" fillId="5" borderId="5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 wrapText="1"/>
    </xf>
    <xf numFmtId="0" fontId="20" fillId="5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7" borderId="6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1" fillId="5" borderId="8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7" borderId="9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9" fillId="5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top"/>
    </xf>
    <xf numFmtId="179" fontId="1" fillId="0" borderId="4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58" fontId="1" fillId="0" borderId="6" xfId="0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58" fontId="1" fillId="10" borderId="6" xfId="0" applyNumberFormat="1" applyFont="1" applyFill="1" applyBorder="1" applyAlignment="1">
      <alignment horizontal="center" vertical="center"/>
    </xf>
    <xf numFmtId="179" fontId="1" fillId="5" borderId="6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58" fontId="1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58" fontId="1" fillId="10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79" fontId="1" fillId="5" borderId="1" xfId="0" applyNumberFormat="1" applyFont="1" applyFill="1" applyBorder="1" applyAlignment="1">
      <alignment horizontal="center" vertical="center"/>
    </xf>
    <xf numFmtId="58" fontId="6" fillId="0" borderId="1" xfId="0" applyNumberFormat="1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79" fontId="6" fillId="5" borderId="6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180" fontId="1" fillId="5" borderId="6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10" borderId="9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0" fontId="24" fillId="5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 wrapText="1"/>
    </xf>
    <xf numFmtId="0" fontId="1" fillId="10" borderId="9" xfId="0" applyFont="1" applyFill="1" applyBorder="1" applyAlignment="1">
      <alignment horizontal="center" vertical="center"/>
    </xf>
    <xf numFmtId="179" fontId="1" fillId="5" borderId="8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top"/>
    </xf>
    <xf numFmtId="0" fontId="1" fillId="5" borderId="8" xfId="0" applyFont="1" applyFill="1" applyBorder="1" applyAlignment="1">
      <alignment horizontal="center" vertical="top"/>
    </xf>
    <xf numFmtId="0" fontId="1" fillId="5" borderId="9" xfId="0" applyFont="1" applyFill="1" applyBorder="1" applyAlignment="1">
      <alignment horizontal="center" vertical="top"/>
    </xf>
    <xf numFmtId="0" fontId="22" fillId="0" borderId="1" xfId="0" applyFont="1" applyBorder="1" applyAlignment="1">
      <alignment vertical="center"/>
    </xf>
    <xf numFmtId="58" fontId="20" fillId="0" borderId="1" xfId="0" applyNumberFormat="1" applyFont="1" applyBorder="1" applyAlignment="1">
      <alignment horizontal="left" vertical="center"/>
    </xf>
    <xf numFmtId="0" fontId="26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58" fontId="14" fillId="0" borderId="1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79" fontId="14" fillId="5" borderId="1" xfId="0" applyNumberFormat="1" applyFont="1" applyFill="1" applyBorder="1" applyAlignment="1">
      <alignment horizontal="center" vertical="center"/>
    </xf>
    <xf numFmtId="180" fontId="14" fillId="5" borderId="1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58" fontId="1" fillId="0" borderId="2" xfId="0" applyNumberFormat="1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58" fontId="1" fillId="10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top"/>
    </xf>
    <xf numFmtId="0" fontId="0" fillId="4" borderId="9" xfId="0" applyFill="1" applyBorder="1" applyAlignment="1">
      <alignment horizontal="center" vertical="top"/>
    </xf>
    <xf numFmtId="0" fontId="22" fillId="0" borderId="4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58" fontId="14" fillId="10" borderId="1" xfId="0" applyNumberFormat="1" applyFont="1" applyFill="1" applyBorder="1" applyAlignment="1">
      <alignment horizontal="center" vertical="center"/>
    </xf>
    <xf numFmtId="179" fontId="9" fillId="5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79" fontId="1" fillId="5" borderId="0" xfId="0" applyNumberFormat="1" applyFont="1" applyFill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right" vertical="center"/>
    </xf>
    <xf numFmtId="0" fontId="0" fillId="4" borderId="6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9" fontId="1" fillId="5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58" fontId="1" fillId="5" borderId="1" xfId="0" applyNumberFormat="1" applyFont="1" applyFill="1" applyBorder="1" applyAlignment="1">
      <alignment horizontal="center" vertical="center"/>
    </xf>
    <xf numFmtId="179" fontId="14" fillId="5" borderId="4" xfId="0" applyNumberFormat="1" applyFont="1" applyFill="1" applyBorder="1" applyAlignment="1">
      <alignment horizontal="center" vertical="center"/>
    </xf>
    <xf numFmtId="58" fontId="14" fillId="5" borderId="1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180" fontId="1" fillId="5" borderId="1" xfId="0" applyNumberFormat="1" applyFont="1" applyFill="1" applyBorder="1" applyAlignment="1">
      <alignment horizontal="center" vertical="center"/>
    </xf>
    <xf numFmtId="58" fontId="8" fillId="0" borderId="1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58" fontId="2" fillId="10" borderId="1" xfId="0" applyNumberFormat="1" applyFont="1" applyFill="1" applyBorder="1" applyAlignment="1">
      <alignment horizontal="center" vertical="center"/>
    </xf>
    <xf numFmtId="179" fontId="8" fillId="5" borderId="4" xfId="0" applyNumberFormat="1" applyFont="1" applyFill="1" applyBorder="1" applyAlignment="1">
      <alignment horizontal="center" vertical="center"/>
    </xf>
    <xf numFmtId="179" fontId="8" fillId="5" borderId="1" xfId="0" applyNumberFormat="1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58" fontId="15" fillId="0" borderId="1" xfId="0" applyNumberFormat="1" applyFont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58" fontId="6" fillId="10" borderId="1" xfId="0" applyNumberFormat="1" applyFont="1" applyFill="1" applyBorder="1" applyAlignment="1">
      <alignment horizontal="center" vertical="center"/>
    </xf>
    <xf numFmtId="179" fontId="15" fillId="5" borderId="4" xfId="0" applyNumberFormat="1" applyFont="1" applyFill="1" applyBorder="1" applyAlignment="1">
      <alignment horizontal="center" vertical="center"/>
    </xf>
    <xf numFmtId="179" fontId="15" fillId="5" borderId="1" xfId="0" applyNumberFormat="1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58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58" fontId="1" fillId="10" borderId="0" xfId="0" applyNumberFormat="1" applyFont="1" applyFill="1" applyBorder="1" applyAlignment="1">
      <alignment horizontal="center" vertical="center"/>
    </xf>
    <xf numFmtId="179" fontId="14" fillId="5" borderId="0" xfId="0" applyNumberFormat="1" applyFont="1" applyFill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58" fontId="14" fillId="5" borderId="0" xfId="0" applyNumberFormat="1" applyFont="1" applyFill="1" applyAlignment="1">
      <alignment horizontal="center" vertical="center"/>
    </xf>
    <xf numFmtId="0" fontId="0" fillId="10" borderId="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0" fillId="8" borderId="0" xfId="0" applyFont="1" applyFill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1" xfId="51" applyFont="1" applyBorder="1" applyAlignment="1">
      <alignment horizontal="center"/>
    </xf>
    <xf numFmtId="0" fontId="32" fillId="10" borderId="1" xfId="51" applyFont="1" applyFill="1" applyBorder="1" applyAlignment="1">
      <alignment horizontal="center"/>
    </xf>
    <xf numFmtId="0" fontId="32" fillId="10" borderId="1" xfId="51" applyFont="1" applyFill="1" applyBorder="1" applyAlignment="1">
      <alignment horizontal="left"/>
    </xf>
    <xf numFmtId="0" fontId="33" fillId="10" borderId="1" xfId="51" applyFont="1" applyFill="1" applyBorder="1" applyAlignment="1">
      <alignment horizontal="center"/>
    </xf>
    <xf numFmtId="0" fontId="33" fillId="0" borderId="1" xfId="51" applyFont="1" applyBorder="1" applyAlignment="1">
      <alignment horizontal="center"/>
    </xf>
    <xf numFmtId="180" fontId="33" fillId="0" borderId="1" xfId="51" applyNumberFormat="1" applyFont="1" applyBorder="1" applyAlignment="1">
      <alignment horizontal="center"/>
    </xf>
    <xf numFmtId="181" fontId="34" fillId="10" borderId="1" xfId="51" applyNumberFormat="1" applyFont="1" applyFill="1" applyBorder="1" applyAlignment="1">
      <alignment horizontal="center" vertical="center" textRotation="255"/>
    </xf>
    <xf numFmtId="0" fontId="19" fillId="10" borderId="1" xfId="51" applyFont="1" applyFill="1" applyBorder="1" applyAlignment="1">
      <alignment horizontal="center" vertical="center"/>
    </xf>
    <xf numFmtId="0" fontId="19" fillId="10" borderId="1" xfId="51" applyFont="1" applyFill="1" applyBorder="1" applyAlignment="1">
      <alignment horizontal="left" vertical="center"/>
    </xf>
    <xf numFmtId="180" fontId="35" fillId="10" borderId="1" xfId="51" applyNumberFormat="1" applyFont="1" applyFill="1" applyBorder="1" applyAlignment="1">
      <alignment horizontal="center" vertical="center"/>
    </xf>
    <xf numFmtId="0" fontId="1" fillId="10" borderId="1" xfId="51" applyFont="1" applyFill="1" applyBorder="1" applyAlignment="1">
      <alignment horizontal="center" vertical="center" textRotation="255"/>
    </xf>
    <xf numFmtId="179" fontId="1" fillId="10" borderId="1" xfId="51" applyNumberFormat="1" applyFont="1" applyFill="1" applyBorder="1" applyAlignment="1">
      <alignment horizontal="center" vertical="center"/>
    </xf>
    <xf numFmtId="179" fontId="1" fillId="10" borderId="1" xfId="51" applyNumberFormat="1" applyFont="1" applyFill="1" applyBorder="1" applyAlignment="1">
      <alignment horizontal="left" vertical="center"/>
    </xf>
    <xf numFmtId="179" fontId="36" fillId="10" borderId="1" xfId="51" applyNumberFormat="1" applyFont="1" applyFill="1" applyBorder="1" applyAlignment="1">
      <alignment horizontal="center" vertical="center"/>
    </xf>
    <xf numFmtId="0" fontId="37" fillId="10" borderId="1" xfId="51" applyFont="1" applyFill="1" applyBorder="1" applyAlignment="1">
      <alignment horizontal="left"/>
    </xf>
    <xf numFmtId="0" fontId="36" fillId="10" borderId="1" xfId="51" applyFont="1" applyFill="1" applyBorder="1" applyAlignment="1">
      <alignment horizontal="center" vertical="center"/>
    </xf>
    <xf numFmtId="0" fontId="36" fillId="10" borderId="1" xfId="51" applyFont="1" applyFill="1" applyBorder="1" applyAlignment="1">
      <alignment horizontal="left" vertical="center"/>
    </xf>
    <xf numFmtId="0" fontId="1" fillId="10" borderId="1" xfId="51" applyFont="1" applyFill="1" applyBorder="1" applyAlignment="1">
      <alignment horizontal="center" vertical="center"/>
    </xf>
    <xf numFmtId="180" fontId="36" fillId="10" borderId="1" xfId="51" applyNumberFormat="1" applyFont="1" applyFill="1" applyBorder="1" applyAlignment="1">
      <alignment horizontal="center" vertical="center"/>
    </xf>
    <xf numFmtId="182" fontId="1" fillId="10" borderId="1" xfId="53" applyNumberFormat="1" applyFont="1" applyFill="1" applyBorder="1" applyAlignment="1">
      <alignment horizontal="center" vertical="center"/>
    </xf>
    <xf numFmtId="183" fontId="1" fillId="10" borderId="1" xfId="0" applyNumberFormat="1" applyFont="1" applyFill="1" applyBorder="1" applyAlignment="1">
      <alignment horizontal="center" vertical="center"/>
    </xf>
    <xf numFmtId="183" fontId="1" fillId="10" borderId="1" xfId="0" applyNumberFormat="1" applyFont="1" applyFill="1" applyBorder="1" applyAlignment="1">
      <alignment horizontal="left" vertical="center"/>
    </xf>
    <xf numFmtId="180" fontId="1" fillId="10" borderId="1" xfId="53" applyNumberFormat="1" applyFont="1" applyFill="1" applyBorder="1" applyAlignment="1">
      <alignment horizontal="center" vertical="center"/>
    </xf>
    <xf numFmtId="0" fontId="14" fillId="10" borderId="1" xfId="51" applyFont="1" applyFill="1" applyBorder="1" applyAlignment="1">
      <alignment vertical="center"/>
    </xf>
    <xf numFmtId="0" fontId="1" fillId="10" borderId="1" xfId="53" applyFont="1" applyFill="1" applyBorder="1" applyAlignment="1">
      <alignment horizontal="center" vertical="center"/>
    </xf>
    <xf numFmtId="0" fontId="2" fillId="10" borderId="1" xfId="53" applyFont="1" applyFill="1" applyBorder="1" applyAlignment="1">
      <alignment horizontal="center" vertical="center"/>
    </xf>
    <xf numFmtId="0" fontId="2" fillId="10" borderId="1" xfId="51" applyFont="1" applyFill="1" applyBorder="1" applyAlignment="1">
      <alignment horizontal="center" vertical="center"/>
    </xf>
    <xf numFmtId="183" fontId="34" fillId="10" borderId="1" xfId="0" applyNumberFormat="1" applyFont="1" applyFill="1" applyBorder="1" applyAlignment="1">
      <alignment horizontal="left" vertical="center"/>
    </xf>
    <xf numFmtId="0" fontId="34" fillId="10" borderId="1" xfId="53" applyFont="1" applyFill="1" applyBorder="1" applyAlignment="1">
      <alignment horizontal="center" vertical="center"/>
    </xf>
    <xf numFmtId="182" fontId="9" fillId="10" borderId="1" xfId="53" applyNumberFormat="1" applyFont="1" applyFill="1" applyBorder="1" applyAlignment="1">
      <alignment horizontal="center" vertical="center"/>
    </xf>
    <xf numFmtId="183" fontId="9" fillId="10" borderId="1" xfId="0" applyNumberFormat="1" applyFont="1" applyFill="1" applyBorder="1" applyAlignment="1">
      <alignment horizontal="left" vertical="center"/>
    </xf>
    <xf numFmtId="0" fontId="9" fillId="10" borderId="1" xfId="53" applyFont="1" applyFill="1" applyBorder="1" applyAlignment="1">
      <alignment horizontal="center" vertical="center"/>
    </xf>
    <xf numFmtId="0" fontId="9" fillId="10" borderId="1" xfId="51" applyFont="1" applyFill="1" applyBorder="1" applyAlignment="1">
      <alignment horizontal="center" vertical="center"/>
    </xf>
    <xf numFmtId="0" fontId="20" fillId="10" borderId="1" xfId="51" applyFont="1" applyFill="1" applyBorder="1" applyAlignment="1">
      <alignment horizontal="center" vertical="center"/>
    </xf>
    <xf numFmtId="183" fontId="2" fillId="10" borderId="1" xfId="0" applyNumberFormat="1" applyFont="1" applyFill="1" applyBorder="1" applyAlignment="1">
      <alignment horizontal="left" vertical="center"/>
    </xf>
    <xf numFmtId="182" fontId="2" fillId="10" borderId="1" xfId="53" applyNumberFormat="1" applyFont="1" applyFill="1" applyBorder="1" applyAlignment="1">
      <alignment horizontal="center" vertical="center"/>
    </xf>
    <xf numFmtId="180" fontId="1" fillId="10" borderId="1" xfId="53" applyNumberFormat="1" applyFont="1" applyFill="1" applyBorder="1" applyAlignment="1">
      <alignment horizontal="left" vertical="center"/>
    </xf>
    <xf numFmtId="182" fontId="19" fillId="10" borderId="1" xfId="53" applyNumberFormat="1" applyFont="1" applyFill="1" applyBorder="1" applyAlignment="1">
      <alignment horizontal="center" vertical="center"/>
    </xf>
    <xf numFmtId="183" fontId="19" fillId="10" borderId="1" xfId="0" applyNumberFormat="1" applyFont="1" applyFill="1" applyBorder="1" applyAlignment="1">
      <alignment horizontal="left" vertical="center"/>
    </xf>
    <xf numFmtId="0" fontId="19" fillId="10" borderId="1" xfId="53" applyFont="1" applyFill="1" applyBorder="1" applyAlignment="1">
      <alignment horizontal="center" vertical="center"/>
    </xf>
    <xf numFmtId="0" fontId="19" fillId="10" borderId="1" xfId="51" applyFont="1" applyFill="1" applyBorder="1" applyAlignment="1">
      <alignment vertical="center"/>
    </xf>
    <xf numFmtId="183" fontId="19" fillId="10" borderId="1" xfId="0" applyNumberFormat="1" applyFont="1" applyFill="1" applyBorder="1" applyAlignment="1">
      <alignment vertical="center" wrapText="1"/>
    </xf>
    <xf numFmtId="184" fontId="19" fillId="10" borderId="1" xfId="53" applyNumberFormat="1" applyFont="1" applyFill="1" applyBorder="1" applyAlignment="1">
      <alignment horizontal="center" vertical="center"/>
    </xf>
    <xf numFmtId="180" fontId="19" fillId="10" borderId="1" xfId="53" applyNumberFormat="1" applyFont="1" applyFill="1" applyBorder="1" applyAlignment="1">
      <alignment horizontal="center" vertical="center"/>
    </xf>
    <xf numFmtId="0" fontId="27" fillId="10" borderId="1" xfId="53" applyFont="1" applyFill="1" applyBorder="1" applyAlignment="1">
      <alignment vertical="center"/>
    </xf>
    <xf numFmtId="180" fontId="19" fillId="10" borderId="1" xfId="53" applyNumberFormat="1" applyFont="1" applyFill="1" applyBorder="1" applyAlignment="1">
      <alignment horizontal="center" vertical="center" wrapText="1"/>
    </xf>
    <xf numFmtId="182" fontId="9" fillId="10" borderId="1" xfId="53" applyNumberFormat="1" applyFont="1" applyFill="1" applyBorder="1" applyAlignment="1">
      <alignment horizontal="right" vertical="center"/>
    </xf>
    <xf numFmtId="184" fontId="9" fillId="10" borderId="1" xfId="53" applyNumberFormat="1" applyFont="1" applyFill="1" applyBorder="1" applyAlignment="1">
      <alignment horizontal="center" vertical="center"/>
    </xf>
    <xf numFmtId="180" fontId="27" fillId="10" borderId="1" xfId="53" applyNumberFormat="1" applyFont="1" applyFill="1" applyBorder="1" applyAlignment="1">
      <alignment horizontal="center" vertical="center"/>
    </xf>
    <xf numFmtId="183" fontId="9" fillId="1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83" fontId="2" fillId="10" borderId="1" xfId="0" applyNumberFormat="1" applyFont="1" applyFill="1" applyBorder="1" applyAlignment="1">
      <alignment horizontal="center" vertical="center"/>
    </xf>
    <xf numFmtId="180" fontId="9" fillId="10" borderId="7" xfId="53" applyNumberFormat="1" applyFont="1" applyFill="1" applyBorder="1" applyAlignment="1">
      <alignment horizontal="center" vertical="center"/>
    </xf>
    <xf numFmtId="180" fontId="9" fillId="10" borderId="2" xfId="53" applyNumberFormat="1" applyFont="1" applyFill="1" applyBorder="1" applyAlignment="1">
      <alignment horizontal="center" vertical="center"/>
    </xf>
    <xf numFmtId="180" fontId="9" fillId="10" borderId="4" xfId="53" applyNumberFormat="1" applyFont="1" applyFill="1" applyBorder="1" applyAlignment="1">
      <alignment horizontal="center" vertical="center"/>
    </xf>
    <xf numFmtId="182" fontId="19" fillId="10" borderId="7" xfId="53" applyNumberFormat="1" applyFont="1" applyFill="1" applyBorder="1" applyAlignment="1">
      <alignment horizontal="center" vertical="center"/>
    </xf>
    <xf numFmtId="182" fontId="19" fillId="10" borderId="4" xfId="53" applyNumberFormat="1" applyFont="1" applyFill="1" applyBorder="1" applyAlignment="1">
      <alignment horizontal="center" vertical="center"/>
    </xf>
    <xf numFmtId="184" fontId="19" fillId="10" borderId="6" xfId="53" applyNumberFormat="1" applyFont="1" applyFill="1" applyBorder="1" applyAlignment="1">
      <alignment horizontal="center" vertical="center"/>
    </xf>
    <xf numFmtId="182" fontId="19" fillId="10" borderId="2" xfId="53" applyNumberFormat="1" applyFont="1" applyFill="1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58" fontId="0" fillId="0" borderId="0" xfId="0" applyNumberFormat="1">
      <alignment vertical="center"/>
    </xf>
    <xf numFmtId="183" fontId="20" fillId="10" borderId="1" xfId="0" applyNumberFormat="1" applyFont="1" applyFill="1" applyBorder="1" applyAlignment="1">
      <alignment horizontal="left" vertical="center"/>
    </xf>
    <xf numFmtId="0" fontId="20" fillId="10" borderId="1" xfId="53" applyFont="1" applyFill="1" applyBorder="1" applyAlignment="1">
      <alignment horizontal="center" vertical="center"/>
    </xf>
    <xf numFmtId="182" fontId="19" fillId="10" borderId="1" xfId="53" applyNumberFormat="1" applyFont="1" applyFill="1" applyBorder="1" applyAlignment="1">
      <alignment horizontal="right" vertical="center"/>
    </xf>
    <xf numFmtId="180" fontId="19" fillId="10" borderId="7" xfId="53" applyNumberFormat="1" applyFont="1" applyFill="1" applyBorder="1" applyAlignment="1">
      <alignment horizontal="center" vertical="center"/>
    </xf>
    <xf numFmtId="180" fontId="19" fillId="10" borderId="4" xfId="53" applyNumberFormat="1" applyFont="1" applyFill="1" applyBorder="1" applyAlignment="1">
      <alignment horizontal="center" vertical="center"/>
    </xf>
    <xf numFmtId="180" fontId="38" fillId="10" borderId="1" xfId="53" applyNumberFormat="1" applyFont="1" applyFill="1" applyBorder="1" applyAlignment="1">
      <alignment horizontal="left" vertical="center"/>
    </xf>
    <xf numFmtId="180" fontId="39" fillId="10" borderId="1" xfId="53" applyNumberFormat="1" applyFont="1" applyFill="1" applyBorder="1" applyAlignment="1">
      <alignment horizontal="center" vertical="center"/>
    </xf>
    <xf numFmtId="180" fontId="1" fillId="10" borderId="7" xfId="53" applyNumberFormat="1" applyFont="1" applyFill="1" applyBorder="1" applyAlignment="1">
      <alignment horizontal="center" vertical="center"/>
    </xf>
    <xf numFmtId="180" fontId="1" fillId="10" borderId="2" xfId="53" applyNumberFormat="1" applyFont="1" applyFill="1" applyBorder="1" applyAlignment="1">
      <alignment horizontal="center" vertical="center"/>
    </xf>
    <xf numFmtId="180" fontId="1" fillId="10" borderId="4" xfId="53" applyNumberFormat="1" applyFont="1" applyFill="1" applyBorder="1" applyAlignment="1">
      <alignment horizontal="center" vertical="center"/>
    </xf>
    <xf numFmtId="182" fontId="1" fillId="10" borderId="12" xfId="53" applyNumberFormat="1" applyFont="1" applyFill="1" applyBorder="1" applyAlignment="1">
      <alignment horizontal="center" vertical="center"/>
    </xf>
    <xf numFmtId="182" fontId="1" fillId="10" borderId="5" xfId="53" applyNumberFormat="1" applyFont="1" applyFill="1" applyBorder="1" applyAlignment="1">
      <alignment horizontal="center" vertical="center"/>
    </xf>
    <xf numFmtId="182" fontId="1" fillId="10" borderId="3" xfId="53" applyNumberFormat="1" applyFont="1" applyFill="1" applyBorder="1" applyAlignment="1">
      <alignment horizontal="center" vertical="center"/>
    </xf>
    <xf numFmtId="182" fontId="1" fillId="10" borderId="13" xfId="53" applyNumberFormat="1" applyFont="1" applyFill="1" applyBorder="1" applyAlignment="1">
      <alignment horizontal="center" vertical="center"/>
    </xf>
    <xf numFmtId="182" fontId="1" fillId="10" borderId="8" xfId="53" applyNumberFormat="1" applyFont="1" applyFill="1" applyBorder="1" applyAlignment="1">
      <alignment horizontal="center" vertical="center"/>
    </xf>
    <xf numFmtId="182" fontId="1" fillId="10" borderId="10" xfId="53" applyNumberFormat="1" applyFont="1" applyFill="1" applyBorder="1" applyAlignment="1">
      <alignment horizontal="center" vertical="center"/>
    </xf>
    <xf numFmtId="0" fontId="19" fillId="10" borderId="1" xfId="53" applyFont="1" applyFill="1" applyBorder="1" applyAlignment="1">
      <alignment vertical="center"/>
    </xf>
    <xf numFmtId="182" fontId="1" fillId="10" borderId="1" xfId="53" applyNumberFormat="1" applyFont="1" applyFill="1" applyBorder="1" applyAlignment="1">
      <alignment horizontal="right" vertical="center"/>
    </xf>
    <xf numFmtId="184" fontId="1" fillId="10" borderId="1" xfId="53" applyNumberFormat="1" applyFont="1" applyFill="1" applyBorder="1" applyAlignment="1">
      <alignment horizontal="center" vertical="center"/>
    </xf>
    <xf numFmtId="182" fontId="1" fillId="10" borderId="7" xfId="53" applyNumberFormat="1" applyFont="1" applyFill="1" applyBorder="1" applyAlignment="1">
      <alignment horizontal="center" vertical="center"/>
    </xf>
    <xf numFmtId="182" fontId="1" fillId="10" borderId="2" xfId="53" applyNumberFormat="1" applyFont="1" applyFill="1" applyBorder="1" applyAlignment="1">
      <alignment horizontal="center" vertical="center"/>
    </xf>
    <xf numFmtId="182" fontId="1" fillId="10" borderId="4" xfId="53" applyNumberFormat="1" applyFont="1" applyFill="1" applyBorder="1" applyAlignment="1">
      <alignment horizontal="center" vertical="center"/>
    </xf>
    <xf numFmtId="182" fontId="38" fillId="10" borderId="1" xfId="53" applyNumberFormat="1" applyFont="1" applyFill="1" applyBorder="1" applyAlignment="1">
      <alignment horizontal="center" vertical="center"/>
    </xf>
    <xf numFmtId="183" fontId="38" fillId="10" borderId="1" xfId="0" applyNumberFormat="1" applyFont="1" applyFill="1" applyBorder="1" applyAlignment="1">
      <alignment horizontal="center" vertical="center"/>
    </xf>
    <xf numFmtId="183" fontId="38" fillId="10" borderId="1" xfId="0" applyNumberFormat="1" applyFont="1" applyFill="1" applyBorder="1" applyAlignment="1">
      <alignment horizontal="left" vertical="center"/>
    </xf>
    <xf numFmtId="0" fontId="38" fillId="10" borderId="1" xfId="53" applyFont="1" applyFill="1" applyBorder="1" applyAlignment="1">
      <alignment horizontal="center" vertical="center"/>
    </xf>
    <xf numFmtId="0" fontId="38" fillId="10" borderId="1" xfId="51" applyFont="1" applyFill="1" applyBorder="1" applyAlignment="1">
      <alignment horizontal="center" vertical="center"/>
    </xf>
    <xf numFmtId="180" fontId="38" fillId="10" borderId="1" xfId="53" applyNumberFormat="1" applyFont="1" applyFill="1" applyBorder="1" applyAlignment="1">
      <alignment horizontal="center" vertical="center"/>
    </xf>
    <xf numFmtId="0" fontId="38" fillId="10" borderId="1" xfId="51" applyFont="1" applyFill="1" applyBorder="1" applyAlignment="1">
      <alignment vertical="center"/>
    </xf>
    <xf numFmtId="184" fontId="38" fillId="10" borderId="1" xfId="53" applyNumberFormat="1" applyFont="1" applyFill="1" applyBorder="1" applyAlignment="1">
      <alignment horizontal="center" vertical="center"/>
    </xf>
    <xf numFmtId="180" fontId="38" fillId="10" borderId="1" xfId="53" applyNumberFormat="1" applyFont="1" applyFill="1" applyBorder="1" applyAlignment="1">
      <alignment horizontal="center" vertical="center" wrapText="1"/>
    </xf>
    <xf numFmtId="184" fontId="19" fillId="10" borderId="6" xfId="53" applyNumberFormat="1" applyFont="1" applyFill="1" applyBorder="1" applyAlignment="1">
      <alignment vertical="center"/>
    </xf>
    <xf numFmtId="0" fontId="0" fillId="0" borderId="1" xfId="0" applyFont="1" applyBorder="1">
      <alignment vertical="center"/>
    </xf>
    <xf numFmtId="0" fontId="5" fillId="0" borderId="0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10" borderId="1" xfId="0" applyNumberFormat="1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182" fontId="1" fillId="10" borderId="6" xfId="53" applyNumberFormat="1" applyFont="1" applyFill="1" applyBorder="1" applyAlignment="1">
      <alignment horizontal="center" vertical="center"/>
    </xf>
    <xf numFmtId="183" fontId="1" fillId="10" borderId="6" xfId="0" applyNumberFormat="1" applyFont="1" applyFill="1" applyBorder="1" applyAlignment="1">
      <alignment horizontal="left" vertical="center"/>
    </xf>
    <xf numFmtId="0" fontId="1" fillId="10" borderId="6" xfId="0" applyNumberFormat="1" applyFont="1" applyFill="1" applyBorder="1" applyAlignment="1">
      <alignment horizontal="center" vertical="center"/>
    </xf>
    <xf numFmtId="182" fontId="1" fillId="10" borderId="14" xfId="53" applyNumberFormat="1" applyFont="1" applyFill="1" applyBorder="1" applyAlignment="1">
      <alignment horizontal="center" vertical="center"/>
    </xf>
    <xf numFmtId="182" fontId="1" fillId="10" borderId="0" xfId="53" applyNumberFormat="1" applyFont="1" applyFill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58" fontId="2" fillId="0" borderId="1" xfId="0" applyNumberFormat="1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43" fillId="0" borderId="1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4" fillId="0" borderId="1" xfId="0" applyFont="1" applyBorder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4" fillId="0" borderId="0" xfId="0" applyFont="1">
      <alignment vertical="center"/>
    </xf>
    <xf numFmtId="0" fontId="44" fillId="0" borderId="0" xfId="0" applyFont="1" applyBorder="1">
      <alignment vertical="center"/>
    </xf>
    <xf numFmtId="0" fontId="41" fillId="0" borderId="0" xfId="0" applyFont="1" applyBorder="1" applyAlignment="1">
      <alignment horizontal="center"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1" xfId="0" applyFont="1" applyBorder="1" applyAlignment="1">
      <alignment vertical="center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4" xfId="0" applyFont="1" applyBorder="1" applyAlignment="1">
      <alignment vertical="center"/>
    </xf>
    <xf numFmtId="0" fontId="50" fillId="0" borderId="1" xfId="0" applyFont="1" applyBorder="1" applyAlignment="1">
      <alignment horizontal="right" vertical="center"/>
    </xf>
    <xf numFmtId="0" fontId="50" fillId="0" borderId="7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43" fillId="0" borderId="1" xfId="0" applyFont="1" applyBorder="1" applyAlignment="1">
      <alignment vertical="center"/>
    </xf>
    <xf numFmtId="0" fontId="50" fillId="11" borderId="1" xfId="0" applyFont="1" applyFill="1" applyBorder="1" applyAlignment="1">
      <alignment horizontal="center" vertical="center"/>
    </xf>
    <xf numFmtId="0" fontId="50" fillId="11" borderId="1" xfId="0" applyFont="1" applyFill="1" applyBorder="1" applyAlignment="1">
      <alignment horizontal="left" vertical="center"/>
    </xf>
    <xf numFmtId="0" fontId="50" fillId="0" borderId="1" xfId="0" applyFont="1" applyBorder="1">
      <alignment vertical="center"/>
    </xf>
    <xf numFmtId="0" fontId="50" fillId="0" borderId="1" xfId="0" applyFont="1" applyBorder="1" applyAlignment="1">
      <alignment horizontal="left" vertical="center"/>
    </xf>
    <xf numFmtId="0" fontId="50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50" fillId="11" borderId="1" xfId="0" applyFont="1" applyFill="1" applyBorder="1" applyAlignment="1">
      <alignment horizontal="right" vertical="center"/>
    </xf>
    <xf numFmtId="0" fontId="41" fillId="0" borderId="9" xfId="0" applyFont="1" applyBorder="1" applyAlignment="1">
      <alignment horizontal="left" vertical="center"/>
    </xf>
    <xf numFmtId="0" fontId="41" fillId="0" borderId="9" xfId="0" applyFont="1" applyBorder="1" applyAlignment="1">
      <alignment horizontal="center" vertical="center"/>
    </xf>
    <xf numFmtId="0" fontId="41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58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58" fontId="40" fillId="0" borderId="0" xfId="0" applyNumberFormat="1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185" fontId="40" fillId="0" borderId="0" xfId="0" applyNumberFormat="1" applyFon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58" fontId="41" fillId="0" borderId="0" xfId="0" applyNumberFormat="1" applyFont="1" applyAlignment="1">
      <alignment horizontal="left" vertical="center"/>
    </xf>
    <xf numFmtId="58" fontId="41" fillId="0" borderId="0" xfId="0" applyNumberFormat="1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185" fontId="41" fillId="0" borderId="0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7" fillId="0" borderId="0" xfId="0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185" fontId="47" fillId="0" borderId="0" xfId="0" applyNumberFormat="1" applyFont="1" applyBorder="1" applyAlignment="1">
      <alignment horizontal="center" vertical="center"/>
    </xf>
    <xf numFmtId="179" fontId="40" fillId="0" borderId="0" xfId="0" applyNumberFormat="1" applyFont="1" applyAlignment="1">
      <alignment horizontal="left" vertical="center"/>
    </xf>
    <xf numFmtId="58" fontId="41" fillId="0" borderId="0" xfId="0" applyNumberFormat="1" applyFont="1" applyAlignment="1">
      <alignment horizontal="center" vertical="center"/>
    </xf>
    <xf numFmtId="58" fontId="41" fillId="0" borderId="0" xfId="0" applyNumberFormat="1" applyFont="1" applyAlignment="1">
      <alignment vertical="center"/>
    </xf>
    <xf numFmtId="179" fontId="41" fillId="0" borderId="0" xfId="0" applyNumberFormat="1" applyFont="1" applyAlignment="1">
      <alignment horizontal="left" vertical="center"/>
    </xf>
    <xf numFmtId="0" fontId="44" fillId="0" borderId="0" xfId="0" applyFont="1" applyAlignment="1">
      <alignment vertical="center"/>
    </xf>
    <xf numFmtId="0" fontId="41" fillId="0" borderId="0" xfId="0" applyFont="1" applyFill="1" applyBorder="1" applyAlignment="1">
      <alignment vertical="center"/>
    </xf>
    <xf numFmtId="0" fontId="44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/>
    </xf>
    <xf numFmtId="0" fontId="44" fillId="11" borderId="1" xfId="0" applyFont="1" applyFill="1" applyBorder="1" applyAlignment="1">
      <alignment horizontal="center" vertical="center"/>
    </xf>
    <xf numFmtId="0" fontId="44" fillId="11" borderId="1" xfId="0" applyFont="1" applyFill="1" applyBorder="1" applyAlignment="1">
      <alignment horizontal="left" vertical="center"/>
    </xf>
    <xf numFmtId="0" fontId="44" fillId="0" borderId="1" xfId="0" applyFont="1" applyBorder="1" applyAlignment="1">
      <alignment horizontal="right" vertical="center"/>
    </xf>
    <xf numFmtId="0" fontId="44" fillId="11" borderId="1" xfId="0" applyFont="1" applyFill="1" applyBorder="1" applyAlignment="1">
      <alignment horizontal="right" vertical="center"/>
    </xf>
    <xf numFmtId="185" fontId="45" fillId="0" borderId="0" xfId="0" applyNumberFormat="1" applyFont="1" applyBorder="1" applyAlignment="1">
      <alignment horizontal="center" vertical="center"/>
    </xf>
    <xf numFmtId="185" fontId="51" fillId="0" borderId="0" xfId="0" applyNumberFormat="1" applyFont="1" applyBorder="1" applyAlignment="1">
      <alignment horizontal="center" vertical="center"/>
    </xf>
    <xf numFmtId="58" fontId="45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58" fontId="45" fillId="0" borderId="0" xfId="0" applyNumberFormat="1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Border="1" applyAlignment="1">
      <alignment horizontal="center" vertical="center"/>
    </xf>
    <xf numFmtId="0" fontId="44" fillId="0" borderId="0" xfId="0" applyFont="1" applyFill="1" applyBorder="1" applyAlignment="1">
      <alignment horizontal="center" vertical="center"/>
    </xf>
    <xf numFmtId="185" fontId="44" fillId="0" borderId="0" xfId="0" applyNumberFormat="1" applyFont="1" applyBorder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vertical="center"/>
    </xf>
    <xf numFmtId="58" fontId="40" fillId="0" borderId="0" xfId="0" applyNumberFormat="1" applyFont="1" applyAlignment="1">
      <alignment horizontal="center" vertical="center"/>
    </xf>
    <xf numFmtId="58" fontId="40" fillId="0" borderId="0" xfId="0" applyNumberFormat="1" applyFont="1" applyAlignment="1">
      <alignment vertical="center"/>
    </xf>
    <xf numFmtId="0" fontId="45" fillId="0" borderId="0" xfId="0" applyFont="1" applyAlignment="1">
      <alignment horizontal="center" vertical="center" wrapText="1"/>
    </xf>
    <xf numFmtId="0" fontId="40" fillId="0" borderId="0" xfId="0" applyFont="1" applyFill="1" applyAlignment="1">
      <alignment horizontal="center" vertical="center"/>
    </xf>
    <xf numFmtId="185" fontId="52" fillId="0" borderId="0" xfId="0" applyNumberFormat="1" applyFont="1" applyBorder="1" applyAlignment="1">
      <alignment horizontal="center" vertical="center"/>
    </xf>
    <xf numFmtId="185" fontId="53" fillId="0" borderId="0" xfId="0" applyNumberFormat="1" applyFont="1" applyBorder="1" applyAlignment="1">
      <alignment horizontal="center" vertical="center"/>
    </xf>
    <xf numFmtId="185" fontId="54" fillId="0" borderId="0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185" fontId="49" fillId="0" borderId="0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58" fontId="44" fillId="0" borderId="0" xfId="0" applyNumberFormat="1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58" fontId="44" fillId="0" borderId="0" xfId="0" applyNumberFormat="1" applyFont="1" applyBorder="1" applyAlignment="1">
      <alignment horizontal="center" vertical="center"/>
    </xf>
    <xf numFmtId="0" fontId="57" fillId="0" borderId="0" xfId="0" applyFont="1">
      <alignment vertical="center"/>
    </xf>
    <xf numFmtId="0" fontId="41" fillId="0" borderId="1" xfId="0" applyFont="1" applyBorder="1" applyAlignment="1">
      <alignment horizontal="left" vertical="center"/>
    </xf>
    <xf numFmtId="0" fontId="41" fillId="0" borderId="0" xfId="0" applyFont="1" applyFill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 wrapText="1"/>
    </xf>
    <xf numFmtId="0" fontId="55" fillId="0" borderId="0" xfId="0" applyFont="1" applyAlignment="1">
      <alignment horizontal="left" vertical="center"/>
    </xf>
    <xf numFmtId="58" fontId="41" fillId="0" borderId="0" xfId="0" applyNumberFormat="1" applyFont="1" applyBorder="1" applyAlignment="1">
      <alignment vertical="center"/>
    </xf>
    <xf numFmtId="0" fontId="41" fillId="0" borderId="0" xfId="0" applyFont="1" applyBorder="1" applyAlignment="1">
      <alignment horizontal="left" vertical="center"/>
    </xf>
    <xf numFmtId="0" fontId="47" fillId="0" borderId="0" xfId="0" applyFont="1" applyBorder="1" applyAlignment="1">
      <alignment horizontal="left" vertical="center"/>
    </xf>
    <xf numFmtId="0" fontId="44" fillId="0" borderId="0" xfId="0" applyFont="1" applyBorder="1" applyAlignment="1">
      <alignment horizontal="left" vertical="center"/>
    </xf>
    <xf numFmtId="0" fontId="33" fillId="0" borderId="0" xfId="0" applyFont="1">
      <alignment vertical="center"/>
    </xf>
    <xf numFmtId="0" fontId="53" fillId="0" borderId="0" xfId="0" applyFont="1">
      <alignment vertical="center"/>
    </xf>
    <xf numFmtId="180" fontId="47" fillId="0" borderId="0" xfId="0" applyNumberFormat="1" applyFont="1" applyFill="1" applyBorder="1" applyAlignment="1">
      <alignment horizontal="center" vertical="center"/>
    </xf>
    <xf numFmtId="0" fontId="59" fillId="0" borderId="0" xfId="0" applyFont="1">
      <alignment vertical="center"/>
    </xf>
    <xf numFmtId="0" fontId="45" fillId="11" borderId="1" xfId="0" applyFont="1" applyFill="1" applyBorder="1" applyAlignment="1">
      <alignment horizontal="left" vertical="center"/>
    </xf>
    <xf numFmtId="0" fontId="58" fillId="0" borderId="0" xfId="0" applyFont="1" applyBorder="1" applyAlignment="1">
      <alignment horizontal="left" vertical="center"/>
    </xf>
    <xf numFmtId="185" fontId="45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0" fillId="0" borderId="0" xfId="0" applyFont="1" applyBorder="1" applyAlignment="1">
      <alignment horizontal="left" vertical="center"/>
    </xf>
    <xf numFmtId="0" fontId="58" fillId="0" borderId="0" xfId="0" applyFont="1">
      <alignment vertical="center"/>
    </xf>
    <xf numFmtId="58" fontId="60" fillId="0" borderId="0" xfId="0" applyNumberFormat="1" applyFont="1" applyAlignment="1">
      <alignment horizontal="left" vertical="center"/>
    </xf>
    <xf numFmtId="0" fontId="60" fillId="0" borderId="0" xfId="0" applyFont="1" applyAlignment="1">
      <alignment horizontal="center" vertical="center"/>
    </xf>
    <xf numFmtId="58" fontId="60" fillId="0" borderId="0" xfId="0" applyNumberFormat="1" applyFont="1" applyBorder="1" applyAlignment="1">
      <alignment horizontal="center" vertical="center"/>
    </xf>
    <xf numFmtId="0" fontId="60" fillId="0" borderId="0" xfId="0" applyFont="1" applyBorder="1" applyAlignment="1">
      <alignment horizontal="center" vertical="center"/>
    </xf>
    <xf numFmtId="0" fontId="60" fillId="0" borderId="0" xfId="0" applyFont="1" applyFill="1" applyBorder="1" applyAlignment="1">
      <alignment horizontal="center" vertical="center"/>
    </xf>
    <xf numFmtId="185" fontId="60" fillId="0" borderId="0" xfId="0" applyNumberFormat="1" applyFont="1" applyBorder="1" applyAlignment="1">
      <alignment horizontal="center" vertical="center"/>
    </xf>
    <xf numFmtId="58" fontId="60" fillId="0" borderId="0" xfId="0" applyNumberFormat="1" applyFont="1">
      <alignment vertical="center"/>
    </xf>
    <xf numFmtId="0" fontId="60" fillId="0" borderId="0" xfId="0" applyFont="1" applyAlignment="1">
      <alignment horizontal="left" vertical="center"/>
    </xf>
    <xf numFmtId="0" fontId="60" fillId="0" borderId="0" xfId="0" applyFo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1" fillId="0" borderId="0" xfId="0" applyFont="1">
      <alignment vertical="center"/>
    </xf>
    <xf numFmtId="179" fontId="41" fillId="0" borderId="0" xfId="0" applyNumberFormat="1" applyFont="1" applyFill="1" applyBorder="1" applyAlignment="1">
      <alignment horizontal="center" vertical="center"/>
    </xf>
    <xf numFmtId="179" fontId="40" fillId="0" borderId="0" xfId="0" applyNumberFormat="1" applyFont="1" applyFill="1" applyBorder="1" applyAlignment="1">
      <alignment horizontal="center" vertical="center"/>
    </xf>
    <xf numFmtId="185" fontId="61" fillId="0" borderId="0" xfId="0" applyNumberFormat="1" applyFont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80" fontId="40" fillId="0" borderId="0" xfId="0" applyNumberFormat="1" applyFont="1">
      <alignment vertical="center"/>
    </xf>
    <xf numFmtId="0" fontId="3" fillId="0" borderId="0" xfId="0" applyFont="1" applyAlignment="1">
      <alignment horizontal="right" vertical="center"/>
    </xf>
    <xf numFmtId="0" fontId="45" fillId="0" borderId="0" xfId="0" applyFont="1" applyBorder="1" applyAlignment="1">
      <alignment horizontal="left" vertical="center"/>
    </xf>
    <xf numFmtId="0" fontId="62" fillId="0" borderId="0" xfId="0" applyFont="1" applyAlignment="1">
      <alignment horizontal="right" vertical="center"/>
    </xf>
    <xf numFmtId="185" fontId="40" fillId="0" borderId="0" xfId="0" applyNumberFormat="1" applyFont="1" applyBorder="1" applyAlignment="1">
      <alignment horizontal="left" vertical="center"/>
    </xf>
    <xf numFmtId="180" fontId="41" fillId="0" borderId="0" xfId="0" applyNumberFormat="1" applyFont="1">
      <alignment vertical="center"/>
    </xf>
    <xf numFmtId="180" fontId="45" fillId="0" borderId="0" xfId="0" applyNumberFormat="1" applyFont="1">
      <alignment vertical="center"/>
    </xf>
    <xf numFmtId="0" fontId="0" fillId="0" borderId="0" xfId="0" applyFont="1" applyAlignment="1">
      <alignment horizontal="right" vertical="center"/>
    </xf>
    <xf numFmtId="58" fontId="45" fillId="0" borderId="0" xfId="0" applyNumberFormat="1" applyFont="1" applyAlignment="1">
      <alignment horizontal="center" vertical="center"/>
    </xf>
    <xf numFmtId="0" fontId="49" fillId="0" borderId="0" xfId="0" applyFont="1">
      <alignment vertical="center"/>
    </xf>
    <xf numFmtId="57" fontId="44" fillId="0" borderId="1" xfId="0" applyNumberFormat="1" applyFont="1" applyBorder="1" applyAlignment="1">
      <alignment horizontal="left" vertical="center"/>
    </xf>
    <xf numFmtId="0" fontId="43" fillId="0" borderId="0" xfId="0" applyFont="1">
      <alignment vertical="center"/>
    </xf>
    <xf numFmtId="0" fontId="63" fillId="0" borderId="0" xfId="0" applyFont="1">
      <alignment vertical="center"/>
    </xf>
    <xf numFmtId="0" fontId="64" fillId="0" borderId="0" xfId="0" applyFont="1">
      <alignment vertical="center"/>
    </xf>
    <xf numFmtId="0" fontId="43" fillId="0" borderId="1" xfId="0" applyFont="1" applyBorder="1" applyAlignment="1">
      <alignment horizontal="right" vertical="center"/>
    </xf>
    <xf numFmtId="0" fontId="34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left" vertical="center"/>
    </xf>
    <xf numFmtId="0" fontId="34" fillId="0" borderId="1" xfId="0" applyFont="1" applyBorder="1">
      <alignment vertical="center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right" vertical="center"/>
    </xf>
    <xf numFmtId="0" fontId="43" fillId="0" borderId="0" xfId="0" applyFont="1" applyAlignment="1">
      <alignment horizontal="right" vertical="center"/>
    </xf>
    <xf numFmtId="0" fontId="43" fillId="0" borderId="0" xfId="0" applyFont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4" fillId="11" borderId="1" xfId="0" applyFont="1" applyFill="1" applyBorder="1" applyAlignment="1">
      <alignment horizontal="right" vertical="center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65" fillId="0" borderId="0" xfId="0" applyFont="1">
      <alignment vertical="center"/>
    </xf>
    <xf numFmtId="58" fontId="41" fillId="0" borderId="0" xfId="0" applyNumberFormat="1" applyFont="1">
      <alignment vertical="center"/>
    </xf>
    <xf numFmtId="58" fontId="40" fillId="0" borderId="0" xfId="0" applyNumberFormat="1" applyFont="1">
      <alignment vertical="center"/>
    </xf>
    <xf numFmtId="185" fontId="66" fillId="0" borderId="0" xfId="0" applyNumberFormat="1" applyFont="1" applyBorder="1" applyAlignment="1">
      <alignment horizontal="center" vertical="center"/>
    </xf>
    <xf numFmtId="58" fontId="44" fillId="0" borderId="1" xfId="0" applyNumberFormat="1" applyFont="1" applyBorder="1" applyAlignment="1">
      <alignment horizontal="left" vertical="center"/>
    </xf>
    <xf numFmtId="58" fontId="44" fillId="0" borderId="1" xfId="0" applyNumberFormat="1" applyFont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185" fontId="44" fillId="0" borderId="1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67" fillId="0" borderId="0" xfId="0" applyFont="1">
      <alignment vertical="center"/>
    </xf>
    <xf numFmtId="58" fontId="63" fillId="0" borderId="0" xfId="0" applyNumberFormat="1" applyFont="1" applyAlignment="1">
      <alignment horizontal="left" vertical="center"/>
    </xf>
    <xf numFmtId="58" fontId="63" fillId="0" borderId="0" xfId="0" applyNumberFormat="1" applyFont="1" applyBorder="1" applyAlignment="1">
      <alignment horizontal="center" vertical="center"/>
    </xf>
    <xf numFmtId="0" fontId="63" fillId="0" borderId="0" xfId="0" applyFont="1" applyBorder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63" fillId="0" borderId="0" xfId="0" applyFont="1" applyFill="1" applyBorder="1" applyAlignment="1">
      <alignment horizontal="center" vertical="center"/>
    </xf>
    <xf numFmtId="185" fontId="63" fillId="0" borderId="0" xfId="0" applyNumberFormat="1" applyFont="1" applyBorder="1" applyAlignment="1">
      <alignment horizontal="center" vertical="center"/>
    </xf>
    <xf numFmtId="0" fontId="56" fillId="0" borderId="0" xfId="0" applyFont="1" applyAlignment="1">
      <alignment horizontal="right" vertical="center"/>
    </xf>
    <xf numFmtId="58" fontId="64" fillId="0" borderId="0" xfId="0" applyNumberFormat="1" applyFont="1" applyAlignment="1">
      <alignment horizontal="left" vertical="center"/>
    </xf>
    <xf numFmtId="58" fontId="64" fillId="0" borderId="0" xfId="0" applyNumberFormat="1" applyFont="1" applyBorder="1" applyAlignment="1">
      <alignment horizontal="center" vertical="center"/>
    </xf>
    <xf numFmtId="0" fontId="64" fillId="0" borderId="0" xfId="0" applyFont="1" applyBorder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Fill="1" applyBorder="1" applyAlignment="1">
      <alignment horizontal="center" vertical="center"/>
    </xf>
    <xf numFmtId="185" fontId="64" fillId="0" borderId="0" xfId="0" applyNumberFormat="1" applyFont="1" applyBorder="1" applyAlignment="1">
      <alignment horizontal="center" vertical="center"/>
    </xf>
    <xf numFmtId="0" fontId="68" fillId="0" borderId="0" xfId="0" applyFont="1">
      <alignment vertical="center"/>
    </xf>
    <xf numFmtId="185" fontId="41" fillId="0" borderId="0" xfId="0" applyNumberFormat="1" applyFont="1" applyAlignment="1">
      <alignment horizontal="center" vertical="center"/>
    </xf>
    <xf numFmtId="0" fontId="62" fillId="0" borderId="0" xfId="0" applyFont="1">
      <alignment vertical="center"/>
    </xf>
    <xf numFmtId="0" fontId="43" fillId="11" borderId="1" xfId="0" applyFont="1" applyFill="1" applyBorder="1" applyAlignment="1">
      <alignment horizontal="center" vertical="center"/>
    </xf>
    <xf numFmtId="0" fontId="43" fillId="11" borderId="1" xfId="0" applyFont="1" applyFill="1" applyBorder="1" applyAlignment="1">
      <alignment horizontal="left" vertical="center"/>
    </xf>
    <xf numFmtId="0" fontId="43" fillId="11" borderId="1" xfId="0" applyFont="1" applyFill="1" applyBorder="1" applyAlignment="1">
      <alignment horizontal="right" vertical="center"/>
    </xf>
    <xf numFmtId="0" fontId="40" fillId="0" borderId="0" xfId="0" applyFont="1" applyAlignment="1">
      <alignment vertical="center"/>
    </xf>
    <xf numFmtId="0" fontId="69" fillId="0" borderId="0" xfId="0" applyFont="1">
      <alignment vertical="center"/>
    </xf>
    <xf numFmtId="0" fontId="69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0" fontId="70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71" fillId="0" borderId="0" xfId="0" applyFont="1">
      <alignment vertical="center"/>
    </xf>
    <xf numFmtId="0" fontId="65" fillId="0" borderId="6" xfId="0" applyFont="1" applyBorder="1" applyAlignment="1">
      <alignment horizontal="center" vertical="center" textRotation="255" wrapText="1"/>
    </xf>
    <xf numFmtId="0" fontId="65" fillId="0" borderId="15" xfId="0" applyFont="1" applyBorder="1" applyAlignment="1">
      <alignment horizontal="center" vertical="center" textRotation="255" wrapText="1"/>
    </xf>
    <xf numFmtId="0" fontId="65" fillId="0" borderId="9" xfId="0" applyFont="1" applyBorder="1" applyAlignment="1">
      <alignment vertical="center" wrapText="1"/>
    </xf>
    <xf numFmtId="0" fontId="72" fillId="0" borderId="0" xfId="0" applyFont="1">
      <alignment vertical="center"/>
    </xf>
    <xf numFmtId="0" fontId="73" fillId="0" borderId="0" xfId="0" applyFont="1">
      <alignment vertical="center"/>
    </xf>
    <xf numFmtId="0" fontId="16" fillId="0" borderId="0" xfId="0" applyFont="1">
      <alignment vertical="center"/>
    </xf>
    <xf numFmtId="0" fontId="19" fillId="0" borderId="0" xfId="0" applyFont="1">
      <alignment vertical="center"/>
    </xf>
    <xf numFmtId="58" fontId="45" fillId="0" borderId="0" xfId="0" applyNumberFormat="1" applyFont="1">
      <alignment vertical="center"/>
    </xf>
    <xf numFmtId="0" fontId="74" fillId="0" borderId="0" xfId="0" applyFont="1" applyAlignment="1">
      <alignment horizontal="left" vertical="center"/>
    </xf>
    <xf numFmtId="0" fontId="74" fillId="0" borderId="0" xfId="0" applyFont="1">
      <alignment vertical="center"/>
    </xf>
    <xf numFmtId="0" fontId="42" fillId="0" borderId="0" xfId="0" applyFont="1">
      <alignment vertical="center"/>
    </xf>
    <xf numFmtId="58" fontId="44" fillId="0" borderId="0" xfId="0" applyNumberFormat="1" applyFont="1" applyAlignment="1">
      <alignment horizontal="center" vertical="center"/>
    </xf>
    <xf numFmtId="58" fontId="44" fillId="0" borderId="0" xfId="0" applyNumberFormat="1" applyFont="1" applyAlignment="1">
      <alignment vertical="center"/>
    </xf>
    <xf numFmtId="0" fontId="40" fillId="0" borderId="0" xfId="0" applyFont="1" applyBorder="1">
      <alignment vertical="center"/>
    </xf>
    <xf numFmtId="0" fontId="57" fillId="0" borderId="0" xfId="0" applyFont="1" applyAlignment="1">
      <alignment horizontal="left" vertical="center"/>
    </xf>
    <xf numFmtId="58" fontId="44" fillId="0" borderId="0" xfId="0" applyNumberFormat="1" applyFont="1">
      <alignment vertical="center"/>
    </xf>
    <xf numFmtId="0" fontId="45" fillId="0" borderId="0" xfId="0" applyFont="1" applyBorder="1">
      <alignment vertical="center"/>
    </xf>
    <xf numFmtId="0" fontId="9" fillId="0" borderId="0" xfId="0" applyFont="1">
      <alignment vertical="center"/>
    </xf>
    <xf numFmtId="179" fontId="55" fillId="0" borderId="0" xfId="0" applyNumberFormat="1" applyFont="1" applyAlignment="1">
      <alignment horizontal="left" vertical="center"/>
    </xf>
    <xf numFmtId="0" fontId="3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0" fillId="0" borderId="0" xfId="0" applyAlignment="1">
      <alignment vertical="center"/>
    </xf>
    <xf numFmtId="0" fontId="76" fillId="0" borderId="0" xfId="0" applyFont="1" applyAlignment="1">
      <alignment vertical="center"/>
    </xf>
    <xf numFmtId="0" fontId="77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left"/>
    </xf>
    <xf numFmtId="0" fontId="76" fillId="0" borderId="0" xfId="0" applyFont="1" applyAlignment="1">
      <alignment horizontal="center" vertical="center"/>
    </xf>
    <xf numFmtId="0" fontId="41" fillId="0" borderId="1" xfId="0" applyNumberFormat="1" applyFont="1" applyBorder="1" applyAlignment="1">
      <alignment horizontal="center" vertical="center"/>
    </xf>
    <xf numFmtId="58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185" fontId="41" fillId="0" borderId="1" xfId="0" applyNumberFormat="1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58" fontId="40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185" fontId="40" fillId="0" borderId="1" xfId="0" applyNumberFormat="1" applyFont="1" applyBorder="1" applyAlignment="1">
      <alignment horizontal="center" vertical="center"/>
    </xf>
    <xf numFmtId="0" fontId="40" fillId="0" borderId="15" xfId="0" applyFont="1" applyBorder="1">
      <alignment vertical="center"/>
    </xf>
    <xf numFmtId="181" fontId="56" fillId="0" borderId="1" xfId="0" applyNumberFormat="1" applyFont="1" applyFill="1" applyBorder="1" applyAlignment="1">
      <alignment horizontal="left" vertical="center"/>
    </xf>
    <xf numFmtId="186" fontId="56" fillId="0" borderId="1" xfId="0" applyNumberFormat="1" applyFont="1" applyFill="1" applyBorder="1" applyAlignment="1">
      <alignment horizontal="left" vertical="center"/>
    </xf>
    <xf numFmtId="7" fontId="40" fillId="0" borderId="1" xfId="0" applyNumberFormat="1" applyFont="1" applyBorder="1" applyAlignment="1">
      <alignment horizontal="center" vertical="center"/>
    </xf>
    <xf numFmtId="0" fontId="41" fillId="0" borderId="1" xfId="0" applyNumberFormat="1" applyFont="1" applyBorder="1" applyAlignment="1">
      <alignment vertical="center"/>
    </xf>
    <xf numFmtId="0" fontId="56" fillId="0" borderId="12" xfId="0" applyNumberFormat="1" applyFont="1" applyFill="1" applyBorder="1" applyAlignment="1">
      <alignment horizontal="center" vertical="center" textRotation="255"/>
    </xf>
    <xf numFmtId="0" fontId="56" fillId="0" borderId="5" xfId="0" applyNumberFormat="1" applyFont="1" applyBorder="1" applyAlignment="1">
      <alignment horizontal="left" vertical="center" wrapText="1"/>
    </xf>
    <xf numFmtId="0" fontId="56" fillId="0" borderId="3" xfId="0" applyNumberFormat="1" applyFont="1" applyBorder="1" applyAlignment="1">
      <alignment horizontal="left" vertical="center" wrapText="1"/>
    </xf>
    <xf numFmtId="0" fontId="56" fillId="0" borderId="14" xfId="0" applyNumberFormat="1" applyFont="1" applyFill="1" applyBorder="1" applyAlignment="1">
      <alignment horizontal="center" vertical="center" textRotation="255"/>
    </xf>
    <xf numFmtId="0" fontId="56" fillId="0" borderId="0" xfId="0" applyNumberFormat="1" applyFont="1" applyBorder="1" applyAlignment="1">
      <alignment horizontal="left" vertical="center"/>
    </xf>
    <xf numFmtId="0" fontId="56" fillId="0" borderId="0" xfId="0" applyNumberFormat="1" applyFont="1" applyAlignment="1">
      <alignment horizontal="left" vertical="center"/>
    </xf>
    <xf numFmtId="0" fontId="56" fillId="0" borderId="11" xfId="0" applyNumberFormat="1" applyFont="1" applyBorder="1" applyAlignment="1">
      <alignment horizontal="left" vertical="center"/>
    </xf>
    <xf numFmtId="0" fontId="56" fillId="0" borderId="0" xfId="0" applyNumberFormat="1" applyFont="1">
      <alignment vertical="center"/>
    </xf>
    <xf numFmtId="0" fontId="56" fillId="0" borderId="13" xfId="0" applyNumberFormat="1" applyFont="1" applyFill="1" applyBorder="1" applyAlignment="1">
      <alignment horizontal="center" vertical="center" textRotation="255"/>
    </xf>
    <xf numFmtId="0" fontId="56" fillId="0" borderId="8" xfId="0" applyNumberFormat="1" applyFont="1" applyBorder="1" applyAlignment="1">
      <alignment horizontal="left" vertical="center"/>
    </xf>
    <xf numFmtId="0" fontId="56" fillId="0" borderId="10" xfId="0" applyNumberFormat="1" applyFont="1" applyBorder="1" applyAlignment="1">
      <alignment horizontal="left" vertical="center"/>
    </xf>
    <xf numFmtId="0" fontId="56" fillId="0" borderId="0" xfId="0" applyNumberFormat="1" applyFont="1" applyFill="1" applyAlignment="1">
      <alignment horizontal="left" vertical="center"/>
    </xf>
    <xf numFmtId="58" fontId="78" fillId="0" borderId="0" xfId="0" applyNumberFormat="1" applyFont="1" applyFill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180" fontId="16" fillId="0" borderId="0" xfId="0" applyNumberFormat="1" applyFont="1" applyFill="1" applyBorder="1" applyAlignment="1">
      <alignment horizontal="center" vertical="center"/>
    </xf>
    <xf numFmtId="0" fontId="79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180" fontId="16" fillId="0" borderId="0" xfId="0" applyNumberFormat="1" applyFont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12 2" xfId="49"/>
    <cellStyle name="适中 2 4 2" xfId="50"/>
    <cellStyle name="常规 10" xfId="51"/>
    <cellStyle name="差 2" xfId="52"/>
    <cellStyle name="常规 8" xfId="53"/>
    <cellStyle name="常规 33" xfId="54"/>
    <cellStyle name="常规 38 5" xfId="55"/>
    <cellStyle name="好_2020前期总表" xfId="56"/>
    <cellStyle name="货币 4 3" xfId="5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9" defaultPivotStyle="PivotStyleLight16">
    <tableStyle name="表样式 1" pivot="0" count="0" xr9:uid="{BBCDA74C-A13E-41DA-A293-2ECCAB6CAA49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P38"/>
  <sheetViews>
    <sheetView workbookViewId="0">
      <selection activeCell="T20" sqref="T20"/>
    </sheetView>
  </sheetViews>
  <sheetFormatPr defaultColWidth="9" defaultRowHeight="14.25"/>
  <cols>
    <col min="1" max="1" width="3.50833333333333" style="10" customWidth="1"/>
    <col min="2" max="2" width="2.25833333333333" style="10" customWidth="1"/>
    <col min="3" max="3" width="15.5" style="10" customWidth="1"/>
    <col min="4" max="4" width="35.5" style="10" customWidth="1"/>
    <col min="5" max="5" width="11.7583333333333" style="10" customWidth="1"/>
    <col min="6" max="6" width="12.0083333333333" style="10" customWidth="1"/>
    <col min="7" max="7" width="12.875" style="10" customWidth="1"/>
    <col min="8" max="8" width="11.625" style="10" customWidth="1"/>
    <col min="9" max="9" width="18.5083333333333" style="10" customWidth="1"/>
    <col min="10" max="10" width="13.5" style="10" customWidth="1"/>
    <col min="11" max="11" width="9" style="11"/>
    <col min="12" max="12" width="10.625" style="11"/>
  </cols>
  <sheetData>
    <row r="1" s="663" customFormat="1" ht="34" customHeight="1" spans="1:12">
      <c r="A1" s="665" t="s">
        <v>0</v>
      </c>
      <c r="B1" s="665"/>
      <c r="C1" s="665"/>
      <c r="D1" s="665"/>
      <c r="E1" s="665"/>
      <c r="F1" s="665"/>
      <c r="G1" s="665"/>
      <c r="H1" s="665"/>
      <c r="I1" s="665"/>
      <c r="J1" s="665"/>
    </row>
    <row r="2" s="664" customFormat="1" ht="27" customHeight="1" spans="1:12">
      <c r="A2" s="666" t="s">
        <v>1</v>
      </c>
      <c r="B2" s="666"/>
      <c r="C2" s="666"/>
      <c r="D2" s="666"/>
      <c r="E2" s="666"/>
      <c r="F2" s="666"/>
      <c r="G2" s="666"/>
      <c r="H2" s="666"/>
      <c r="I2" s="666"/>
      <c r="J2" s="666"/>
      <c r="K2" s="667"/>
    </row>
    <row r="3" s="457" customFormat="1" ht="26" customHeight="1" spans="1:12">
      <c r="A3" s="668" t="s">
        <v>2</v>
      </c>
      <c r="B3" s="668"/>
      <c r="C3" s="668"/>
      <c r="D3" s="668" t="s">
        <v>3</v>
      </c>
      <c r="E3" s="668" t="s">
        <v>4</v>
      </c>
      <c r="F3" s="668" t="s">
        <v>5</v>
      </c>
      <c r="G3" s="668" t="s">
        <v>6</v>
      </c>
      <c r="H3" s="668" t="s">
        <v>7</v>
      </c>
      <c r="I3" s="668" t="s">
        <v>8</v>
      </c>
      <c r="J3" s="668" t="s">
        <v>9</v>
      </c>
      <c r="L3" s="554" t="s">
        <v>10</v>
      </c>
    </row>
    <row r="4" customFormat="1" ht="24" customHeight="1" spans="1:12">
      <c r="A4" s="669">
        <v>46043</v>
      </c>
      <c r="B4" s="427"/>
      <c r="C4" s="427"/>
      <c r="D4" s="670">
        <v>808</v>
      </c>
      <c r="E4" s="427">
        <v>1</v>
      </c>
      <c r="F4" s="426">
        <v>120</v>
      </c>
      <c r="G4" s="427">
        <f t="shared" ref="G4:G10" si="0">E4*F4</f>
        <v>120</v>
      </c>
      <c r="H4" s="671">
        <v>7.2</v>
      </c>
      <c r="I4" s="671">
        <f>G4*H4</f>
        <v>864</v>
      </c>
      <c r="J4" s="672"/>
      <c r="L4" s="554" t="s">
        <v>11</v>
      </c>
    </row>
    <row r="5" customFormat="1" ht="24" customHeight="1" spans="1:12">
      <c r="A5" s="669">
        <v>46043</v>
      </c>
      <c r="B5" s="427"/>
      <c r="C5" s="427"/>
      <c r="D5" s="670" t="s">
        <v>12</v>
      </c>
      <c r="E5" s="427">
        <v>1</v>
      </c>
      <c r="F5" s="426">
        <v>40</v>
      </c>
      <c r="G5" s="427">
        <f t="shared" si="0"/>
        <v>40</v>
      </c>
      <c r="H5" s="671">
        <v>6.1</v>
      </c>
      <c r="I5" s="671">
        <f>G5*H5</f>
        <v>244</v>
      </c>
      <c r="J5" s="672"/>
      <c r="L5" s="554"/>
    </row>
    <row r="6" customFormat="1" ht="24" customHeight="1" spans="1:12">
      <c r="A6" s="669">
        <v>46043</v>
      </c>
      <c r="B6" s="427"/>
      <c r="C6" s="427"/>
      <c r="D6" s="670" t="s">
        <v>13</v>
      </c>
      <c r="E6" s="427">
        <v>1</v>
      </c>
      <c r="F6" s="426">
        <v>180</v>
      </c>
      <c r="G6" s="427">
        <f t="shared" si="0"/>
        <v>180</v>
      </c>
      <c r="H6" s="671"/>
      <c r="I6" s="671"/>
      <c r="J6" s="672"/>
      <c r="L6" s="554"/>
    </row>
    <row r="7" customFormat="1" ht="24" customHeight="1" spans="1:12">
      <c r="A7" s="669">
        <v>46043</v>
      </c>
      <c r="B7" s="427"/>
      <c r="C7" s="427"/>
      <c r="D7" s="670" t="s">
        <v>14</v>
      </c>
      <c r="E7" s="427">
        <v>1</v>
      </c>
      <c r="F7" s="426">
        <v>200</v>
      </c>
      <c r="G7" s="427">
        <f t="shared" si="0"/>
        <v>200</v>
      </c>
      <c r="H7" s="671"/>
      <c r="I7" s="671"/>
      <c r="J7" s="672"/>
      <c r="L7" s="554"/>
    </row>
    <row r="8" customFormat="1" ht="24" customHeight="1" spans="1:12">
      <c r="A8" s="669">
        <v>46043</v>
      </c>
      <c r="B8" s="427"/>
      <c r="C8" s="427"/>
      <c r="D8" s="670" t="s">
        <v>15</v>
      </c>
      <c r="E8" s="427">
        <v>1</v>
      </c>
      <c r="F8" s="426">
        <v>230</v>
      </c>
      <c r="G8" s="427">
        <f t="shared" si="0"/>
        <v>230</v>
      </c>
      <c r="H8" s="671"/>
      <c r="I8" s="671"/>
      <c r="J8" s="672"/>
      <c r="L8" s="554"/>
    </row>
    <row r="9" customFormat="1" ht="24" customHeight="1" spans="1:12">
      <c r="A9" s="669">
        <v>46043</v>
      </c>
      <c r="B9" s="427"/>
      <c r="C9" s="427"/>
      <c r="D9" s="670" t="s">
        <v>16</v>
      </c>
      <c r="E9" s="427">
        <v>1</v>
      </c>
      <c r="F9" s="426">
        <v>230</v>
      </c>
      <c r="G9" s="427">
        <f t="shared" si="0"/>
        <v>230</v>
      </c>
      <c r="H9" s="671"/>
      <c r="I9" s="671"/>
      <c r="J9" s="672"/>
      <c r="L9" s="554"/>
    </row>
    <row r="10" customFormat="1" ht="24" customHeight="1" spans="1:12">
      <c r="A10" s="669">
        <v>46043</v>
      </c>
      <c r="B10" s="427"/>
      <c r="C10" s="427"/>
      <c r="D10" s="670" t="s">
        <v>17</v>
      </c>
      <c r="E10" s="427">
        <v>1</v>
      </c>
      <c r="F10" s="426">
        <f>SUM(F4:F9)</f>
        <v>1000</v>
      </c>
      <c r="G10" s="427">
        <f t="shared" si="0"/>
        <v>1000</v>
      </c>
      <c r="H10" s="671">
        <v>1</v>
      </c>
      <c r="I10" s="671">
        <f>G10*H10</f>
        <v>1000</v>
      </c>
      <c r="J10" s="672"/>
      <c r="L10" s="554"/>
    </row>
    <row r="11" customFormat="1" ht="24" customHeight="1" spans="1:12">
      <c r="A11" s="673"/>
      <c r="B11" s="429"/>
      <c r="C11" s="429"/>
      <c r="D11" s="674"/>
      <c r="E11" s="429"/>
      <c r="F11" s="425"/>
      <c r="G11" s="429"/>
      <c r="H11" s="675"/>
      <c r="I11" s="675"/>
      <c r="J11" s="676"/>
      <c r="L11" s="554"/>
    </row>
    <row r="12" customFormat="1" ht="24" customHeight="1" spans="1:12">
      <c r="A12" s="673"/>
      <c r="B12" s="429"/>
      <c r="C12" s="429"/>
      <c r="D12" s="674"/>
      <c r="E12" s="429"/>
      <c r="F12" s="425"/>
      <c r="G12" s="429"/>
      <c r="H12" s="675"/>
      <c r="I12" s="675"/>
      <c r="J12" s="676"/>
      <c r="L12" s="554"/>
    </row>
    <row r="13" customFormat="1" ht="24" customHeight="1" spans="1:12">
      <c r="A13" s="673"/>
      <c r="B13" s="429"/>
      <c r="C13" s="429"/>
      <c r="D13" s="674"/>
      <c r="E13" s="429"/>
      <c r="F13" s="425"/>
      <c r="G13" s="429"/>
      <c r="H13" s="675"/>
      <c r="I13" s="675"/>
      <c r="J13" s="676"/>
      <c r="L13" s="554"/>
    </row>
    <row r="14" customFormat="1" ht="24" customHeight="1" spans="1:12">
      <c r="A14" s="673"/>
      <c r="B14" s="429"/>
      <c r="C14" s="429"/>
      <c r="D14" s="674"/>
      <c r="E14" s="429"/>
      <c r="F14" s="425"/>
      <c r="G14" s="429"/>
      <c r="H14" s="675"/>
      <c r="I14" s="675"/>
      <c r="J14" s="676"/>
      <c r="L14" s="554"/>
    </row>
    <row r="15" customFormat="1" ht="24" customHeight="1" spans="1:12">
      <c r="A15" s="673"/>
      <c r="B15" s="429"/>
      <c r="C15" s="429"/>
      <c r="D15" s="674"/>
      <c r="E15" s="429"/>
      <c r="F15" s="425"/>
      <c r="G15" s="429"/>
      <c r="H15" s="675"/>
      <c r="I15" s="675"/>
      <c r="J15" s="676"/>
      <c r="L15" s="554"/>
    </row>
    <row r="16" customFormat="1" ht="24" customHeight="1" spans="1:12">
      <c r="A16" s="677" t="s">
        <v>18</v>
      </c>
      <c r="B16" s="677"/>
      <c r="C16" s="677"/>
      <c r="D16" s="678">
        <f>I16</f>
        <v>2108</v>
      </c>
      <c r="E16" s="678"/>
      <c r="F16" s="678"/>
      <c r="G16" s="678"/>
      <c r="H16" s="678"/>
      <c r="I16" s="679">
        <f>SUM(I4:I15)</f>
        <v>2108</v>
      </c>
      <c r="J16" s="680"/>
    </row>
    <row r="17" customFormat="1" ht="24" customHeight="1" spans="1:16">
      <c r="A17" s="681" t="s">
        <v>19</v>
      </c>
      <c r="B17" s="682" t="s">
        <v>20</v>
      </c>
      <c r="C17" s="682"/>
      <c r="D17" s="682"/>
      <c r="E17" s="682"/>
      <c r="F17" s="682"/>
      <c r="G17" s="682"/>
      <c r="H17" s="682"/>
      <c r="I17" s="682"/>
      <c r="J17" s="683"/>
    </row>
    <row r="18" customFormat="1" ht="24" customHeight="1" spans="1:16">
      <c r="A18" s="684"/>
      <c r="B18" s="685" t="s">
        <v>21</v>
      </c>
      <c r="C18" s="686"/>
      <c r="D18" s="686"/>
      <c r="E18" s="686"/>
      <c r="F18" s="686"/>
      <c r="G18" s="686"/>
      <c r="H18" s="686"/>
      <c r="I18" s="686"/>
      <c r="J18" s="687"/>
    </row>
    <row r="19" customFormat="1" ht="20" customHeight="1" spans="1:16">
      <c r="A19" s="684"/>
      <c r="B19" s="688"/>
      <c r="C19" s="686" t="s">
        <v>22</v>
      </c>
      <c r="D19" s="686"/>
      <c r="E19" s="686"/>
      <c r="F19" s="686"/>
      <c r="G19" s="686"/>
      <c r="H19" s="686"/>
      <c r="I19" s="686"/>
      <c r="J19" s="687"/>
    </row>
    <row r="20" customFormat="1" ht="20" customHeight="1" spans="1:16">
      <c r="A20" s="689"/>
      <c r="B20" s="690" t="s">
        <v>23</v>
      </c>
      <c r="C20" s="690"/>
      <c r="D20" s="690"/>
      <c r="E20" s="690"/>
      <c r="F20" s="690"/>
      <c r="G20" s="690"/>
      <c r="H20" s="690"/>
      <c r="I20" s="690"/>
      <c r="J20" s="691"/>
    </row>
    <row r="21" customFormat="1" ht="20" customHeight="1" spans="1:16">
      <c r="A21" s="692" t="s">
        <v>24</v>
      </c>
      <c r="B21" s="692"/>
      <c r="C21" s="692"/>
      <c r="D21" s="692"/>
      <c r="E21" s="692"/>
      <c r="F21" s="692"/>
      <c r="G21" s="692"/>
      <c r="H21" s="692"/>
      <c r="I21" s="692"/>
      <c r="J21" s="692"/>
    </row>
    <row r="22" customFormat="1" ht="20" customHeight="1" spans="1:16">
      <c r="A22" s="692" t="s">
        <v>25</v>
      </c>
      <c r="B22" s="692"/>
      <c r="C22" s="692"/>
      <c r="D22" s="692"/>
      <c r="E22" s="692"/>
      <c r="F22" s="692"/>
      <c r="G22" s="692"/>
      <c r="H22" s="692"/>
      <c r="I22" s="692"/>
      <c r="J22" s="692"/>
      <c r="M22" t="s">
        <v>26</v>
      </c>
    </row>
    <row r="23" ht="23.25" customHeight="1" spans="1:16">
      <c r="A23" s="693"/>
      <c r="B23" s="32"/>
      <c r="C23" s="694"/>
      <c r="D23" s="695"/>
      <c r="E23" s="696"/>
      <c r="F23" s="33"/>
      <c r="G23" s="33"/>
      <c r="H23" s="696"/>
      <c r="I23" s="697"/>
      <c r="J23" s="695"/>
      <c r="K23" s="696"/>
      <c r="L23" s="696"/>
    </row>
    <row r="24" ht="19" customHeight="1" spans="1:16">
      <c r="A24" s="693"/>
      <c r="B24" s="32"/>
      <c r="C24" s="694"/>
      <c r="D24" s="695"/>
      <c r="E24" s="696"/>
      <c r="F24" s="33"/>
      <c r="G24" s="33"/>
      <c r="H24" s="696"/>
      <c r="I24" s="697"/>
      <c r="J24" s="695"/>
      <c r="K24" s="698"/>
      <c r="L24" s="696"/>
    </row>
    <row r="25" s="10" customFormat="1" ht="20" customHeight="1" spans="1:16">
      <c r="A25" s="699"/>
      <c r="B25" s="700"/>
      <c r="C25" s="700"/>
      <c r="D25" s="700"/>
      <c r="E25" s="700"/>
      <c r="F25" s="700"/>
      <c r="G25" s="700"/>
      <c r="H25" s="700"/>
      <c r="I25" s="700"/>
      <c r="J25" s="695"/>
      <c r="K25" s="701"/>
      <c r="L25" s="695"/>
      <c r="P25"/>
    </row>
    <row r="26" spans="1:16">
      <c r="A26" s="702"/>
      <c r="B26" s="699"/>
      <c r="C26" s="699"/>
      <c r="D26" s="699"/>
      <c r="E26" s="699"/>
      <c r="F26" s="699"/>
      <c r="G26" s="699"/>
      <c r="H26" s="699"/>
      <c r="I26" s="699"/>
      <c r="J26" s="699"/>
      <c r="K26" s="65"/>
      <c r="L26" s="703"/>
    </row>
    <row r="27" spans="1:16">
      <c r="A27" s="702"/>
      <c r="B27" s="699"/>
      <c r="C27" s="699"/>
      <c r="D27" s="699"/>
      <c r="E27" s="699"/>
      <c r="F27" s="699"/>
      <c r="G27" s="699"/>
      <c r="H27" s="699"/>
      <c r="I27" s="699"/>
      <c r="J27" s="699"/>
      <c r="K27" s="65"/>
      <c r="L27" s="703"/>
    </row>
    <row r="28" spans="1:16">
      <c r="A28" s="702"/>
      <c r="B28" s="699"/>
      <c r="C28" s="699"/>
      <c r="D28" s="699"/>
      <c r="E28" s="699"/>
      <c r="F28" s="699"/>
      <c r="G28" s="699"/>
      <c r="H28" s="699"/>
      <c r="I28" s="699"/>
      <c r="J28" s="699"/>
      <c r="K28" s="65"/>
      <c r="L28" s="703"/>
    </row>
    <row r="29" spans="1:16">
      <c r="A29" s="702"/>
      <c r="B29" s="699"/>
      <c r="C29" s="699"/>
      <c r="D29" s="699"/>
      <c r="E29" s="699"/>
      <c r="F29" s="699"/>
      <c r="G29" s="699"/>
      <c r="H29" s="699"/>
      <c r="I29" s="699"/>
      <c r="J29" s="699"/>
      <c r="K29" s="65"/>
      <c r="L29" s="703"/>
    </row>
    <row r="30" spans="1:16">
      <c r="A30" s="702"/>
      <c r="B30" s="699"/>
      <c r="C30" s="699"/>
      <c r="D30" s="699"/>
      <c r="E30" s="699"/>
      <c r="F30" s="699"/>
      <c r="G30" s="699"/>
      <c r="H30" s="699"/>
      <c r="I30" s="699"/>
      <c r="J30" s="699"/>
      <c r="K30" s="65"/>
      <c r="L30" s="703"/>
    </row>
    <row r="31" spans="1:16">
      <c r="A31" s="702"/>
      <c r="B31" s="699"/>
      <c r="C31" s="699"/>
      <c r="D31" s="699"/>
      <c r="E31" s="699"/>
      <c r="F31" s="699"/>
      <c r="G31" s="699"/>
      <c r="H31" s="699"/>
      <c r="I31" s="699"/>
      <c r="J31" s="699"/>
      <c r="K31" s="65"/>
      <c r="L31" s="703"/>
    </row>
    <row r="32" spans="1:16">
      <c r="A32" s="702"/>
      <c r="B32" s="699"/>
      <c r="C32" s="699"/>
      <c r="D32" s="699"/>
      <c r="E32" s="699"/>
      <c r="F32" s="699"/>
      <c r="G32" s="699"/>
      <c r="H32" s="699"/>
      <c r="I32" s="699"/>
      <c r="J32" s="699"/>
      <c r="K32" s="65"/>
      <c r="L32" s="703"/>
    </row>
    <row r="33" spans="1:12">
      <c r="A33" s="702"/>
      <c r="B33" s="699"/>
      <c r="C33" s="699"/>
      <c r="D33" s="699"/>
      <c r="E33" s="699"/>
      <c r="F33" s="699"/>
      <c r="G33" s="699"/>
      <c r="H33" s="699"/>
      <c r="I33" s="699"/>
      <c r="J33" s="699"/>
      <c r="K33" s="65"/>
      <c r="L33" s="703"/>
    </row>
    <row r="34" spans="1:12">
      <c r="L34" s="703"/>
    </row>
    <row r="35" spans="1:12">
      <c r="L35" s="703"/>
    </row>
    <row r="36" spans="1:12">
      <c r="L36" s="703"/>
    </row>
    <row r="37" spans="1:12">
      <c r="L37" s="703"/>
    </row>
    <row r="38" spans="1:12">
      <c r="L38" s="703"/>
    </row>
  </sheetData>
  <mergeCells count="25">
    <mergeCell ref="A1:J1"/>
    <mergeCell ref="A2:J2"/>
    <mergeCell ref="K2:L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D16:H16"/>
    <mergeCell ref="B17:J17"/>
    <mergeCell ref="C19:J19"/>
    <mergeCell ref="B20:J20"/>
    <mergeCell ref="A21:J21"/>
    <mergeCell ref="A22:J22"/>
    <mergeCell ref="B25:I25"/>
    <mergeCell ref="A17:A20"/>
  </mergeCells>
  <printOptions horizontalCentered="1"/>
  <pageMargins left="0.393055555555556" right="0.196527777777778" top="0.196527777777778" bottom="0.393055555555556" header="0.196527777777778" footer="0.393055555555556"/>
  <pageSetup paperSize="9" scale="67" orientation="portrait" horizontalDpi="600" verticalDpi="18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1723"/>
  <sheetViews>
    <sheetView topLeftCell="B1102" workbookViewId="0">
      <selection activeCell="L1143" sqref="L1143"/>
    </sheetView>
  </sheetViews>
  <sheetFormatPr defaultColWidth="9" defaultRowHeight="14.25"/>
  <cols>
    <col min="1" max="1" width="16" style="10" customWidth="1"/>
    <col min="2" max="2" width="10.25" customWidth="1"/>
    <col min="3" max="3" width="4.25" customWidth="1"/>
    <col min="4" max="4" width="5.125" customWidth="1"/>
    <col min="5" max="5" width="5.375" customWidth="1"/>
    <col min="6" max="6" width="37" customWidth="1"/>
    <col min="7" max="9" width="12.625" customWidth="1"/>
    <col min="10" max="10" width="14.625" customWidth="1"/>
    <col min="11" max="11" width="18.125" customWidth="1"/>
    <col min="12" max="12" width="19.125" customWidth="1"/>
    <col min="13" max="13" width="11.375" customWidth="1"/>
    <col min="14" max="14" width="13.625" customWidth="1"/>
    <col min="15" max="15" width="12.875"/>
    <col min="16" max="16" width="8" customWidth="1"/>
    <col min="18" max="18" width="12.875"/>
  </cols>
  <sheetData>
    <row r="1" s="590" customFormat="1" ht="21" customHeight="1" spans="1:17">
      <c r="A1" s="593" t="s">
        <v>27</v>
      </c>
      <c r="B1" s="593"/>
      <c r="C1" s="593"/>
      <c r="D1" s="593"/>
      <c r="E1" s="593"/>
      <c r="F1" s="593"/>
      <c r="G1" s="593"/>
      <c r="H1" s="593"/>
      <c r="I1" s="593"/>
      <c r="J1" s="594" t="s">
        <v>28</v>
      </c>
      <c r="K1" s="595">
        <f>SUM(K11:K143)</f>
        <v>49665.95</v>
      </c>
      <c r="L1" s="596" t="s">
        <v>29</v>
      </c>
      <c r="M1" s="597">
        <f>'24材料明细'!AQ402</f>
        <v>36321.35</v>
      </c>
      <c r="N1" s="598" t="s">
        <v>30</v>
      </c>
      <c r="O1" s="597">
        <f>K15+K21+K31+K34+K43+K49+K55+K61+K68+K72+K76+K83+K90+K93+K102+K109+K117+K124+K131+K139+K143</f>
        <v>12001.1</v>
      </c>
      <c r="P1" s="599" t="s">
        <v>31</v>
      </c>
      <c r="Q1" s="600">
        <f>K94+Q13</f>
        <v>310</v>
      </c>
    </row>
    <row r="2" s="590" customFormat="1" ht="17" customHeight="1" spans="1:17">
      <c r="A2" s="601"/>
      <c r="B2" s="481"/>
      <c r="C2" s="481"/>
      <c r="D2" s="481"/>
      <c r="E2" s="481"/>
      <c r="F2" s="481"/>
      <c r="G2" s="481"/>
      <c r="H2" s="481"/>
      <c r="I2" s="481"/>
      <c r="J2" s="602" t="s">
        <v>32</v>
      </c>
      <c r="K2" s="602">
        <f>SUM(I15+I21+I31+I34+I43+I49+I55+I61+I68+I72+I76+I83+I90+I93+I102+I109+I117+I124+I131+I139+I143)/1000</f>
        <v>10.6233</v>
      </c>
      <c r="L2" s="596" t="s">
        <v>33</v>
      </c>
      <c r="M2" s="597">
        <f>K16+K22+K28+K84+K95</f>
        <v>1033.5</v>
      </c>
      <c r="N2" s="603" t="s">
        <v>34</v>
      </c>
      <c r="O2" s="595">
        <f>M1+Q1+O1+M2</f>
        <v>49665.95</v>
      </c>
    </row>
    <row r="3" s="455" customFormat="1" ht="15" customHeight="1" spans="1:17">
      <c r="A3" s="604" t="s">
        <v>35</v>
      </c>
      <c r="B3" s="605" t="s">
        <v>36</v>
      </c>
      <c r="C3" s="486" t="s">
        <v>37</v>
      </c>
      <c r="D3" s="486"/>
      <c r="E3" s="486"/>
      <c r="F3" s="486" t="s">
        <v>38</v>
      </c>
      <c r="G3" s="486" t="s">
        <v>4</v>
      </c>
      <c r="H3" s="486" t="s">
        <v>5</v>
      </c>
      <c r="I3" s="486" t="s">
        <v>6</v>
      </c>
      <c r="J3" s="486" t="s">
        <v>7</v>
      </c>
      <c r="K3" s="486" t="s">
        <v>8</v>
      </c>
      <c r="L3" s="486" t="s">
        <v>39</v>
      </c>
      <c r="M3" s="486" t="s">
        <v>40</v>
      </c>
    </row>
    <row r="4" s="459" customFormat="1" ht="20.25" spans="1:17">
      <c r="A4" s="517">
        <v>45351</v>
      </c>
      <c r="B4" s="323" t="s">
        <v>41</v>
      </c>
      <c r="C4" s="519">
        <v>45351</v>
      </c>
      <c r="D4" s="520"/>
      <c r="E4" s="520"/>
      <c r="F4" s="498" t="s">
        <v>42</v>
      </c>
      <c r="G4" s="520">
        <v>1</v>
      </c>
      <c r="H4" s="521">
        <v>60</v>
      </c>
      <c r="I4" s="520">
        <f t="shared" ref="I4:I11" si="0">G4*H4</f>
        <v>60</v>
      </c>
      <c r="J4" s="515"/>
      <c r="K4" s="515"/>
    </row>
    <row r="5" s="459" customFormat="1" ht="20.25" spans="1:17">
      <c r="A5" s="517">
        <v>45351</v>
      </c>
      <c r="B5" s="323" t="s">
        <v>41</v>
      </c>
      <c r="C5" s="519">
        <v>45351</v>
      </c>
      <c r="D5" s="520"/>
      <c r="E5" s="520"/>
      <c r="F5" s="498" t="s">
        <v>43</v>
      </c>
      <c r="G5" s="520">
        <v>1</v>
      </c>
      <c r="H5" s="521">
        <v>60</v>
      </c>
      <c r="I5" s="520">
        <f t="shared" si="0"/>
        <v>60</v>
      </c>
      <c r="J5" s="515"/>
      <c r="K5" s="515"/>
    </row>
    <row r="6" s="459" customFormat="1" ht="20.25" spans="1:17">
      <c r="A6" s="517">
        <v>45351</v>
      </c>
      <c r="B6" s="323" t="s">
        <v>41</v>
      </c>
      <c r="C6" s="519">
        <v>45351</v>
      </c>
      <c r="D6" s="520"/>
      <c r="E6" s="520"/>
      <c r="F6" s="498" t="s">
        <v>44</v>
      </c>
      <c r="G6" s="520">
        <v>1</v>
      </c>
      <c r="H6" s="521">
        <v>10</v>
      </c>
      <c r="I6" s="520">
        <f t="shared" si="0"/>
        <v>10</v>
      </c>
      <c r="J6" s="515"/>
      <c r="K6" s="515"/>
      <c r="L6" s="606"/>
      <c r="M6" s="606"/>
      <c r="N6" s="606"/>
    </row>
    <row r="7" s="459" customFormat="1" ht="20.25" spans="1:17">
      <c r="A7" s="517">
        <v>45351</v>
      </c>
      <c r="B7" s="323" t="s">
        <v>41</v>
      </c>
      <c r="C7" s="519">
        <v>45351</v>
      </c>
      <c r="D7" s="520"/>
      <c r="E7" s="520"/>
      <c r="F7" s="498" t="s">
        <v>45</v>
      </c>
      <c r="G7" s="520">
        <v>1</v>
      </c>
      <c r="H7" s="521">
        <v>10</v>
      </c>
      <c r="I7" s="520">
        <f t="shared" si="0"/>
        <v>10</v>
      </c>
      <c r="J7" s="515"/>
      <c r="K7" s="515"/>
      <c r="L7" s="606"/>
      <c r="M7" s="606"/>
      <c r="N7" s="606"/>
    </row>
    <row r="8" s="459" customFormat="1" ht="20.25" spans="1:17">
      <c r="A8" s="517">
        <v>45351</v>
      </c>
      <c r="B8" s="323" t="s">
        <v>41</v>
      </c>
      <c r="C8" s="519">
        <v>45351</v>
      </c>
      <c r="D8" s="520"/>
      <c r="E8" s="520"/>
      <c r="F8" s="498" t="s">
        <v>46</v>
      </c>
      <c r="G8" s="520">
        <v>1</v>
      </c>
      <c r="H8" s="521">
        <v>60</v>
      </c>
      <c r="I8" s="520">
        <f t="shared" si="0"/>
        <v>60</v>
      </c>
      <c r="J8" s="515"/>
      <c r="K8" s="515"/>
      <c r="L8" s="606"/>
      <c r="M8" s="606"/>
      <c r="N8" s="606"/>
    </row>
    <row r="9" s="459" customFormat="1" ht="20.25" spans="1:17">
      <c r="A9" s="517">
        <v>45351</v>
      </c>
      <c r="B9" s="323" t="s">
        <v>41</v>
      </c>
      <c r="C9" s="519">
        <v>45351</v>
      </c>
      <c r="D9" s="520"/>
      <c r="E9" s="520"/>
      <c r="F9" s="498" t="s">
        <v>47</v>
      </c>
      <c r="G9" s="520">
        <v>1</v>
      </c>
      <c r="H9" s="521">
        <v>200</v>
      </c>
      <c r="I9" s="520">
        <f t="shared" si="0"/>
        <v>200</v>
      </c>
      <c r="J9" s="515"/>
      <c r="K9" s="502"/>
      <c r="L9" s="606"/>
      <c r="M9" s="606"/>
      <c r="N9" s="606"/>
    </row>
    <row r="10" s="459" customFormat="1" ht="20.25" spans="1:17">
      <c r="A10" s="517">
        <v>45351</v>
      </c>
      <c r="B10" s="323" t="s">
        <v>41</v>
      </c>
      <c r="C10" s="519">
        <v>45351</v>
      </c>
      <c r="D10" s="520"/>
      <c r="E10" s="520"/>
      <c r="F10" s="498" t="s">
        <v>48</v>
      </c>
      <c r="G10" s="520">
        <v>11</v>
      </c>
      <c r="H10" s="521">
        <v>1</v>
      </c>
      <c r="I10" s="520">
        <f t="shared" si="0"/>
        <v>11</v>
      </c>
      <c r="J10" s="515"/>
      <c r="K10" s="525"/>
      <c r="L10" s="606"/>
      <c r="M10" s="606"/>
      <c r="N10" s="606"/>
    </row>
    <row r="11" s="457" customFormat="1" ht="20.25" spans="1:17">
      <c r="A11" s="494">
        <v>45353</v>
      </c>
      <c r="B11" s="607" t="s">
        <v>49</v>
      </c>
      <c r="C11" s="495">
        <v>45352</v>
      </c>
      <c r="D11" s="463"/>
      <c r="E11" s="463"/>
      <c r="F11" s="496" t="s">
        <v>42</v>
      </c>
      <c r="G11" s="463">
        <v>1</v>
      </c>
      <c r="H11" s="432">
        <v>60</v>
      </c>
      <c r="I11" s="463">
        <f t="shared" si="0"/>
        <v>60</v>
      </c>
      <c r="J11" s="497"/>
      <c r="K11" s="492"/>
    </row>
    <row r="12" s="457" customFormat="1" ht="20.25" spans="1:17">
      <c r="A12" s="494">
        <v>45353</v>
      </c>
      <c r="B12" s="607" t="s">
        <v>49</v>
      </c>
      <c r="C12" s="495">
        <v>45352</v>
      </c>
      <c r="D12" s="463"/>
      <c r="E12" s="463"/>
      <c r="F12" s="496" t="s">
        <v>43</v>
      </c>
      <c r="G12" s="463">
        <v>1</v>
      </c>
      <c r="H12" s="432">
        <v>42</v>
      </c>
      <c r="I12" s="463">
        <f t="shared" ref="I12:I43" si="1">G12*H12</f>
        <v>42</v>
      </c>
      <c r="J12" s="497">
        <v>10.3</v>
      </c>
      <c r="K12" s="492">
        <f t="shared" ref="K11:K16" si="2">I12*J12</f>
        <v>432.6</v>
      </c>
    </row>
    <row r="13" s="457" customFormat="1" ht="20.25" spans="1:17">
      <c r="A13" s="494">
        <v>45353</v>
      </c>
      <c r="B13" s="607" t="s">
        <v>49</v>
      </c>
      <c r="C13" s="495">
        <v>45352</v>
      </c>
      <c r="D13" s="463"/>
      <c r="E13" s="463"/>
      <c r="F13" s="496" t="s">
        <v>44</v>
      </c>
      <c r="G13" s="463">
        <v>1</v>
      </c>
      <c r="H13" s="432">
        <v>34</v>
      </c>
      <c r="I13" s="463">
        <f t="shared" si="1"/>
        <v>34</v>
      </c>
      <c r="J13" s="497"/>
      <c r="K13" s="492"/>
      <c r="L13" s="537" t="s">
        <v>50</v>
      </c>
      <c r="M13" s="537"/>
      <c r="N13" s="537"/>
    </row>
    <row r="14" s="457" customFormat="1" ht="20.25" spans="1:17">
      <c r="A14" s="494">
        <v>45353</v>
      </c>
      <c r="B14" s="607" t="s">
        <v>49</v>
      </c>
      <c r="C14" s="495">
        <v>45352</v>
      </c>
      <c r="D14" s="463"/>
      <c r="E14" s="463"/>
      <c r="F14" s="496" t="s">
        <v>45</v>
      </c>
      <c r="G14" s="463">
        <v>1</v>
      </c>
      <c r="H14" s="432">
        <v>64</v>
      </c>
      <c r="I14" s="463">
        <f t="shared" si="1"/>
        <v>64</v>
      </c>
      <c r="J14" s="497"/>
      <c r="K14" s="492"/>
      <c r="L14" s="537"/>
      <c r="M14" s="537" t="s">
        <v>51</v>
      </c>
      <c r="N14" s="537"/>
    </row>
    <row r="15" s="457" customFormat="1" ht="20.25" spans="1:17">
      <c r="A15" s="494">
        <v>45353</v>
      </c>
      <c r="B15" s="607" t="s">
        <v>49</v>
      </c>
      <c r="C15" s="495">
        <v>45352</v>
      </c>
      <c r="D15" s="463"/>
      <c r="E15" s="463"/>
      <c r="F15" s="499" t="s">
        <v>47</v>
      </c>
      <c r="G15" s="463">
        <v>1</v>
      </c>
      <c r="H15" s="432">
        <v>200</v>
      </c>
      <c r="I15" s="463">
        <f t="shared" si="1"/>
        <v>200</v>
      </c>
      <c r="J15" s="497">
        <v>1</v>
      </c>
      <c r="K15" s="502">
        <f t="shared" si="2"/>
        <v>200</v>
      </c>
      <c r="L15" s="537"/>
      <c r="M15" s="537"/>
      <c r="N15" s="537"/>
    </row>
    <row r="16" s="457" customFormat="1" ht="20.25" spans="1:17">
      <c r="A16" s="494">
        <v>45353</v>
      </c>
      <c r="B16" s="607" t="s">
        <v>49</v>
      </c>
      <c r="C16" s="495">
        <v>45352</v>
      </c>
      <c r="D16" s="463"/>
      <c r="E16" s="463"/>
      <c r="F16" s="496" t="s">
        <v>48</v>
      </c>
      <c r="G16" s="463">
        <v>11</v>
      </c>
      <c r="H16" s="432">
        <v>1</v>
      </c>
      <c r="I16" s="463">
        <f t="shared" si="1"/>
        <v>11</v>
      </c>
      <c r="J16" s="497">
        <v>13</v>
      </c>
      <c r="K16" s="525">
        <f t="shared" si="2"/>
        <v>143</v>
      </c>
      <c r="L16" s="537">
        <f>SUM(K11:K16)</f>
        <v>775.6</v>
      </c>
      <c r="M16" s="537"/>
      <c r="N16" s="537"/>
    </row>
    <row r="17" s="456" customFormat="1" ht="20.25" spans="1:14">
      <c r="A17" s="488">
        <v>45360</v>
      </c>
      <c r="B17" s="608" t="s">
        <v>52</v>
      </c>
      <c r="C17" s="490">
        <v>45356</v>
      </c>
      <c r="D17" s="491"/>
      <c r="E17" s="491"/>
      <c r="F17" s="493" t="s">
        <v>53</v>
      </c>
      <c r="G17" s="491">
        <v>1</v>
      </c>
      <c r="H17" s="431">
        <v>8</v>
      </c>
      <c r="I17" s="463">
        <f t="shared" si="1"/>
        <v>8</v>
      </c>
      <c r="J17" s="492">
        <v>3.4</v>
      </c>
      <c r="K17" s="492">
        <f t="shared" ref="K17:K22" si="3">I17*J17</f>
        <v>27.2</v>
      </c>
      <c r="L17" s="536"/>
      <c r="M17" s="536"/>
      <c r="N17" s="536"/>
    </row>
    <row r="18" s="456" customFormat="1" ht="20.25" spans="1:14">
      <c r="A18" s="488">
        <v>45360</v>
      </c>
      <c r="B18" s="608" t="s">
        <v>52</v>
      </c>
      <c r="C18" s="490">
        <v>45356</v>
      </c>
      <c r="D18" s="491"/>
      <c r="E18" s="491"/>
      <c r="F18" s="493" t="s">
        <v>54</v>
      </c>
      <c r="G18" s="491">
        <v>1</v>
      </c>
      <c r="H18" s="431">
        <v>3</v>
      </c>
      <c r="I18" s="463">
        <f t="shared" si="1"/>
        <v>3</v>
      </c>
      <c r="J18" s="492">
        <v>3.6</v>
      </c>
      <c r="K18" s="492">
        <f t="shared" si="3"/>
        <v>10.8</v>
      </c>
      <c r="L18" s="536"/>
      <c r="M18" s="536"/>
      <c r="N18" s="536"/>
    </row>
    <row r="19" s="456" customFormat="1" ht="20.25" spans="1:14">
      <c r="A19" s="488">
        <v>45360</v>
      </c>
      <c r="B19" s="608" t="s">
        <v>52</v>
      </c>
      <c r="C19" s="490">
        <v>45356</v>
      </c>
      <c r="D19" s="491"/>
      <c r="E19" s="491"/>
      <c r="F19" s="493" t="s">
        <v>46</v>
      </c>
      <c r="G19" s="491">
        <v>1</v>
      </c>
      <c r="H19" s="431">
        <v>4</v>
      </c>
      <c r="I19" s="463">
        <f t="shared" si="1"/>
        <v>4</v>
      </c>
      <c r="J19" s="492">
        <v>6.3</v>
      </c>
      <c r="K19" s="492">
        <f t="shared" si="3"/>
        <v>25.2</v>
      </c>
      <c r="L19" s="536"/>
      <c r="M19" s="536"/>
      <c r="N19" s="536"/>
    </row>
    <row r="20" s="456" customFormat="1" ht="20.25" spans="1:14">
      <c r="A20" s="488">
        <v>45360</v>
      </c>
      <c r="B20" s="608" t="s">
        <v>52</v>
      </c>
      <c r="C20" s="490">
        <v>45356</v>
      </c>
      <c r="D20" s="491"/>
      <c r="E20" s="491"/>
      <c r="F20" s="493" t="s">
        <v>55</v>
      </c>
      <c r="G20" s="491">
        <v>1</v>
      </c>
      <c r="H20" s="431">
        <v>3</v>
      </c>
      <c r="I20" s="463">
        <f t="shared" si="1"/>
        <v>3</v>
      </c>
      <c r="J20" s="492">
        <v>10.3</v>
      </c>
      <c r="K20" s="492">
        <f t="shared" si="3"/>
        <v>30.9</v>
      </c>
      <c r="L20" s="536"/>
      <c r="M20" s="536"/>
      <c r="N20" s="536"/>
    </row>
    <row r="21" s="456" customFormat="1" ht="20.25" spans="1:14">
      <c r="A21" s="488">
        <v>45360</v>
      </c>
      <c r="B21" s="608" t="s">
        <v>52</v>
      </c>
      <c r="C21" s="490">
        <v>45356</v>
      </c>
      <c r="D21" s="491"/>
      <c r="E21" s="491"/>
      <c r="F21" s="498" t="s">
        <v>56</v>
      </c>
      <c r="G21" s="520">
        <v>1</v>
      </c>
      <c r="H21" s="521">
        <v>18</v>
      </c>
      <c r="I21" s="520">
        <f t="shared" si="1"/>
        <v>18</v>
      </c>
      <c r="J21" s="515">
        <v>0.7</v>
      </c>
      <c r="K21" s="515">
        <f t="shared" si="3"/>
        <v>12.6</v>
      </c>
      <c r="L21" s="536"/>
      <c r="M21" s="536"/>
      <c r="N21" s="536"/>
    </row>
    <row r="22" s="456" customFormat="1" ht="20.25" spans="1:14">
      <c r="A22" s="488">
        <v>45360</v>
      </c>
      <c r="B22" s="608" t="s">
        <v>52</v>
      </c>
      <c r="C22" s="490">
        <v>45356</v>
      </c>
      <c r="D22" s="491"/>
      <c r="E22" s="491"/>
      <c r="F22" s="493" t="s">
        <v>48</v>
      </c>
      <c r="G22" s="491">
        <v>1</v>
      </c>
      <c r="H22" s="431">
        <v>1</v>
      </c>
      <c r="I22" s="463">
        <f t="shared" si="1"/>
        <v>1</v>
      </c>
      <c r="J22" s="492">
        <v>13</v>
      </c>
      <c r="K22" s="525">
        <f t="shared" si="3"/>
        <v>13</v>
      </c>
      <c r="L22" s="536">
        <f>SUM(K17:K22)</f>
        <v>119.7</v>
      </c>
      <c r="M22" s="536"/>
      <c r="N22" s="536"/>
    </row>
    <row r="23" s="457" customFormat="1" ht="20.25" spans="1:14">
      <c r="A23" s="494">
        <v>45360</v>
      </c>
      <c r="B23" s="607" t="s">
        <v>57</v>
      </c>
      <c r="C23" s="495">
        <v>45357</v>
      </c>
      <c r="D23" s="463"/>
      <c r="E23" s="463"/>
      <c r="F23" s="496" t="s">
        <v>58</v>
      </c>
      <c r="G23" s="463">
        <v>1</v>
      </c>
      <c r="H23" s="432">
        <v>3</v>
      </c>
      <c r="I23" s="463">
        <f t="shared" si="1"/>
        <v>3</v>
      </c>
      <c r="J23" s="497"/>
      <c r="K23" s="492"/>
      <c r="L23" s="537"/>
      <c r="M23" s="537"/>
      <c r="N23" s="537"/>
    </row>
    <row r="24" s="457" customFormat="1" ht="20.25" spans="1:14">
      <c r="A24" s="494">
        <v>45360</v>
      </c>
      <c r="B24" s="607" t="s">
        <v>57</v>
      </c>
      <c r="C24" s="495">
        <v>45357</v>
      </c>
      <c r="D24" s="463"/>
      <c r="E24" s="463"/>
      <c r="F24" s="496" t="s">
        <v>59</v>
      </c>
      <c r="G24" s="463">
        <v>1</v>
      </c>
      <c r="H24" s="432">
        <v>3</v>
      </c>
      <c r="I24" s="463">
        <f t="shared" si="1"/>
        <v>3</v>
      </c>
      <c r="J24" s="497"/>
      <c r="K24" s="492"/>
      <c r="L24" s="537"/>
      <c r="M24" s="537"/>
      <c r="N24" s="537"/>
    </row>
    <row r="25" s="457" customFormat="1" ht="20.25" spans="1:14">
      <c r="A25" s="494">
        <v>45360</v>
      </c>
      <c r="B25" s="607" t="s">
        <v>57</v>
      </c>
      <c r="C25" s="495">
        <v>45358</v>
      </c>
      <c r="D25" s="463"/>
      <c r="E25" s="463"/>
      <c r="F25" s="496" t="s">
        <v>60</v>
      </c>
      <c r="G25" s="463">
        <v>1</v>
      </c>
      <c r="H25" s="432">
        <v>3</v>
      </c>
      <c r="I25" s="463">
        <f t="shared" si="1"/>
        <v>3</v>
      </c>
      <c r="J25" s="497"/>
      <c r="K25" s="492"/>
      <c r="L25" s="537"/>
      <c r="M25" s="537"/>
      <c r="N25" s="537"/>
    </row>
    <row r="26" s="457" customFormat="1" ht="20.25" spans="1:14">
      <c r="A26" s="494">
        <v>45360</v>
      </c>
      <c r="B26" s="607" t="s">
        <v>57</v>
      </c>
      <c r="C26" s="495">
        <v>45358</v>
      </c>
      <c r="D26" s="463"/>
      <c r="E26" s="463"/>
      <c r="F26" s="496" t="s">
        <v>61</v>
      </c>
      <c r="G26" s="463">
        <v>1</v>
      </c>
      <c r="H26" s="432">
        <v>3</v>
      </c>
      <c r="I26" s="463">
        <f t="shared" si="1"/>
        <v>3</v>
      </c>
      <c r="J26" s="497"/>
      <c r="K26" s="492"/>
      <c r="L26" s="537"/>
      <c r="M26" s="537"/>
      <c r="N26" s="537"/>
    </row>
    <row r="27" s="457" customFormat="1" ht="20.25" spans="1:14">
      <c r="A27" s="494">
        <v>45360</v>
      </c>
      <c r="B27" s="607" t="s">
        <v>57</v>
      </c>
      <c r="C27" s="495">
        <v>45358</v>
      </c>
      <c r="D27" s="463"/>
      <c r="E27" s="463"/>
      <c r="F27" s="496" t="s">
        <v>62</v>
      </c>
      <c r="G27" s="463">
        <v>1</v>
      </c>
      <c r="H27" s="432">
        <v>2</v>
      </c>
      <c r="I27" s="463">
        <f t="shared" si="1"/>
        <v>2</v>
      </c>
      <c r="J27" s="497">
        <v>50</v>
      </c>
      <c r="K27" s="515">
        <f>I27*J27</f>
        <v>100</v>
      </c>
      <c r="L27" s="537"/>
      <c r="M27" s="537"/>
      <c r="N27" s="537"/>
    </row>
    <row r="28" s="457" customFormat="1" ht="20.25" spans="1:14">
      <c r="A28" s="494">
        <v>45360</v>
      </c>
      <c r="B28" s="607" t="s">
        <v>57</v>
      </c>
      <c r="C28" s="495">
        <v>45358</v>
      </c>
      <c r="D28" s="463"/>
      <c r="E28" s="463"/>
      <c r="F28" s="496" t="s">
        <v>63</v>
      </c>
      <c r="G28" s="463">
        <v>5</v>
      </c>
      <c r="H28" s="432">
        <v>1</v>
      </c>
      <c r="I28" s="463">
        <f t="shared" si="1"/>
        <v>5</v>
      </c>
      <c r="J28" s="497">
        <v>5.5</v>
      </c>
      <c r="K28" s="525">
        <f>I28*J28</f>
        <v>27.5</v>
      </c>
      <c r="L28" s="537">
        <f>SUM(K23:K28)</f>
        <v>127.5</v>
      </c>
      <c r="M28" s="537"/>
      <c r="N28" s="537"/>
    </row>
    <row r="29" s="456" customFormat="1" ht="20.25" spans="1:14">
      <c r="A29" s="488">
        <v>45360</v>
      </c>
      <c r="B29" s="456" t="s">
        <v>64</v>
      </c>
      <c r="C29" s="490">
        <v>45357</v>
      </c>
      <c r="D29" s="491"/>
      <c r="E29" s="491"/>
      <c r="F29" s="493" t="s">
        <v>46</v>
      </c>
      <c r="G29" s="491">
        <v>2</v>
      </c>
      <c r="H29" s="431">
        <v>60</v>
      </c>
      <c r="I29" s="491">
        <f t="shared" si="1"/>
        <v>120</v>
      </c>
      <c r="J29" s="492">
        <v>6.3</v>
      </c>
      <c r="K29" s="492">
        <f t="shared" ref="K29:K34" si="4">I29*J29</f>
        <v>756</v>
      </c>
      <c r="L29" s="536"/>
      <c r="M29" s="536"/>
      <c r="N29" s="536"/>
    </row>
    <row r="30" s="456" customFormat="1" ht="20.25" spans="1:14">
      <c r="A30" s="488">
        <v>45360</v>
      </c>
      <c r="B30" s="456" t="s">
        <v>64</v>
      </c>
      <c r="C30" s="490">
        <v>45357</v>
      </c>
      <c r="D30" s="491"/>
      <c r="E30" s="491"/>
      <c r="F30" s="493" t="s">
        <v>65</v>
      </c>
      <c r="G30" s="491">
        <v>2</v>
      </c>
      <c r="H30" s="431">
        <v>25</v>
      </c>
      <c r="I30" s="491">
        <f t="shared" si="1"/>
        <v>50</v>
      </c>
      <c r="J30" s="492"/>
      <c r="K30" s="492"/>
      <c r="L30" s="536"/>
      <c r="M30" s="536"/>
      <c r="N30" s="536"/>
    </row>
    <row r="31" s="456" customFormat="1" ht="20.25" spans="1:14">
      <c r="A31" s="488">
        <v>45360</v>
      </c>
      <c r="B31" s="456" t="s">
        <v>64</v>
      </c>
      <c r="C31" s="490">
        <v>45357</v>
      </c>
      <c r="D31" s="491"/>
      <c r="E31" s="491"/>
      <c r="F31" s="499" t="s">
        <v>66</v>
      </c>
      <c r="G31" s="491">
        <v>2</v>
      </c>
      <c r="H31" s="431">
        <v>85</v>
      </c>
      <c r="I31" s="491">
        <f t="shared" si="1"/>
        <v>170</v>
      </c>
      <c r="J31" s="492">
        <v>0.8</v>
      </c>
      <c r="K31" s="492">
        <f t="shared" si="4"/>
        <v>136</v>
      </c>
      <c r="L31" s="536"/>
      <c r="M31" s="536"/>
      <c r="N31" s="536"/>
    </row>
    <row r="32" s="456" customFormat="1" ht="20.25" spans="1:14">
      <c r="A32" s="488">
        <v>45360</v>
      </c>
      <c r="B32" s="456" t="s">
        <v>64</v>
      </c>
      <c r="C32" s="490">
        <v>45357</v>
      </c>
      <c r="D32" s="491"/>
      <c r="E32" s="491"/>
      <c r="F32" s="493" t="s">
        <v>46</v>
      </c>
      <c r="G32" s="491">
        <v>2</v>
      </c>
      <c r="H32" s="431">
        <v>135</v>
      </c>
      <c r="I32" s="491">
        <f t="shared" si="1"/>
        <v>270</v>
      </c>
      <c r="J32" s="492">
        <v>6.3</v>
      </c>
      <c r="K32" s="492">
        <f t="shared" si="4"/>
        <v>1701</v>
      </c>
      <c r="L32" s="536"/>
      <c r="M32" s="536"/>
      <c r="N32" s="536"/>
    </row>
    <row r="33" s="456" customFormat="1" ht="20.25" spans="1:14">
      <c r="A33" s="488">
        <v>45360</v>
      </c>
      <c r="B33" s="456" t="s">
        <v>64</v>
      </c>
      <c r="C33" s="490">
        <v>45357</v>
      </c>
      <c r="D33" s="491"/>
      <c r="E33" s="491"/>
      <c r="F33" s="493" t="s">
        <v>67</v>
      </c>
      <c r="G33" s="491">
        <v>2</v>
      </c>
      <c r="H33" s="431">
        <v>25</v>
      </c>
      <c r="I33" s="491">
        <f t="shared" si="1"/>
        <v>50</v>
      </c>
      <c r="J33" s="492"/>
      <c r="K33" s="492"/>
      <c r="L33" s="536"/>
      <c r="M33" s="536"/>
      <c r="N33" s="536"/>
    </row>
    <row r="34" s="456" customFormat="1" ht="20.25" spans="1:14">
      <c r="A34" s="488">
        <v>45360</v>
      </c>
      <c r="B34" s="456" t="s">
        <v>64</v>
      </c>
      <c r="C34" s="490">
        <v>45357</v>
      </c>
      <c r="D34" s="491"/>
      <c r="E34" s="491"/>
      <c r="F34" s="499" t="s">
        <v>68</v>
      </c>
      <c r="G34" s="491">
        <v>2</v>
      </c>
      <c r="H34" s="431">
        <v>160</v>
      </c>
      <c r="I34" s="491">
        <f t="shared" si="1"/>
        <v>320</v>
      </c>
      <c r="J34" s="492">
        <v>0.8</v>
      </c>
      <c r="K34" s="502">
        <f t="shared" si="4"/>
        <v>256</v>
      </c>
      <c r="L34" s="536">
        <f>SUM(K29:K34)</f>
        <v>2849</v>
      </c>
      <c r="M34" s="536"/>
      <c r="N34" s="536"/>
    </row>
    <row r="35" s="457" customFormat="1" ht="20.25" spans="1:14">
      <c r="A35" s="494">
        <v>45360</v>
      </c>
      <c r="B35" s="457" t="s">
        <v>69</v>
      </c>
      <c r="C35" s="495">
        <v>45358</v>
      </c>
      <c r="D35" s="463"/>
      <c r="E35" s="463"/>
      <c r="F35" s="496" t="s">
        <v>70</v>
      </c>
      <c r="G35" s="463">
        <v>1</v>
      </c>
      <c r="H35" s="432">
        <v>25.5</v>
      </c>
      <c r="I35" s="463">
        <f t="shared" si="1"/>
        <v>25.5</v>
      </c>
      <c r="J35" s="497"/>
      <c r="K35" s="497"/>
      <c r="L35" s="537"/>
      <c r="M35" s="537"/>
      <c r="N35" s="537"/>
    </row>
    <row r="36" s="457" customFormat="1" ht="20.25" spans="1:14">
      <c r="A36" s="494">
        <v>45360</v>
      </c>
      <c r="B36" s="457" t="s">
        <v>69</v>
      </c>
      <c r="C36" s="495">
        <v>45358</v>
      </c>
      <c r="D36" s="463"/>
      <c r="E36" s="463"/>
      <c r="F36" s="496" t="s">
        <v>71</v>
      </c>
      <c r="G36" s="463">
        <v>1</v>
      </c>
      <c r="H36" s="432">
        <v>5</v>
      </c>
      <c r="I36" s="463">
        <f t="shared" si="1"/>
        <v>5</v>
      </c>
      <c r="J36" s="497"/>
      <c r="K36" s="497"/>
      <c r="L36" s="537"/>
      <c r="M36" s="537"/>
      <c r="N36" s="537"/>
    </row>
    <row r="37" s="457" customFormat="1" ht="20.25" spans="1:14">
      <c r="A37" s="494">
        <v>45360</v>
      </c>
      <c r="B37" s="457" t="s">
        <v>69</v>
      </c>
      <c r="C37" s="495">
        <v>45358</v>
      </c>
      <c r="D37" s="463"/>
      <c r="E37" s="463"/>
      <c r="F37" s="496" t="s">
        <v>72</v>
      </c>
      <c r="G37" s="463">
        <v>1</v>
      </c>
      <c r="H37" s="432">
        <v>25.5</v>
      </c>
      <c r="I37" s="463">
        <f t="shared" si="1"/>
        <v>25.5</v>
      </c>
      <c r="J37" s="497"/>
      <c r="K37" s="497"/>
      <c r="L37" s="537"/>
      <c r="M37" s="537"/>
      <c r="N37" s="537"/>
    </row>
    <row r="38" s="457" customFormat="1" ht="20.25" spans="1:14">
      <c r="A38" s="494">
        <v>45360</v>
      </c>
      <c r="B38" s="457" t="s">
        <v>69</v>
      </c>
      <c r="C38" s="495">
        <v>45358</v>
      </c>
      <c r="D38" s="463"/>
      <c r="E38" s="463"/>
      <c r="F38" s="496" t="s">
        <v>73</v>
      </c>
      <c r="G38" s="463">
        <v>1</v>
      </c>
      <c r="H38" s="432">
        <v>12</v>
      </c>
      <c r="I38" s="463">
        <f t="shared" si="1"/>
        <v>12</v>
      </c>
      <c r="J38" s="497"/>
      <c r="K38" s="497"/>
      <c r="L38" s="537"/>
      <c r="M38" s="537"/>
      <c r="N38" s="537"/>
    </row>
    <row r="39" s="457" customFormat="1" ht="20.25" spans="1:14">
      <c r="A39" s="494">
        <v>45360</v>
      </c>
      <c r="B39" s="457" t="s">
        <v>69</v>
      </c>
      <c r="C39" s="495">
        <v>45358</v>
      </c>
      <c r="D39" s="463"/>
      <c r="E39" s="463"/>
      <c r="F39" s="496" t="s">
        <v>74</v>
      </c>
      <c r="G39" s="463">
        <v>1</v>
      </c>
      <c r="H39" s="432">
        <v>44</v>
      </c>
      <c r="I39" s="463">
        <f t="shared" si="1"/>
        <v>44</v>
      </c>
      <c r="J39" s="497"/>
      <c r="K39" s="497"/>
      <c r="L39" s="537"/>
      <c r="M39" s="537"/>
      <c r="N39" s="537"/>
    </row>
    <row r="40" s="457" customFormat="1" ht="20.25" spans="1:14">
      <c r="A40" s="494">
        <v>45360</v>
      </c>
      <c r="B40" s="457" t="s">
        <v>69</v>
      </c>
      <c r="C40" s="495">
        <v>45358</v>
      </c>
      <c r="D40" s="463"/>
      <c r="E40" s="463"/>
      <c r="F40" s="496" t="s">
        <v>75</v>
      </c>
      <c r="G40" s="463">
        <v>1</v>
      </c>
      <c r="H40" s="432">
        <v>1.5</v>
      </c>
      <c r="I40" s="463">
        <f t="shared" si="1"/>
        <v>1.5</v>
      </c>
      <c r="J40" s="497"/>
      <c r="K40" s="497"/>
      <c r="L40" s="537"/>
      <c r="M40" s="537"/>
      <c r="N40" s="537"/>
    </row>
    <row r="41" s="457" customFormat="1" ht="20.25" spans="1:14">
      <c r="A41" s="494">
        <v>45360</v>
      </c>
      <c r="B41" s="457" t="s">
        <v>69</v>
      </c>
      <c r="C41" s="495">
        <v>45358</v>
      </c>
      <c r="D41" s="463"/>
      <c r="E41" s="463"/>
      <c r="F41" s="496" t="s">
        <v>76</v>
      </c>
      <c r="G41" s="463">
        <v>1</v>
      </c>
      <c r="H41" s="432">
        <v>25.5</v>
      </c>
      <c r="I41" s="463">
        <f t="shared" si="1"/>
        <v>25.5</v>
      </c>
      <c r="J41" s="463">
        <v>10.3</v>
      </c>
      <c r="K41" s="497">
        <v>262.65</v>
      </c>
      <c r="L41" s="537"/>
      <c r="M41" s="537"/>
      <c r="N41" s="537"/>
    </row>
    <row r="42" s="457" customFormat="1" ht="20.25" spans="1:14">
      <c r="A42" s="494">
        <v>45360</v>
      </c>
      <c r="B42" s="457" t="s">
        <v>69</v>
      </c>
      <c r="C42" s="495">
        <v>45358</v>
      </c>
      <c r="D42" s="463"/>
      <c r="E42" s="463"/>
      <c r="F42" s="496" t="s">
        <v>77</v>
      </c>
      <c r="G42" s="463">
        <v>1</v>
      </c>
      <c r="H42" s="432">
        <v>31</v>
      </c>
      <c r="I42" s="463">
        <f t="shared" si="1"/>
        <v>31</v>
      </c>
      <c r="J42" s="463">
        <v>6.3</v>
      </c>
      <c r="K42" s="497">
        <v>195.3</v>
      </c>
      <c r="L42" s="537"/>
      <c r="M42" s="537"/>
      <c r="N42" s="537"/>
    </row>
    <row r="43" s="457" customFormat="1" ht="20.25" spans="1:14">
      <c r="A43" s="494">
        <v>45360</v>
      </c>
      <c r="B43" s="457" t="s">
        <v>69</v>
      </c>
      <c r="C43" s="495">
        <v>45358</v>
      </c>
      <c r="D43" s="463"/>
      <c r="E43" s="463"/>
      <c r="F43" s="499" t="s">
        <v>78</v>
      </c>
      <c r="G43" s="463">
        <v>1</v>
      </c>
      <c r="H43" s="432">
        <v>170</v>
      </c>
      <c r="I43" s="463">
        <f t="shared" si="1"/>
        <v>170</v>
      </c>
      <c r="J43" s="463">
        <v>1</v>
      </c>
      <c r="K43" s="502">
        <v>170</v>
      </c>
      <c r="L43" s="537">
        <v>627.95</v>
      </c>
      <c r="M43" s="537"/>
      <c r="N43" s="537"/>
    </row>
    <row r="44" s="456" customFormat="1" ht="20.25" spans="1:14">
      <c r="A44" s="488">
        <v>45370</v>
      </c>
      <c r="B44" s="456" t="s">
        <v>79</v>
      </c>
      <c r="C44" s="490">
        <v>45363</v>
      </c>
      <c r="D44" s="491"/>
      <c r="E44" s="491"/>
      <c r="F44" s="493" t="s">
        <v>42</v>
      </c>
      <c r="G44" s="491">
        <v>1</v>
      </c>
      <c r="H44" s="431">
        <v>32</v>
      </c>
      <c r="I44" s="491">
        <f t="shared" ref="I44:I67" si="5">G44*H44</f>
        <v>32</v>
      </c>
      <c r="J44" s="492"/>
      <c r="K44" s="492"/>
    </row>
    <row r="45" s="456" customFormat="1" ht="20.25" spans="1:14">
      <c r="A45" s="488">
        <v>45370</v>
      </c>
      <c r="B45" s="456" t="s">
        <v>79</v>
      </c>
      <c r="C45" s="490">
        <v>45363</v>
      </c>
      <c r="D45" s="491"/>
      <c r="E45" s="491"/>
      <c r="F45" s="493" t="s">
        <v>80</v>
      </c>
      <c r="G45" s="491">
        <v>1</v>
      </c>
      <c r="H45" s="431">
        <v>3</v>
      </c>
      <c r="I45" s="491">
        <f t="shared" si="5"/>
        <v>3</v>
      </c>
      <c r="J45" s="492"/>
      <c r="K45" s="492"/>
    </row>
    <row r="46" s="456" customFormat="1" ht="20.25" spans="1:14">
      <c r="A46" s="488">
        <v>45370</v>
      </c>
      <c r="B46" s="456" t="s">
        <v>79</v>
      </c>
      <c r="C46" s="490">
        <v>45363</v>
      </c>
      <c r="D46" s="491"/>
      <c r="E46" s="491"/>
      <c r="F46" s="493" t="s">
        <v>81</v>
      </c>
      <c r="G46" s="491">
        <v>1</v>
      </c>
      <c r="H46" s="431">
        <v>100</v>
      </c>
      <c r="I46" s="491">
        <f t="shared" si="5"/>
        <v>100</v>
      </c>
      <c r="J46" s="492">
        <v>16</v>
      </c>
      <c r="K46" s="492">
        <f t="shared" ref="K46:K49" si="6">I46*J46</f>
        <v>1600</v>
      </c>
    </row>
    <row r="47" s="456" customFormat="1" ht="20.25" spans="1:14">
      <c r="A47" s="488">
        <v>45370</v>
      </c>
      <c r="B47" s="456" t="s">
        <v>79</v>
      </c>
      <c r="C47" s="490">
        <v>45363</v>
      </c>
      <c r="D47" s="491"/>
      <c r="E47" s="491"/>
      <c r="F47" s="493" t="s">
        <v>82</v>
      </c>
      <c r="G47" s="491">
        <v>1</v>
      </c>
      <c r="H47" s="431">
        <v>20</v>
      </c>
      <c r="I47" s="491">
        <f t="shared" si="5"/>
        <v>20</v>
      </c>
      <c r="J47" s="492">
        <v>9</v>
      </c>
      <c r="K47" s="492">
        <f t="shared" si="6"/>
        <v>180</v>
      </c>
    </row>
    <row r="48" s="456" customFormat="1" ht="20.25" spans="1:14">
      <c r="A48" s="488">
        <v>45370</v>
      </c>
      <c r="B48" s="456" t="s">
        <v>79</v>
      </c>
      <c r="C48" s="490">
        <v>45363</v>
      </c>
      <c r="D48" s="491"/>
      <c r="E48" s="491"/>
      <c r="F48" s="493" t="s">
        <v>83</v>
      </c>
      <c r="G48" s="491">
        <v>1</v>
      </c>
      <c r="H48" s="431">
        <v>20</v>
      </c>
      <c r="I48" s="491">
        <f t="shared" si="5"/>
        <v>20</v>
      </c>
      <c r="J48" s="492">
        <v>8.1</v>
      </c>
      <c r="K48" s="492">
        <f t="shared" si="6"/>
        <v>162</v>
      </c>
    </row>
    <row r="49" s="456" customFormat="1" ht="20.25" spans="1:12">
      <c r="A49" s="488">
        <v>45370</v>
      </c>
      <c r="B49" s="456" t="s">
        <v>79</v>
      </c>
      <c r="C49" s="490">
        <v>45363</v>
      </c>
      <c r="D49" s="491"/>
      <c r="E49" s="491"/>
      <c r="F49" s="499" t="s">
        <v>84</v>
      </c>
      <c r="G49" s="491">
        <v>1</v>
      </c>
      <c r="H49" s="431">
        <v>175</v>
      </c>
      <c r="I49" s="491">
        <f t="shared" si="5"/>
        <v>175</v>
      </c>
      <c r="J49" s="492">
        <v>3</v>
      </c>
      <c r="K49" s="502">
        <f t="shared" si="6"/>
        <v>525</v>
      </c>
      <c r="L49" s="456">
        <f>SUM(K46:K49)</f>
        <v>2467</v>
      </c>
    </row>
    <row r="50" s="457" customFormat="1" ht="20.25" spans="1:12">
      <c r="A50" s="494">
        <v>45370</v>
      </c>
      <c r="B50" s="457" t="s">
        <v>85</v>
      </c>
      <c r="C50" s="495">
        <v>45370</v>
      </c>
      <c r="D50" s="463"/>
      <c r="E50" s="463"/>
      <c r="F50" s="496" t="s">
        <v>16</v>
      </c>
      <c r="G50" s="463">
        <v>1</v>
      </c>
      <c r="H50" s="432">
        <v>100</v>
      </c>
      <c r="I50" s="463">
        <f t="shared" si="5"/>
        <v>100</v>
      </c>
      <c r="J50" s="497"/>
      <c r="K50" s="497"/>
    </row>
    <row r="51" s="457" customFormat="1" ht="20.25" spans="1:12">
      <c r="A51" s="494">
        <v>45370</v>
      </c>
      <c r="B51" s="457" t="s">
        <v>85</v>
      </c>
      <c r="C51" s="495">
        <v>45370</v>
      </c>
      <c r="D51" s="463"/>
      <c r="E51" s="463"/>
      <c r="F51" s="496" t="s">
        <v>13</v>
      </c>
      <c r="G51" s="463">
        <v>1</v>
      </c>
      <c r="H51" s="432">
        <v>100</v>
      </c>
      <c r="I51" s="463">
        <f t="shared" si="5"/>
        <v>100</v>
      </c>
      <c r="J51" s="497"/>
      <c r="K51" s="497"/>
    </row>
    <row r="52" s="457" customFormat="1" ht="20.25" spans="1:12">
      <c r="A52" s="494">
        <v>45370</v>
      </c>
      <c r="B52" s="457" t="s">
        <v>85</v>
      </c>
      <c r="C52" s="495">
        <v>45370</v>
      </c>
      <c r="D52" s="463"/>
      <c r="E52" s="463"/>
      <c r="F52" s="496" t="s">
        <v>86</v>
      </c>
      <c r="G52" s="463">
        <v>1</v>
      </c>
      <c r="H52" s="432">
        <v>35</v>
      </c>
      <c r="I52" s="463">
        <f t="shared" si="5"/>
        <v>35</v>
      </c>
      <c r="J52" s="497"/>
      <c r="K52" s="497"/>
    </row>
    <row r="53" s="457" customFormat="1" ht="20.25" spans="1:12">
      <c r="A53" s="494">
        <v>45370</v>
      </c>
      <c r="B53" s="457" t="s">
        <v>85</v>
      </c>
      <c r="C53" s="495">
        <v>45370</v>
      </c>
      <c r="D53" s="463"/>
      <c r="E53" s="463"/>
      <c r="F53" s="496" t="s">
        <v>87</v>
      </c>
      <c r="G53" s="463">
        <v>1</v>
      </c>
      <c r="H53" s="432">
        <v>190</v>
      </c>
      <c r="I53" s="463">
        <f t="shared" si="5"/>
        <v>190</v>
      </c>
      <c r="J53" s="497"/>
      <c r="K53" s="497"/>
    </row>
    <row r="54" s="457" customFormat="1" ht="20.25" spans="1:12">
      <c r="A54" s="494">
        <v>45370</v>
      </c>
      <c r="B54" s="457" t="s">
        <v>85</v>
      </c>
      <c r="C54" s="495">
        <v>45370</v>
      </c>
      <c r="D54" s="463"/>
      <c r="E54" s="463"/>
      <c r="F54" s="496">
        <v>808</v>
      </c>
      <c r="G54" s="463">
        <v>1</v>
      </c>
      <c r="H54" s="432">
        <v>75</v>
      </c>
      <c r="I54" s="463">
        <f t="shared" si="5"/>
        <v>75</v>
      </c>
      <c r="J54" s="497">
        <v>10.3</v>
      </c>
      <c r="K54" s="497">
        <v>772.5</v>
      </c>
    </row>
    <row r="55" s="457" customFormat="1" ht="20.25" spans="1:12">
      <c r="A55" s="494">
        <v>45370</v>
      </c>
      <c r="B55" s="457" t="s">
        <v>85</v>
      </c>
      <c r="C55" s="495">
        <v>45370</v>
      </c>
      <c r="D55" s="463"/>
      <c r="E55" s="463"/>
      <c r="F55" s="499" t="s">
        <v>17</v>
      </c>
      <c r="G55" s="463">
        <v>1</v>
      </c>
      <c r="H55" s="432">
        <v>500</v>
      </c>
      <c r="I55" s="463">
        <f t="shared" si="5"/>
        <v>500</v>
      </c>
      <c r="J55" s="497">
        <v>1</v>
      </c>
      <c r="K55" s="502">
        <v>500</v>
      </c>
      <c r="L55" s="457">
        <v>1272.5</v>
      </c>
    </row>
    <row r="56" s="456" customFormat="1" ht="20.25" spans="1:12">
      <c r="A56" s="488">
        <v>45371</v>
      </c>
      <c r="B56" s="456" t="s">
        <v>88</v>
      </c>
      <c r="C56" s="490">
        <v>45370</v>
      </c>
      <c r="D56" s="491"/>
      <c r="E56" s="491"/>
      <c r="F56" s="493" t="s">
        <v>16</v>
      </c>
      <c r="G56" s="491">
        <v>1</v>
      </c>
      <c r="H56" s="431">
        <v>32</v>
      </c>
      <c r="I56" s="491">
        <f t="shared" si="5"/>
        <v>32</v>
      </c>
      <c r="J56" s="492"/>
      <c r="K56" s="492"/>
    </row>
    <row r="57" s="456" customFormat="1" ht="20.25" spans="1:12">
      <c r="A57" s="488">
        <v>45371</v>
      </c>
      <c r="B57" s="456" t="s">
        <v>88</v>
      </c>
      <c r="C57" s="490">
        <v>45370</v>
      </c>
      <c r="D57" s="491"/>
      <c r="E57" s="491"/>
      <c r="F57" s="493" t="s">
        <v>89</v>
      </c>
      <c r="G57" s="491">
        <v>1</v>
      </c>
      <c r="H57" s="431">
        <v>3</v>
      </c>
      <c r="I57" s="491">
        <f t="shared" si="5"/>
        <v>3</v>
      </c>
      <c r="J57" s="492"/>
      <c r="K57" s="492"/>
    </row>
    <row r="58" s="456" customFormat="1" ht="20.25" spans="1:12">
      <c r="A58" s="488">
        <v>45371</v>
      </c>
      <c r="B58" s="456" t="s">
        <v>88</v>
      </c>
      <c r="C58" s="490">
        <v>45370</v>
      </c>
      <c r="D58" s="491"/>
      <c r="E58" s="491"/>
      <c r="F58" s="493" t="s">
        <v>90</v>
      </c>
      <c r="G58" s="491">
        <v>1</v>
      </c>
      <c r="H58" s="431">
        <v>100</v>
      </c>
      <c r="I58" s="491">
        <f t="shared" si="5"/>
        <v>100</v>
      </c>
      <c r="J58" s="492">
        <v>16</v>
      </c>
      <c r="K58" s="492">
        <f>I58*J58</f>
        <v>1600</v>
      </c>
    </row>
    <row r="59" s="456" customFormat="1" ht="20.25" spans="1:12">
      <c r="A59" s="488">
        <v>45371</v>
      </c>
      <c r="B59" s="456" t="s">
        <v>88</v>
      </c>
      <c r="C59" s="490">
        <v>45370</v>
      </c>
      <c r="D59" s="491"/>
      <c r="E59" s="491"/>
      <c r="F59" s="493" t="s">
        <v>82</v>
      </c>
      <c r="G59" s="491">
        <v>1</v>
      </c>
      <c r="H59" s="431">
        <v>20</v>
      </c>
      <c r="I59" s="491">
        <f t="shared" si="5"/>
        <v>20</v>
      </c>
      <c r="J59" s="492">
        <v>9</v>
      </c>
      <c r="K59" s="492">
        <f>I59*J59</f>
        <v>180</v>
      </c>
    </row>
    <row r="60" s="456" customFormat="1" ht="20.25" spans="1:12">
      <c r="A60" s="488">
        <v>45371</v>
      </c>
      <c r="B60" s="456" t="s">
        <v>88</v>
      </c>
      <c r="C60" s="490">
        <v>45370</v>
      </c>
      <c r="D60" s="491"/>
      <c r="E60" s="491"/>
      <c r="F60" s="493" t="s">
        <v>83</v>
      </c>
      <c r="G60" s="491">
        <v>1</v>
      </c>
      <c r="H60" s="431">
        <v>20</v>
      </c>
      <c r="I60" s="491">
        <f t="shared" si="5"/>
        <v>20</v>
      </c>
      <c r="J60" s="492">
        <v>8.1</v>
      </c>
      <c r="K60" s="492">
        <f>I60*J60</f>
        <v>162</v>
      </c>
    </row>
    <row r="61" s="456" customFormat="1" ht="20.25" spans="1:12">
      <c r="A61" s="488">
        <v>45371</v>
      </c>
      <c r="B61" s="456" t="s">
        <v>88</v>
      </c>
      <c r="C61" s="490">
        <v>45370</v>
      </c>
      <c r="D61" s="491"/>
      <c r="E61" s="491"/>
      <c r="F61" s="499" t="s">
        <v>84</v>
      </c>
      <c r="G61" s="491">
        <v>1</v>
      </c>
      <c r="H61" s="431">
        <v>175</v>
      </c>
      <c r="I61" s="491">
        <f t="shared" si="5"/>
        <v>175</v>
      </c>
      <c r="J61" s="492">
        <v>3</v>
      </c>
      <c r="K61" s="502">
        <f>I61*J61</f>
        <v>525</v>
      </c>
      <c r="L61" s="456">
        <f>SUM(K58:K61)</f>
        <v>2467</v>
      </c>
    </row>
    <row r="62" s="457" customFormat="1" ht="20.25" spans="1:12">
      <c r="A62" s="494">
        <v>45373</v>
      </c>
      <c r="B62" s="457" t="s">
        <v>91</v>
      </c>
      <c r="C62" s="495">
        <v>45373</v>
      </c>
      <c r="D62" s="463"/>
      <c r="E62" s="463"/>
      <c r="F62" s="496" t="s">
        <v>16</v>
      </c>
      <c r="G62" s="463">
        <v>1</v>
      </c>
      <c r="H62" s="432">
        <v>32</v>
      </c>
      <c r="I62" s="463">
        <f t="shared" si="5"/>
        <v>32</v>
      </c>
      <c r="J62" s="497"/>
      <c r="K62" s="497"/>
    </row>
    <row r="63" s="457" customFormat="1" ht="20.25" spans="1:12">
      <c r="A63" s="494">
        <v>45373</v>
      </c>
      <c r="B63" s="457" t="s">
        <v>91</v>
      </c>
      <c r="C63" s="495">
        <v>45373</v>
      </c>
      <c r="D63" s="463"/>
      <c r="E63" s="463"/>
      <c r="F63" s="496" t="s">
        <v>89</v>
      </c>
      <c r="G63" s="463">
        <v>1</v>
      </c>
      <c r="H63" s="432">
        <v>3</v>
      </c>
      <c r="I63" s="463">
        <f t="shared" si="5"/>
        <v>3</v>
      </c>
      <c r="J63" s="497"/>
      <c r="K63" s="497"/>
    </row>
    <row r="64" s="457" customFormat="1" ht="20.25" spans="1:12">
      <c r="A64" s="494">
        <v>45373</v>
      </c>
      <c r="B64" s="457" t="s">
        <v>91</v>
      </c>
      <c r="C64" s="495">
        <v>45373</v>
      </c>
      <c r="D64" s="463"/>
      <c r="E64" s="463"/>
      <c r="F64" s="496" t="s">
        <v>92</v>
      </c>
      <c r="G64" s="463">
        <v>1</v>
      </c>
      <c r="H64" s="432">
        <v>1.8</v>
      </c>
      <c r="I64" s="463">
        <f t="shared" si="5"/>
        <v>1.8</v>
      </c>
      <c r="J64" s="497"/>
      <c r="K64" s="497"/>
    </row>
    <row r="65" s="457" customFormat="1" ht="20.25" spans="1:14">
      <c r="A65" s="494">
        <v>45373</v>
      </c>
      <c r="B65" s="457" t="s">
        <v>91</v>
      </c>
      <c r="C65" s="495">
        <v>45373</v>
      </c>
      <c r="D65" s="463"/>
      <c r="E65" s="463"/>
      <c r="F65" s="496" t="s">
        <v>93</v>
      </c>
      <c r="G65" s="463">
        <v>1</v>
      </c>
      <c r="H65" s="432">
        <v>100</v>
      </c>
      <c r="I65" s="463">
        <f t="shared" ref="I65:I70" si="7">G65*H65</f>
        <v>100</v>
      </c>
      <c r="J65" s="497"/>
      <c r="K65" s="497">
        <f t="shared" ref="K65:K72" si="8">I65*J65</f>
        <v>0</v>
      </c>
    </row>
    <row r="66" s="457" customFormat="1" ht="20.25" spans="1:14">
      <c r="A66" s="494">
        <v>45373</v>
      </c>
      <c r="B66" s="457" t="s">
        <v>91</v>
      </c>
      <c r="C66" s="495">
        <v>45373</v>
      </c>
      <c r="D66" s="463"/>
      <c r="E66" s="463"/>
      <c r="F66" s="496" t="s">
        <v>82</v>
      </c>
      <c r="G66" s="463">
        <v>1</v>
      </c>
      <c r="H66" s="432">
        <v>20</v>
      </c>
      <c r="I66" s="463">
        <f t="shared" si="7"/>
        <v>20</v>
      </c>
      <c r="J66" s="497">
        <v>9</v>
      </c>
      <c r="K66" s="497">
        <f t="shared" si="8"/>
        <v>180</v>
      </c>
      <c r="M66" s="457" t="s">
        <v>94</v>
      </c>
    </row>
    <row r="67" s="457" customFormat="1" ht="20.25" spans="1:14">
      <c r="A67" s="494">
        <v>45373</v>
      </c>
      <c r="B67" s="457" t="s">
        <v>91</v>
      </c>
      <c r="C67" s="495">
        <v>45373</v>
      </c>
      <c r="D67" s="463"/>
      <c r="E67" s="463"/>
      <c r="F67" s="496" t="s">
        <v>83</v>
      </c>
      <c r="G67" s="463">
        <v>1</v>
      </c>
      <c r="H67" s="432">
        <v>20</v>
      </c>
      <c r="I67" s="463">
        <f t="shared" si="7"/>
        <v>20</v>
      </c>
      <c r="J67" s="497">
        <v>8.1</v>
      </c>
      <c r="K67" s="497">
        <f t="shared" si="8"/>
        <v>162</v>
      </c>
    </row>
    <row r="68" s="457" customFormat="1" ht="20.25" spans="1:14">
      <c r="A68" s="494">
        <v>45373</v>
      </c>
      <c r="B68" s="457" t="s">
        <v>91</v>
      </c>
      <c r="C68" s="495">
        <v>45373</v>
      </c>
      <c r="D68" s="463"/>
      <c r="E68" s="463"/>
      <c r="F68" s="499" t="s">
        <v>95</v>
      </c>
      <c r="G68" s="501">
        <v>1</v>
      </c>
      <c r="H68" s="500">
        <f>SUM(H62:H67)</f>
        <v>176.8</v>
      </c>
      <c r="I68" s="463">
        <f t="shared" si="7"/>
        <v>176.8</v>
      </c>
      <c r="J68" s="497">
        <v>5</v>
      </c>
      <c r="K68" s="502">
        <f t="shared" si="8"/>
        <v>884</v>
      </c>
      <c r="L68" s="457">
        <f>SUM(K65:K68)</f>
        <v>1226</v>
      </c>
    </row>
    <row r="69" s="456" customFormat="1" ht="20.25" spans="1:14">
      <c r="A69" s="488">
        <v>45374</v>
      </c>
      <c r="B69" s="456" t="s">
        <v>96</v>
      </c>
      <c r="C69" s="490">
        <v>45374</v>
      </c>
      <c r="D69" s="491"/>
      <c r="E69" s="491"/>
      <c r="F69" s="493" t="s">
        <v>65</v>
      </c>
      <c r="G69" s="491">
        <v>1</v>
      </c>
      <c r="H69" s="431">
        <v>300</v>
      </c>
      <c r="I69" s="491">
        <f t="shared" si="7"/>
        <v>300</v>
      </c>
      <c r="J69" s="492">
        <v>26</v>
      </c>
      <c r="K69" s="502"/>
      <c r="L69" s="536"/>
      <c r="M69" s="492"/>
    </row>
    <row r="70" s="456" customFormat="1" ht="20.25" spans="1:14">
      <c r="A70" s="488">
        <v>45374</v>
      </c>
      <c r="B70" s="456" t="s">
        <v>96</v>
      </c>
      <c r="C70" s="490">
        <v>45374</v>
      </c>
      <c r="D70" s="491"/>
      <c r="E70" s="491"/>
      <c r="F70" s="493" t="s">
        <v>83</v>
      </c>
      <c r="G70" s="491">
        <v>1</v>
      </c>
      <c r="H70" s="431">
        <v>180</v>
      </c>
      <c r="I70" s="491">
        <f t="shared" si="7"/>
        <v>180</v>
      </c>
      <c r="J70" s="492">
        <v>8.1</v>
      </c>
      <c r="K70" s="492">
        <f>I70*J70</f>
        <v>1458</v>
      </c>
      <c r="L70" s="536"/>
      <c r="M70" s="492"/>
    </row>
    <row r="71" s="456" customFormat="1" ht="20.25" spans="1:14">
      <c r="A71" s="488">
        <v>45374</v>
      </c>
      <c r="B71" s="456" t="s">
        <v>96</v>
      </c>
      <c r="C71" s="490">
        <v>45374</v>
      </c>
      <c r="D71" s="491"/>
      <c r="E71" s="491"/>
      <c r="F71" s="493" t="s">
        <v>46</v>
      </c>
      <c r="G71" s="491">
        <v>1</v>
      </c>
      <c r="H71" s="431">
        <v>540</v>
      </c>
      <c r="I71" s="491">
        <f t="shared" ref="I71:I84" si="9">G71*H71</f>
        <v>540</v>
      </c>
      <c r="J71" s="492">
        <v>6.5</v>
      </c>
      <c r="K71" s="492">
        <f>I71*J71</f>
        <v>3510</v>
      </c>
      <c r="L71" s="536"/>
    </row>
    <row r="72" s="456" customFormat="1" ht="20.25" spans="1:14">
      <c r="A72" s="488">
        <v>45374</v>
      </c>
      <c r="B72" s="456" t="s">
        <v>96</v>
      </c>
      <c r="C72" s="490">
        <v>45374</v>
      </c>
      <c r="D72" s="491"/>
      <c r="E72" s="491"/>
      <c r="F72" s="499" t="s">
        <v>66</v>
      </c>
      <c r="G72" s="501">
        <v>1</v>
      </c>
      <c r="H72" s="500">
        <f>SUM(H69:H71)</f>
        <v>1020</v>
      </c>
      <c r="I72" s="501">
        <f t="shared" si="9"/>
        <v>1020</v>
      </c>
      <c r="J72" s="492">
        <v>0.8</v>
      </c>
      <c r="K72" s="502">
        <f t="shared" si="8"/>
        <v>816</v>
      </c>
      <c r="L72" s="536"/>
    </row>
    <row r="73" s="456" customFormat="1" ht="20.25" spans="1:14">
      <c r="A73" s="488">
        <v>45374</v>
      </c>
      <c r="B73" s="456" t="s">
        <v>96</v>
      </c>
      <c r="C73" s="490">
        <v>45374</v>
      </c>
      <c r="D73" s="491"/>
      <c r="E73" s="491"/>
      <c r="F73" s="493" t="s">
        <v>97</v>
      </c>
      <c r="G73" s="491">
        <v>1</v>
      </c>
      <c r="H73" s="431">
        <v>200</v>
      </c>
      <c r="I73" s="491">
        <f t="shared" si="9"/>
        <v>200</v>
      </c>
      <c r="J73" s="492"/>
      <c r="K73" s="492"/>
      <c r="L73" s="536"/>
    </row>
    <row r="74" s="456" customFormat="1" ht="20.25" spans="1:14">
      <c r="A74" s="488">
        <v>45374</v>
      </c>
      <c r="B74" s="456" t="s">
        <v>96</v>
      </c>
      <c r="C74" s="490">
        <v>45374</v>
      </c>
      <c r="D74" s="491"/>
      <c r="E74" s="491"/>
      <c r="F74" s="493" t="s">
        <v>46</v>
      </c>
      <c r="G74" s="491">
        <v>1</v>
      </c>
      <c r="H74" s="431">
        <v>900</v>
      </c>
      <c r="I74" s="491">
        <f t="shared" si="9"/>
        <v>900</v>
      </c>
      <c r="J74" s="492">
        <v>6.5</v>
      </c>
      <c r="K74" s="492">
        <f t="shared" ref="K74:K76" si="10">I74*J74</f>
        <v>5850</v>
      </c>
      <c r="L74" s="536"/>
    </row>
    <row r="75" s="456" customFormat="1" ht="20.25" spans="1:14">
      <c r="A75" s="488">
        <v>45374</v>
      </c>
      <c r="B75" s="456" t="s">
        <v>96</v>
      </c>
      <c r="C75" s="490">
        <v>45374</v>
      </c>
      <c r="D75" s="491"/>
      <c r="E75" s="491"/>
      <c r="F75" s="493" t="s">
        <v>83</v>
      </c>
      <c r="G75" s="491">
        <v>1</v>
      </c>
      <c r="H75" s="431">
        <v>180</v>
      </c>
      <c r="I75" s="491">
        <f t="shared" si="9"/>
        <v>180</v>
      </c>
      <c r="J75" s="492">
        <v>8.1</v>
      </c>
      <c r="K75" s="492">
        <f t="shared" si="10"/>
        <v>1458</v>
      </c>
      <c r="L75" s="536"/>
    </row>
    <row r="76" s="456" customFormat="1" ht="20.25" spans="1:14">
      <c r="A76" s="488">
        <v>45374</v>
      </c>
      <c r="B76" s="456" t="s">
        <v>96</v>
      </c>
      <c r="C76" s="490">
        <v>45374</v>
      </c>
      <c r="D76" s="491"/>
      <c r="E76" s="491"/>
      <c r="F76" s="499" t="s">
        <v>68</v>
      </c>
      <c r="G76" s="501">
        <v>1</v>
      </c>
      <c r="H76" s="500">
        <f>SUM(H73:H75)</f>
        <v>1280</v>
      </c>
      <c r="I76" s="501">
        <f t="shared" si="9"/>
        <v>1280</v>
      </c>
      <c r="J76" s="492">
        <v>0.8</v>
      </c>
      <c r="K76" s="502">
        <f t="shared" si="10"/>
        <v>1024</v>
      </c>
      <c r="L76" s="536">
        <f>SUM(K69:K76)</f>
        <v>14116</v>
      </c>
    </row>
    <row r="77" s="457" customFormat="1" ht="20.25" spans="1:14">
      <c r="A77" s="494">
        <v>45376</v>
      </c>
      <c r="B77" s="457" t="s">
        <v>98</v>
      </c>
      <c r="C77" s="495">
        <v>45374</v>
      </c>
      <c r="D77" s="463"/>
      <c r="E77" s="463"/>
      <c r="F77" s="496" t="s">
        <v>16</v>
      </c>
      <c r="G77" s="463">
        <v>1</v>
      </c>
      <c r="H77" s="432">
        <v>50</v>
      </c>
      <c r="I77" s="463">
        <f t="shared" si="9"/>
        <v>50</v>
      </c>
      <c r="J77" s="497"/>
      <c r="K77" s="497"/>
      <c r="M77" s="537"/>
      <c r="N77" s="537"/>
    </row>
    <row r="78" s="457" customFormat="1" ht="20.25" spans="1:14">
      <c r="A78" s="494">
        <v>45376</v>
      </c>
      <c r="B78" s="457" t="s">
        <v>98</v>
      </c>
      <c r="C78" s="495">
        <v>45374</v>
      </c>
      <c r="D78" s="463"/>
      <c r="E78" s="463"/>
      <c r="F78" s="496" t="s">
        <v>89</v>
      </c>
      <c r="G78" s="463">
        <v>1</v>
      </c>
      <c r="H78" s="432">
        <v>6</v>
      </c>
      <c r="I78" s="463">
        <f t="shared" si="9"/>
        <v>6</v>
      </c>
      <c r="J78" s="497"/>
      <c r="K78" s="497"/>
      <c r="M78" s="537"/>
      <c r="N78" s="537"/>
    </row>
    <row r="79" s="457" customFormat="1" ht="20.25" spans="1:14">
      <c r="A79" s="494">
        <v>45376</v>
      </c>
      <c r="B79" s="457" t="s">
        <v>98</v>
      </c>
      <c r="C79" s="495">
        <v>45374</v>
      </c>
      <c r="D79" s="463"/>
      <c r="E79" s="463"/>
      <c r="F79" s="496" t="s">
        <v>92</v>
      </c>
      <c r="G79" s="463">
        <v>1</v>
      </c>
      <c r="H79" s="432">
        <v>1.5</v>
      </c>
      <c r="I79" s="463">
        <f t="shared" si="9"/>
        <v>1.5</v>
      </c>
      <c r="J79" s="497"/>
      <c r="K79" s="497"/>
      <c r="M79" s="537"/>
      <c r="N79" s="537"/>
    </row>
    <row r="80" s="457" customFormat="1" ht="20.25" spans="1:14">
      <c r="A80" s="494">
        <v>45376</v>
      </c>
      <c r="B80" s="457" t="s">
        <v>98</v>
      </c>
      <c r="C80" s="495">
        <v>45374</v>
      </c>
      <c r="D80" s="463"/>
      <c r="E80" s="463"/>
      <c r="F80" s="496" t="s">
        <v>99</v>
      </c>
      <c r="G80" s="463">
        <v>1</v>
      </c>
      <c r="H80" s="432">
        <v>25</v>
      </c>
      <c r="I80" s="463">
        <f t="shared" si="9"/>
        <v>25</v>
      </c>
      <c r="J80" s="497"/>
      <c r="K80" s="497"/>
      <c r="M80" s="537"/>
      <c r="N80" s="537"/>
    </row>
    <row r="81" s="457" customFormat="1" ht="20.25" spans="1:14">
      <c r="A81" s="494">
        <v>45376</v>
      </c>
      <c r="B81" s="457" t="s">
        <v>98</v>
      </c>
      <c r="C81" s="495">
        <v>45374</v>
      </c>
      <c r="D81" s="463"/>
      <c r="E81" s="463"/>
      <c r="F81" s="496" t="s">
        <v>82</v>
      </c>
      <c r="G81" s="463">
        <v>1</v>
      </c>
      <c r="H81" s="432">
        <v>57</v>
      </c>
      <c r="I81" s="463">
        <f t="shared" si="9"/>
        <v>57</v>
      </c>
      <c r="J81" s="497">
        <v>8.2</v>
      </c>
      <c r="K81" s="497">
        <f t="shared" ref="K81:K84" si="11">I81*J81</f>
        <v>467.4</v>
      </c>
      <c r="L81" s="3" t="s">
        <v>100</v>
      </c>
      <c r="M81" s="537"/>
      <c r="N81" s="537"/>
    </row>
    <row r="82" s="457" customFormat="1" ht="20.25" spans="1:14">
      <c r="A82" s="494">
        <v>45376</v>
      </c>
      <c r="B82" s="457" t="s">
        <v>98</v>
      </c>
      <c r="C82" s="495">
        <v>45374</v>
      </c>
      <c r="D82" s="463"/>
      <c r="E82" s="463"/>
      <c r="F82" s="496" t="s">
        <v>83</v>
      </c>
      <c r="G82" s="463">
        <v>1</v>
      </c>
      <c r="H82" s="432">
        <v>58</v>
      </c>
      <c r="I82" s="463">
        <f t="shared" si="9"/>
        <v>58</v>
      </c>
      <c r="J82" s="497">
        <v>8.1</v>
      </c>
      <c r="K82" s="497">
        <f t="shared" si="11"/>
        <v>469.8</v>
      </c>
      <c r="L82" s="457" t="s">
        <v>101</v>
      </c>
      <c r="M82" s="537"/>
      <c r="N82" s="537"/>
    </row>
    <row r="83" s="457" customFormat="1" ht="20.25" spans="1:14">
      <c r="A83" s="494">
        <v>45376</v>
      </c>
      <c r="B83" s="457" t="s">
        <v>98</v>
      </c>
      <c r="C83" s="495">
        <v>45374</v>
      </c>
      <c r="D83" s="463"/>
      <c r="E83" s="463"/>
      <c r="F83" s="499" t="s">
        <v>102</v>
      </c>
      <c r="G83" s="501">
        <v>1</v>
      </c>
      <c r="H83" s="500">
        <f>SUM(H77:H82)</f>
        <v>197.5</v>
      </c>
      <c r="I83" s="501">
        <f t="shared" si="9"/>
        <v>197.5</v>
      </c>
      <c r="J83" s="497">
        <v>5</v>
      </c>
      <c r="K83" s="502">
        <f t="shared" si="11"/>
        <v>987.5</v>
      </c>
      <c r="M83" s="537"/>
      <c r="N83" s="537"/>
    </row>
    <row r="84" s="457" customFormat="1" ht="20.25" spans="1:14">
      <c r="A84" s="494">
        <v>45376</v>
      </c>
      <c r="B84" s="457" t="s">
        <v>98</v>
      </c>
      <c r="C84" s="495">
        <v>45375</v>
      </c>
      <c r="D84" s="463"/>
      <c r="E84" s="463"/>
      <c r="F84" s="496" t="s">
        <v>103</v>
      </c>
      <c r="G84" s="463">
        <v>30</v>
      </c>
      <c r="H84" s="432">
        <v>1</v>
      </c>
      <c r="I84" s="463">
        <f t="shared" si="9"/>
        <v>30</v>
      </c>
      <c r="J84" s="497">
        <v>12.5</v>
      </c>
      <c r="K84" s="525">
        <f t="shared" si="11"/>
        <v>375</v>
      </c>
      <c r="L84" s="457">
        <f>SUM(K77:K84)</f>
        <v>2299.7</v>
      </c>
    </row>
    <row r="85" s="457" customFormat="1" ht="20.25" spans="1:14">
      <c r="A85" s="494"/>
      <c r="C85" s="495"/>
      <c r="D85" s="463"/>
      <c r="E85" s="463"/>
      <c r="F85" s="498" t="s">
        <v>104</v>
      </c>
      <c r="G85" s="491"/>
      <c r="H85" s="431"/>
      <c r="I85" s="491"/>
      <c r="J85" s="492"/>
      <c r="K85" s="492"/>
      <c r="L85" s="456"/>
    </row>
    <row r="86" s="456" customFormat="1" ht="20.25" spans="1:14">
      <c r="A86" s="488">
        <v>45378</v>
      </c>
      <c r="B86" s="608" t="s">
        <v>105</v>
      </c>
      <c r="C86" s="490">
        <v>45377</v>
      </c>
      <c r="D86" s="491"/>
      <c r="E86" s="491"/>
      <c r="F86" s="493" t="s">
        <v>42</v>
      </c>
      <c r="G86" s="491">
        <v>1</v>
      </c>
      <c r="H86" s="431">
        <v>150</v>
      </c>
      <c r="I86" s="491">
        <f t="shared" ref="I86:I95" si="12">G86*H86</f>
        <v>150</v>
      </c>
      <c r="J86" s="492"/>
      <c r="K86" s="492"/>
    </row>
    <row r="87" s="456" customFormat="1" ht="20.25" spans="1:14">
      <c r="A87" s="488">
        <v>45378</v>
      </c>
      <c r="B87" s="608" t="s">
        <v>105</v>
      </c>
      <c r="C87" s="490">
        <v>45377</v>
      </c>
      <c r="D87" s="491"/>
      <c r="E87" s="491"/>
      <c r="F87" s="493" t="s">
        <v>43</v>
      </c>
      <c r="G87" s="491">
        <v>1</v>
      </c>
      <c r="H87" s="431">
        <v>105</v>
      </c>
      <c r="I87" s="491">
        <f t="shared" si="12"/>
        <v>105</v>
      </c>
      <c r="J87" s="492">
        <v>10.3</v>
      </c>
      <c r="K87" s="492">
        <f>I87*J87</f>
        <v>1081.5</v>
      </c>
    </row>
    <row r="88" s="456" customFormat="1" ht="20.25" spans="1:14">
      <c r="A88" s="488">
        <v>45378</v>
      </c>
      <c r="B88" s="608" t="s">
        <v>105</v>
      </c>
      <c r="C88" s="490">
        <v>45377</v>
      </c>
      <c r="D88" s="491"/>
      <c r="E88" s="491"/>
      <c r="F88" s="493" t="s">
        <v>86</v>
      </c>
      <c r="G88" s="491">
        <v>1</v>
      </c>
      <c r="H88" s="431">
        <v>85</v>
      </c>
      <c r="I88" s="491">
        <f t="shared" si="12"/>
        <v>85</v>
      </c>
      <c r="J88" s="492"/>
      <c r="K88" s="492"/>
      <c r="L88" s="536" t="s">
        <v>106</v>
      </c>
      <c r="M88" s="536"/>
      <c r="N88" s="536"/>
    </row>
    <row r="89" s="456" customFormat="1" ht="20.25" spans="1:14">
      <c r="A89" s="488">
        <v>45378</v>
      </c>
      <c r="B89" s="608" t="s">
        <v>105</v>
      </c>
      <c r="C89" s="490">
        <v>45377</v>
      </c>
      <c r="D89" s="491"/>
      <c r="E89" s="491"/>
      <c r="F89" s="493" t="s">
        <v>87</v>
      </c>
      <c r="G89" s="491">
        <v>1</v>
      </c>
      <c r="H89" s="431">
        <v>160</v>
      </c>
      <c r="I89" s="491">
        <f t="shared" si="12"/>
        <v>160</v>
      </c>
      <c r="J89" s="492"/>
      <c r="K89" s="492"/>
      <c r="L89" s="536"/>
      <c r="M89" s="536" t="s">
        <v>51</v>
      </c>
      <c r="N89" s="536"/>
    </row>
    <row r="90" s="456" customFormat="1" ht="20.25" spans="1:14">
      <c r="A90" s="488">
        <v>45378</v>
      </c>
      <c r="B90" s="608" t="s">
        <v>105</v>
      </c>
      <c r="C90" s="490">
        <v>45377</v>
      </c>
      <c r="D90" s="491"/>
      <c r="E90" s="491"/>
      <c r="F90" s="499" t="s">
        <v>47</v>
      </c>
      <c r="G90" s="491">
        <v>1</v>
      </c>
      <c r="H90" s="500">
        <f>SUM(H86:H89)</f>
        <v>500</v>
      </c>
      <c r="I90" s="491">
        <f t="shared" si="12"/>
        <v>500</v>
      </c>
      <c r="J90" s="492">
        <v>1</v>
      </c>
      <c r="K90" s="502">
        <f>I90*J90</f>
        <v>500</v>
      </c>
      <c r="L90" s="536">
        <f>SUM(K86:K90)</f>
        <v>1581.5</v>
      </c>
      <c r="M90" s="536"/>
      <c r="N90" s="536"/>
    </row>
    <row r="91" s="457" customFormat="1" ht="20.25" spans="1:14">
      <c r="A91" s="494">
        <v>45380</v>
      </c>
      <c r="B91" s="607" t="s">
        <v>107</v>
      </c>
      <c r="C91" s="495">
        <v>45378</v>
      </c>
      <c r="D91" s="463"/>
      <c r="E91" s="463"/>
      <c r="F91" s="496" t="s">
        <v>108</v>
      </c>
      <c r="G91" s="463">
        <v>1</v>
      </c>
      <c r="H91" s="432">
        <v>75</v>
      </c>
      <c r="I91" s="463">
        <f t="shared" si="12"/>
        <v>75</v>
      </c>
      <c r="J91" s="497"/>
      <c r="K91" s="497"/>
      <c r="L91" s="537"/>
      <c r="M91" s="537"/>
      <c r="N91" s="537"/>
    </row>
    <row r="92" s="457" customFormat="1" ht="20.25" spans="1:14">
      <c r="A92" s="494">
        <v>45380</v>
      </c>
      <c r="B92" s="607" t="s">
        <v>107</v>
      </c>
      <c r="C92" s="495">
        <v>45378</v>
      </c>
      <c r="D92" s="463"/>
      <c r="E92" s="463"/>
      <c r="F92" s="496">
        <v>808</v>
      </c>
      <c r="G92" s="463">
        <v>1</v>
      </c>
      <c r="H92" s="432">
        <v>112.5</v>
      </c>
      <c r="I92" s="463">
        <f t="shared" si="12"/>
        <v>112.5</v>
      </c>
      <c r="J92" s="497">
        <v>10.3</v>
      </c>
      <c r="K92" s="497">
        <f>I92*J92</f>
        <v>1158.75</v>
      </c>
      <c r="L92" s="537"/>
      <c r="M92" s="537"/>
      <c r="N92" s="537"/>
    </row>
    <row r="93" s="457" customFormat="1" ht="20.25" spans="1:14">
      <c r="A93" s="494">
        <v>45380</v>
      </c>
      <c r="B93" s="607" t="s">
        <v>107</v>
      </c>
      <c r="C93" s="495">
        <v>45378</v>
      </c>
      <c r="D93" s="463"/>
      <c r="E93" s="463"/>
      <c r="F93" s="499" t="s">
        <v>109</v>
      </c>
      <c r="G93" s="463">
        <v>1</v>
      </c>
      <c r="H93" s="432">
        <f>SUM(H91:H92)</f>
        <v>187.5</v>
      </c>
      <c r="I93" s="463">
        <f t="shared" si="12"/>
        <v>187.5</v>
      </c>
      <c r="J93" s="497">
        <v>1</v>
      </c>
      <c r="K93" s="502">
        <f>I93*J93</f>
        <v>187.5</v>
      </c>
      <c r="L93" s="537"/>
      <c r="M93" s="537"/>
      <c r="N93" s="537"/>
    </row>
    <row r="94" s="457" customFormat="1" ht="20.25" spans="1:14">
      <c r="A94" s="494">
        <v>45380</v>
      </c>
      <c r="B94" s="607" t="s">
        <v>107</v>
      </c>
      <c r="C94" s="495">
        <v>45378</v>
      </c>
      <c r="D94" s="463"/>
      <c r="E94" s="463"/>
      <c r="F94" s="522" t="s">
        <v>110</v>
      </c>
      <c r="G94" s="463">
        <v>1</v>
      </c>
      <c r="H94" s="432">
        <v>20</v>
      </c>
      <c r="I94" s="463">
        <f t="shared" si="12"/>
        <v>20</v>
      </c>
      <c r="J94" s="463">
        <v>15.5</v>
      </c>
      <c r="K94" s="609">
        <f>I94*J94</f>
        <v>310</v>
      </c>
      <c r="L94" s="537"/>
      <c r="M94" s="537"/>
      <c r="N94" s="537"/>
    </row>
    <row r="95" s="457" customFormat="1" ht="20.25" spans="1:14">
      <c r="A95" s="494">
        <v>45380</v>
      </c>
      <c r="B95" s="607" t="s">
        <v>107</v>
      </c>
      <c r="C95" s="495" t="s">
        <v>111</v>
      </c>
      <c r="D95" s="463"/>
      <c r="E95" s="463"/>
      <c r="F95" s="522" t="s">
        <v>112</v>
      </c>
      <c r="G95" s="463">
        <v>38</v>
      </c>
      <c r="H95" s="432">
        <v>1</v>
      </c>
      <c r="I95" s="463">
        <f t="shared" si="12"/>
        <v>38</v>
      </c>
      <c r="J95" s="463">
        <v>12.5</v>
      </c>
      <c r="K95" s="525">
        <f>I95*J95</f>
        <v>475</v>
      </c>
      <c r="L95" s="537">
        <f>SUM(K91:K95)</f>
        <v>2131.25</v>
      </c>
      <c r="M95" s="537"/>
      <c r="N95" s="537"/>
    </row>
    <row r="96" s="456" customFormat="1" ht="20.25" spans="1:14">
      <c r="A96" s="488">
        <v>45380</v>
      </c>
      <c r="B96" s="456" t="s">
        <v>113</v>
      </c>
      <c r="C96" s="490">
        <v>45378</v>
      </c>
      <c r="D96" s="491"/>
      <c r="E96" s="491"/>
      <c r="F96" s="493" t="s">
        <v>16</v>
      </c>
      <c r="G96" s="491">
        <v>1</v>
      </c>
      <c r="H96" s="431">
        <v>100</v>
      </c>
      <c r="I96" s="491">
        <f t="shared" ref="I96:I132" si="13">G96*H96</f>
        <v>100</v>
      </c>
      <c r="J96" s="492"/>
      <c r="K96" s="492"/>
    </row>
    <row r="97" s="456" customFormat="1" ht="20.25" spans="1:14">
      <c r="A97" s="488">
        <v>45380</v>
      </c>
      <c r="B97" s="456" t="s">
        <v>113</v>
      </c>
      <c r="C97" s="490">
        <v>45378</v>
      </c>
      <c r="D97" s="491"/>
      <c r="E97" s="491"/>
      <c r="F97" s="493" t="s">
        <v>114</v>
      </c>
      <c r="G97" s="491">
        <v>1</v>
      </c>
      <c r="H97" s="431">
        <v>110</v>
      </c>
      <c r="I97" s="491">
        <f t="shared" si="13"/>
        <v>110</v>
      </c>
      <c r="J97" s="492"/>
      <c r="K97" s="492"/>
    </row>
    <row r="98" s="456" customFormat="1" ht="20.25" spans="1:14">
      <c r="A98" s="488">
        <v>45380</v>
      </c>
      <c r="B98" s="456" t="s">
        <v>113</v>
      </c>
      <c r="C98" s="490">
        <v>45378</v>
      </c>
      <c r="D98" s="491"/>
      <c r="E98" s="491"/>
      <c r="F98" s="493" t="s">
        <v>86</v>
      </c>
      <c r="G98" s="491">
        <v>1</v>
      </c>
      <c r="H98" s="431">
        <v>35</v>
      </c>
      <c r="I98" s="491">
        <f t="shared" si="13"/>
        <v>35</v>
      </c>
      <c r="J98" s="492"/>
      <c r="K98" s="492"/>
      <c r="L98" s="536"/>
      <c r="M98" s="536"/>
      <c r="N98" s="536"/>
    </row>
    <row r="99" s="456" customFormat="1" ht="20.25" spans="1:14">
      <c r="A99" s="488">
        <v>45380</v>
      </c>
      <c r="B99" s="456" t="s">
        <v>113</v>
      </c>
      <c r="C99" s="490">
        <v>45378</v>
      </c>
      <c r="D99" s="491"/>
      <c r="E99" s="491"/>
      <c r="F99" s="493" t="s">
        <v>87</v>
      </c>
      <c r="G99" s="491">
        <v>1</v>
      </c>
      <c r="H99" s="431">
        <v>160</v>
      </c>
      <c r="I99" s="491">
        <f t="shared" si="13"/>
        <v>160</v>
      </c>
      <c r="J99" s="492"/>
      <c r="K99" s="492"/>
      <c r="L99" s="536"/>
      <c r="M99" s="536"/>
      <c r="N99" s="536"/>
    </row>
    <row r="100" s="456" customFormat="1" ht="20.25" spans="1:14">
      <c r="A100" s="488">
        <v>45380</v>
      </c>
      <c r="B100" s="456" t="s">
        <v>113</v>
      </c>
      <c r="C100" s="490">
        <v>45378</v>
      </c>
      <c r="D100" s="491"/>
      <c r="E100" s="491"/>
      <c r="F100" s="493" t="s">
        <v>115</v>
      </c>
      <c r="G100" s="491">
        <v>1</v>
      </c>
      <c r="H100" s="431">
        <v>62.5</v>
      </c>
      <c r="I100" s="491">
        <f t="shared" si="13"/>
        <v>62.5</v>
      </c>
      <c r="J100" s="492"/>
      <c r="K100" s="492"/>
      <c r="L100" s="536" t="s">
        <v>116</v>
      </c>
      <c r="M100" s="536"/>
      <c r="N100" s="536"/>
    </row>
    <row r="101" s="456" customFormat="1" ht="20.25" spans="1:14">
      <c r="A101" s="488">
        <v>45380</v>
      </c>
      <c r="B101" s="456" t="s">
        <v>113</v>
      </c>
      <c r="C101" s="490">
        <v>45378</v>
      </c>
      <c r="D101" s="491"/>
      <c r="E101" s="491"/>
      <c r="F101" s="493">
        <v>808</v>
      </c>
      <c r="G101" s="491">
        <v>1</v>
      </c>
      <c r="H101" s="431">
        <v>32.5</v>
      </c>
      <c r="I101" s="491">
        <f t="shared" si="13"/>
        <v>32.5</v>
      </c>
      <c r="J101" s="492">
        <v>10.3</v>
      </c>
      <c r="K101" s="492">
        <f>I101*J101</f>
        <v>334.75</v>
      </c>
    </row>
    <row r="102" s="456" customFormat="1" ht="20.25" spans="1:14">
      <c r="A102" s="488">
        <v>45380</v>
      </c>
      <c r="B102" s="456" t="s">
        <v>113</v>
      </c>
      <c r="C102" s="490">
        <v>45378</v>
      </c>
      <c r="D102" s="491"/>
      <c r="E102" s="491"/>
      <c r="F102" s="499" t="s">
        <v>117</v>
      </c>
      <c r="G102" s="491">
        <v>1</v>
      </c>
      <c r="H102" s="431">
        <f>SUM(H96:H101)</f>
        <v>500</v>
      </c>
      <c r="I102" s="491">
        <f t="shared" si="13"/>
        <v>500</v>
      </c>
      <c r="J102" s="492">
        <v>1</v>
      </c>
      <c r="K102" s="502">
        <f>I102*J102</f>
        <v>500</v>
      </c>
      <c r="L102" s="536">
        <f>SUM(K96:K102)</f>
        <v>834.75</v>
      </c>
      <c r="M102" s="536" t="s">
        <v>118</v>
      </c>
      <c r="N102" s="536"/>
    </row>
    <row r="103" s="457" customFormat="1" ht="20.25" spans="1:14">
      <c r="A103" s="494">
        <v>45380</v>
      </c>
      <c r="B103" s="457" t="s">
        <v>119</v>
      </c>
      <c r="C103" s="495">
        <v>45378</v>
      </c>
      <c r="D103" s="463"/>
      <c r="E103" s="463"/>
      <c r="F103" s="496" t="s">
        <v>16</v>
      </c>
      <c r="G103" s="463">
        <v>1</v>
      </c>
      <c r="H103" s="432">
        <v>160</v>
      </c>
      <c r="I103" s="463">
        <f t="shared" si="13"/>
        <v>160</v>
      </c>
      <c r="J103" s="497"/>
      <c r="K103" s="497"/>
    </row>
    <row r="104" s="457" customFormat="1" ht="20.25" spans="1:14">
      <c r="A104" s="494">
        <v>45380</v>
      </c>
      <c r="B104" s="457" t="s">
        <v>119</v>
      </c>
      <c r="C104" s="495">
        <v>45378</v>
      </c>
      <c r="D104" s="463"/>
      <c r="E104" s="463"/>
      <c r="F104" s="496" t="s">
        <v>13</v>
      </c>
      <c r="G104" s="463">
        <v>1</v>
      </c>
      <c r="H104" s="432">
        <v>160</v>
      </c>
      <c r="I104" s="463">
        <f t="shared" si="13"/>
        <v>160</v>
      </c>
      <c r="J104" s="497"/>
      <c r="K104" s="497"/>
    </row>
    <row r="105" s="457" customFormat="1" ht="20.25" spans="1:14">
      <c r="A105" s="494">
        <v>45380</v>
      </c>
      <c r="B105" s="457" t="s">
        <v>119</v>
      </c>
      <c r="C105" s="495">
        <v>45378</v>
      </c>
      <c r="D105" s="463"/>
      <c r="E105" s="463"/>
      <c r="F105" s="496" t="s">
        <v>86</v>
      </c>
      <c r="G105" s="463">
        <v>1</v>
      </c>
      <c r="H105" s="432">
        <v>56</v>
      </c>
      <c r="I105" s="463">
        <f t="shared" si="13"/>
        <v>56</v>
      </c>
      <c r="J105" s="497"/>
      <c r="K105" s="497"/>
    </row>
    <row r="106" s="457" customFormat="1" ht="20.25" spans="1:14">
      <c r="A106" s="494">
        <v>45380</v>
      </c>
      <c r="B106" s="457" t="s">
        <v>119</v>
      </c>
      <c r="C106" s="495">
        <v>45378</v>
      </c>
      <c r="D106" s="463"/>
      <c r="E106" s="463"/>
      <c r="F106" s="496" t="s">
        <v>87</v>
      </c>
      <c r="G106" s="463">
        <v>1</v>
      </c>
      <c r="H106" s="432">
        <v>304</v>
      </c>
      <c r="I106" s="463">
        <f t="shared" si="13"/>
        <v>304</v>
      </c>
      <c r="J106" s="497"/>
      <c r="K106" s="497"/>
    </row>
    <row r="107" s="457" customFormat="1" ht="20.25" spans="1:14">
      <c r="A107" s="494">
        <v>45380</v>
      </c>
      <c r="B107" s="457" t="s">
        <v>119</v>
      </c>
      <c r="C107" s="495">
        <v>45378</v>
      </c>
      <c r="D107" s="463"/>
      <c r="E107" s="463"/>
      <c r="F107" s="496" t="s">
        <v>115</v>
      </c>
      <c r="G107" s="463">
        <v>1</v>
      </c>
      <c r="H107" s="432">
        <v>100</v>
      </c>
      <c r="I107" s="463">
        <f t="shared" si="13"/>
        <v>100</v>
      </c>
      <c r="J107" s="497"/>
      <c r="K107" s="497"/>
    </row>
    <row r="108" s="457" customFormat="1" ht="20.25" spans="1:14">
      <c r="A108" s="494">
        <v>45380</v>
      </c>
      <c r="B108" s="457" t="s">
        <v>119</v>
      </c>
      <c r="C108" s="495">
        <v>45378</v>
      </c>
      <c r="D108" s="463"/>
      <c r="E108" s="463"/>
      <c r="F108" s="496">
        <v>808</v>
      </c>
      <c r="G108" s="463">
        <v>1</v>
      </c>
      <c r="H108" s="432">
        <v>20</v>
      </c>
      <c r="I108" s="463">
        <f t="shared" si="13"/>
        <v>20</v>
      </c>
      <c r="J108" s="497">
        <v>10.3</v>
      </c>
      <c r="K108" s="497">
        <f>I108*J108</f>
        <v>206</v>
      </c>
      <c r="L108" s="537" t="s">
        <v>116</v>
      </c>
    </row>
    <row r="109" s="457" customFormat="1" ht="20.25" spans="1:14">
      <c r="A109" s="494">
        <v>45380</v>
      </c>
      <c r="B109" s="457" t="s">
        <v>119</v>
      </c>
      <c r="C109" s="495">
        <v>45378</v>
      </c>
      <c r="D109" s="463"/>
      <c r="E109" s="463"/>
      <c r="F109" s="499" t="s">
        <v>17</v>
      </c>
      <c r="G109" s="463">
        <v>1</v>
      </c>
      <c r="H109" s="432">
        <f>SUM(H103:H108)</f>
        <v>800</v>
      </c>
      <c r="I109" s="463">
        <f t="shared" si="13"/>
        <v>800</v>
      </c>
      <c r="J109" s="497">
        <v>1</v>
      </c>
      <c r="K109" s="502">
        <f>I109*J109</f>
        <v>800</v>
      </c>
      <c r="L109" s="457">
        <f>SUM(K103:K109)</f>
        <v>1006</v>
      </c>
    </row>
    <row r="110" s="456" customFormat="1" ht="20.25" spans="1:14">
      <c r="A110" s="488" t="s">
        <v>120</v>
      </c>
      <c r="B110" s="456" t="s">
        <v>121</v>
      </c>
      <c r="C110" s="490">
        <v>45378</v>
      </c>
      <c r="D110" s="491"/>
      <c r="E110" s="491"/>
      <c r="F110" s="493" t="s">
        <v>122</v>
      </c>
      <c r="G110" s="491">
        <v>1</v>
      </c>
      <c r="H110" s="431">
        <v>100</v>
      </c>
      <c r="I110" s="491">
        <f t="shared" si="13"/>
        <v>100</v>
      </c>
      <c r="J110" s="492"/>
      <c r="K110" s="492"/>
      <c r="L110" s="536"/>
      <c r="M110" s="536"/>
      <c r="N110" s="536"/>
    </row>
    <row r="111" s="456" customFormat="1" ht="20.25" spans="1:14">
      <c r="A111" s="488">
        <v>45380</v>
      </c>
      <c r="B111" s="456" t="s">
        <v>121</v>
      </c>
      <c r="C111" s="490">
        <v>45378</v>
      </c>
      <c r="D111" s="491"/>
      <c r="E111" s="491"/>
      <c r="F111" s="493" t="s">
        <v>123</v>
      </c>
      <c r="G111" s="491">
        <v>1</v>
      </c>
      <c r="H111" s="431">
        <v>12</v>
      </c>
      <c r="I111" s="491">
        <f t="shared" si="13"/>
        <v>12</v>
      </c>
      <c r="J111" s="492"/>
      <c r="K111" s="492"/>
      <c r="L111" s="536"/>
      <c r="M111" s="536"/>
      <c r="N111" s="536"/>
    </row>
    <row r="112" s="456" customFormat="1" ht="20.25" spans="1:14">
      <c r="A112" s="488">
        <v>45380</v>
      </c>
      <c r="B112" s="456" t="s">
        <v>121</v>
      </c>
      <c r="C112" s="490">
        <v>45378</v>
      </c>
      <c r="D112" s="491"/>
      <c r="E112" s="491"/>
      <c r="F112" s="493" t="s">
        <v>124</v>
      </c>
      <c r="G112" s="491">
        <v>1</v>
      </c>
      <c r="H112" s="431">
        <v>60</v>
      </c>
      <c r="I112" s="491">
        <f t="shared" si="13"/>
        <v>60</v>
      </c>
      <c r="J112" s="492"/>
      <c r="K112" s="492"/>
      <c r="L112" s="536"/>
      <c r="M112" s="536"/>
      <c r="N112" s="536"/>
    </row>
    <row r="113" s="456" customFormat="1" ht="20.25" spans="1:14">
      <c r="A113" s="488">
        <v>45380</v>
      </c>
      <c r="B113" s="456" t="s">
        <v>121</v>
      </c>
      <c r="C113" s="490">
        <v>45378</v>
      </c>
      <c r="D113" s="491"/>
      <c r="E113" s="491"/>
      <c r="F113" s="493" t="s">
        <v>86</v>
      </c>
      <c r="G113" s="491">
        <v>1</v>
      </c>
      <c r="H113" s="431">
        <v>28</v>
      </c>
      <c r="I113" s="491">
        <f t="shared" si="13"/>
        <v>28</v>
      </c>
      <c r="J113" s="492"/>
      <c r="K113" s="492"/>
      <c r="L113" s="536"/>
      <c r="M113" s="536"/>
      <c r="N113" s="536"/>
    </row>
    <row r="114" s="456" customFormat="1" ht="20.25" spans="1:14">
      <c r="A114" s="488">
        <v>45380</v>
      </c>
      <c r="B114" s="456" t="s">
        <v>121</v>
      </c>
      <c r="C114" s="490">
        <v>45378</v>
      </c>
      <c r="D114" s="491"/>
      <c r="E114" s="491"/>
      <c r="F114" s="493" t="s">
        <v>87</v>
      </c>
      <c r="G114" s="491">
        <v>1</v>
      </c>
      <c r="H114" s="431">
        <v>104</v>
      </c>
      <c r="I114" s="491">
        <f t="shared" si="13"/>
        <v>104</v>
      </c>
      <c r="J114" s="492"/>
      <c r="K114" s="492"/>
      <c r="L114" s="536"/>
      <c r="M114" s="536"/>
      <c r="N114" s="536"/>
    </row>
    <row r="115" s="456" customFormat="1" ht="20.25" spans="1:14">
      <c r="A115" s="488">
        <v>45380</v>
      </c>
      <c r="B115" s="456" t="s">
        <v>121</v>
      </c>
      <c r="C115" s="490">
        <v>45378</v>
      </c>
      <c r="D115" s="491"/>
      <c r="E115" s="491"/>
      <c r="F115" s="493">
        <v>808</v>
      </c>
      <c r="G115" s="491">
        <v>1</v>
      </c>
      <c r="H115" s="431">
        <v>80</v>
      </c>
      <c r="I115" s="491">
        <f t="shared" si="13"/>
        <v>80</v>
      </c>
      <c r="J115" s="491">
        <v>10.3</v>
      </c>
      <c r="K115" s="492">
        <f>I115*J115</f>
        <v>824</v>
      </c>
      <c r="L115" s="536"/>
      <c r="M115" s="536"/>
      <c r="N115" s="536"/>
    </row>
    <row r="116" s="456" customFormat="1" ht="20.25" spans="1:14">
      <c r="A116" s="488">
        <v>45380</v>
      </c>
      <c r="B116" s="456" t="s">
        <v>121</v>
      </c>
      <c r="C116" s="490">
        <v>45378</v>
      </c>
      <c r="D116" s="491"/>
      <c r="E116" s="491"/>
      <c r="F116" s="493" t="s">
        <v>125</v>
      </c>
      <c r="G116" s="491">
        <v>1</v>
      </c>
      <c r="H116" s="431">
        <v>16</v>
      </c>
      <c r="I116" s="491">
        <f t="shared" si="13"/>
        <v>16</v>
      </c>
      <c r="J116" s="491">
        <v>6.5</v>
      </c>
      <c r="K116" s="492">
        <f>I116*J116</f>
        <v>104</v>
      </c>
      <c r="L116" s="536" t="s">
        <v>126</v>
      </c>
      <c r="M116" s="536"/>
      <c r="N116" s="536"/>
    </row>
    <row r="117" s="456" customFormat="1" ht="20.25" spans="1:14">
      <c r="A117" s="488">
        <v>45380</v>
      </c>
      <c r="B117" s="456" t="s">
        <v>121</v>
      </c>
      <c r="C117" s="490">
        <v>45378</v>
      </c>
      <c r="D117" s="491"/>
      <c r="E117" s="491"/>
      <c r="F117" s="499" t="s">
        <v>127</v>
      </c>
      <c r="G117" s="491">
        <v>1</v>
      </c>
      <c r="H117" s="431">
        <f>SUM(H110:H116)</f>
        <v>400</v>
      </c>
      <c r="I117" s="491">
        <f t="shared" si="13"/>
        <v>400</v>
      </c>
      <c r="J117" s="491">
        <v>1</v>
      </c>
      <c r="K117" s="502">
        <f>I117*J117</f>
        <v>400</v>
      </c>
      <c r="L117" s="536">
        <f>SUM(K110:K117)</f>
        <v>1328</v>
      </c>
      <c r="M117" s="536"/>
      <c r="N117" s="536"/>
    </row>
    <row r="118" s="457" customFormat="1" ht="20.25" spans="1:14">
      <c r="A118" s="494">
        <v>45380</v>
      </c>
      <c r="B118" s="457" t="s">
        <v>128</v>
      </c>
      <c r="C118" s="495">
        <v>45379</v>
      </c>
      <c r="D118" s="463"/>
      <c r="E118" s="463"/>
      <c r="F118" s="496" t="s">
        <v>16</v>
      </c>
      <c r="G118" s="463">
        <v>1</v>
      </c>
      <c r="H118" s="432">
        <v>190</v>
      </c>
      <c r="I118" s="463">
        <f t="shared" si="13"/>
        <v>190</v>
      </c>
      <c r="J118" s="497"/>
      <c r="K118" s="497"/>
    </row>
    <row r="119" s="457" customFormat="1" ht="20.25" spans="1:14">
      <c r="A119" s="494">
        <v>45380</v>
      </c>
      <c r="B119" s="457" t="s">
        <v>128</v>
      </c>
      <c r="C119" s="495">
        <v>45379</v>
      </c>
      <c r="D119" s="463"/>
      <c r="E119" s="463"/>
      <c r="F119" s="496" t="s">
        <v>129</v>
      </c>
      <c r="G119" s="463">
        <v>1</v>
      </c>
      <c r="H119" s="432">
        <v>142.5</v>
      </c>
      <c r="I119" s="463">
        <f t="shared" si="13"/>
        <v>142.5</v>
      </c>
      <c r="J119" s="497"/>
      <c r="K119" s="497"/>
    </row>
    <row r="120" s="457" customFormat="1" ht="20.25" spans="1:14">
      <c r="A120" s="494">
        <v>45380</v>
      </c>
      <c r="B120" s="457" t="s">
        <v>128</v>
      </c>
      <c r="C120" s="495">
        <v>45379</v>
      </c>
      <c r="D120" s="463"/>
      <c r="E120" s="463"/>
      <c r="F120" s="496">
        <v>808</v>
      </c>
      <c r="G120" s="463">
        <v>1</v>
      </c>
      <c r="H120" s="432">
        <v>190</v>
      </c>
      <c r="I120" s="463">
        <f t="shared" si="13"/>
        <v>190</v>
      </c>
      <c r="J120" s="497">
        <v>10.3</v>
      </c>
      <c r="K120" s="497">
        <f>I120*J120</f>
        <v>1957</v>
      </c>
    </row>
    <row r="121" s="457" customFormat="1" ht="20.25" spans="1:14">
      <c r="A121" s="494">
        <v>45380</v>
      </c>
      <c r="B121" s="457" t="s">
        <v>128</v>
      </c>
      <c r="C121" s="495">
        <v>45379</v>
      </c>
      <c r="D121" s="463"/>
      <c r="E121" s="463"/>
      <c r="F121" s="496" t="s">
        <v>125</v>
      </c>
      <c r="G121" s="463">
        <v>1</v>
      </c>
      <c r="H121" s="432">
        <v>50</v>
      </c>
      <c r="I121" s="463">
        <f t="shared" si="13"/>
        <v>50</v>
      </c>
      <c r="J121" s="497">
        <v>6.5</v>
      </c>
      <c r="K121" s="497">
        <f>I121*J121</f>
        <v>325</v>
      </c>
    </row>
    <row r="122" s="457" customFormat="1" ht="20.25" spans="1:14">
      <c r="A122" s="494">
        <v>45380</v>
      </c>
      <c r="B122" s="457" t="s">
        <v>128</v>
      </c>
      <c r="C122" s="495">
        <v>45379</v>
      </c>
      <c r="D122" s="463"/>
      <c r="E122" s="463"/>
      <c r="F122" s="496" t="s">
        <v>86</v>
      </c>
      <c r="G122" s="463">
        <v>1</v>
      </c>
      <c r="H122" s="432">
        <v>66.5</v>
      </c>
      <c r="I122" s="463">
        <f t="shared" si="13"/>
        <v>66.5</v>
      </c>
      <c r="J122" s="497"/>
      <c r="K122" s="497"/>
      <c r="L122" s="537"/>
      <c r="M122" s="537"/>
      <c r="N122" s="537"/>
    </row>
    <row r="123" s="457" customFormat="1" ht="20.25" spans="1:14">
      <c r="A123" s="494">
        <v>45380</v>
      </c>
      <c r="B123" s="457" t="s">
        <v>128</v>
      </c>
      <c r="C123" s="495">
        <v>45379</v>
      </c>
      <c r="D123" s="463"/>
      <c r="E123" s="463"/>
      <c r="F123" s="496" t="s">
        <v>87</v>
      </c>
      <c r="G123" s="463">
        <v>1</v>
      </c>
      <c r="H123" s="432">
        <v>361</v>
      </c>
      <c r="I123" s="463">
        <f t="shared" si="13"/>
        <v>361</v>
      </c>
      <c r="J123" s="497"/>
      <c r="K123" s="497"/>
      <c r="L123" s="537" t="s">
        <v>126</v>
      </c>
      <c r="M123" s="537"/>
      <c r="N123" s="537"/>
    </row>
    <row r="124" s="457" customFormat="1" ht="20.25" spans="1:14">
      <c r="A124" s="494">
        <v>45380</v>
      </c>
      <c r="B124" s="457" t="s">
        <v>128</v>
      </c>
      <c r="C124" s="495">
        <v>45379</v>
      </c>
      <c r="D124" s="463"/>
      <c r="E124" s="463"/>
      <c r="F124" s="499" t="s">
        <v>130</v>
      </c>
      <c r="G124" s="501">
        <v>1</v>
      </c>
      <c r="H124" s="500">
        <f>SUM(H118:H123)</f>
        <v>1000</v>
      </c>
      <c r="I124" s="501">
        <f t="shared" si="13"/>
        <v>1000</v>
      </c>
      <c r="J124" s="502">
        <v>1</v>
      </c>
      <c r="K124" s="502">
        <f>I124*J124</f>
        <v>1000</v>
      </c>
      <c r="L124" s="537">
        <f>SUM(K118:K124)</f>
        <v>3282</v>
      </c>
      <c r="M124" s="537"/>
      <c r="N124" s="537"/>
    </row>
    <row r="125" s="456" customFormat="1" ht="20.25" spans="1:14">
      <c r="A125" s="488">
        <v>45380</v>
      </c>
      <c r="B125" s="456" t="s">
        <v>131</v>
      </c>
      <c r="C125" s="490">
        <v>45379</v>
      </c>
      <c r="D125" s="491"/>
      <c r="E125" s="491"/>
      <c r="F125" s="493" t="s">
        <v>16</v>
      </c>
      <c r="G125" s="491">
        <v>1</v>
      </c>
      <c r="H125" s="431">
        <v>150</v>
      </c>
      <c r="I125" s="491">
        <f t="shared" si="13"/>
        <v>150</v>
      </c>
      <c r="J125" s="492"/>
      <c r="K125" s="492"/>
    </row>
    <row r="126" s="456" customFormat="1" ht="20.25" spans="1:14">
      <c r="A126" s="488">
        <v>45380</v>
      </c>
      <c r="B126" s="456" t="s">
        <v>131</v>
      </c>
      <c r="C126" s="490">
        <v>45379</v>
      </c>
      <c r="D126" s="491"/>
      <c r="E126" s="491"/>
      <c r="F126" s="493" t="s">
        <v>129</v>
      </c>
      <c r="G126" s="491">
        <v>1</v>
      </c>
      <c r="H126" s="431">
        <v>120</v>
      </c>
      <c r="I126" s="491">
        <f t="shared" si="13"/>
        <v>120</v>
      </c>
      <c r="J126" s="492"/>
      <c r="K126" s="492"/>
    </row>
    <row r="127" s="456" customFormat="1" ht="20.25" spans="1:14">
      <c r="A127" s="488">
        <v>45380</v>
      </c>
      <c r="B127" s="456" t="s">
        <v>131</v>
      </c>
      <c r="C127" s="490">
        <v>45379</v>
      </c>
      <c r="D127" s="491"/>
      <c r="E127" s="491"/>
      <c r="F127" s="493" t="s">
        <v>132</v>
      </c>
      <c r="G127" s="491">
        <v>1</v>
      </c>
      <c r="H127" s="431">
        <v>246</v>
      </c>
      <c r="I127" s="491">
        <f t="shared" si="13"/>
        <v>246</v>
      </c>
      <c r="J127" s="492">
        <v>3.4</v>
      </c>
      <c r="K127" s="492">
        <f>I127*J127</f>
        <v>836.4</v>
      </c>
    </row>
    <row r="128" s="456" customFormat="1" ht="20.25" spans="1:14">
      <c r="A128" s="488">
        <v>45380</v>
      </c>
      <c r="B128" s="456" t="s">
        <v>131</v>
      </c>
      <c r="C128" s="490">
        <v>45379</v>
      </c>
      <c r="D128" s="491"/>
      <c r="E128" s="491"/>
      <c r="F128" s="493" t="s">
        <v>86</v>
      </c>
      <c r="G128" s="491">
        <v>1</v>
      </c>
      <c r="H128" s="431">
        <v>70</v>
      </c>
      <c r="I128" s="491">
        <f t="shared" si="13"/>
        <v>70</v>
      </c>
      <c r="J128" s="492"/>
      <c r="K128" s="492"/>
      <c r="L128" s="536"/>
      <c r="M128" s="536"/>
      <c r="N128" s="536"/>
    </row>
    <row r="129" s="456" customFormat="1" ht="20.25" spans="1:15">
      <c r="A129" s="488">
        <v>45380</v>
      </c>
      <c r="B129" s="456" t="s">
        <v>131</v>
      </c>
      <c r="C129" s="490">
        <v>45379</v>
      </c>
      <c r="D129" s="491"/>
      <c r="E129" s="491"/>
      <c r="F129" s="493" t="s">
        <v>87</v>
      </c>
      <c r="G129" s="491">
        <v>1</v>
      </c>
      <c r="H129" s="431">
        <v>380</v>
      </c>
      <c r="I129" s="491">
        <f t="shared" si="13"/>
        <v>380</v>
      </c>
      <c r="J129" s="492"/>
      <c r="K129" s="492"/>
      <c r="L129" s="536"/>
      <c r="M129" s="536"/>
      <c r="N129" s="536"/>
    </row>
    <row r="130" s="456" customFormat="1" ht="20.25" spans="1:15">
      <c r="A130" s="488">
        <v>45380</v>
      </c>
      <c r="B130" s="456" t="s">
        <v>131</v>
      </c>
      <c r="C130" s="490">
        <v>45379</v>
      </c>
      <c r="D130" s="491"/>
      <c r="E130" s="491"/>
      <c r="F130" s="493" t="s">
        <v>133</v>
      </c>
      <c r="G130" s="491">
        <v>1</v>
      </c>
      <c r="H130" s="431">
        <v>34</v>
      </c>
      <c r="I130" s="491">
        <f t="shared" si="13"/>
        <v>34</v>
      </c>
      <c r="J130" s="492"/>
      <c r="K130" s="492"/>
      <c r="L130" s="536" t="s">
        <v>126</v>
      </c>
      <c r="M130" s="536"/>
      <c r="N130" s="536"/>
    </row>
    <row r="131" s="456" customFormat="1" ht="20.25" spans="1:15">
      <c r="A131" s="488">
        <v>45380</v>
      </c>
      <c r="B131" s="456" t="s">
        <v>131</v>
      </c>
      <c r="C131" s="490">
        <v>45379</v>
      </c>
      <c r="D131" s="491"/>
      <c r="E131" s="491"/>
      <c r="F131" s="499" t="s">
        <v>134</v>
      </c>
      <c r="G131" s="501">
        <v>1</v>
      </c>
      <c r="H131" s="500">
        <f>SUM(H125:H130)</f>
        <v>1000</v>
      </c>
      <c r="I131" s="501">
        <f t="shared" si="13"/>
        <v>1000</v>
      </c>
      <c r="J131" s="502">
        <v>1</v>
      </c>
      <c r="K131" s="502">
        <f>I131*J131</f>
        <v>1000</v>
      </c>
      <c r="L131" s="536">
        <f>SUM(K125:K131)</f>
        <v>1836.4</v>
      </c>
      <c r="M131" s="536"/>
      <c r="N131" s="536"/>
    </row>
    <row r="132" s="457" customFormat="1" ht="20.25" spans="1:15">
      <c r="A132" s="494">
        <v>45380</v>
      </c>
      <c r="B132" s="457" t="s">
        <v>135</v>
      </c>
      <c r="C132" s="495">
        <v>45379</v>
      </c>
      <c r="D132" s="463"/>
      <c r="E132" s="463"/>
      <c r="F132" s="496" t="s">
        <v>16</v>
      </c>
      <c r="G132" s="463">
        <v>1</v>
      </c>
      <c r="H132" s="432">
        <v>75</v>
      </c>
      <c r="I132" s="463">
        <f t="shared" si="13"/>
        <v>75</v>
      </c>
      <c r="J132" s="497"/>
      <c r="K132" s="497"/>
    </row>
    <row r="133" s="457" customFormat="1" ht="20.25" spans="1:15">
      <c r="A133" s="494">
        <v>45380</v>
      </c>
      <c r="B133" s="457" t="s">
        <v>135</v>
      </c>
      <c r="C133" s="495">
        <v>45379</v>
      </c>
      <c r="D133" s="463"/>
      <c r="E133" s="463"/>
      <c r="F133" s="496" t="s">
        <v>136</v>
      </c>
      <c r="G133" s="463">
        <v>1</v>
      </c>
      <c r="H133" s="432">
        <v>75</v>
      </c>
      <c r="I133" s="463">
        <f t="shared" ref="I133:I149" si="14">G133*H133</f>
        <v>75</v>
      </c>
      <c r="J133" s="497"/>
      <c r="K133" s="497"/>
    </row>
    <row r="134" s="457" customFormat="1" ht="20.25" spans="1:15">
      <c r="A134" s="494">
        <v>45380</v>
      </c>
      <c r="B134" s="457" t="s">
        <v>135</v>
      </c>
      <c r="C134" s="495">
        <v>45379</v>
      </c>
      <c r="D134" s="463"/>
      <c r="E134" s="463"/>
      <c r="F134" s="496" t="s">
        <v>92</v>
      </c>
      <c r="G134" s="463">
        <v>1</v>
      </c>
      <c r="H134" s="432">
        <v>2</v>
      </c>
      <c r="I134" s="463">
        <f t="shared" si="14"/>
        <v>2</v>
      </c>
      <c r="J134" s="497"/>
      <c r="K134" s="497"/>
    </row>
    <row r="135" s="457" customFormat="1" ht="20.25" spans="1:15">
      <c r="A135" s="494">
        <v>45380</v>
      </c>
      <c r="B135" s="457" t="s">
        <v>135</v>
      </c>
      <c r="C135" s="495">
        <v>45379</v>
      </c>
      <c r="D135" s="463"/>
      <c r="E135" s="463"/>
      <c r="F135" s="496" t="s">
        <v>132</v>
      </c>
      <c r="G135" s="463">
        <v>1</v>
      </c>
      <c r="H135" s="432">
        <v>114</v>
      </c>
      <c r="I135" s="463">
        <f t="shared" si="14"/>
        <v>114</v>
      </c>
      <c r="J135" s="497">
        <v>3.4</v>
      </c>
      <c r="K135" s="497">
        <f>I135*J135</f>
        <v>387.6</v>
      </c>
    </row>
    <row r="136" s="457" customFormat="1" ht="20.25" spans="1:15">
      <c r="A136" s="494">
        <v>45380</v>
      </c>
      <c r="B136" s="457" t="s">
        <v>135</v>
      </c>
      <c r="C136" s="495">
        <v>45379</v>
      </c>
      <c r="D136" s="463"/>
      <c r="E136" s="463"/>
      <c r="F136" s="496" t="s">
        <v>87</v>
      </c>
      <c r="G136" s="463">
        <v>1</v>
      </c>
      <c r="H136" s="432">
        <v>225</v>
      </c>
      <c r="I136" s="463">
        <f t="shared" si="14"/>
        <v>225</v>
      </c>
      <c r="J136" s="497"/>
      <c r="K136" s="497"/>
      <c r="L136" s="537"/>
      <c r="M136" s="537"/>
      <c r="N136" s="537"/>
    </row>
    <row r="137" s="457" customFormat="1" ht="20.25" spans="1:15">
      <c r="A137" s="494">
        <v>45380</v>
      </c>
      <c r="B137" s="457" t="s">
        <v>135</v>
      </c>
      <c r="C137" s="495">
        <v>45379</v>
      </c>
      <c r="D137" s="463"/>
      <c r="E137" s="463"/>
      <c r="F137" s="496" t="s">
        <v>133</v>
      </c>
      <c r="G137" s="463">
        <v>1</v>
      </c>
      <c r="H137" s="432">
        <v>12.5</v>
      </c>
      <c r="I137" s="463">
        <f t="shared" si="14"/>
        <v>12.5</v>
      </c>
      <c r="J137" s="497"/>
      <c r="K137" s="497"/>
      <c r="L137" s="537"/>
      <c r="M137" s="537"/>
      <c r="N137" s="537"/>
    </row>
    <row r="138" s="457" customFormat="1" ht="20.25" spans="1:15">
      <c r="A138" s="494">
        <v>45380</v>
      </c>
      <c r="B138" s="457" t="s">
        <v>135</v>
      </c>
      <c r="C138" s="495">
        <v>45379</v>
      </c>
      <c r="D138" s="463"/>
      <c r="E138" s="463"/>
      <c r="F138" s="496" t="s">
        <v>137</v>
      </c>
      <c r="G138" s="463">
        <v>1</v>
      </c>
      <c r="H138" s="432">
        <v>50</v>
      </c>
      <c r="I138" s="463">
        <f t="shared" si="14"/>
        <v>50</v>
      </c>
      <c r="J138" s="497">
        <v>0.9</v>
      </c>
      <c r="K138" s="497">
        <f>I138*J138</f>
        <v>45</v>
      </c>
      <c r="L138" s="537" t="s">
        <v>116</v>
      </c>
      <c r="M138" s="537"/>
      <c r="N138" s="537"/>
    </row>
    <row r="139" s="457" customFormat="1" ht="20.25" spans="1:15">
      <c r="A139" s="494">
        <v>45380</v>
      </c>
      <c r="B139" s="457" t="s">
        <v>135</v>
      </c>
      <c r="C139" s="495">
        <v>45379</v>
      </c>
      <c r="D139" s="463"/>
      <c r="E139" s="463"/>
      <c r="F139" s="499" t="s">
        <v>138</v>
      </c>
      <c r="G139" s="501">
        <v>1</v>
      </c>
      <c r="H139" s="500">
        <f>SUM(H132:H138)</f>
        <v>553.5</v>
      </c>
      <c r="I139" s="501">
        <f t="shared" si="14"/>
        <v>553.5</v>
      </c>
      <c r="J139" s="502">
        <v>1</v>
      </c>
      <c r="K139" s="502">
        <f>I139*J139</f>
        <v>553.5</v>
      </c>
      <c r="L139" s="537">
        <f>SUM(K132:K139)</f>
        <v>986.1</v>
      </c>
      <c r="M139" s="537"/>
      <c r="N139" s="537"/>
    </row>
    <row r="140" s="456" customFormat="1" ht="20.25" spans="1:15">
      <c r="A140" s="488">
        <v>45381</v>
      </c>
      <c r="B140" s="456" t="s">
        <v>139</v>
      </c>
      <c r="C140" s="490">
        <v>45381</v>
      </c>
      <c r="D140" s="491"/>
      <c r="E140" s="491"/>
      <c r="F140" s="493" t="s">
        <v>97</v>
      </c>
      <c r="G140" s="491">
        <v>1</v>
      </c>
      <c r="H140" s="431">
        <v>200</v>
      </c>
      <c r="I140" s="491">
        <f t="shared" si="14"/>
        <v>200</v>
      </c>
      <c r="J140" s="492"/>
      <c r="K140" s="492"/>
      <c r="L140" s="536"/>
    </row>
    <row r="141" s="456" customFormat="1" ht="20.25" spans="1:15">
      <c r="A141" s="488">
        <v>45381</v>
      </c>
      <c r="B141" s="456" t="s">
        <v>139</v>
      </c>
      <c r="C141" s="490">
        <v>45381</v>
      </c>
      <c r="D141" s="491"/>
      <c r="E141" s="491"/>
      <c r="F141" s="493" t="s">
        <v>46</v>
      </c>
      <c r="G141" s="491">
        <v>1</v>
      </c>
      <c r="H141" s="431">
        <v>900</v>
      </c>
      <c r="I141" s="491">
        <f t="shared" si="14"/>
        <v>900</v>
      </c>
      <c r="J141" s="492">
        <v>6.5</v>
      </c>
      <c r="K141" s="492">
        <f t="shared" ref="K141:K143" si="15">I141*J141</f>
        <v>5850</v>
      </c>
      <c r="L141" s="536"/>
    </row>
    <row r="142" s="456" customFormat="1" ht="20.25" spans="1:15">
      <c r="A142" s="488">
        <v>45381</v>
      </c>
      <c r="B142" s="456" t="s">
        <v>139</v>
      </c>
      <c r="C142" s="490">
        <v>45381</v>
      </c>
      <c r="D142" s="491"/>
      <c r="E142" s="491"/>
      <c r="F142" s="493" t="s">
        <v>83</v>
      </c>
      <c r="G142" s="491">
        <v>1</v>
      </c>
      <c r="H142" s="431">
        <v>180</v>
      </c>
      <c r="I142" s="491">
        <f t="shared" si="14"/>
        <v>180</v>
      </c>
      <c r="J142" s="492">
        <v>8.1</v>
      </c>
      <c r="K142" s="492">
        <f t="shared" si="15"/>
        <v>1458</v>
      </c>
      <c r="L142" s="536"/>
      <c r="O142" s="456" t="s">
        <v>140</v>
      </c>
    </row>
    <row r="143" s="456" customFormat="1" ht="20.25" spans="1:15">
      <c r="A143" s="488">
        <v>45381</v>
      </c>
      <c r="B143" s="456" t="s">
        <v>139</v>
      </c>
      <c r="C143" s="490">
        <v>45381</v>
      </c>
      <c r="D143" s="491"/>
      <c r="E143" s="491"/>
      <c r="F143" s="499" t="s">
        <v>68</v>
      </c>
      <c r="G143" s="501">
        <v>1</v>
      </c>
      <c r="H143" s="500">
        <f>SUM(H140:H142)</f>
        <v>1280</v>
      </c>
      <c r="I143" s="501">
        <f t="shared" si="14"/>
        <v>1280</v>
      </c>
      <c r="J143" s="502">
        <v>0.8</v>
      </c>
      <c r="K143" s="502">
        <f t="shared" si="15"/>
        <v>1024</v>
      </c>
      <c r="L143" s="536">
        <f>SUM(K140:K143)</f>
        <v>8332</v>
      </c>
      <c r="O143" s="456">
        <f>SUM(K11:K143)</f>
        <v>49665.95</v>
      </c>
    </row>
    <row r="144" s="458" customFormat="1" ht="20.25" spans="1:15">
      <c r="A144" s="610"/>
      <c r="C144" s="611"/>
      <c r="D144" s="510"/>
      <c r="E144" s="510"/>
      <c r="F144" s="509"/>
      <c r="G144" s="510"/>
      <c r="H144" s="612" t="s">
        <v>141</v>
      </c>
      <c r="I144" s="510" t="s">
        <v>32</v>
      </c>
      <c r="J144" s="613">
        <f>SUM(I148+I158+I164+I170+I176+I184+I190+I195+I202+I208+I214+I218+I227+I232+I242+I248+I254+I258+I265+I274+I277+I283+I292+I299+I305+I312+I315+I322+I329+I333+I337+I343+90)/1000</f>
        <v>21.8883</v>
      </c>
      <c r="K144" s="613" t="s">
        <v>142</v>
      </c>
      <c r="L144" s="614">
        <f>K151+K177+K185+K196+K233+K236</f>
        <v>1293</v>
      </c>
      <c r="M144" s="458" t="s">
        <v>143</v>
      </c>
      <c r="N144" s="458">
        <f>'24材料明细'!AQ316+K234+K235</f>
        <v>75846.96</v>
      </c>
    </row>
    <row r="145" s="458" customFormat="1" ht="27" customHeight="1" spans="1:14">
      <c r="A145" s="610"/>
      <c r="C145" s="611"/>
      <c r="D145" s="510"/>
      <c r="E145" s="510"/>
      <c r="F145" s="509"/>
      <c r="G145" s="510"/>
      <c r="H145" s="612"/>
      <c r="I145" s="510" t="s">
        <v>34</v>
      </c>
      <c r="J145" s="613">
        <f>SUM(K147:K343)</f>
        <v>112154.26</v>
      </c>
      <c r="K145" s="613" t="s">
        <v>30</v>
      </c>
      <c r="L145" s="614">
        <f>SUM(K148+K158+K164+K170+K176+K184+K190+K195+K202+K208+K214+K218+K227+K232+K242+K248+K254+K258+K265+K274+K277+K283+K292+K299+K305+K312+K315+K322+K329+K333+K337+K343)</f>
        <v>35014.3</v>
      </c>
      <c r="M145" s="458" t="s">
        <v>144</v>
      </c>
      <c r="N145" s="458">
        <f>L144+L145+N144</f>
        <v>112154.26</v>
      </c>
    </row>
    <row r="146" s="457" customFormat="1" ht="20.25" spans="1:14">
      <c r="A146" s="494">
        <v>45385</v>
      </c>
      <c r="B146" s="607" t="s">
        <v>145</v>
      </c>
      <c r="C146" s="495">
        <v>45383</v>
      </c>
      <c r="D146" s="463"/>
      <c r="E146" s="463"/>
      <c r="F146" s="496" t="s">
        <v>108</v>
      </c>
      <c r="G146" s="463">
        <v>1</v>
      </c>
      <c r="H146" s="432">
        <v>75</v>
      </c>
      <c r="I146" s="463">
        <f t="shared" ref="I146:I151" si="16">G146*H146</f>
        <v>75</v>
      </c>
      <c r="J146" s="497"/>
      <c r="K146" s="497"/>
      <c r="L146" s="537"/>
      <c r="M146" s="537"/>
      <c r="N146" s="537"/>
    </row>
    <row r="147" s="457" customFormat="1" ht="20.25" spans="1:14">
      <c r="A147" s="494">
        <v>45385</v>
      </c>
      <c r="B147" s="607" t="s">
        <v>145</v>
      </c>
      <c r="C147" s="495">
        <v>45383</v>
      </c>
      <c r="D147" s="463"/>
      <c r="E147" s="463"/>
      <c r="F147" s="496">
        <v>808</v>
      </c>
      <c r="G147" s="463">
        <v>1</v>
      </c>
      <c r="H147" s="432">
        <v>112.5</v>
      </c>
      <c r="I147" s="463">
        <f t="shared" si="16"/>
        <v>112.5</v>
      </c>
      <c r="J147" s="497">
        <v>10.3</v>
      </c>
      <c r="K147" s="497">
        <f>I147*J147</f>
        <v>1158.75</v>
      </c>
      <c r="L147" s="537"/>
      <c r="M147" s="537"/>
      <c r="N147" s="537"/>
    </row>
    <row r="148" s="457" customFormat="1" ht="20.25" spans="1:14">
      <c r="A148" s="494">
        <v>45385</v>
      </c>
      <c r="B148" s="607" t="s">
        <v>145</v>
      </c>
      <c r="C148" s="495">
        <v>45383</v>
      </c>
      <c r="D148" s="463"/>
      <c r="E148" s="463"/>
      <c r="F148" s="499" t="s">
        <v>109</v>
      </c>
      <c r="G148" s="501">
        <v>1</v>
      </c>
      <c r="H148" s="500">
        <f>SUM(H146:H147)</f>
        <v>187.5</v>
      </c>
      <c r="I148" s="501">
        <f t="shared" si="16"/>
        <v>187.5</v>
      </c>
      <c r="J148" s="502">
        <v>1</v>
      </c>
      <c r="K148" s="502">
        <f>I148*J148</f>
        <v>187.5</v>
      </c>
      <c r="L148" s="537"/>
      <c r="M148" s="537"/>
      <c r="N148" s="537"/>
    </row>
    <row r="149" s="457" customFormat="1" ht="20.25" spans="1:14">
      <c r="A149" s="494">
        <v>45385</v>
      </c>
      <c r="B149" s="607" t="s">
        <v>145</v>
      </c>
      <c r="C149" s="495">
        <v>45384</v>
      </c>
      <c r="D149" s="463"/>
      <c r="E149" s="463"/>
      <c r="F149" s="496" t="s">
        <v>146</v>
      </c>
      <c r="G149" s="463">
        <v>1</v>
      </c>
      <c r="H149" s="432">
        <v>15</v>
      </c>
      <c r="I149" s="463">
        <f t="shared" si="16"/>
        <v>15</v>
      </c>
      <c r="J149" s="497"/>
      <c r="K149" s="497"/>
      <c r="L149" s="537"/>
      <c r="M149" s="537"/>
      <c r="N149" s="537"/>
    </row>
    <row r="150" s="457" customFormat="1" ht="20.25" spans="1:14">
      <c r="A150" s="494">
        <v>45385</v>
      </c>
      <c r="B150" s="607" t="s">
        <v>145</v>
      </c>
      <c r="C150" s="495">
        <v>45384</v>
      </c>
      <c r="D150" s="463"/>
      <c r="E150" s="463"/>
      <c r="F150" s="496" t="s">
        <v>147</v>
      </c>
      <c r="G150" s="463">
        <v>1</v>
      </c>
      <c r="H150" s="432">
        <v>4</v>
      </c>
      <c r="I150" s="463">
        <f t="shared" si="16"/>
        <v>4</v>
      </c>
      <c r="J150" s="497"/>
      <c r="K150" s="497"/>
      <c r="L150" s="537"/>
      <c r="M150" s="537"/>
      <c r="N150" s="537"/>
    </row>
    <row r="151" s="457" customFormat="1" ht="20.25" spans="1:14">
      <c r="A151" s="494">
        <v>45385</v>
      </c>
      <c r="B151" s="607" t="s">
        <v>145</v>
      </c>
      <c r="C151" s="495">
        <v>45384</v>
      </c>
      <c r="D151" s="463"/>
      <c r="E151" s="463"/>
      <c r="F151" s="496" t="s">
        <v>63</v>
      </c>
      <c r="G151" s="463">
        <v>1</v>
      </c>
      <c r="H151" s="432">
        <v>1</v>
      </c>
      <c r="I151" s="463">
        <f t="shared" si="16"/>
        <v>1</v>
      </c>
      <c r="J151" s="497">
        <v>5.5</v>
      </c>
      <c r="K151" s="525">
        <f>SUM(J149:J151)</f>
        <v>5.5</v>
      </c>
      <c r="L151" s="537">
        <f>SUM(K146:K151)</f>
        <v>1351.75</v>
      </c>
      <c r="M151" s="537"/>
      <c r="N151" s="537"/>
    </row>
    <row r="152" s="456" customFormat="1" ht="20.25" spans="1:14">
      <c r="A152" s="488">
        <v>45385</v>
      </c>
      <c r="B152" s="456" t="s">
        <v>148</v>
      </c>
      <c r="C152" s="490">
        <v>45384</v>
      </c>
      <c r="D152" s="491"/>
      <c r="E152" s="491"/>
      <c r="F152" s="493" t="s">
        <v>16</v>
      </c>
      <c r="G152" s="491">
        <v>1</v>
      </c>
      <c r="H152" s="431">
        <v>60</v>
      </c>
      <c r="I152" s="491">
        <f t="shared" ref="I152:I177" si="17">G152*H152</f>
        <v>60</v>
      </c>
      <c r="J152" s="492"/>
      <c r="K152" s="492"/>
    </row>
    <row r="153" s="456" customFormat="1" ht="20.25" spans="1:14">
      <c r="A153" s="488">
        <v>45385</v>
      </c>
      <c r="B153" s="456" t="s">
        <v>148</v>
      </c>
      <c r="C153" s="490">
        <v>45384</v>
      </c>
      <c r="D153" s="491"/>
      <c r="E153" s="491"/>
      <c r="F153" s="493" t="s">
        <v>149</v>
      </c>
      <c r="G153" s="491">
        <v>1</v>
      </c>
      <c r="H153" s="431">
        <v>21</v>
      </c>
      <c r="I153" s="491">
        <f t="shared" si="17"/>
        <v>21</v>
      </c>
      <c r="J153" s="492"/>
      <c r="K153" s="492"/>
    </row>
    <row r="154" s="456" customFormat="1" ht="20.25" spans="1:14">
      <c r="A154" s="488">
        <v>45385</v>
      </c>
      <c r="B154" s="456" t="s">
        <v>148</v>
      </c>
      <c r="C154" s="490">
        <v>45384</v>
      </c>
      <c r="D154" s="491"/>
      <c r="E154" s="491"/>
      <c r="F154" s="493" t="s">
        <v>87</v>
      </c>
      <c r="G154" s="491">
        <v>1</v>
      </c>
      <c r="H154" s="431">
        <v>114</v>
      </c>
      <c r="I154" s="491">
        <f t="shared" si="17"/>
        <v>114</v>
      </c>
      <c r="J154" s="492"/>
      <c r="K154" s="492"/>
    </row>
    <row r="155" s="456" customFormat="1" ht="20.25" spans="1:14">
      <c r="A155" s="488">
        <v>45385</v>
      </c>
      <c r="B155" s="456" t="s">
        <v>148</v>
      </c>
      <c r="C155" s="490">
        <v>45384</v>
      </c>
      <c r="D155" s="491"/>
      <c r="E155" s="491"/>
      <c r="F155" s="493" t="s">
        <v>124</v>
      </c>
      <c r="G155" s="491">
        <v>1</v>
      </c>
      <c r="H155" s="431">
        <v>45</v>
      </c>
      <c r="I155" s="491">
        <f t="shared" si="17"/>
        <v>45</v>
      </c>
      <c r="J155" s="492"/>
      <c r="K155" s="492"/>
    </row>
    <row r="156" s="456" customFormat="1" ht="20.25" spans="1:14">
      <c r="A156" s="488">
        <v>45385</v>
      </c>
      <c r="B156" s="456" t="s">
        <v>148</v>
      </c>
      <c r="C156" s="490">
        <v>45384</v>
      </c>
      <c r="D156" s="491"/>
      <c r="E156" s="491"/>
      <c r="F156" s="493" t="s">
        <v>115</v>
      </c>
      <c r="G156" s="491">
        <v>1</v>
      </c>
      <c r="H156" s="431">
        <v>37.5</v>
      </c>
      <c r="I156" s="491">
        <f t="shared" si="17"/>
        <v>37.5</v>
      </c>
      <c r="J156" s="492"/>
      <c r="K156" s="492"/>
      <c r="M156" s="456" t="s">
        <v>126</v>
      </c>
    </row>
    <row r="157" s="456" customFormat="1" ht="20.25" spans="1:14">
      <c r="A157" s="488">
        <v>45385</v>
      </c>
      <c r="B157" s="456" t="s">
        <v>148</v>
      </c>
      <c r="C157" s="490">
        <v>45384</v>
      </c>
      <c r="D157" s="491"/>
      <c r="E157" s="491"/>
      <c r="F157" s="493">
        <v>808</v>
      </c>
      <c r="G157" s="491">
        <v>1</v>
      </c>
      <c r="H157" s="431">
        <v>22.5</v>
      </c>
      <c r="I157" s="491">
        <f t="shared" si="17"/>
        <v>22.5</v>
      </c>
      <c r="J157" s="492">
        <v>10.3</v>
      </c>
      <c r="K157" s="492">
        <f t="shared" ref="K157:K166" si="18">I157*J157</f>
        <v>231.75</v>
      </c>
    </row>
    <row r="158" s="456" customFormat="1" ht="20.25" spans="1:14">
      <c r="A158" s="488">
        <v>45385</v>
      </c>
      <c r="B158" s="456" t="s">
        <v>148</v>
      </c>
      <c r="C158" s="490">
        <v>45384</v>
      </c>
      <c r="D158" s="491"/>
      <c r="E158" s="491"/>
      <c r="F158" s="499" t="s">
        <v>150</v>
      </c>
      <c r="G158" s="491">
        <v>1</v>
      </c>
      <c r="H158" s="500">
        <f>SUM(H152:H157)</f>
        <v>300</v>
      </c>
      <c r="I158" s="501">
        <f t="shared" si="17"/>
        <v>300</v>
      </c>
      <c r="J158" s="502">
        <v>1</v>
      </c>
      <c r="K158" s="502">
        <f t="shared" si="18"/>
        <v>300</v>
      </c>
      <c r="L158" s="456">
        <f>SUM(K157:K158)</f>
        <v>531.75</v>
      </c>
    </row>
    <row r="159" s="457" customFormat="1" ht="20.25" spans="1:14">
      <c r="A159" s="494">
        <v>45385</v>
      </c>
      <c r="B159" s="457" t="s">
        <v>151</v>
      </c>
      <c r="C159" s="495">
        <v>45385</v>
      </c>
      <c r="D159" s="463"/>
      <c r="E159" s="463"/>
      <c r="F159" s="496" t="s">
        <v>16</v>
      </c>
      <c r="G159" s="463">
        <v>1</v>
      </c>
      <c r="H159" s="432">
        <v>48</v>
      </c>
      <c r="I159" s="463">
        <f t="shared" si="17"/>
        <v>48</v>
      </c>
      <c r="J159" s="497"/>
      <c r="K159" s="497"/>
    </row>
    <row r="160" s="457" customFormat="1" ht="20.25" spans="1:14">
      <c r="A160" s="494">
        <v>45385</v>
      </c>
      <c r="B160" s="457" t="s">
        <v>151</v>
      </c>
      <c r="C160" s="495">
        <v>45385</v>
      </c>
      <c r="D160" s="463"/>
      <c r="E160" s="463"/>
      <c r="F160" s="496" t="s">
        <v>89</v>
      </c>
      <c r="G160" s="463">
        <v>1</v>
      </c>
      <c r="H160" s="432">
        <v>4.5</v>
      </c>
      <c r="I160" s="463">
        <f t="shared" si="17"/>
        <v>4.5</v>
      </c>
      <c r="J160" s="497"/>
      <c r="K160" s="497"/>
    </row>
    <row r="161" s="457" customFormat="1" ht="20.25" spans="1:14">
      <c r="A161" s="494">
        <v>45385</v>
      </c>
      <c r="B161" s="457" t="s">
        <v>151</v>
      </c>
      <c r="C161" s="495">
        <v>45385</v>
      </c>
      <c r="D161" s="463"/>
      <c r="E161" s="463"/>
      <c r="F161" s="496" t="s">
        <v>90</v>
      </c>
      <c r="G161" s="463">
        <v>1</v>
      </c>
      <c r="H161" s="432">
        <v>150</v>
      </c>
      <c r="I161" s="463">
        <f t="shared" si="17"/>
        <v>150</v>
      </c>
      <c r="J161" s="497">
        <v>16</v>
      </c>
      <c r="K161" s="497">
        <f t="shared" si="18"/>
        <v>2400</v>
      </c>
    </row>
    <row r="162" s="457" customFormat="1" ht="20.25" spans="1:14">
      <c r="A162" s="494">
        <v>45385</v>
      </c>
      <c r="B162" s="457" t="s">
        <v>151</v>
      </c>
      <c r="C162" s="495">
        <v>45385</v>
      </c>
      <c r="D162" s="463"/>
      <c r="E162" s="463"/>
      <c r="F162" s="496" t="s">
        <v>82</v>
      </c>
      <c r="G162" s="463">
        <v>1</v>
      </c>
      <c r="H162" s="432">
        <v>30</v>
      </c>
      <c r="I162" s="463">
        <f t="shared" si="17"/>
        <v>30</v>
      </c>
      <c r="J162" s="497">
        <v>8.2</v>
      </c>
      <c r="K162" s="497">
        <f t="shared" si="18"/>
        <v>246</v>
      </c>
    </row>
    <row r="163" s="457" customFormat="1" ht="20.25" spans="1:14">
      <c r="A163" s="494">
        <v>45385</v>
      </c>
      <c r="B163" s="457" t="s">
        <v>151</v>
      </c>
      <c r="C163" s="495">
        <v>45385</v>
      </c>
      <c r="D163" s="463"/>
      <c r="E163" s="463"/>
      <c r="F163" s="496" t="s">
        <v>152</v>
      </c>
      <c r="G163" s="463">
        <v>1</v>
      </c>
      <c r="H163" s="432">
        <v>30</v>
      </c>
      <c r="I163" s="463">
        <f t="shared" si="17"/>
        <v>30</v>
      </c>
      <c r="J163" s="497">
        <v>8.1</v>
      </c>
      <c r="K163" s="497">
        <f t="shared" si="18"/>
        <v>243</v>
      </c>
    </row>
    <row r="164" s="457" customFormat="1" ht="20.25" spans="1:14">
      <c r="A164" s="494">
        <v>45385</v>
      </c>
      <c r="B164" s="457" t="s">
        <v>151</v>
      </c>
      <c r="C164" s="495">
        <v>45385</v>
      </c>
      <c r="D164" s="463"/>
      <c r="E164" s="463"/>
      <c r="F164" s="499" t="s">
        <v>84</v>
      </c>
      <c r="G164" s="501">
        <v>1</v>
      </c>
      <c r="H164" s="500">
        <f>SUM(H159:H163)</f>
        <v>262.5</v>
      </c>
      <c r="I164" s="501">
        <f t="shared" si="17"/>
        <v>262.5</v>
      </c>
      <c r="J164" s="502">
        <v>3</v>
      </c>
      <c r="K164" s="502">
        <f t="shared" si="18"/>
        <v>787.5</v>
      </c>
      <c r="L164" s="457">
        <f>SUM(K161:K164)</f>
        <v>3676.5</v>
      </c>
    </row>
    <row r="165" s="456" customFormat="1" ht="20.25" spans="1:14">
      <c r="A165" s="488">
        <v>45388</v>
      </c>
      <c r="B165" s="456" t="s">
        <v>153</v>
      </c>
      <c r="C165" s="490">
        <v>45387</v>
      </c>
      <c r="D165" s="491"/>
      <c r="E165" s="491"/>
      <c r="F165" s="493" t="s">
        <v>16</v>
      </c>
      <c r="G165" s="491">
        <v>1</v>
      </c>
      <c r="H165" s="431">
        <v>48</v>
      </c>
      <c r="I165" s="491">
        <f t="shared" si="17"/>
        <v>48</v>
      </c>
      <c r="J165" s="492"/>
      <c r="K165" s="492">
        <f t="shared" si="18"/>
        <v>0</v>
      </c>
    </row>
    <row r="166" s="456" customFormat="1" ht="20.25" spans="1:14">
      <c r="A166" s="488">
        <v>45388</v>
      </c>
      <c r="B166" s="456" t="s">
        <v>153</v>
      </c>
      <c r="C166" s="490">
        <v>45387</v>
      </c>
      <c r="D166" s="491"/>
      <c r="E166" s="491"/>
      <c r="F166" s="493" t="s">
        <v>89</v>
      </c>
      <c r="G166" s="491">
        <v>1</v>
      </c>
      <c r="H166" s="431">
        <v>4.5</v>
      </c>
      <c r="I166" s="491">
        <f t="shared" si="17"/>
        <v>4.5</v>
      </c>
      <c r="J166" s="492"/>
      <c r="K166" s="492">
        <f t="shared" si="18"/>
        <v>0</v>
      </c>
    </row>
    <row r="167" s="456" customFormat="1" ht="20.25" spans="1:14">
      <c r="A167" s="488">
        <v>45388</v>
      </c>
      <c r="B167" s="456" t="s">
        <v>153</v>
      </c>
      <c r="C167" s="490">
        <v>45387</v>
      </c>
      <c r="D167" s="491"/>
      <c r="E167" s="491"/>
      <c r="F167" s="493" t="s">
        <v>90</v>
      </c>
      <c r="G167" s="491">
        <v>1</v>
      </c>
      <c r="H167" s="431">
        <v>150</v>
      </c>
      <c r="I167" s="491">
        <f t="shared" si="17"/>
        <v>150</v>
      </c>
      <c r="J167" s="492">
        <v>16</v>
      </c>
      <c r="K167" s="492">
        <f t="shared" ref="K167:K170" si="19">I167*J167</f>
        <v>2400</v>
      </c>
    </row>
    <row r="168" s="456" customFormat="1" ht="20.25" spans="1:14">
      <c r="A168" s="488">
        <v>45388</v>
      </c>
      <c r="B168" s="456" t="s">
        <v>153</v>
      </c>
      <c r="C168" s="490">
        <v>45387</v>
      </c>
      <c r="D168" s="491"/>
      <c r="E168" s="491"/>
      <c r="F168" s="493" t="s">
        <v>82</v>
      </c>
      <c r="G168" s="491">
        <v>1</v>
      </c>
      <c r="H168" s="431">
        <v>30</v>
      </c>
      <c r="I168" s="491">
        <f t="shared" si="17"/>
        <v>30</v>
      </c>
      <c r="J168" s="492">
        <v>8.2</v>
      </c>
      <c r="K168" s="492">
        <f t="shared" si="19"/>
        <v>246</v>
      </c>
    </row>
    <row r="169" s="456" customFormat="1" ht="20.25" spans="1:14">
      <c r="A169" s="488">
        <v>45388</v>
      </c>
      <c r="B169" s="456" t="s">
        <v>153</v>
      </c>
      <c r="C169" s="490">
        <v>45387</v>
      </c>
      <c r="D169" s="491"/>
      <c r="E169" s="491"/>
      <c r="F169" s="493" t="s">
        <v>152</v>
      </c>
      <c r="G169" s="491">
        <v>1</v>
      </c>
      <c r="H169" s="431">
        <v>30</v>
      </c>
      <c r="I169" s="491">
        <f t="shared" si="17"/>
        <v>30</v>
      </c>
      <c r="J169" s="492">
        <v>8.1</v>
      </c>
      <c r="K169" s="492">
        <f t="shared" si="19"/>
        <v>243</v>
      </c>
    </row>
    <row r="170" s="456" customFormat="1" ht="20.25" spans="1:14">
      <c r="A170" s="488">
        <v>45388</v>
      </c>
      <c r="B170" s="456" t="s">
        <v>153</v>
      </c>
      <c r="C170" s="490">
        <v>45387</v>
      </c>
      <c r="D170" s="491"/>
      <c r="E170" s="491"/>
      <c r="F170" s="499" t="s">
        <v>84</v>
      </c>
      <c r="G170" s="491">
        <v>1</v>
      </c>
      <c r="H170" s="500">
        <f>SUM(H165:H169)</f>
        <v>262.5</v>
      </c>
      <c r="I170" s="501">
        <f t="shared" si="17"/>
        <v>262.5</v>
      </c>
      <c r="J170" s="502">
        <v>3</v>
      </c>
      <c r="K170" s="502">
        <f t="shared" si="19"/>
        <v>787.5</v>
      </c>
      <c r="L170" s="464">
        <f>SUM(K167:K170)</f>
        <v>3676.5</v>
      </c>
    </row>
    <row r="171" s="457" customFormat="1" ht="20.25" spans="1:14">
      <c r="A171" s="494">
        <v>45388</v>
      </c>
      <c r="B171" s="457" t="s">
        <v>154</v>
      </c>
      <c r="C171" s="495">
        <v>45388</v>
      </c>
      <c r="D171" s="463"/>
      <c r="E171" s="463"/>
      <c r="F171" s="496" t="s">
        <v>16</v>
      </c>
      <c r="G171" s="463">
        <v>1</v>
      </c>
      <c r="H171" s="432">
        <v>190</v>
      </c>
      <c r="I171" s="463">
        <f t="shared" si="17"/>
        <v>190</v>
      </c>
      <c r="J171" s="497"/>
      <c r="K171" s="497"/>
    </row>
    <row r="172" s="457" customFormat="1" ht="20.25" spans="1:14">
      <c r="A172" s="494">
        <v>45388</v>
      </c>
      <c r="B172" s="457" t="s">
        <v>154</v>
      </c>
      <c r="C172" s="495">
        <v>45388</v>
      </c>
      <c r="D172" s="463"/>
      <c r="E172" s="463"/>
      <c r="F172" s="496" t="s">
        <v>129</v>
      </c>
      <c r="G172" s="463">
        <v>1</v>
      </c>
      <c r="H172" s="432">
        <v>142.5</v>
      </c>
      <c r="I172" s="463">
        <f t="shared" si="17"/>
        <v>142.5</v>
      </c>
      <c r="J172" s="497"/>
      <c r="K172" s="497"/>
    </row>
    <row r="173" s="457" customFormat="1" ht="20.25" spans="1:14">
      <c r="A173" s="494">
        <v>45388</v>
      </c>
      <c r="B173" s="457" t="s">
        <v>154</v>
      </c>
      <c r="C173" s="495">
        <v>45388</v>
      </c>
      <c r="D173" s="463"/>
      <c r="E173" s="463"/>
      <c r="F173" s="496">
        <v>808</v>
      </c>
      <c r="G173" s="463">
        <v>1</v>
      </c>
      <c r="H173" s="432">
        <v>190</v>
      </c>
      <c r="I173" s="463">
        <f t="shared" si="17"/>
        <v>190</v>
      </c>
      <c r="J173" s="497">
        <v>10.3</v>
      </c>
      <c r="K173" s="497">
        <f>I173*J173</f>
        <v>1957</v>
      </c>
    </row>
    <row r="174" s="457" customFormat="1" ht="20.25" spans="1:14">
      <c r="A174" s="494">
        <v>45388</v>
      </c>
      <c r="B174" s="457" t="s">
        <v>154</v>
      </c>
      <c r="C174" s="495">
        <v>45388</v>
      </c>
      <c r="D174" s="463"/>
      <c r="E174" s="463"/>
      <c r="F174" s="496" t="s">
        <v>86</v>
      </c>
      <c r="G174" s="463">
        <v>1</v>
      </c>
      <c r="H174" s="432">
        <v>66.5</v>
      </c>
      <c r="I174" s="463">
        <f t="shared" si="17"/>
        <v>66.5</v>
      </c>
      <c r="J174" s="497"/>
      <c r="K174" s="497"/>
      <c r="L174" s="537"/>
      <c r="M174" s="537"/>
      <c r="N174" s="537"/>
    </row>
    <row r="175" s="457" customFormat="1" ht="20.25" spans="1:14">
      <c r="A175" s="494">
        <v>45388</v>
      </c>
      <c r="B175" s="457" t="s">
        <v>154</v>
      </c>
      <c r="C175" s="495">
        <v>45388</v>
      </c>
      <c r="D175" s="463"/>
      <c r="E175" s="463"/>
      <c r="F175" s="496" t="s">
        <v>87</v>
      </c>
      <c r="G175" s="463">
        <v>1</v>
      </c>
      <c r="H175" s="432">
        <v>361</v>
      </c>
      <c r="I175" s="463">
        <f t="shared" si="17"/>
        <v>361</v>
      </c>
      <c r="J175" s="497"/>
      <c r="K175" s="497"/>
      <c r="L175" s="537"/>
      <c r="M175" s="537" t="s">
        <v>155</v>
      </c>
      <c r="N175" s="537"/>
    </row>
    <row r="176" s="457" customFormat="1" ht="20.25" spans="1:14">
      <c r="A176" s="494">
        <v>45388</v>
      </c>
      <c r="B176" s="457" t="s">
        <v>154</v>
      </c>
      <c r="C176" s="495">
        <v>45388</v>
      </c>
      <c r="D176" s="463"/>
      <c r="E176" s="463"/>
      <c r="F176" s="499" t="s">
        <v>130</v>
      </c>
      <c r="G176" s="501">
        <v>1</v>
      </c>
      <c r="H176" s="500">
        <f>SUM(H171:H175)</f>
        <v>950</v>
      </c>
      <c r="I176" s="501">
        <f t="shared" si="17"/>
        <v>950</v>
      </c>
      <c r="J176" s="502">
        <v>1</v>
      </c>
      <c r="K176" s="502">
        <f>I176*J176</f>
        <v>950</v>
      </c>
      <c r="L176" s="537"/>
      <c r="M176" s="537"/>
      <c r="N176" s="537"/>
    </row>
    <row r="177" s="457" customFormat="1" ht="20.25" spans="1:14">
      <c r="A177" s="494">
        <v>45388</v>
      </c>
      <c r="B177" s="457" t="s">
        <v>154</v>
      </c>
      <c r="C177" s="495">
        <v>45388</v>
      </c>
      <c r="D177" s="463"/>
      <c r="E177" s="463"/>
      <c r="F177" s="496" t="s">
        <v>156</v>
      </c>
      <c r="G177" s="463">
        <v>40</v>
      </c>
      <c r="H177" s="432">
        <v>1</v>
      </c>
      <c r="I177" s="463">
        <f t="shared" si="17"/>
        <v>40</v>
      </c>
      <c r="J177" s="497">
        <v>12.5</v>
      </c>
      <c r="K177" s="525">
        <f>I177*J177</f>
        <v>500</v>
      </c>
      <c r="L177" s="537">
        <f>SUM(K171:K177)</f>
        <v>3407</v>
      </c>
      <c r="M177" s="537"/>
      <c r="N177" s="537"/>
    </row>
    <row r="178" s="456" customFormat="1" ht="20.25" spans="1:14">
      <c r="A178" s="488">
        <v>45388</v>
      </c>
      <c r="B178" s="456" t="s">
        <v>157</v>
      </c>
      <c r="C178" s="490">
        <v>45388</v>
      </c>
      <c r="D178" s="491"/>
      <c r="E178" s="491"/>
      <c r="F178" s="493" t="s">
        <v>16</v>
      </c>
      <c r="G178" s="491">
        <v>1</v>
      </c>
      <c r="H178" s="431">
        <v>160</v>
      </c>
      <c r="I178" s="491">
        <f t="shared" ref="I178:I208" si="20">G178*H178</f>
        <v>160</v>
      </c>
      <c r="J178" s="492"/>
      <c r="K178" s="492"/>
    </row>
    <row r="179" s="456" customFormat="1" ht="20.25" spans="1:14">
      <c r="A179" s="488">
        <v>45388</v>
      </c>
      <c r="B179" s="456" t="s">
        <v>157</v>
      </c>
      <c r="C179" s="490">
        <v>45388</v>
      </c>
      <c r="D179" s="491"/>
      <c r="E179" s="491"/>
      <c r="F179" s="493" t="s">
        <v>13</v>
      </c>
      <c r="G179" s="491">
        <v>1</v>
      </c>
      <c r="H179" s="431">
        <v>160</v>
      </c>
      <c r="I179" s="491">
        <f t="shared" si="20"/>
        <v>160</v>
      </c>
      <c r="J179" s="492"/>
      <c r="K179" s="492"/>
    </row>
    <row r="180" s="456" customFormat="1" ht="20.25" spans="1:14">
      <c r="A180" s="488">
        <v>45388</v>
      </c>
      <c r="B180" s="456" t="s">
        <v>157</v>
      </c>
      <c r="C180" s="490">
        <v>45388</v>
      </c>
      <c r="D180" s="491"/>
      <c r="E180" s="491"/>
      <c r="F180" s="493" t="s">
        <v>86</v>
      </c>
      <c r="G180" s="491">
        <v>1</v>
      </c>
      <c r="H180" s="431">
        <v>56</v>
      </c>
      <c r="I180" s="491">
        <f t="shared" si="20"/>
        <v>56</v>
      </c>
      <c r="J180" s="492"/>
      <c r="K180" s="492"/>
    </row>
    <row r="181" s="456" customFormat="1" ht="20.25" spans="1:14">
      <c r="A181" s="488">
        <v>45388</v>
      </c>
      <c r="B181" s="456" t="s">
        <v>157</v>
      </c>
      <c r="C181" s="490">
        <v>45388</v>
      </c>
      <c r="D181" s="491"/>
      <c r="E181" s="491"/>
      <c r="F181" s="493" t="s">
        <v>87</v>
      </c>
      <c r="G181" s="491">
        <v>1</v>
      </c>
      <c r="H181" s="431">
        <v>304</v>
      </c>
      <c r="I181" s="491">
        <f t="shared" si="20"/>
        <v>304</v>
      </c>
      <c r="J181" s="492"/>
      <c r="K181" s="492"/>
    </row>
    <row r="182" s="456" customFormat="1" ht="20.25" spans="1:14">
      <c r="A182" s="488">
        <v>45388</v>
      </c>
      <c r="B182" s="456" t="s">
        <v>157</v>
      </c>
      <c r="C182" s="490">
        <v>45388</v>
      </c>
      <c r="D182" s="491"/>
      <c r="E182" s="491"/>
      <c r="F182" s="493" t="s">
        <v>115</v>
      </c>
      <c r="G182" s="491">
        <v>1</v>
      </c>
      <c r="H182" s="431">
        <v>100</v>
      </c>
      <c r="I182" s="491">
        <f t="shared" si="20"/>
        <v>100</v>
      </c>
      <c r="J182" s="492"/>
      <c r="K182" s="492"/>
    </row>
    <row r="183" s="456" customFormat="1" ht="20.25" spans="1:14">
      <c r="A183" s="488">
        <v>45388</v>
      </c>
      <c r="B183" s="456" t="s">
        <v>157</v>
      </c>
      <c r="C183" s="490">
        <v>45388</v>
      </c>
      <c r="D183" s="491"/>
      <c r="E183" s="491"/>
      <c r="F183" s="493">
        <v>808</v>
      </c>
      <c r="G183" s="491">
        <v>1</v>
      </c>
      <c r="H183" s="431">
        <v>20</v>
      </c>
      <c r="I183" s="491">
        <f t="shared" si="20"/>
        <v>20</v>
      </c>
      <c r="J183" s="492">
        <v>10.3</v>
      </c>
      <c r="K183" s="492">
        <f t="shared" ref="K183:K190" si="21">I183*J183</f>
        <v>206</v>
      </c>
      <c r="L183" s="537"/>
      <c r="M183" s="456" t="s">
        <v>155</v>
      </c>
    </row>
    <row r="184" s="456" customFormat="1" ht="20.25" spans="1:14">
      <c r="A184" s="488">
        <v>45388</v>
      </c>
      <c r="B184" s="456" t="s">
        <v>157</v>
      </c>
      <c r="C184" s="490">
        <v>45388</v>
      </c>
      <c r="D184" s="491"/>
      <c r="E184" s="491"/>
      <c r="F184" s="499" t="s">
        <v>17</v>
      </c>
      <c r="G184" s="501">
        <v>1</v>
      </c>
      <c r="H184" s="500">
        <f>SUM(H178:H183)</f>
        <v>800</v>
      </c>
      <c r="I184" s="501">
        <f t="shared" si="20"/>
        <v>800</v>
      </c>
      <c r="J184" s="502">
        <v>1</v>
      </c>
      <c r="K184" s="502">
        <f t="shared" si="21"/>
        <v>800</v>
      </c>
    </row>
    <row r="185" s="457" customFormat="1" ht="20.25" spans="1:14">
      <c r="A185" s="488">
        <v>45388</v>
      </c>
      <c r="B185" s="456" t="s">
        <v>157</v>
      </c>
      <c r="C185" s="490">
        <v>45388</v>
      </c>
      <c r="D185" s="491"/>
      <c r="E185" s="491"/>
      <c r="F185" s="493" t="s">
        <v>156</v>
      </c>
      <c r="G185" s="491">
        <v>40</v>
      </c>
      <c r="H185" s="431">
        <v>1</v>
      </c>
      <c r="I185" s="491">
        <f t="shared" si="20"/>
        <v>40</v>
      </c>
      <c r="J185" s="492">
        <v>12.5</v>
      </c>
      <c r="K185" s="525">
        <f t="shared" si="21"/>
        <v>500</v>
      </c>
      <c r="L185" s="537">
        <f>SUM(K178:K185)</f>
        <v>1506</v>
      </c>
      <c r="M185" s="537"/>
      <c r="N185" s="537"/>
    </row>
    <row r="186" s="457" customFormat="1" ht="20.25" spans="1:14">
      <c r="A186" s="494">
        <v>45390</v>
      </c>
      <c r="B186" s="457" t="s">
        <v>158</v>
      </c>
      <c r="C186" s="495">
        <v>45390</v>
      </c>
      <c r="D186" s="463"/>
      <c r="E186" s="463"/>
      <c r="F186" s="496" t="s">
        <v>54</v>
      </c>
      <c r="G186" s="463">
        <v>2</v>
      </c>
      <c r="H186" s="432">
        <v>90</v>
      </c>
      <c r="I186" s="463">
        <f t="shared" si="20"/>
        <v>180</v>
      </c>
      <c r="J186" s="497">
        <v>3.4</v>
      </c>
      <c r="K186" s="497">
        <f t="shared" si="21"/>
        <v>612</v>
      </c>
    </row>
    <row r="187" s="457" customFormat="1" ht="20.25" spans="1:14">
      <c r="A187" s="494">
        <v>45390</v>
      </c>
      <c r="B187" s="457" t="s">
        <v>158</v>
      </c>
      <c r="C187" s="495">
        <v>45390</v>
      </c>
      <c r="D187" s="463"/>
      <c r="E187" s="463"/>
      <c r="F187" s="496" t="s">
        <v>152</v>
      </c>
      <c r="G187" s="463">
        <v>2</v>
      </c>
      <c r="H187" s="432">
        <v>30</v>
      </c>
      <c r="I187" s="463">
        <f t="shared" si="20"/>
        <v>60</v>
      </c>
      <c r="J187" s="497">
        <v>8.1</v>
      </c>
      <c r="K187" s="497">
        <f t="shared" si="21"/>
        <v>486</v>
      </c>
    </row>
    <row r="188" s="457" customFormat="1" ht="20.25" spans="1:14">
      <c r="A188" s="494">
        <v>45390</v>
      </c>
      <c r="B188" s="457" t="s">
        <v>158</v>
      </c>
      <c r="C188" s="495">
        <v>45390</v>
      </c>
      <c r="D188" s="463"/>
      <c r="E188" s="463"/>
      <c r="F188" s="496" t="s">
        <v>125</v>
      </c>
      <c r="G188" s="463">
        <v>2</v>
      </c>
      <c r="H188" s="432">
        <v>40</v>
      </c>
      <c r="I188" s="463">
        <f t="shared" si="20"/>
        <v>80</v>
      </c>
      <c r="J188" s="497">
        <v>6.5</v>
      </c>
      <c r="K188" s="497">
        <f t="shared" si="21"/>
        <v>520</v>
      </c>
    </row>
    <row r="189" s="457" customFormat="1" ht="20.25" spans="1:14">
      <c r="A189" s="494">
        <v>45390</v>
      </c>
      <c r="B189" s="457" t="s">
        <v>158</v>
      </c>
      <c r="C189" s="495">
        <v>45390</v>
      </c>
      <c r="D189" s="463"/>
      <c r="E189" s="463"/>
      <c r="F189" s="496" t="s">
        <v>55</v>
      </c>
      <c r="G189" s="463">
        <v>2</v>
      </c>
      <c r="H189" s="432">
        <v>20</v>
      </c>
      <c r="I189" s="463">
        <f t="shared" si="20"/>
        <v>40</v>
      </c>
      <c r="J189" s="497">
        <v>10.3</v>
      </c>
      <c r="K189" s="497">
        <f t="shared" si="21"/>
        <v>412</v>
      </c>
    </row>
    <row r="190" s="457" customFormat="1" ht="20.25" spans="1:14">
      <c r="A190" s="494">
        <v>45390</v>
      </c>
      <c r="B190" s="457" t="s">
        <v>158</v>
      </c>
      <c r="C190" s="495">
        <v>45390</v>
      </c>
      <c r="D190" s="463"/>
      <c r="E190" s="463"/>
      <c r="F190" s="499" t="s">
        <v>159</v>
      </c>
      <c r="G190" s="501">
        <v>2</v>
      </c>
      <c r="H190" s="500">
        <f>SUM(H186:H189)</f>
        <v>180</v>
      </c>
      <c r="I190" s="501">
        <f t="shared" si="20"/>
        <v>360</v>
      </c>
      <c r="J190" s="502">
        <v>0.7</v>
      </c>
      <c r="K190" s="502">
        <f t="shared" si="21"/>
        <v>252</v>
      </c>
      <c r="L190" s="457">
        <f>SUM(K186:K190)</f>
        <v>2282</v>
      </c>
    </row>
    <row r="191" s="457" customFormat="1" ht="20.25" spans="1:14">
      <c r="A191" s="494">
        <v>45390</v>
      </c>
      <c r="B191" s="457" t="s">
        <v>158</v>
      </c>
      <c r="C191" s="495">
        <v>45390</v>
      </c>
      <c r="D191" s="463"/>
      <c r="E191" s="463"/>
      <c r="F191" s="498" t="s">
        <v>160</v>
      </c>
      <c r="G191" s="463">
        <v>2</v>
      </c>
      <c r="H191" s="432">
        <v>1</v>
      </c>
      <c r="I191" s="463">
        <f t="shared" si="20"/>
        <v>2</v>
      </c>
      <c r="J191" s="497"/>
      <c r="K191" s="502"/>
    </row>
    <row r="192" s="456" customFormat="1" ht="20.25" spans="1:14">
      <c r="A192" s="488">
        <v>45393</v>
      </c>
      <c r="B192" s="456" t="s">
        <v>161</v>
      </c>
      <c r="C192" s="490">
        <v>45393</v>
      </c>
      <c r="D192" s="491"/>
      <c r="E192" s="491"/>
      <c r="F192" s="493" t="s">
        <v>162</v>
      </c>
      <c r="G192" s="491">
        <v>1</v>
      </c>
      <c r="H192" s="431">
        <v>40</v>
      </c>
      <c r="I192" s="491">
        <f t="shared" si="20"/>
        <v>40</v>
      </c>
      <c r="J192" s="492">
        <v>10.9</v>
      </c>
      <c r="K192" s="492">
        <f t="shared" ref="K191:K196" si="22">I192*J192</f>
        <v>436</v>
      </c>
    </row>
    <row r="193" s="456" customFormat="1" ht="20.25" spans="1:14">
      <c r="A193" s="488">
        <v>45393</v>
      </c>
      <c r="B193" s="456" t="s">
        <v>161</v>
      </c>
      <c r="C193" s="490">
        <v>45393</v>
      </c>
      <c r="D193" s="491"/>
      <c r="E193" s="491"/>
      <c r="F193" s="493" t="s">
        <v>163</v>
      </c>
      <c r="G193" s="491">
        <v>1</v>
      </c>
      <c r="H193" s="431">
        <v>50</v>
      </c>
      <c r="I193" s="491">
        <f t="shared" si="20"/>
        <v>50</v>
      </c>
      <c r="J193" s="492">
        <v>3.6</v>
      </c>
      <c r="K193" s="492">
        <f t="shared" si="22"/>
        <v>180</v>
      </c>
    </row>
    <row r="194" s="456" customFormat="1" ht="20.25" spans="1:14">
      <c r="A194" s="488">
        <v>45393</v>
      </c>
      <c r="B194" s="456" t="s">
        <v>161</v>
      </c>
      <c r="C194" s="490">
        <v>45393</v>
      </c>
      <c r="D194" s="491"/>
      <c r="E194" s="491"/>
      <c r="F194" s="493" t="s">
        <v>164</v>
      </c>
      <c r="G194" s="491">
        <v>1</v>
      </c>
      <c r="H194" s="431">
        <v>1000</v>
      </c>
      <c r="I194" s="491">
        <f t="shared" si="20"/>
        <v>1000</v>
      </c>
      <c r="J194" s="492"/>
      <c r="K194" s="492"/>
    </row>
    <row r="195" s="456" customFormat="1" ht="20.25" spans="1:14">
      <c r="A195" s="488">
        <v>45393</v>
      </c>
      <c r="B195" s="456" t="s">
        <v>161</v>
      </c>
      <c r="C195" s="490">
        <v>45393</v>
      </c>
      <c r="D195" s="491"/>
      <c r="E195" s="491"/>
      <c r="F195" s="499" t="s">
        <v>165</v>
      </c>
      <c r="G195" s="501">
        <v>1</v>
      </c>
      <c r="H195" s="500">
        <v>1000</v>
      </c>
      <c r="I195" s="501">
        <f t="shared" si="20"/>
        <v>1000</v>
      </c>
      <c r="J195" s="492">
        <v>1</v>
      </c>
      <c r="K195" s="502">
        <f>I195*J195</f>
        <v>1000</v>
      </c>
      <c r="L195" s="615" t="s">
        <v>166</v>
      </c>
    </row>
    <row r="196" s="456" customFormat="1" ht="20.25" spans="1:14">
      <c r="A196" s="488">
        <v>45393</v>
      </c>
      <c r="B196" s="456" t="s">
        <v>161</v>
      </c>
      <c r="C196" s="490">
        <v>45393</v>
      </c>
      <c r="D196" s="491"/>
      <c r="E196" s="491"/>
      <c r="F196" s="493" t="s">
        <v>167</v>
      </c>
      <c r="G196" s="491">
        <v>5</v>
      </c>
      <c r="H196" s="431">
        <v>1</v>
      </c>
      <c r="I196" s="491">
        <f t="shared" si="20"/>
        <v>5</v>
      </c>
      <c r="J196" s="492">
        <v>12.5</v>
      </c>
      <c r="K196" s="525">
        <f t="shared" si="22"/>
        <v>62.5</v>
      </c>
      <c r="L196" s="456">
        <f>SUM(K192:K196)</f>
        <v>1678.5</v>
      </c>
    </row>
    <row r="197" s="591" customFormat="1" ht="20.25" spans="1:14">
      <c r="A197" s="616">
        <v>45397</v>
      </c>
      <c r="B197" s="591" t="s">
        <v>168</v>
      </c>
      <c r="C197" s="617">
        <v>45393</v>
      </c>
      <c r="D197" s="618"/>
      <c r="E197" s="618"/>
      <c r="F197" s="619" t="s">
        <v>169</v>
      </c>
      <c r="G197" s="618">
        <v>1</v>
      </c>
      <c r="H197" s="620">
        <v>330</v>
      </c>
      <c r="I197" s="618">
        <f t="shared" si="20"/>
        <v>330</v>
      </c>
      <c r="J197" s="621"/>
      <c r="K197" s="621"/>
    </row>
    <row r="198" s="591" customFormat="1" ht="20.25" spans="1:14">
      <c r="A198" s="616">
        <v>45397</v>
      </c>
      <c r="B198" s="591" t="s">
        <v>168</v>
      </c>
      <c r="C198" s="617">
        <v>45393</v>
      </c>
      <c r="D198" s="618"/>
      <c r="E198" s="618"/>
      <c r="F198" s="619" t="s">
        <v>170</v>
      </c>
      <c r="G198" s="618">
        <v>1</v>
      </c>
      <c r="H198" s="620">
        <v>15</v>
      </c>
      <c r="I198" s="618">
        <f t="shared" si="20"/>
        <v>15</v>
      </c>
      <c r="J198" s="621">
        <v>85</v>
      </c>
      <c r="K198" s="621">
        <f>I198*J198</f>
        <v>1275</v>
      </c>
    </row>
    <row r="199" s="591" customFormat="1" ht="20.25" spans="1:14">
      <c r="A199" s="616">
        <v>45397</v>
      </c>
      <c r="B199" s="591" t="s">
        <v>168</v>
      </c>
      <c r="C199" s="617">
        <v>45393</v>
      </c>
      <c r="D199" s="618"/>
      <c r="E199" s="618"/>
      <c r="F199" s="619" t="s">
        <v>171</v>
      </c>
      <c r="G199" s="618">
        <v>1</v>
      </c>
      <c r="H199" s="620">
        <v>80</v>
      </c>
      <c r="I199" s="618">
        <f t="shared" si="20"/>
        <v>80</v>
      </c>
      <c r="J199" s="621"/>
      <c r="K199" s="621"/>
    </row>
    <row r="200" s="591" customFormat="1" ht="20.25" spans="1:14">
      <c r="A200" s="616">
        <v>45397</v>
      </c>
      <c r="B200" s="591" t="s">
        <v>168</v>
      </c>
      <c r="C200" s="617">
        <v>45393</v>
      </c>
      <c r="D200" s="618"/>
      <c r="E200" s="618"/>
      <c r="F200" s="619" t="s">
        <v>172</v>
      </c>
      <c r="G200" s="618">
        <v>1</v>
      </c>
      <c r="H200" s="620">
        <v>242</v>
      </c>
      <c r="I200" s="618">
        <f t="shared" si="20"/>
        <v>242</v>
      </c>
      <c r="J200" s="621">
        <v>10.9</v>
      </c>
      <c r="K200" s="621">
        <f>I200*J200</f>
        <v>2637.8</v>
      </c>
    </row>
    <row r="201" s="591" customFormat="1" ht="20.25" spans="1:14">
      <c r="A201" s="616">
        <v>45397</v>
      </c>
      <c r="B201" s="591" t="s">
        <v>168</v>
      </c>
      <c r="C201" s="617">
        <v>45393</v>
      </c>
      <c r="D201" s="618"/>
      <c r="E201" s="618"/>
      <c r="F201" s="619" t="s">
        <v>125</v>
      </c>
      <c r="G201" s="618">
        <v>1</v>
      </c>
      <c r="H201" s="620">
        <v>127</v>
      </c>
      <c r="I201" s="618">
        <f t="shared" si="20"/>
        <v>127</v>
      </c>
      <c r="J201" s="621">
        <v>6.9</v>
      </c>
      <c r="K201" s="621">
        <f>I201*J201</f>
        <v>876.3</v>
      </c>
    </row>
    <row r="202" s="591" customFormat="1" ht="20.25" spans="1:14">
      <c r="A202" s="616">
        <v>45397</v>
      </c>
      <c r="B202" s="591" t="s">
        <v>168</v>
      </c>
      <c r="C202" s="617">
        <v>45393</v>
      </c>
      <c r="D202" s="618"/>
      <c r="E202" s="618"/>
      <c r="F202" s="499" t="s">
        <v>173</v>
      </c>
      <c r="G202" s="501">
        <v>1</v>
      </c>
      <c r="H202" s="500">
        <f>SUM(H197:H201)</f>
        <v>794</v>
      </c>
      <c r="I202" s="501">
        <f t="shared" si="20"/>
        <v>794</v>
      </c>
      <c r="J202" s="502">
        <v>7.5</v>
      </c>
      <c r="K202" s="502">
        <f>I202*J202</f>
        <v>5955</v>
      </c>
      <c r="L202" s="591">
        <f>SUM(K197:K202)</f>
        <v>10744.1</v>
      </c>
      <c r="M202" s="591" t="s">
        <v>174</v>
      </c>
    </row>
    <row r="203" s="457" customFormat="1" ht="20.25" spans="1:14">
      <c r="A203" s="494">
        <v>45397</v>
      </c>
      <c r="B203" s="457" t="s">
        <v>175</v>
      </c>
      <c r="C203" s="495">
        <v>45397</v>
      </c>
      <c r="D203" s="463"/>
      <c r="E203" s="463"/>
      <c r="F203" s="496" t="s">
        <v>176</v>
      </c>
      <c r="G203" s="463">
        <v>1</v>
      </c>
      <c r="H203" s="432">
        <v>40</v>
      </c>
      <c r="I203" s="463">
        <f t="shared" ref="I203:I236" si="23">G203*H203</f>
        <v>40</v>
      </c>
      <c r="J203" s="497"/>
      <c r="K203" s="492"/>
    </row>
    <row r="204" s="457" customFormat="1" ht="20.25" spans="1:14">
      <c r="A204" s="494">
        <v>45397</v>
      </c>
      <c r="B204" s="457" t="s">
        <v>175</v>
      </c>
      <c r="C204" s="495">
        <v>45397</v>
      </c>
      <c r="D204" s="463"/>
      <c r="E204" s="463"/>
      <c r="F204" s="496" t="s">
        <v>170</v>
      </c>
      <c r="G204" s="463">
        <v>1</v>
      </c>
      <c r="H204" s="432">
        <v>5</v>
      </c>
      <c r="I204" s="463">
        <f t="shared" si="23"/>
        <v>5</v>
      </c>
      <c r="J204" s="497">
        <v>85</v>
      </c>
      <c r="K204" s="492">
        <f t="shared" ref="K203:K208" si="24">I204*J204</f>
        <v>425</v>
      </c>
      <c r="L204" s="537"/>
      <c r="M204" s="537"/>
      <c r="N204" s="537"/>
    </row>
    <row r="205" s="457" customFormat="1" ht="20.25" spans="1:14">
      <c r="A205" s="494">
        <v>45397</v>
      </c>
      <c r="B205" s="457" t="s">
        <v>175</v>
      </c>
      <c r="C205" s="495">
        <v>45397</v>
      </c>
      <c r="D205" s="463"/>
      <c r="E205" s="463"/>
      <c r="F205" s="496" t="s">
        <v>171</v>
      </c>
      <c r="G205" s="463">
        <v>1</v>
      </c>
      <c r="H205" s="432">
        <v>20</v>
      </c>
      <c r="I205" s="463">
        <f t="shared" si="23"/>
        <v>20</v>
      </c>
      <c r="J205" s="497"/>
      <c r="K205" s="492"/>
      <c r="L205" s="537"/>
      <c r="M205" s="537"/>
      <c r="N205" s="537"/>
    </row>
    <row r="206" s="457" customFormat="1" ht="20.25" spans="1:14">
      <c r="A206" s="494">
        <v>45397</v>
      </c>
      <c r="B206" s="457" t="s">
        <v>175</v>
      </c>
      <c r="C206" s="495">
        <v>45397</v>
      </c>
      <c r="D206" s="463"/>
      <c r="E206" s="463"/>
      <c r="F206" s="496" t="s">
        <v>177</v>
      </c>
      <c r="G206" s="463">
        <v>1</v>
      </c>
      <c r="H206" s="432">
        <v>60</v>
      </c>
      <c r="I206" s="463">
        <f t="shared" si="23"/>
        <v>60</v>
      </c>
      <c r="J206" s="497">
        <v>10.9</v>
      </c>
      <c r="K206" s="492">
        <f t="shared" si="24"/>
        <v>654</v>
      </c>
      <c r="L206" s="537"/>
      <c r="M206" s="537"/>
      <c r="N206" s="537"/>
    </row>
    <row r="207" s="457" customFormat="1" ht="20.25" spans="1:14">
      <c r="A207" s="494">
        <v>45397</v>
      </c>
      <c r="B207" s="457" t="s">
        <v>175</v>
      </c>
      <c r="C207" s="495">
        <v>45397</v>
      </c>
      <c r="D207" s="463"/>
      <c r="E207" s="463"/>
      <c r="F207" s="496" t="s">
        <v>125</v>
      </c>
      <c r="G207" s="463">
        <v>1</v>
      </c>
      <c r="H207" s="432">
        <v>25</v>
      </c>
      <c r="I207" s="463">
        <f t="shared" si="23"/>
        <v>25</v>
      </c>
      <c r="J207" s="497">
        <v>6.9</v>
      </c>
      <c r="K207" s="492">
        <f t="shared" si="24"/>
        <v>172.5</v>
      </c>
      <c r="L207" s="537"/>
      <c r="M207" s="537" t="s">
        <v>178</v>
      </c>
      <c r="N207" s="537"/>
    </row>
    <row r="208" s="457" customFormat="1" ht="20.25" spans="1:14">
      <c r="A208" s="494">
        <v>45397</v>
      </c>
      <c r="B208" s="457" t="s">
        <v>175</v>
      </c>
      <c r="C208" s="495">
        <v>45397</v>
      </c>
      <c r="D208" s="463"/>
      <c r="E208" s="463"/>
      <c r="F208" s="499" t="s">
        <v>179</v>
      </c>
      <c r="G208" s="501">
        <v>1</v>
      </c>
      <c r="H208" s="500">
        <f>SUM(H203:H207)</f>
        <v>150</v>
      </c>
      <c r="I208" s="501">
        <f t="shared" si="23"/>
        <v>150</v>
      </c>
      <c r="J208" s="502">
        <v>7.5</v>
      </c>
      <c r="K208" s="502">
        <f t="shared" si="24"/>
        <v>1125</v>
      </c>
      <c r="L208" s="537">
        <f>SUM(K203:K208)</f>
        <v>2376.5</v>
      </c>
      <c r="M208" s="537"/>
      <c r="N208" s="537"/>
    </row>
    <row r="209" s="456" customFormat="1" ht="20.25" spans="1:14">
      <c r="A209" s="488">
        <v>45398</v>
      </c>
      <c r="B209" s="456" t="s">
        <v>180</v>
      </c>
      <c r="C209" s="490">
        <v>45398</v>
      </c>
      <c r="D209" s="491"/>
      <c r="E209" s="491"/>
      <c r="F209" s="493" t="s">
        <v>16</v>
      </c>
      <c r="G209" s="491">
        <v>1</v>
      </c>
      <c r="H209" s="431">
        <v>60</v>
      </c>
      <c r="I209" s="491">
        <f t="shared" si="23"/>
        <v>60</v>
      </c>
      <c r="J209" s="492"/>
      <c r="K209" s="492"/>
    </row>
    <row r="210" s="456" customFormat="1" ht="20.25" spans="1:14">
      <c r="A210" s="488">
        <v>45398</v>
      </c>
      <c r="B210" s="456" t="s">
        <v>180</v>
      </c>
      <c r="C210" s="490">
        <v>45398</v>
      </c>
      <c r="D210" s="491"/>
      <c r="E210" s="491"/>
      <c r="F210" s="493" t="s">
        <v>44</v>
      </c>
      <c r="G210" s="491">
        <v>1</v>
      </c>
      <c r="H210" s="431">
        <v>80</v>
      </c>
      <c r="I210" s="491">
        <f t="shared" si="23"/>
        <v>80</v>
      </c>
      <c r="J210" s="492"/>
      <c r="K210" s="492"/>
    </row>
    <row r="211" s="456" customFormat="1" ht="20.25" spans="1:14">
      <c r="A211" s="488">
        <v>45398</v>
      </c>
      <c r="B211" s="456" t="s">
        <v>180</v>
      </c>
      <c r="C211" s="490">
        <v>45398</v>
      </c>
      <c r="D211" s="491"/>
      <c r="E211" s="491"/>
      <c r="F211" s="493" t="s">
        <v>45</v>
      </c>
      <c r="G211" s="491">
        <v>1</v>
      </c>
      <c r="H211" s="431">
        <v>180</v>
      </c>
      <c r="I211" s="491">
        <f t="shared" si="23"/>
        <v>180</v>
      </c>
      <c r="J211" s="492"/>
      <c r="K211" s="492"/>
    </row>
    <row r="212" s="456" customFormat="1" ht="20.25" spans="1:14">
      <c r="A212" s="488">
        <v>45398</v>
      </c>
      <c r="B212" s="456" t="s">
        <v>180</v>
      </c>
      <c r="C212" s="490">
        <v>45398</v>
      </c>
      <c r="D212" s="491"/>
      <c r="E212" s="491"/>
      <c r="F212" s="493" t="s">
        <v>181</v>
      </c>
      <c r="G212" s="491">
        <v>1</v>
      </c>
      <c r="H212" s="431">
        <v>23</v>
      </c>
      <c r="I212" s="491">
        <f t="shared" si="23"/>
        <v>23</v>
      </c>
      <c r="J212" s="492">
        <v>10.9</v>
      </c>
      <c r="K212" s="492">
        <f t="shared" ref="K212:K218" si="25">I212*J212</f>
        <v>250.7</v>
      </c>
      <c r="M212" s="456" t="s">
        <v>182</v>
      </c>
    </row>
    <row r="213" s="456" customFormat="1" ht="20.25" spans="1:14">
      <c r="A213" s="488">
        <v>45398</v>
      </c>
      <c r="B213" s="456" t="s">
        <v>180</v>
      </c>
      <c r="C213" s="490">
        <v>45398</v>
      </c>
      <c r="D213" s="491"/>
      <c r="E213" s="491"/>
      <c r="F213" s="493" t="s">
        <v>183</v>
      </c>
      <c r="G213" s="491">
        <v>1</v>
      </c>
      <c r="H213" s="431">
        <v>57</v>
      </c>
      <c r="I213" s="491">
        <f t="shared" si="23"/>
        <v>57</v>
      </c>
      <c r="J213" s="492"/>
      <c r="K213" s="492"/>
      <c r="M213" s="456" t="s">
        <v>184</v>
      </c>
      <c r="N213" s="456" t="s">
        <v>185</v>
      </c>
    </row>
    <row r="214" s="456" customFormat="1" ht="20.25" spans="1:14">
      <c r="A214" s="488">
        <v>45398</v>
      </c>
      <c r="B214" s="456" t="s">
        <v>180</v>
      </c>
      <c r="C214" s="490">
        <v>45398</v>
      </c>
      <c r="D214" s="491"/>
      <c r="E214" s="491"/>
      <c r="F214" s="499" t="s">
        <v>186</v>
      </c>
      <c r="G214" s="501">
        <v>1</v>
      </c>
      <c r="H214" s="500">
        <f>SUM(H209:H213)</f>
        <v>400</v>
      </c>
      <c r="I214" s="501">
        <f t="shared" si="23"/>
        <v>400</v>
      </c>
      <c r="J214" s="502">
        <v>1</v>
      </c>
      <c r="K214" s="502">
        <f t="shared" si="25"/>
        <v>400</v>
      </c>
      <c r="L214" s="456">
        <f>SUM(K209:K214)</f>
        <v>650.7</v>
      </c>
    </row>
    <row r="215" s="457" customFormat="1" ht="20.25" spans="1:14">
      <c r="A215" s="494">
        <v>45399</v>
      </c>
      <c r="B215" s="457" t="s">
        <v>187</v>
      </c>
      <c r="C215" s="495">
        <v>45398</v>
      </c>
      <c r="D215" s="463"/>
      <c r="E215" s="463"/>
      <c r="F215" s="496" t="s">
        <v>97</v>
      </c>
      <c r="G215" s="463">
        <v>1</v>
      </c>
      <c r="H215" s="432">
        <v>200</v>
      </c>
      <c r="I215" s="463">
        <f t="shared" si="23"/>
        <v>200</v>
      </c>
      <c r="J215" s="497">
        <v>26</v>
      </c>
      <c r="K215" s="502"/>
      <c r="L215" s="537"/>
    </row>
    <row r="216" s="457" customFormat="1" ht="20.25" spans="1:14">
      <c r="A216" s="494">
        <v>45399</v>
      </c>
      <c r="B216" s="457" t="s">
        <v>187</v>
      </c>
      <c r="C216" s="495">
        <v>45398</v>
      </c>
      <c r="D216" s="463"/>
      <c r="E216" s="463"/>
      <c r="F216" s="496" t="s">
        <v>125</v>
      </c>
      <c r="G216" s="463">
        <v>1</v>
      </c>
      <c r="H216" s="432">
        <v>720</v>
      </c>
      <c r="I216" s="463">
        <f t="shared" si="23"/>
        <v>720</v>
      </c>
      <c r="J216" s="497">
        <v>6.9</v>
      </c>
      <c r="K216" s="497">
        <f t="shared" si="25"/>
        <v>4968</v>
      </c>
      <c r="L216" s="537"/>
    </row>
    <row r="217" s="457" customFormat="1" ht="20.25" spans="1:14">
      <c r="A217" s="494">
        <v>45399</v>
      </c>
      <c r="B217" s="457" t="s">
        <v>187</v>
      </c>
      <c r="C217" s="495">
        <v>45398</v>
      </c>
      <c r="D217" s="463"/>
      <c r="E217" s="463"/>
      <c r="F217" s="496" t="s">
        <v>152</v>
      </c>
      <c r="G217" s="463">
        <v>1</v>
      </c>
      <c r="H217" s="432">
        <v>350</v>
      </c>
      <c r="I217" s="463">
        <f t="shared" si="23"/>
        <v>350</v>
      </c>
      <c r="J217" s="497">
        <v>8.7</v>
      </c>
      <c r="K217" s="497">
        <f t="shared" si="25"/>
        <v>3045</v>
      </c>
      <c r="L217" s="537"/>
    </row>
    <row r="218" s="457" customFormat="1" ht="20.25" spans="1:14">
      <c r="A218" s="494">
        <v>45399</v>
      </c>
      <c r="B218" s="457" t="s">
        <v>187</v>
      </c>
      <c r="C218" s="495">
        <v>45398</v>
      </c>
      <c r="D218" s="463"/>
      <c r="E218" s="463"/>
      <c r="F218" s="499" t="s">
        <v>68</v>
      </c>
      <c r="G218" s="501">
        <v>1</v>
      </c>
      <c r="H218" s="500">
        <f>SUM(H215:H217)</f>
        <v>1270</v>
      </c>
      <c r="I218" s="501">
        <f t="shared" si="23"/>
        <v>1270</v>
      </c>
      <c r="J218" s="502">
        <v>0.8</v>
      </c>
      <c r="K218" s="502">
        <f t="shared" si="25"/>
        <v>1016</v>
      </c>
      <c r="L218" s="537">
        <f>SUM(K215:K218)</f>
        <v>9029</v>
      </c>
    </row>
    <row r="219" s="456" customFormat="1" ht="20.25" spans="1:14">
      <c r="A219" s="488">
        <v>45399</v>
      </c>
      <c r="B219" s="456" t="s">
        <v>188</v>
      </c>
      <c r="C219" s="490">
        <v>45398</v>
      </c>
      <c r="D219" s="491"/>
      <c r="E219" s="491"/>
      <c r="F219" s="522" t="s">
        <v>16</v>
      </c>
      <c r="G219" s="491">
        <v>1</v>
      </c>
      <c r="H219" s="431">
        <v>75</v>
      </c>
      <c r="I219" s="491">
        <f t="shared" si="23"/>
        <v>75</v>
      </c>
      <c r="J219" s="492"/>
      <c r="K219" s="492"/>
      <c r="L219" s="536"/>
      <c r="M219" s="536"/>
      <c r="N219" s="536"/>
    </row>
    <row r="220" s="456" customFormat="1" ht="20.25" spans="1:14">
      <c r="A220" s="488">
        <v>45399</v>
      </c>
      <c r="B220" s="456" t="s">
        <v>188</v>
      </c>
      <c r="C220" s="490">
        <v>45398</v>
      </c>
      <c r="D220" s="491"/>
      <c r="E220" s="491"/>
      <c r="F220" s="522" t="s">
        <v>44</v>
      </c>
      <c r="G220" s="491">
        <v>1</v>
      </c>
      <c r="H220" s="431">
        <v>100</v>
      </c>
      <c r="I220" s="491">
        <f t="shared" si="23"/>
        <v>100</v>
      </c>
      <c r="J220" s="492"/>
      <c r="K220" s="492"/>
      <c r="L220" s="536"/>
      <c r="M220" s="536"/>
      <c r="N220" s="536"/>
    </row>
    <row r="221" s="456" customFormat="1" ht="20.25" spans="1:14">
      <c r="A221" s="488">
        <v>45399</v>
      </c>
      <c r="B221" s="456" t="s">
        <v>188</v>
      </c>
      <c r="C221" s="490">
        <v>45398</v>
      </c>
      <c r="D221" s="491"/>
      <c r="E221" s="491"/>
      <c r="F221" s="522" t="s">
        <v>45</v>
      </c>
      <c r="G221" s="491">
        <v>1</v>
      </c>
      <c r="H221" s="431">
        <v>225</v>
      </c>
      <c r="I221" s="491">
        <f t="shared" si="23"/>
        <v>225</v>
      </c>
      <c r="J221" s="492"/>
      <c r="K221" s="492"/>
      <c r="L221" s="536"/>
      <c r="M221" s="536"/>
      <c r="N221" s="536"/>
    </row>
    <row r="222" s="456" customFormat="1" ht="20.25" spans="1:14">
      <c r="A222" s="488">
        <v>45399</v>
      </c>
      <c r="B222" s="456" t="s">
        <v>188</v>
      </c>
      <c r="C222" s="490">
        <v>45398</v>
      </c>
      <c r="D222" s="491"/>
      <c r="E222" s="491"/>
      <c r="F222" s="522" t="s">
        <v>177</v>
      </c>
      <c r="G222" s="491">
        <v>1</v>
      </c>
      <c r="H222" s="431">
        <v>25</v>
      </c>
      <c r="I222" s="491">
        <f t="shared" si="23"/>
        <v>25</v>
      </c>
      <c r="J222" s="492">
        <v>10.9</v>
      </c>
      <c r="K222" s="492">
        <f>I222*J222</f>
        <v>272.5</v>
      </c>
      <c r="L222" s="543" t="s">
        <v>189</v>
      </c>
      <c r="M222" s="536"/>
      <c r="N222" s="536"/>
    </row>
    <row r="223" s="456" customFormat="1" ht="20.25" spans="1:14">
      <c r="A223" s="488">
        <v>45399</v>
      </c>
      <c r="B223" s="456" t="s">
        <v>188</v>
      </c>
      <c r="C223" s="490">
        <v>45398</v>
      </c>
      <c r="D223" s="491"/>
      <c r="E223" s="491"/>
      <c r="F223" s="522" t="s">
        <v>183</v>
      </c>
      <c r="G223" s="491">
        <v>1</v>
      </c>
      <c r="H223" s="431">
        <v>75</v>
      </c>
      <c r="I223" s="491">
        <f t="shared" si="23"/>
        <v>75</v>
      </c>
      <c r="J223" s="492"/>
      <c r="K223" s="492"/>
      <c r="L223" s="4" t="s">
        <v>190</v>
      </c>
      <c r="M223" s="536"/>
      <c r="N223" s="536"/>
    </row>
    <row r="224" s="456" customFormat="1" ht="20.25" spans="1:14">
      <c r="A224" s="488">
        <v>45399</v>
      </c>
      <c r="B224" s="456" t="s">
        <v>188</v>
      </c>
      <c r="C224" s="490">
        <v>45398</v>
      </c>
      <c r="D224" s="491"/>
      <c r="E224" s="491"/>
      <c r="F224" s="493" t="s">
        <v>191</v>
      </c>
      <c r="G224" s="491">
        <v>1</v>
      </c>
      <c r="H224" s="431">
        <v>21</v>
      </c>
      <c r="I224" s="491">
        <f t="shared" si="23"/>
        <v>21</v>
      </c>
      <c r="J224" s="492">
        <v>17</v>
      </c>
      <c r="K224" s="492">
        <f t="shared" ref="K224:K229" si="26">I224*J224</f>
        <v>357</v>
      </c>
      <c r="L224" s="536" t="s">
        <v>184</v>
      </c>
      <c r="M224" s="536" t="s">
        <v>185</v>
      </c>
      <c r="N224" s="536"/>
    </row>
    <row r="225" s="456" customFormat="1" ht="20.25" spans="1:14">
      <c r="A225" s="488">
        <v>45399</v>
      </c>
      <c r="B225" s="456" t="s">
        <v>188</v>
      </c>
      <c r="C225" s="490">
        <v>45398</v>
      </c>
      <c r="D225" s="491"/>
      <c r="E225" s="491"/>
      <c r="F225" s="493">
        <v>808</v>
      </c>
      <c r="G225" s="491">
        <v>1</v>
      </c>
      <c r="H225" s="431">
        <v>35</v>
      </c>
      <c r="I225" s="491">
        <f t="shared" si="23"/>
        <v>35</v>
      </c>
      <c r="J225" s="492">
        <v>10.9</v>
      </c>
      <c r="K225" s="492">
        <f t="shared" si="26"/>
        <v>381.5</v>
      </c>
    </row>
    <row r="226" s="456" customFormat="1" ht="20.25" spans="1:14">
      <c r="A226" s="488">
        <v>45399</v>
      </c>
      <c r="B226" s="456" t="s">
        <v>188</v>
      </c>
      <c r="C226" s="490">
        <v>45398</v>
      </c>
      <c r="D226" s="491"/>
      <c r="E226" s="491"/>
      <c r="F226" s="493" t="s">
        <v>132</v>
      </c>
      <c r="G226" s="491">
        <v>1</v>
      </c>
      <c r="H226" s="431">
        <v>139</v>
      </c>
      <c r="I226" s="491">
        <f t="shared" si="23"/>
        <v>139</v>
      </c>
      <c r="J226" s="492">
        <v>3.6</v>
      </c>
      <c r="K226" s="492">
        <f t="shared" si="26"/>
        <v>500.4</v>
      </c>
    </row>
    <row r="227" s="456" customFormat="1" ht="20.25" spans="1:14">
      <c r="A227" s="488">
        <v>45399</v>
      </c>
      <c r="B227" s="456" t="s">
        <v>188</v>
      </c>
      <c r="C227" s="490">
        <v>45398</v>
      </c>
      <c r="D227" s="491"/>
      <c r="E227" s="491"/>
      <c r="F227" s="499" t="s">
        <v>134</v>
      </c>
      <c r="G227" s="501">
        <v>1</v>
      </c>
      <c r="H227" s="500">
        <f>SUM(H219:H226)</f>
        <v>695</v>
      </c>
      <c r="I227" s="501">
        <f t="shared" si="23"/>
        <v>695</v>
      </c>
      <c r="J227" s="502">
        <v>1</v>
      </c>
      <c r="K227" s="502">
        <f t="shared" si="26"/>
        <v>695</v>
      </c>
      <c r="L227" s="536">
        <f>SUM(K219:K227)</f>
        <v>2206.4</v>
      </c>
      <c r="M227" s="536"/>
      <c r="N227" s="536"/>
    </row>
    <row r="228" s="457" customFormat="1" ht="20.25" spans="1:14">
      <c r="A228" s="494">
        <v>45400</v>
      </c>
      <c r="B228" s="607" t="s">
        <v>192</v>
      </c>
      <c r="C228" s="495">
        <v>45399</v>
      </c>
      <c r="D228" s="463"/>
      <c r="E228" s="463"/>
      <c r="F228" s="496" t="s">
        <v>42</v>
      </c>
      <c r="G228" s="463">
        <v>1</v>
      </c>
      <c r="H228" s="432">
        <v>180</v>
      </c>
      <c r="I228" s="463">
        <f t="shared" si="23"/>
        <v>180</v>
      </c>
      <c r="J228" s="497"/>
      <c r="K228" s="497"/>
    </row>
    <row r="229" s="457" customFormat="1" ht="20.25" spans="1:14">
      <c r="A229" s="494">
        <v>45400</v>
      </c>
      <c r="B229" s="607" t="s">
        <v>192</v>
      </c>
      <c r="C229" s="495">
        <v>45399</v>
      </c>
      <c r="D229" s="463"/>
      <c r="E229" s="463"/>
      <c r="F229" s="496" t="s">
        <v>43</v>
      </c>
      <c r="G229" s="463">
        <v>1</v>
      </c>
      <c r="H229" s="432">
        <v>126</v>
      </c>
      <c r="I229" s="463">
        <f t="shared" si="23"/>
        <v>126</v>
      </c>
      <c r="J229" s="497">
        <v>10.9</v>
      </c>
      <c r="K229" s="497">
        <f t="shared" si="26"/>
        <v>1373.4</v>
      </c>
    </row>
    <row r="230" s="457" customFormat="1" ht="20.25" spans="1:14">
      <c r="A230" s="494">
        <v>45400</v>
      </c>
      <c r="B230" s="607" t="s">
        <v>192</v>
      </c>
      <c r="C230" s="495">
        <v>45399</v>
      </c>
      <c r="D230" s="463"/>
      <c r="E230" s="463"/>
      <c r="F230" s="496" t="s">
        <v>86</v>
      </c>
      <c r="G230" s="463">
        <v>1</v>
      </c>
      <c r="H230" s="432">
        <v>102</v>
      </c>
      <c r="I230" s="463">
        <f t="shared" si="23"/>
        <v>102</v>
      </c>
      <c r="J230" s="497"/>
      <c r="K230" s="497"/>
      <c r="L230" s="537" t="s">
        <v>193</v>
      </c>
      <c r="M230" s="537"/>
      <c r="N230" s="537"/>
    </row>
    <row r="231" s="457" customFormat="1" ht="20.25" spans="1:14">
      <c r="A231" s="494">
        <v>45400</v>
      </c>
      <c r="B231" s="607" t="s">
        <v>192</v>
      </c>
      <c r="C231" s="495">
        <v>45399</v>
      </c>
      <c r="D231" s="463"/>
      <c r="E231" s="463"/>
      <c r="F231" s="496" t="s">
        <v>87</v>
      </c>
      <c r="G231" s="463">
        <v>1</v>
      </c>
      <c r="H231" s="432">
        <v>192</v>
      </c>
      <c r="I231" s="463">
        <f t="shared" si="23"/>
        <v>192</v>
      </c>
      <c r="J231" s="497"/>
      <c r="K231" s="497"/>
      <c r="L231" s="622" t="s">
        <v>194</v>
      </c>
      <c r="M231" s="537" t="s">
        <v>51</v>
      </c>
      <c r="N231" s="537"/>
    </row>
    <row r="232" s="457" customFormat="1" ht="20.25" spans="1:14">
      <c r="A232" s="494">
        <v>45400</v>
      </c>
      <c r="B232" s="607" t="s">
        <v>192</v>
      </c>
      <c r="C232" s="495">
        <v>45399</v>
      </c>
      <c r="D232" s="463"/>
      <c r="E232" s="463"/>
      <c r="F232" s="499" t="s">
        <v>47</v>
      </c>
      <c r="G232" s="463">
        <v>1</v>
      </c>
      <c r="H232" s="500">
        <f>SUM(H228:H231)</f>
        <v>600</v>
      </c>
      <c r="I232" s="501">
        <f t="shared" si="23"/>
        <v>600</v>
      </c>
      <c r="J232" s="502">
        <v>1</v>
      </c>
      <c r="K232" s="502">
        <f>I232*J232</f>
        <v>600</v>
      </c>
      <c r="L232" s="537"/>
      <c r="M232" s="537"/>
      <c r="N232" s="537"/>
    </row>
    <row r="233" s="457" customFormat="1" ht="20.25" spans="1:14">
      <c r="A233" s="494">
        <v>45400</v>
      </c>
      <c r="B233" s="607" t="s">
        <v>192</v>
      </c>
      <c r="C233" s="495">
        <v>45399</v>
      </c>
      <c r="D233" s="463"/>
      <c r="E233" s="463"/>
      <c r="F233" s="496" t="s">
        <v>156</v>
      </c>
      <c r="G233" s="463">
        <v>6</v>
      </c>
      <c r="H233" s="432">
        <v>1</v>
      </c>
      <c r="I233" s="463">
        <f t="shared" si="23"/>
        <v>6</v>
      </c>
      <c r="J233" s="497">
        <v>12.5</v>
      </c>
      <c r="K233" s="525">
        <f>I233*J233</f>
        <v>75</v>
      </c>
      <c r="L233" s="537"/>
      <c r="M233" s="537"/>
      <c r="N233" s="537"/>
    </row>
    <row r="234" s="457" customFormat="1" ht="20.25" spans="1:14">
      <c r="A234" s="494">
        <v>45400</v>
      </c>
      <c r="B234" s="607" t="s">
        <v>192</v>
      </c>
      <c r="C234" s="495">
        <v>45400</v>
      </c>
      <c r="D234" s="463"/>
      <c r="E234" s="463"/>
      <c r="F234" s="496" t="s">
        <v>195</v>
      </c>
      <c r="G234" s="463">
        <v>1</v>
      </c>
      <c r="H234" s="432">
        <v>6</v>
      </c>
      <c r="I234" s="463">
        <f t="shared" si="23"/>
        <v>6</v>
      </c>
      <c r="J234" s="497">
        <v>10.9</v>
      </c>
      <c r="K234" s="497">
        <f>I234*J234</f>
        <v>65.4</v>
      </c>
      <c r="L234" s="537"/>
      <c r="M234" s="537"/>
      <c r="N234" s="537"/>
    </row>
    <row r="235" s="457" customFormat="1" ht="20.25" spans="1:14">
      <c r="A235" s="494">
        <v>45400</v>
      </c>
      <c r="B235" s="607" t="s">
        <v>192</v>
      </c>
      <c r="C235" s="495">
        <v>45400</v>
      </c>
      <c r="D235" s="463"/>
      <c r="E235" s="463"/>
      <c r="F235" s="496" t="s">
        <v>196</v>
      </c>
      <c r="G235" s="463">
        <v>1</v>
      </c>
      <c r="H235" s="432">
        <v>8</v>
      </c>
      <c r="I235" s="463">
        <f t="shared" si="23"/>
        <v>8</v>
      </c>
      <c r="J235" s="497">
        <v>6.9</v>
      </c>
      <c r="K235" s="497">
        <f>I235*J235</f>
        <v>55.2</v>
      </c>
      <c r="L235" s="537"/>
      <c r="M235" s="537"/>
      <c r="N235" s="537"/>
    </row>
    <row r="236" s="457" customFormat="1" ht="20.25" spans="1:14">
      <c r="A236" s="494">
        <v>45400</v>
      </c>
      <c r="B236" s="607" t="s">
        <v>192</v>
      </c>
      <c r="C236" s="495">
        <v>45400</v>
      </c>
      <c r="D236" s="463"/>
      <c r="E236" s="463"/>
      <c r="F236" s="496" t="s">
        <v>197</v>
      </c>
      <c r="G236" s="463">
        <v>12</v>
      </c>
      <c r="H236" s="432">
        <v>1</v>
      </c>
      <c r="I236" s="463">
        <f t="shared" si="23"/>
        <v>12</v>
      </c>
      <c r="J236" s="497">
        <v>12.5</v>
      </c>
      <c r="K236" s="525">
        <f>I236*J236</f>
        <v>150</v>
      </c>
      <c r="L236" s="537">
        <f>SUM(K228:K236)</f>
        <v>2319</v>
      </c>
      <c r="M236" s="537"/>
      <c r="N236" s="537"/>
    </row>
    <row r="237" s="456" customFormat="1" ht="20.25" spans="1:14">
      <c r="A237" s="488">
        <v>45402</v>
      </c>
      <c r="B237" s="456" t="s">
        <v>198</v>
      </c>
      <c r="C237" s="490">
        <v>45401</v>
      </c>
      <c r="D237" s="491"/>
      <c r="E237" s="491"/>
      <c r="F237" s="493" t="s">
        <v>16</v>
      </c>
      <c r="G237" s="491">
        <v>1</v>
      </c>
      <c r="H237" s="431">
        <v>44</v>
      </c>
      <c r="I237" s="491">
        <f t="shared" ref="I237:I241" si="27">G237*H237</f>
        <v>44</v>
      </c>
      <c r="J237" s="492">
        <v>13.6</v>
      </c>
      <c r="K237" s="492"/>
      <c r="L237" s="536"/>
      <c r="M237" s="536"/>
      <c r="N237" s="536"/>
    </row>
    <row r="238" s="456" customFormat="1" ht="20.25" spans="1:14">
      <c r="A238" s="488">
        <v>45402</v>
      </c>
      <c r="B238" s="456" t="s">
        <v>198</v>
      </c>
      <c r="C238" s="490">
        <v>45401</v>
      </c>
      <c r="D238" s="491"/>
      <c r="E238" s="491"/>
      <c r="F238" s="493" t="s">
        <v>170</v>
      </c>
      <c r="G238" s="491">
        <v>1</v>
      </c>
      <c r="H238" s="431">
        <v>3</v>
      </c>
      <c r="I238" s="491">
        <f t="shared" si="27"/>
        <v>3</v>
      </c>
      <c r="J238" s="492">
        <v>75</v>
      </c>
      <c r="K238" s="492">
        <f>I238*J238</f>
        <v>225</v>
      </c>
      <c r="L238" s="536"/>
      <c r="M238" s="536"/>
      <c r="N238" s="536"/>
    </row>
    <row r="239" s="456" customFormat="1" ht="20.25" spans="1:14">
      <c r="A239" s="488">
        <v>45402</v>
      </c>
      <c r="B239" s="456" t="s">
        <v>198</v>
      </c>
      <c r="C239" s="490">
        <v>45401</v>
      </c>
      <c r="D239" s="491"/>
      <c r="E239" s="491"/>
      <c r="F239" s="493" t="s">
        <v>199</v>
      </c>
      <c r="G239" s="491">
        <v>1</v>
      </c>
      <c r="H239" s="431">
        <v>20</v>
      </c>
      <c r="I239" s="491">
        <f t="shared" si="27"/>
        <v>20</v>
      </c>
      <c r="J239" s="492">
        <v>80</v>
      </c>
      <c r="K239" s="492"/>
      <c r="L239" s="536"/>
      <c r="M239" s="536"/>
      <c r="N239" s="536"/>
    </row>
    <row r="240" s="456" customFormat="1" ht="20.25" spans="1:14">
      <c r="A240" s="488">
        <v>45402</v>
      </c>
      <c r="B240" s="456" t="s">
        <v>198</v>
      </c>
      <c r="C240" s="490">
        <v>45401</v>
      </c>
      <c r="D240" s="491"/>
      <c r="E240" s="491"/>
      <c r="F240" s="493" t="s">
        <v>177</v>
      </c>
      <c r="G240" s="491">
        <v>1</v>
      </c>
      <c r="H240" s="431">
        <v>50</v>
      </c>
      <c r="I240" s="491">
        <f t="shared" si="27"/>
        <v>50</v>
      </c>
      <c r="J240" s="492">
        <v>10.9</v>
      </c>
      <c r="K240" s="492">
        <f>I240*J240</f>
        <v>545</v>
      </c>
      <c r="L240" s="536" t="s">
        <v>200</v>
      </c>
      <c r="M240" s="536"/>
      <c r="N240" s="536"/>
    </row>
    <row r="241" s="456" customFormat="1" ht="20.25" spans="1:14">
      <c r="A241" s="488">
        <v>45402</v>
      </c>
      <c r="B241" s="456" t="s">
        <v>198</v>
      </c>
      <c r="C241" s="490">
        <v>45401</v>
      </c>
      <c r="D241" s="491"/>
      <c r="E241" s="491"/>
      <c r="F241" s="493" t="s">
        <v>152</v>
      </c>
      <c r="G241" s="491">
        <v>1</v>
      </c>
      <c r="H241" s="431">
        <v>65</v>
      </c>
      <c r="I241" s="491">
        <f t="shared" si="27"/>
        <v>65</v>
      </c>
      <c r="J241" s="492">
        <v>8.7</v>
      </c>
      <c r="K241" s="492">
        <f>I241*J241</f>
        <v>565.5</v>
      </c>
      <c r="L241" s="4" t="s">
        <v>201</v>
      </c>
      <c r="M241" s="536"/>
      <c r="N241" s="536"/>
    </row>
    <row r="242" s="457" customFormat="1" ht="20.25" spans="1:14">
      <c r="A242" s="488">
        <v>45402</v>
      </c>
      <c r="B242" s="456" t="s">
        <v>198</v>
      </c>
      <c r="C242" s="490">
        <v>45401</v>
      </c>
      <c r="D242" s="491"/>
      <c r="E242" s="491"/>
      <c r="F242" s="499" t="s">
        <v>202</v>
      </c>
      <c r="G242" s="501">
        <v>1</v>
      </c>
      <c r="H242" s="500">
        <f>SUM(H237:H241)</f>
        <v>182</v>
      </c>
      <c r="I242" s="501">
        <f t="shared" ref="I242:I265" si="28">G242*H242</f>
        <v>182</v>
      </c>
      <c r="J242" s="502">
        <v>7.5</v>
      </c>
      <c r="K242" s="502">
        <f t="shared" ref="K240:K244" si="29">I242*J242</f>
        <v>1365</v>
      </c>
      <c r="L242" s="537">
        <f>SUM(K237:K242)</f>
        <v>2700.5</v>
      </c>
      <c r="M242" s="537"/>
      <c r="N242" s="537"/>
    </row>
    <row r="243" s="457" customFormat="1" ht="20.25" spans="1:14">
      <c r="A243" s="494">
        <v>45402</v>
      </c>
      <c r="B243" s="457" t="s">
        <v>203</v>
      </c>
      <c r="C243" s="495">
        <v>45401</v>
      </c>
      <c r="D243" s="463"/>
      <c r="E243" s="463"/>
      <c r="F243" s="496" t="s">
        <v>176</v>
      </c>
      <c r="G243" s="463">
        <v>1</v>
      </c>
      <c r="H243" s="432">
        <v>200</v>
      </c>
      <c r="I243" s="463">
        <f t="shared" si="28"/>
        <v>200</v>
      </c>
      <c r="J243" s="497"/>
      <c r="K243" s="492"/>
    </row>
    <row r="244" s="457" customFormat="1" ht="20.25" spans="1:14">
      <c r="A244" s="494">
        <v>45402</v>
      </c>
      <c r="B244" s="457" t="s">
        <v>203</v>
      </c>
      <c r="C244" s="495">
        <v>45401</v>
      </c>
      <c r="D244" s="463"/>
      <c r="E244" s="463"/>
      <c r="F244" s="496" t="s">
        <v>170</v>
      </c>
      <c r="G244" s="463">
        <v>1</v>
      </c>
      <c r="H244" s="432">
        <v>25</v>
      </c>
      <c r="I244" s="463">
        <f t="shared" si="28"/>
        <v>25</v>
      </c>
      <c r="J244" s="497">
        <v>75</v>
      </c>
      <c r="K244" s="492">
        <f t="shared" si="29"/>
        <v>1875</v>
      </c>
      <c r="L244" s="537"/>
      <c r="M244" s="537"/>
      <c r="N244" s="537"/>
    </row>
    <row r="245" s="457" customFormat="1" ht="20.25" spans="1:14">
      <c r="A245" s="494">
        <v>45402</v>
      </c>
      <c r="B245" s="457" t="s">
        <v>203</v>
      </c>
      <c r="C245" s="495">
        <v>45401</v>
      </c>
      <c r="D245" s="463"/>
      <c r="E245" s="463"/>
      <c r="F245" s="496" t="s">
        <v>171</v>
      </c>
      <c r="G245" s="463">
        <v>1</v>
      </c>
      <c r="H245" s="432">
        <v>100</v>
      </c>
      <c r="I245" s="463">
        <f t="shared" si="28"/>
        <v>100</v>
      </c>
      <c r="J245" s="497"/>
      <c r="K245" s="492"/>
      <c r="L245" s="537"/>
      <c r="M245" s="537"/>
      <c r="N245" s="537"/>
    </row>
    <row r="246" s="457" customFormat="1" ht="20.25" spans="1:14">
      <c r="A246" s="494">
        <v>45402</v>
      </c>
      <c r="B246" s="457" t="s">
        <v>203</v>
      </c>
      <c r="C246" s="495">
        <v>45401</v>
      </c>
      <c r="D246" s="463"/>
      <c r="E246" s="463"/>
      <c r="F246" s="496" t="s">
        <v>177</v>
      </c>
      <c r="G246" s="463">
        <v>1</v>
      </c>
      <c r="H246" s="432">
        <v>300</v>
      </c>
      <c r="I246" s="463">
        <f t="shared" si="28"/>
        <v>300</v>
      </c>
      <c r="J246" s="497">
        <v>10.9</v>
      </c>
      <c r="K246" s="492">
        <f t="shared" ref="K246:K248" si="30">I246*J246</f>
        <v>3270</v>
      </c>
      <c r="L246" s="537"/>
      <c r="M246" s="537"/>
      <c r="N246" s="537"/>
    </row>
    <row r="247" s="457" customFormat="1" ht="20.25" spans="1:14">
      <c r="A247" s="494">
        <v>45402</v>
      </c>
      <c r="B247" s="457" t="s">
        <v>203</v>
      </c>
      <c r="C247" s="495">
        <v>45401</v>
      </c>
      <c r="D247" s="463"/>
      <c r="E247" s="463"/>
      <c r="F247" s="496" t="s">
        <v>125</v>
      </c>
      <c r="G247" s="463">
        <v>1</v>
      </c>
      <c r="H247" s="432">
        <v>125</v>
      </c>
      <c r="I247" s="463">
        <f t="shared" si="28"/>
        <v>125</v>
      </c>
      <c r="J247" s="497">
        <v>6.9</v>
      </c>
      <c r="K247" s="492">
        <f t="shared" si="30"/>
        <v>862.5</v>
      </c>
      <c r="L247" s="537"/>
      <c r="M247" s="537" t="s">
        <v>204</v>
      </c>
      <c r="N247" s="537"/>
    </row>
    <row r="248" s="457" customFormat="1" ht="20.25" spans="1:14">
      <c r="A248" s="494">
        <v>45402</v>
      </c>
      <c r="B248" s="457" t="s">
        <v>203</v>
      </c>
      <c r="C248" s="495">
        <v>45401</v>
      </c>
      <c r="D248" s="463"/>
      <c r="E248" s="463"/>
      <c r="F248" s="499" t="s">
        <v>179</v>
      </c>
      <c r="G248" s="501">
        <v>1</v>
      </c>
      <c r="H248" s="500">
        <f>SUM(H243:H247)</f>
        <v>750</v>
      </c>
      <c r="I248" s="501">
        <f t="shared" si="28"/>
        <v>750</v>
      </c>
      <c r="J248" s="502">
        <v>7.5</v>
      </c>
      <c r="K248" s="502">
        <f t="shared" si="30"/>
        <v>5625</v>
      </c>
      <c r="L248" s="537">
        <f>SUM(K243:K248)</f>
        <v>11632.5</v>
      </c>
      <c r="M248" s="537"/>
      <c r="N248" s="537"/>
    </row>
    <row r="249" s="456" customFormat="1" ht="20.25" spans="1:14">
      <c r="A249" s="488">
        <v>45402</v>
      </c>
      <c r="B249" s="456" t="s">
        <v>205</v>
      </c>
      <c r="C249" s="490">
        <v>45401</v>
      </c>
      <c r="D249" s="491"/>
      <c r="E249" s="491"/>
      <c r="F249" s="493" t="s">
        <v>16</v>
      </c>
      <c r="G249" s="491">
        <v>1</v>
      </c>
      <c r="H249" s="431">
        <v>90</v>
      </c>
      <c r="I249" s="491">
        <f t="shared" si="28"/>
        <v>90</v>
      </c>
      <c r="J249" s="492"/>
      <c r="K249" s="492"/>
    </row>
    <row r="250" s="456" customFormat="1" ht="20.25" spans="1:14">
      <c r="A250" s="488">
        <v>45402</v>
      </c>
      <c r="B250" s="456" t="s">
        <v>205</v>
      </c>
      <c r="C250" s="490">
        <v>45401</v>
      </c>
      <c r="D250" s="491"/>
      <c r="E250" s="491"/>
      <c r="F250" s="493" t="s">
        <v>44</v>
      </c>
      <c r="G250" s="491">
        <v>1</v>
      </c>
      <c r="H250" s="431">
        <v>120</v>
      </c>
      <c r="I250" s="491">
        <f t="shared" si="28"/>
        <v>120</v>
      </c>
      <c r="J250" s="492"/>
      <c r="K250" s="492"/>
    </row>
    <row r="251" s="456" customFormat="1" ht="20.25" spans="1:14">
      <c r="A251" s="488">
        <v>45402</v>
      </c>
      <c r="B251" s="456" t="s">
        <v>205</v>
      </c>
      <c r="C251" s="490">
        <v>45401</v>
      </c>
      <c r="D251" s="491"/>
      <c r="E251" s="491"/>
      <c r="F251" s="493" t="s">
        <v>45</v>
      </c>
      <c r="G251" s="491">
        <v>1</v>
      </c>
      <c r="H251" s="431">
        <v>270</v>
      </c>
      <c r="I251" s="491">
        <f t="shared" si="28"/>
        <v>270</v>
      </c>
      <c r="J251" s="492"/>
      <c r="K251" s="492"/>
    </row>
    <row r="252" s="456" customFormat="1" ht="20.25" spans="1:14">
      <c r="A252" s="488">
        <v>45402</v>
      </c>
      <c r="B252" s="456" t="s">
        <v>205</v>
      </c>
      <c r="C252" s="490">
        <v>45401</v>
      </c>
      <c r="D252" s="491"/>
      <c r="E252" s="491"/>
      <c r="F252" s="493" t="s">
        <v>181</v>
      </c>
      <c r="G252" s="491">
        <v>1</v>
      </c>
      <c r="H252" s="431">
        <v>30</v>
      </c>
      <c r="I252" s="491">
        <f t="shared" si="28"/>
        <v>30</v>
      </c>
      <c r="J252" s="492">
        <v>10.9</v>
      </c>
      <c r="K252" s="492">
        <f>I252*J252</f>
        <v>327</v>
      </c>
      <c r="M252" s="456" t="s">
        <v>182</v>
      </c>
    </row>
    <row r="253" s="456" customFormat="1" ht="20.25" spans="1:14">
      <c r="A253" s="488">
        <v>45402</v>
      </c>
      <c r="B253" s="456" t="s">
        <v>205</v>
      </c>
      <c r="C253" s="490">
        <v>45401</v>
      </c>
      <c r="D253" s="491"/>
      <c r="E253" s="491"/>
      <c r="F253" s="493" t="s">
        <v>183</v>
      </c>
      <c r="G253" s="491">
        <v>1</v>
      </c>
      <c r="H253" s="431">
        <v>90</v>
      </c>
      <c r="I253" s="491">
        <f t="shared" si="28"/>
        <v>90</v>
      </c>
      <c r="J253" s="492"/>
      <c r="K253" s="492"/>
      <c r="M253" s="456" t="s">
        <v>184</v>
      </c>
      <c r="N253" s="456" t="s">
        <v>185</v>
      </c>
    </row>
    <row r="254" s="456" customFormat="1" ht="20.25" spans="1:14">
      <c r="A254" s="488">
        <v>45402</v>
      </c>
      <c r="B254" s="456" t="s">
        <v>205</v>
      </c>
      <c r="C254" s="490">
        <v>45401</v>
      </c>
      <c r="D254" s="491"/>
      <c r="E254" s="491"/>
      <c r="F254" s="499" t="s">
        <v>186</v>
      </c>
      <c r="G254" s="501">
        <v>1</v>
      </c>
      <c r="H254" s="500">
        <f>SUM(H249:H253)</f>
        <v>600</v>
      </c>
      <c r="I254" s="501">
        <f t="shared" si="28"/>
        <v>600</v>
      </c>
      <c r="J254" s="502">
        <v>1</v>
      </c>
      <c r="K254" s="502">
        <f>I254*J254</f>
        <v>600</v>
      </c>
      <c r="L254" s="456">
        <f>SUM(K249:K254)</f>
        <v>927</v>
      </c>
    </row>
    <row r="255" s="457" customFormat="1" ht="20.25" spans="1:14">
      <c r="A255" s="494">
        <v>45402</v>
      </c>
      <c r="B255" s="457" t="s">
        <v>206</v>
      </c>
      <c r="C255" s="495">
        <v>45402</v>
      </c>
      <c r="D255" s="463"/>
      <c r="E255" s="463"/>
      <c r="F255" s="496" t="s">
        <v>65</v>
      </c>
      <c r="G255" s="463">
        <v>1</v>
      </c>
      <c r="H255" s="432">
        <v>300</v>
      </c>
      <c r="I255" s="463">
        <f t="shared" si="28"/>
        <v>300</v>
      </c>
      <c r="J255" s="497">
        <v>26</v>
      </c>
      <c r="K255" s="497"/>
      <c r="L255" s="537"/>
      <c r="M255" s="497"/>
    </row>
    <row r="256" s="457" customFormat="1" ht="20.25" spans="1:14">
      <c r="A256" s="494">
        <v>45402</v>
      </c>
      <c r="B256" s="457" t="s">
        <v>206</v>
      </c>
      <c r="C256" s="495">
        <v>45402</v>
      </c>
      <c r="D256" s="463"/>
      <c r="E256" s="463"/>
      <c r="F256" s="496" t="s">
        <v>152</v>
      </c>
      <c r="G256" s="463">
        <v>1</v>
      </c>
      <c r="H256" s="432">
        <v>180</v>
      </c>
      <c r="I256" s="463">
        <f t="shared" si="28"/>
        <v>180</v>
      </c>
      <c r="J256" s="497">
        <v>8.7</v>
      </c>
      <c r="K256" s="497">
        <f>I256*J256</f>
        <v>1566</v>
      </c>
      <c r="L256" s="537"/>
      <c r="M256" s="497"/>
    </row>
    <row r="257" s="457" customFormat="1" ht="20.25" spans="1:14">
      <c r="A257" s="494">
        <v>45402</v>
      </c>
      <c r="B257" s="457" t="s">
        <v>206</v>
      </c>
      <c r="C257" s="495">
        <v>45402</v>
      </c>
      <c r="D257" s="463"/>
      <c r="E257" s="463"/>
      <c r="F257" s="496" t="s">
        <v>125</v>
      </c>
      <c r="G257" s="463">
        <v>1</v>
      </c>
      <c r="H257" s="432">
        <v>540</v>
      </c>
      <c r="I257" s="463">
        <f t="shared" si="28"/>
        <v>540</v>
      </c>
      <c r="J257" s="497">
        <v>6.9</v>
      </c>
      <c r="K257" s="497">
        <f>I257*J257</f>
        <v>3726</v>
      </c>
      <c r="L257" s="537"/>
    </row>
    <row r="258" s="457" customFormat="1" ht="20.25" spans="1:14">
      <c r="A258" s="494">
        <v>45402</v>
      </c>
      <c r="B258" s="457" t="s">
        <v>206</v>
      </c>
      <c r="C258" s="495">
        <v>45402</v>
      </c>
      <c r="D258" s="463"/>
      <c r="E258" s="463"/>
      <c r="F258" s="499" t="s">
        <v>66</v>
      </c>
      <c r="G258" s="501">
        <v>1</v>
      </c>
      <c r="H258" s="500">
        <f>SUM(H255:H257)</f>
        <v>1020</v>
      </c>
      <c r="I258" s="501">
        <f t="shared" si="28"/>
        <v>1020</v>
      </c>
      <c r="J258" s="502">
        <v>0.8</v>
      </c>
      <c r="K258" s="502">
        <f>I258*J258</f>
        <v>816</v>
      </c>
      <c r="L258" s="537">
        <f>SUM(K255:K258)</f>
        <v>6108</v>
      </c>
    </row>
    <row r="259" s="456" customFormat="1" ht="20.25" spans="1:14">
      <c r="A259" s="488">
        <v>45405</v>
      </c>
      <c r="B259" s="456" t="s">
        <v>107</v>
      </c>
      <c r="C259" s="490">
        <v>45404</v>
      </c>
      <c r="D259" s="491"/>
      <c r="E259" s="491"/>
      <c r="F259" s="493" t="s">
        <v>16</v>
      </c>
      <c r="G259" s="491">
        <v>1</v>
      </c>
      <c r="H259" s="431">
        <v>160</v>
      </c>
      <c r="I259" s="491">
        <f t="shared" si="28"/>
        <v>160</v>
      </c>
      <c r="J259" s="492"/>
      <c r="K259" s="492"/>
    </row>
    <row r="260" s="456" customFormat="1" ht="20.25" spans="1:14">
      <c r="A260" s="488">
        <v>45405</v>
      </c>
      <c r="B260" s="456" t="s">
        <v>107</v>
      </c>
      <c r="C260" s="490">
        <v>45404</v>
      </c>
      <c r="D260" s="491"/>
      <c r="E260" s="491"/>
      <c r="F260" s="493" t="s">
        <v>13</v>
      </c>
      <c r="G260" s="491">
        <v>1</v>
      </c>
      <c r="H260" s="431">
        <v>160</v>
      </c>
      <c r="I260" s="491">
        <f t="shared" si="28"/>
        <v>160</v>
      </c>
      <c r="J260" s="492"/>
      <c r="K260" s="492"/>
    </row>
    <row r="261" s="456" customFormat="1" ht="20.25" spans="1:14">
      <c r="A261" s="488">
        <v>45405</v>
      </c>
      <c r="B261" s="456" t="s">
        <v>107</v>
      </c>
      <c r="C261" s="490">
        <v>45404</v>
      </c>
      <c r="D261" s="491"/>
      <c r="E261" s="491"/>
      <c r="F261" s="493" t="s">
        <v>86</v>
      </c>
      <c r="G261" s="491">
        <v>1</v>
      </c>
      <c r="H261" s="431">
        <v>56</v>
      </c>
      <c r="I261" s="491">
        <f t="shared" si="28"/>
        <v>56</v>
      </c>
      <c r="J261" s="492"/>
      <c r="K261" s="492"/>
    </row>
    <row r="262" s="456" customFormat="1" ht="20.25" spans="1:14">
      <c r="A262" s="488">
        <v>45405</v>
      </c>
      <c r="B262" s="456" t="s">
        <v>107</v>
      </c>
      <c r="C262" s="490">
        <v>45404</v>
      </c>
      <c r="D262" s="491"/>
      <c r="E262" s="491"/>
      <c r="F262" s="493" t="s">
        <v>87</v>
      </c>
      <c r="G262" s="491">
        <v>1</v>
      </c>
      <c r="H262" s="431">
        <v>304</v>
      </c>
      <c r="I262" s="491">
        <f t="shared" si="28"/>
        <v>304</v>
      </c>
      <c r="J262" s="492"/>
      <c r="K262" s="492"/>
    </row>
    <row r="263" s="456" customFormat="1" ht="20.25" spans="1:14">
      <c r="A263" s="488">
        <v>45405</v>
      </c>
      <c r="B263" s="456" t="s">
        <v>107</v>
      </c>
      <c r="C263" s="490">
        <v>45404</v>
      </c>
      <c r="D263" s="491"/>
      <c r="E263" s="491"/>
      <c r="F263" s="493" t="s">
        <v>115</v>
      </c>
      <c r="G263" s="491">
        <v>1</v>
      </c>
      <c r="H263" s="431">
        <v>100</v>
      </c>
      <c r="I263" s="491">
        <f t="shared" si="28"/>
        <v>100</v>
      </c>
      <c r="J263" s="492"/>
      <c r="K263" s="492"/>
    </row>
    <row r="264" s="456" customFormat="1" ht="20.25" spans="1:14">
      <c r="A264" s="488">
        <v>45405</v>
      </c>
      <c r="B264" s="456" t="s">
        <v>107</v>
      </c>
      <c r="C264" s="490">
        <v>45404</v>
      </c>
      <c r="D264" s="491"/>
      <c r="E264" s="491"/>
      <c r="F264" s="493">
        <v>808</v>
      </c>
      <c r="G264" s="491">
        <v>1</v>
      </c>
      <c r="H264" s="431">
        <v>20</v>
      </c>
      <c r="I264" s="491">
        <f t="shared" si="28"/>
        <v>20</v>
      </c>
      <c r="J264" s="492">
        <v>10.9</v>
      </c>
      <c r="K264" s="492">
        <f>I264*J264</f>
        <v>218</v>
      </c>
      <c r="L264" s="536" t="s">
        <v>116</v>
      </c>
    </row>
    <row r="265" s="456" customFormat="1" ht="20.25" spans="1:14">
      <c r="A265" s="488">
        <v>45405</v>
      </c>
      <c r="B265" s="456" t="s">
        <v>107</v>
      </c>
      <c r="C265" s="490">
        <v>45404</v>
      </c>
      <c r="D265" s="491"/>
      <c r="E265" s="491"/>
      <c r="F265" s="499" t="s">
        <v>17</v>
      </c>
      <c r="G265" s="501">
        <v>1</v>
      </c>
      <c r="H265" s="500">
        <f>SUM(H259:H264)</f>
        <v>800</v>
      </c>
      <c r="I265" s="501">
        <f t="shared" si="28"/>
        <v>800</v>
      </c>
      <c r="J265" s="502">
        <v>1</v>
      </c>
      <c r="K265" s="502">
        <f>I265*J265</f>
        <v>800</v>
      </c>
      <c r="L265" s="456">
        <f>SUM(K259:K265)</f>
        <v>1018</v>
      </c>
    </row>
    <row r="266" s="457" customFormat="1" ht="20.25" spans="1:14">
      <c r="A266" s="494">
        <v>45405</v>
      </c>
      <c r="B266" s="457" t="s">
        <v>113</v>
      </c>
      <c r="C266" s="495">
        <v>45404</v>
      </c>
      <c r="D266" s="463"/>
      <c r="E266" s="463"/>
      <c r="F266" s="496" t="s">
        <v>16</v>
      </c>
      <c r="G266" s="463">
        <v>1</v>
      </c>
      <c r="H266" s="432">
        <v>100</v>
      </c>
      <c r="I266" s="463">
        <f t="shared" ref="I266:I301" si="31">G266*H266</f>
        <v>100</v>
      </c>
      <c r="J266" s="497">
        <v>13.5</v>
      </c>
      <c r="K266" s="502"/>
    </row>
    <row r="267" s="457" customFormat="1" ht="20.25" spans="1:14">
      <c r="A267" s="494">
        <v>45405</v>
      </c>
      <c r="B267" s="457" t="s">
        <v>113</v>
      </c>
      <c r="C267" s="495">
        <v>45404</v>
      </c>
      <c r="D267" s="463"/>
      <c r="E267" s="463"/>
      <c r="F267" s="496" t="s">
        <v>207</v>
      </c>
      <c r="G267" s="463">
        <v>1</v>
      </c>
      <c r="H267" s="432">
        <v>200</v>
      </c>
      <c r="I267" s="463">
        <f t="shared" si="31"/>
        <v>200</v>
      </c>
      <c r="J267" s="497">
        <v>17.9</v>
      </c>
      <c r="K267" s="502"/>
    </row>
    <row r="268" s="457" customFormat="1" ht="20.25" spans="1:14">
      <c r="A268" s="494">
        <v>45405</v>
      </c>
      <c r="B268" s="457" t="s">
        <v>113</v>
      </c>
      <c r="C268" s="495">
        <v>45404</v>
      </c>
      <c r="D268" s="463"/>
      <c r="E268" s="463"/>
      <c r="F268" s="496" t="s">
        <v>86</v>
      </c>
      <c r="G268" s="463">
        <v>1</v>
      </c>
      <c r="H268" s="432">
        <v>136</v>
      </c>
      <c r="I268" s="463">
        <f t="shared" si="31"/>
        <v>136</v>
      </c>
      <c r="J268" s="497">
        <v>14.1</v>
      </c>
      <c r="K268" s="502"/>
      <c r="L268" s="537"/>
      <c r="M268" s="537"/>
      <c r="N268" s="537"/>
    </row>
    <row r="269" s="457" customFormat="1" ht="20.25" spans="1:14">
      <c r="A269" s="494">
        <v>45405</v>
      </c>
      <c r="B269" s="457" t="s">
        <v>113</v>
      </c>
      <c r="C269" s="495">
        <v>45404</v>
      </c>
      <c r="D269" s="463"/>
      <c r="E269" s="463"/>
      <c r="F269" s="496" t="s">
        <v>87</v>
      </c>
      <c r="G269" s="463">
        <v>1</v>
      </c>
      <c r="H269" s="432">
        <v>260</v>
      </c>
      <c r="I269" s="463">
        <f t="shared" si="31"/>
        <v>260</v>
      </c>
      <c r="J269" s="497">
        <v>11.4</v>
      </c>
      <c r="K269" s="502"/>
      <c r="L269" s="537"/>
      <c r="M269" s="537"/>
      <c r="N269" s="537"/>
    </row>
    <row r="270" s="457" customFormat="1" ht="20.25" spans="1:14">
      <c r="A270" s="494">
        <v>45405</v>
      </c>
      <c r="B270" s="457" t="s">
        <v>113</v>
      </c>
      <c r="C270" s="495">
        <v>45404</v>
      </c>
      <c r="D270" s="463"/>
      <c r="E270" s="463"/>
      <c r="F270" s="496" t="s">
        <v>208</v>
      </c>
      <c r="G270" s="463">
        <v>1</v>
      </c>
      <c r="H270" s="432">
        <v>25</v>
      </c>
      <c r="I270" s="463">
        <f t="shared" si="31"/>
        <v>25</v>
      </c>
      <c r="J270" s="497">
        <v>17</v>
      </c>
      <c r="K270" s="502">
        <f t="shared" ref="K267:K274" si="32">I270*J270</f>
        <v>425</v>
      </c>
      <c r="L270" s="537"/>
      <c r="M270" s="537"/>
      <c r="N270" s="537"/>
    </row>
    <row r="271" s="457" customFormat="1" ht="20.25" spans="1:14">
      <c r="A271" s="494">
        <v>45405</v>
      </c>
      <c r="B271" s="457" t="s">
        <v>113</v>
      </c>
      <c r="C271" s="495">
        <v>45404</v>
      </c>
      <c r="D271" s="463"/>
      <c r="E271" s="463"/>
      <c r="F271" s="496" t="s">
        <v>132</v>
      </c>
      <c r="G271" s="463">
        <v>1</v>
      </c>
      <c r="H271" s="432">
        <v>279</v>
      </c>
      <c r="I271" s="463">
        <f t="shared" si="31"/>
        <v>279</v>
      </c>
      <c r="J271" s="497">
        <v>3.6</v>
      </c>
      <c r="K271" s="502">
        <f t="shared" si="32"/>
        <v>1004.4</v>
      </c>
      <c r="L271" s="537" t="s">
        <v>209</v>
      </c>
      <c r="M271" s="537"/>
      <c r="N271" s="537"/>
    </row>
    <row r="272" s="457" customFormat="1" ht="20.25" spans="1:14">
      <c r="A272" s="494">
        <v>45405</v>
      </c>
      <c r="B272" s="457" t="s">
        <v>113</v>
      </c>
      <c r="C272" s="495">
        <v>45404</v>
      </c>
      <c r="D272" s="463"/>
      <c r="E272" s="463"/>
      <c r="F272" s="496" t="s">
        <v>137</v>
      </c>
      <c r="G272" s="463">
        <v>1</v>
      </c>
      <c r="H272" s="432">
        <v>50</v>
      </c>
      <c r="I272" s="463">
        <f t="shared" si="31"/>
        <v>50</v>
      </c>
      <c r="J272" s="497">
        <v>0.9</v>
      </c>
      <c r="K272" s="502">
        <f t="shared" si="32"/>
        <v>45</v>
      </c>
      <c r="L272" s="536" t="s">
        <v>210</v>
      </c>
      <c r="M272" s="537"/>
      <c r="N272" s="537"/>
    </row>
    <row r="273" s="457" customFormat="1" ht="20.25" spans="1:14">
      <c r="A273" s="494">
        <v>45405</v>
      </c>
      <c r="B273" s="457" t="s">
        <v>113</v>
      </c>
      <c r="C273" s="495">
        <v>45404</v>
      </c>
      <c r="D273" s="463"/>
      <c r="E273" s="463"/>
      <c r="F273" s="496" t="s">
        <v>211</v>
      </c>
      <c r="G273" s="463">
        <v>1</v>
      </c>
      <c r="H273" s="432">
        <v>1.8</v>
      </c>
      <c r="I273" s="463">
        <f t="shared" si="31"/>
        <v>1.8</v>
      </c>
      <c r="J273" s="497">
        <v>38</v>
      </c>
      <c r="K273" s="502"/>
      <c r="L273" s="537"/>
      <c r="M273" s="537"/>
      <c r="N273" s="537"/>
    </row>
    <row r="274" s="457" customFormat="1" ht="20.25" spans="1:14">
      <c r="A274" s="494">
        <v>45405</v>
      </c>
      <c r="B274" s="457" t="s">
        <v>113</v>
      </c>
      <c r="C274" s="495">
        <v>45404</v>
      </c>
      <c r="D274" s="463"/>
      <c r="E274" s="463"/>
      <c r="F274" s="499" t="s">
        <v>212</v>
      </c>
      <c r="G274" s="501">
        <v>1</v>
      </c>
      <c r="H274" s="500">
        <f>SUM(H266:H273)</f>
        <v>1051.8</v>
      </c>
      <c r="I274" s="501">
        <f t="shared" si="31"/>
        <v>1051.8</v>
      </c>
      <c r="J274" s="502">
        <v>1</v>
      </c>
      <c r="K274" s="502">
        <f t="shared" si="32"/>
        <v>1051.8</v>
      </c>
      <c r="L274" s="537">
        <f>SUM(K266:K274)</f>
        <v>2526.2</v>
      </c>
      <c r="M274" s="537"/>
      <c r="N274" s="537"/>
    </row>
    <row r="275" s="456" customFormat="1" ht="20.25" spans="1:14">
      <c r="A275" s="488">
        <v>45405</v>
      </c>
      <c r="B275" s="456" t="s">
        <v>119</v>
      </c>
      <c r="C275" s="490">
        <v>45405</v>
      </c>
      <c r="D275" s="491"/>
      <c r="E275" s="491"/>
      <c r="F275" s="493" t="s">
        <v>108</v>
      </c>
      <c r="G275" s="491">
        <v>1</v>
      </c>
      <c r="H275" s="431">
        <v>75</v>
      </c>
      <c r="I275" s="491">
        <f t="shared" si="31"/>
        <v>75</v>
      </c>
      <c r="J275" s="492">
        <v>18</v>
      </c>
      <c r="K275" s="492"/>
      <c r="L275" s="536"/>
      <c r="M275" s="536"/>
      <c r="N275" s="536"/>
    </row>
    <row r="276" s="456" customFormat="1" ht="20.25" spans="1:14">
      <c r="A276" s="488">
        <v>45405</v>
      </c>
      <c r="B276" s="456" t="s">
        <v>119</v>
      </c>
      <c r="C276" s="490">
        <v>45405</v>
      </c>
      <c r="D276" s="491"/>
      <c r="E276" s="491"/>
      <c r="F276" s="493">
        <v>808</v>
      </c>
      <c r="G276" s="491">
        <v>1</v>
      </c>
      <c r="H276" s="431">
        <v>112.5</v>
      </c>
      <c r="I276" s="491">
        <f t="shared" si="31"/>
        <v>112.5</v>
      </c>
      <c r="J276" s="492">
        <v>11</v>
      </c>
      <c r="K276" s="492">
        <f>I276*J276</f>
        <v>1237.5</v>
      </c>
      <c r="L276" s="536"/>
      <c r="M276" s="536"/>
      <c r="N276" s="536"/>
    </row>
    <row r="277" s="456" customFormat="1" ht="20.25" spans="1:14">
      <c r="A277" s="488">
        <v>45405</v>
      </c>
      <c r="B277" s="456" t="s">
        <v>119</v>
      </c>
      <c r="C277" s="490">
        <v>45405</v>
      </c>
      <c r="D277" s="491"/>
      <c r="E277" s="491"/>
      <c r="F277" s="499" t="s">
        <v>109</v>
      </c>
      <c r="G277" s="501">
        <v>1</v>
      </c>
      <c r="H277" s="500">
        <f>SUM(H275:H276)</f>
        <v>187.5</v>
      </c>
      <c r="I277" s="501">
        <f t="shared" si="31"/>
        <v>187.5</v>
      </c>
      <c r="J277" s="502">
        <v>1</v>
      </c>
      <c r="K277" s="502">
        <f t="shared" ref="K276:K283" si="33">I277*J277</f>
        <v>187.5</v>
      </c>
      <c r="L277" s="536"/>
      <c r="M277" s="536"/>
      <c r="N277" s="536"/>
    </row>
    <row r="278" s="456" customFormat="1" ht="20.25" spans="1:14">
      <c r="A278" s="488">
        <v>45405</v>
      </c>
      <c r="B278" s="456" t="s">
        <v>119</v>
      </c>
      <c r="C278" s="490">
        <v>45405</v>
      </c>
      <c r="D278" s="491"/>
      <c r="E278" s="491"/>
      <c r="F278" s="493" t="s">
        <v>16</v>
      </c>
      <c r="G278" s="491">
        <v>2</v>
      </c>
      <c r="H278" s="431">
        <v>48</v>
      </c>
      <c r="I278" s="491">
        <f t="shared" si="31"/>
        <v>96</v>
      </c>
      <c r="J278" s="492"/>
      <c r="K278" s="492"/>
    </row>
    <row r="279" s="456" customFormat="1" ht="20.25" spans="1:14">
      <c r="A279" s="488">
        <v>45405</v>
      </c>
      <c r="B279" s="456" t="s">
        <v>119</v>
      </c>
      <c r="C279" s="490">
        <v>45405</v>
      </c>
      <c r="D279" s="491"/>
      <c r="E279" s="491"/>
      <c r="F279" s="493" t="s">
        <v>89</v>
      </c>
      <c r="G279" s="491">
        <v>2</v>
      </c>
      <c r="H279" s="431">
        <v>4.5</v>
      </c>
      <c r="I279" s="491">
        <f t="shared" si="31"/>
        <v>9</v>
      </c>
      <c r="J279" s="492"/>
      <c r="K279" s="492"/>
    </row>
    <row r="280" s="456" customFormat="1" ht="20.25" spans="1:14">
      <c r="A280" s="488">
        <v>45405</v>
      </c>
      <c r="B280" s="456" t="s">
        <v>119</v>
      </c>
      <c r="C280" s="490">
        <v>45405</v>
      </c>
      <c r="D280" s="491"/>
      <c r="E280" s="491"/>
      <c r="F280" s="493" t="s">
        <v>90</v>
      </c>
      <c r="G280" s="491">
        <v>2</v>
      </c>
      <c r="H280" s="431">
        <v>150</v>
      </c>
      <c r="I280" s="491">
        <f t="shared" si="31"/>
        <v>300</v>
      </c>
      <c r="J280" s="492">
        <v>16</v>
      </c>
      <c r="K280" s="492">
        <f>I280*J280</f>
        <v>4800</v>
      </c>
    </row>
    <row r="281" s="456" customFormat="1" ht="20.25" spans="1:14">
      <c r="A281" s="488">
        <v>45405</v>
      </c>
      <c r="B281" s="456" t="s">
        <v>119</v>
      </c>
      <c r="C281" s="490">
        <v>45405</v>
      </c>
      <c r="D281" s="491"/>
      <c r="E281" s="491"/>
      <c r="F281" s="493" t="s">
        <v>82</v>
      </c>
      <c r="G281" s="491">
        <v>2</v>
      </c>
      <c r="H281" s="431">
        <v>30</v>
      </c>
      <c r="I281" s="491">
        <f t="shared" si="31"/>
        <v>60</v>
      </c>
      <c r="J281" s="492">
        <v>8.5</v>
      </c>
      <c r="K281" s="492">
        <f t="shared" si="33"/>
        <v>510</v>
      </c>
    </row>
    <row r="282" s="456" customFormat="1" ht="20.25" spans="1:14">
      <c r="A282" s="488">
        <v>45405</v>
      </c>
      <c r="B282" s="456" t="s">
        <v>119</v>
      </c>
      <c r="C282" s="490">
        <v>45405</v>
      </c>
      <c r="D282" s="491"/>
      <c r="E282" s="491"/>
      <c r="F282" s="493" t="s">
        <v>152</v>
      </c>
      <c r="G282" s="491">
        <v>2</v>
      </c>
      <c r="H282" s="431">
        <v>30</v>
      </c>
      <c r="I282" s="491">
        <f t="shared" si="31"/>
        <v>60</v>
      </c>
      <c r="J282" s="492">
        <v>8.8</v>
      </c>
      <c r="K282" s="492">
        <f t="shared" si="33"/>
        <v>528</v>
      </c>
    </row>
    <row r="283" s="456" customFormat="1" ht="20.25" spans="1:14">
      <c r="A283" s="488">
        <v>45405</v>
      </c>
      <c r="B283" s="456" t="s">
        <v>119</v>
      </c>
      <c r="C283" s="490">
        <v>45405</v>
      </c>
      <c r="D283" s="491"/>
      <c r="E283" s="491"/>
      <c r="F283" s="499" t="s">
        <v>84</v>
      </c>
      <c r="G283" s="501">
        <v>2</v>
      </c>
      <c r="H283" s="500">
        <f>SUM(H278:H282)</f>
        <v>262.5</v>
      </c>
      <c r="I283" s="501">
        <f t="shared" si="31"/>
        <v>525</v>
      </c>
      <c r="J283" s="502">
        <v>3</v>
      </c>
      <c r="K283" s="502">
        <f t="shared" si="33"/>
        <v>1575</v>
      </c>
      <c r="L283" s="456">
        <f>SUM(K275:K283)</f>
        <v>8838</v>
      </c>
    </row>
    <row r="284" s="457" customFormat="1" ht="20.25" spans="1:14">
      <c r="A284" s="494">
        <v>45407</v>
      </c>
      <c r="B284" s="457" t="s">
        <v>213</v>
      </c>
      <c r="C284" s="495">
        <v>45406</v>
      </c>
      <c r="D284" s="463"/>
      <c r="E284" s="463"/>
      <c r="F284" s="496" t="s">
        <v>122</v>
      </c>
      <c r="G284" s="463">
        <v>1</v>
      </c>
      <c r="H284" s="432">
        <v>61</v>
      </c>
      <c r="I284" s="463">
        <f t="shared" si="31"/>
        <v>61</v>
      </c>
      <c r="J284" s="497"/>
      <c r="K284" s="497"/>
      <c r="L284" s="537"/>
      <c r="M284" s="537"/>
      <c r="N284" s="537"/>
    </row>
    <row r="285" s="457" customFormat="1" ht="20.25" spans="1:14">
      <c r="A285" s="494">
        <v>45407</v>
      </c>
      <c r="B285" s="457" t="s">
        <v>213</v>
      </c>
      <c r="C285" s="495">
        <v>45406</v>
      </c>
      <c r="D285" s="463"/>
      <c r="E285" s="463"/>
      <c r="F285" s="496" t="s">
        <v>16</v>
      </c>
      <c r="G285" s="463">
        <v>1</v>
      </c>
      <c r="H285" s="432">
        <v>12</v>
      </c>
      <c r="I285" s="463">
        <f t="shared" si="31"/>
        <v>12</v>
      </c>
      <c r="J285" s="497"/>
      <c r="K285" s="497"/>
      <c r="L285" s="537"/>
      <c r="M285" s="537"/>
      <c r="N285" s="537"/>
    </row>
    <row r="286" s="457" customFormat="1" ht="20.25" spans="1:14">
      <c r="A286" s="494">
        <v>45407</v>
      </c>
      <c r="B286" s="457" t="s">
        <v>213</v>
      </c>
      <c r="C286" s="495">
        <v>45406</v>
      </c>
      <c r="D286" s="463"/>
      <c r="E286" s="463"/>
      <c r="F286" s="496" t="s">
        <v>124</v>
      </c>
      <c r="G286" s="463">
        <v>1</v>
      </c>
      <c r="H286" s="432">
        <v>60</v>
      </c>
      <c r="I286" s="463">
        <f t="shared" si="31"/>
        <v>60</v>
      </c>
      <c r="J286" s="497"/>
      <c r="K286" s="497"/>
      <c r="L286" s="537"/>
      <c r="M286" s="537"/>
      <c r="N286" s="537"/>
    </row>
    <row r="287" s="457" customFormat="1" ht="20.25" spans="1:14">
      <c r="A287" s="494">
        <v>45407</v>
      </c>
      <c r="B287" s="457" t="s">
        <v>213</v>
      </c>
      <c r="C287" s="495">
        <v>45406</v>
      </c>
      <c r="D287" s="463"/>
      <c r="E287" s="463"/>
      <c r="F287" s="496" t="s">
        <v>86</v>
      </c>
      <c r="G287" s="463">
        <v>1</v>
      </c>
      <c r="H287" s="432">
        <v>28</v>
      </c>
      <c r="I287" s="463">
        <f t="shared" si="31"/>
        <v>28</v>
      </c>
      <c r="J287" s="497"/>
      <c r="K287" s="497"/>
      <c r="L287" s="537"/>
      <c r="M287" s="537"/>
      <c r="N287" s="537"/>
    </row>
    <row r="288" s="457" customFormat="1" ht="20.25" spans="1:14">
      <c r="A288" s="494">
        <v>45407</v>
      </c>
      <c r="B288" s="457" t="s">
        <v>213</v>
      </c>
      <c r="C288" s="495">
        <v>45406</v>
      </c>
      <c r="D288" s="463"/>
      <c r="E288" s="463"/>
      <c r="F288" s="496" t="s">
        <v>87</v>
      </c>
      <c r="G288" s="463">
        <v>1</v>
      </c>
      <c r="H288" s="432">
        <v>100</v>
      </c>
      <c r="I288" s="463">
        <f t="shared" si="31"/>
        <v>100</v>
      </c>
      <c r="J288" s="497"/>
      <c r="K288" s="497"/>
      <c r="L288" s="537"/>
      <c r="M288" s="537"/>
      <c r="N288" s="537"/>
    </row>
    <row r="289" s="457" customFormat="1" ht="20.25" spans="1:14">
      <c r="A289" s="494">
        <v>45407</v>
      </c>
      <c r="B289" s="457" t="s">
        <v>213</v>
      </c>
      <c r="C289" s="495">
        <v>45406</v>
      </c>
      <c r="D289" s="463"/>
      <c r="E289" s="463"/>
      <c r="F289" s="496" t="s">
        <v>214</v>
      </c>
      <c r="G289" s="463">
        <v>1</v>
      </c>
      <c r="H289" s="432">
        <v>3.2</v>
      </c>
      <c r="I289" s="463">
        <f t="shared" si="31"/>
        <v>3.2</v>
      </c>
      <c r="J289" s="497">
        <v>17</v>
      </c>
      <c r="K289" s="492">
        <f>I289*J289</f>
        <v>54.4</v>
      </c>
      <c r="L289" s="537"/>
      <c r="M289" s="537"/>
      <c r="N289" s="537"/>
    </row>
    <row r="290" s="457" customFormat="1" ht="20.25" spans="1:14">
      <c r="A290" s="494">
        <v>45407</v>
      </c>
      <c r="B290" s="457" t="s">
        <v>213</v>
      </c>
      <c r="C290" s="495">
        <v>45406</v>
      </c>
      <c r="D290" s="463"/>
      <c r="E290" s="463"/>
      <c r="F290" s="496">
        <v>808</v>
      </c>
      <c r="G290" s="463">
        <v>1</v>
      </c>
      <c r="H290" s="432">
        <v>60</v>
      </c>
      <c r="I290" s="463">
        <f t="shared" si="31"/>
        <v>60</v>
      </c>
      <c r="J290" s="497">
        <v>11</v>
      </c>
      <c r="K290" s="492">
        <f>I290*J290</f>
        <v>660</v>
      </c>
      <c r="L290" s="537"/>
      <c r="M290" s="536" t="s">
        <v>215</v>
      </c>
      <c r="N290" s="537"/>
    </row>
    <row r="291" s="457" customFormat="1" ht="20.25" spans="1:14">
      <c r="A291" s="494">
        <v>45407</v>
      </c>
      <c r="B291" s="457" t="s">
        <v>213</v>
      </c>
      <c r="C291" s="495">
        <v>45406</v>
      </c>
      <c r="D291" s="463"/>
      <c r="E291" s="463"/>
      <c r="F291" s="496" t="s">
        <v>125</v>
      </c>
      <c r="G291" s="463">
        <v>1</v>
      </c>
      <c r="H291" s="432">
        <v>76.8</v>
      </c>
      <c r="I291" s="463">
        <f t="shared" si="31"/>
        <v>76.8</v>
      </c>
      <c r="J291" s="497">
        <v>7.2</v>
      </c>
      <c r="K291" s="492">
        <f>I291*J291</f>
        <v>552.96</v>
      </c>
      <c r="L291" s="537"/>
      <c r="M291" s="537"/>
      <c r="N291" s="537"/>
    </row>
    <row r="292" s="457" customFormat="1" ht="20.25" spans="1:14">
      <c r="A292" s="494">
        <v>45407</v>
      </c>
      <c r="B292" s="457" t="s">
        <v>213</v>
      </c>
      <c r="C292" s="495">
        <v>45406</v>
      </c>
      <c r="D292" s="463"/>
      <c r="E292" s="463"/>
      <c r="F292" s="499" t="s">
        <v>78</v>
      </c>
      <c r="G292" s="501">
        <v>1</v>
      </c>
      <c r="H292" s="500">
        <f>SUM(H284:H291)</f>
        <v>401</v>
      </c>
      <c r="I292" s="501">
        <f t="shared" si="31"/>
        <v>401</v>
      </c>
      <c r="J292" s="502">
        <v>1</v>
      </c>
      <c r="K292" s="502">
        <f>I292*J292</f>
        <v>401</v>
      </c>
      <c r="L292" s="537">
        <f>SUM(K284:K292)</f>
        <v>1668.36</v>
      </c>
      <c r="M292" s="537"/>
      <c r="N292" s="537"/>
    </row>
    <row r="293" s="456" customFormat="1" ht="20.25" spans="1:14">
      <c r="A293" s="488">
        <v>45407</v>
      </c>
      <c r="B293" s="456" t="s">
        <v>139</v>
      </c>
      <c r="C293" s="490">
        <v>45406</v>
      </c>
      <c r="D293" s="491"/>
      <c r="E293" s="491"/>
      <c r="F293" s="493" t="s">
        <v>16</v>
      </c>
      <c r="G293" s="491">
        <v>1</v>
      </c>
      <c r="H293" s="431">
        <v>85</v>
      </c>
      <c r="I293" s="491">
        <f t="shared" si="31"/>
        <v>85</v>
      </c>
      <c r="J293" s="492"/>
      <c r="K293" s="492"/>
      <c r="L293" s="536"/>
      <c r="M293" s="536"/>
      <c r="N293" s="536"/>
    </row>
    <row r="294" s="456" customFormat="1" ht="20.25" spans="1:14">
      <c r="A294" s="488">
        <v>45407</v>
      </c>
      <c r="B294" s="456" t="s">
        <v>139</v>
      </c>
      <c r="C294" s="490">
        <v>45406</v>
      </c>
      <c r="D294" s="491"/>
      <c r="E294" s="491"/>
      <c r="F294" s="493" t="s">
        <v>124</v>
      </c>
      <c r="G294" s="491">
        <v>1</v>
      </c>
      <c r="H294" s="431">
        <v>75</v>
      </c>
      <c r="I294" s="491">
        <f t="shared" si="31"/>
        <v>75</v>
      </c>
      <c r="J294" s="492"/>
      <c r="K294" s="492"/>
      <c r="L294" s="536"/>
      <c r="M294" s="536"/>
      <c r="N294" s="536"/>
    </row>
    <row r="295" s="456" customFormat="1" ht="20.25" spans="1:14">
      <c r="A295" s="488">
        <v>45407</v>
      </c>
      <c r="B295" s="456" t="s">
        <v>139</v>
      </c>
      <c r="C295" s="490">
        <v>45406</v>
      </c>
      <c r="D295" s="491"/>
      <c r="E295" s="491"/>
      <c r="F295" s="493" t="s">
        <v>86</v>
      </c>
      <c r="G295" s="491">
        <v>1</v>
      </c>
      <c r="H295" s="431">
        <v>70</v>
      </c>
      <c r="I295" s="491">
        <f t="shared" si="31"/>
        <v>70</v>
      </c>
      <c r="J295" s="492"/>
      <c r="K295" s="492"/>
      <c r="L295" s="536"/>
      <c r="M295" s="536"/>
      <c r="N295" s="536"/>
    </row>
    <row r="296" s="456" customFormat="1" ht="20.25" spans="1:14">
      <c r="A296" s="488">
        <v>45407</v>
      </c>
      <c r="B296" s="456" t="s">
        <v>139</v>
      </c>
      <c r="C296" s="490">
        <v>45406</v>
      </c>
      <c r="D296" s="491"/>
      <c r="E296" s="491"/>
      <c r="F296" s="493" t="s">
        <v>87</v>
      </c>
      <c r="G296" s="491">
        <v>1</v>
      </c>
      <c r="H296" s="431">
        <v>160</v>
      </c>
      <c r="I296" s="491">
        <f t="shared" si="31"/>
        <v>160</v>
      </c>
      <c r="J296" s="492"/>
      <c r="K296" s="492"/>
      <c r="L296" s="536"/>
      <c r="M296" s="536"/>
      <c r="N296" s="536"/>
    </row>
    <row r="297" s="456" customFormat="1" ht="20.25" spans="1:14">
      <c r="A297" s="488">
        <v>45407</v>
      </c>
      <c r="B297" s="456" t="s">
        <v>139</v>
      </c>
      <c r="C297" s="490">
        <v>45406</v>
      </c>
      <c r="D297" s="491"/>
      <c r="E297" s="491"/>
      <c r="F297" s="493" t="s">
        <v>216</v>
      </c>
      <c r="G297" s="491">
        <v>1</v>
      </c>
      <c r="H297" s="431">
        <v>50</v>
      </c>
      <c r="I297" s="491">
        <f t="shared" si="31"/>
        <v>50</v>
      </c>
      <c r="J297" s="492"/>
      <c r="K297" s="492"/>
      <c r="L297" s="536"/>
      <c r="M297" s="536" t="s">
        <v>217</v>
      </c>
      <c r="N297" s="536"/>
    </row>
    <row r="298" s="456" customFormat="1" ht="20.25" spans="1:14">
      <c r="A298" s="488">
        <v>45407</v>
      </c>
      <c r="B298" s="456" t="s">
        <v>139</v>
      </c>
      <c r="C298" s="490">
        <v>45406</v>
      </c>
      <c r="D298" s="491"/>
      <c r="E298" s="491"/>
      <c r="F298" s="493">
        <v>808</v>
      </c>
      <c r="G298" s="491">
        <v>1</v>
      </c>
      <c r="H298" s="431">
        <v>60</v>
      </c>
      <c r="I298" s="491">
        <f t="shared" si="31"/>
        <v>60</v>
      </c>
      <c r="J298" s="492">
        <v>11</v>
      </c>
      <c r="K298" s="492">
        <f>I298*J298</f>
        <v>660</v>
      </c>
      <c r="L298" s="536"/>
      <c r="M298" s="536"/>
      <c r="N298" s="536"/>
    </row>
    <row r="299" s="456" customFormat="1" ht="20.25" spans="1:14">
      <c r="A299" s="488">
        <v>45407</v>
      </c>
      <c r="B299" s="456" t="s">
        <v>139</v>
      </c>
      <c r="C299" s="490">
        <v>45406</v>
      </c>
      <c r="D299" s="491"/>
      <c r="E299" s="491"/>
      <c r="F299" s="499" t="s">
        <v>218</v>
      </c>
      <c r="G299" s="501">
        <v>1</v>
      </c>
      <c r="H299" s="500">
        <f>SUM(H293:H298)</f>
        <v>500</v>
      </c>
      <c r="I299" s="501">
        <f t="shared" si="31"/>
        <v>500</v>
      </c>
      <c r="J299" s="502">
        <v>1</v>
      </c>
      <c r="K299" s="502">
        <f>I299*J299</f>
        <v>500</v>
      </c>
      <c r="L299" s="536">
        <f>SUM(K293:K299)</f>
        <v>1160</v>
      </c>
      <c r="M299" s="536"/>
      <c r="N299" s="536"/>
    </row>
    <row r="300" s="457" customFormat="1" ht="20.25" spans="1:14">
      <c r="A300" s="494">
        <v>45407</v>
      </c>
      <c r="B300" s="457" t="s">
        <v>219</v>
      </c>
      <c r="C300" s="495">
        <v>45406</v>
      </c>
      <c r="D300" s="463"/>
      <c r="E300" s="463"/>
      <c r="F300" s="496" t="s">
        <v>16</v>
      </c>
      <c r="G300" s="463">
        <v>1</v>
      </c>
      <c r="H300" s="432">
        <v>200</v>
      </c>
      <c r="I300" s="463">
        <f t="shared" ref="I300:I315" si="34">G300*H300</f>
        <v>200</v>
      </c>
      <c r="J300" s="497"/>
      <c r="K300" s="497"/>
    </row>
    <row r="301" s="457" customFormat="1" ht="20.25" spans="1:14">
      <c r="A301" s="494">
        <v>45407</v>
      </c>
      <c r="B301" s="457" t="s">
        <v>219</v>
      </c>
      <c r="C301" s="495">
        <v>45406</v>
      </c>
      <c r="D301" s="463"/>
      <c r="E301" s="463"/>
      <c r="F301" s="496" t="s">
        <v>129</v>
      </c>
      <c r="G301" s="463">
        <v>1</v>
      </c>
      <c r="H301" s="432">
        <v>150</v>
      </c>
      <c r="I301" s="463">
        <f t="shared" si="34"/>
        <v>150</v>
      </c>
      <c r="J301" s="497"/>
      <c r="K301" s="497"/>
    </row>
    <row r="302" s="457" customFormat="1" ht="20.25" spans="1:14">
      <c r="A302" s="494">
        <v>45407</v>
      </c>
      <c r="B302" s="457" t="s">
        <v>219</v>
      </c>
      <c r="C302" s="495">
        <v>45406</v>
      </c>
      <c r="D302" s="463"/>
      <c r="E302" s="463"/>
      <c r="F302" s="496">
        <v>808</v>
      </c>
      <c r="G302" s="463">
        <v>1</v>
      </c>
      <c r="H302" s="432">
        <v>200</v>
      </c>
      <c r="I302" s="463">
        <f t="shared" si="34"/>
        <v>200</v>
      </c>
      <c r="J302" s="497">
        <v>11</v>
      </c>
      <c r="K302" s="497">
        <f>I302*J302</f>
        <v>2200</v>
      </c>
    </row>
    <row r="303" s="457" customFormat="1" ht="20.25" spans="1:14">
      <c r="A303" s="494">
        <v>45407</v>
      </c>
      <c r="B303" s="457" t="s">
        <v>219</v>
      </c>
      <c r="C303" s="495">
        <v>45406</v>
      </c>
      <c r="D303" s="463"/>
      <c r="E303" s="463"/>
      <c r="F303" s="496" t="s">
        <v>86</v>
      </c>
      <c r="G303" s="463">
        <v>1</v>
      </c>
      <c r="H303" s="432">
        <v>70</v>
      </c>
      <c r="I303" s="463">
        <f t="shared" si="34"/>
        <v>70</v>
      </c>
      <c r="J303" s="497"/>
      <c r="K303" s="497"/>
      <c r="L303" s="537"/>
      <c r="M303" s="537"/>
      <c r="N303" s="537"/>
    </row>
    <row r="304" s="457" customFormat="1" ht="20.25" spans="1:14">
      <c r="A304" s="494">
        <v>45407</v>
      </c>
      <c r="B304" s="457" t="s">
        <v>219</v>
      </c>
      <c r="C304" s="495">
        <v>45406</v>
      </c>
      <c r="D304" s="463"/>
      <c r="E304" s="463"/>
      <c r="F304" s="496" t="s">
        <v>87</v>
      </c>
      <c r="G304" s="463">
        <v>1</v>
      </c>
      <c r="H304" s="432">
        <v>380</v>
      </c>
      <c r="I304" s="463">
        <f t="shared" si="34"/>
        <v>380</v>
      </c>
      <c r="J304" s="497"/>
      <c r="K304" s="497"/>
      <c r="L304" s="537"/>
      <c r="M304" s="537" t="s">
        <v>126</v>
      </c>
      <c r="N304" s="537"/>
    </row>
    <row r="305" s="457" customFormat="1" ht="20.25" spans="1:14">
      <c r="A305" s="494">
        <v>45407</v>
      </c>
      <c r="B305" s="457" t="s">
        <v>219</v>
      </c>
      <c r="C305" s="495">
        <v>45406</v>
      </c>
      <c r="D305" s="463"/>
      <c r="E305" s="463"/>
      <c r="F305" s="499" t="s">
        <v>130</v>
      </c>
      <c r="G305" s="501">
        <v>1</v>
      </c>
      <c r="H305" s="500">
        <f>SUM(H300:H304)</f>
        <v>1000</v>
      </c>
      <c r="I305" s="501">
        <f t="shared" si="34"/>
        <v>1000</v>
      </c>
      <c r="J305" s="502">
        <v>1</v>
      </c>
      <c r="K305" s="502">
        <f>I305*J305</f>
        <v>1000</v>
      </c>
      <c r="L305" s="537">
        <f>SUM(K300:K305)</f>
        <v>3200</v>
      </c>
      <c r="M305" s="537"/>
      <c r="N305" s="537"/>
    </row>
    <row r="306" s="456" customFormat="1" ht="20.25" spans="1:14">
      <c r="A306" s="488">
        <v>45407</v>
      </c>
      <c r="B306" s="456" t="s">
        <v>220</v>
      </c>
      <c r="C306" s="490">
        <v>45406</v>
      </c>
      <c r="D306" s="491"/>
      <c r="E306" s="491"/>
      <c r="F306" s="493" t="s">
        <v>16</v>
      </c>
      <c r="G306" s="491">
        <v>1</v>
      </c>
      <c r="H306" s="431">
        <v>75</v>
      </c>
      <c r="I306" s="491">
        <f t="shared" si="34"/>
        <v>75</v>
      </c>
      <c r="J306" s="492">
        <v>13.6</v>
      </c>
      <c r="K306" s="502"/>
    </row>
    <row r="307" s="456" customFormat="1" ht="20.25" spans="1:14">
      <c r="A307" s="488">
        <v>45407</v>
      </c>
      <c r="B307" s="456" t="s">
        <v>220</v>
      </c>
      <c r="C307" s="490">
        <v>45406</v>
      </c>
      <c r="D307" s="491"/>
      <c r="E307" s="491"/>
      <c r="F307" s="493" t="s">
        <v>221</v>
      </c>
      <c r="G307" s="491">
        <v>1</v>
      </c>
      <c r="H307" s="431">
        <v>100</v>
      </c>
      <c r="I307" s="491">
        <f t="shared" si="34"/>
        <v>100</v>
      </c>
      <c r="J307" s="492">
        <v>32.5</v>
      </c>
      <c r="K307" s="502"/>
    </row>
    <row r="308" s="456" customFormat="1" ht="20.25" spans="1:14">
      <c r="A308" s="488">
        <v>45407</v>
      </c>
      <c r="B308" s="456" t="s">
        <v>220</v>
      </c>
      <c r="C308" s="490">
        <v>45406</v>
      </c>
      <c r="D308" s="491"/>
      <c r="E308" s="491"/>
      <c r="F308" s="493">
        <v>808</v>
      </c>
      <c r="G308" s="491">
        <v>1</v>
      </c>
      <c r="H308" s="431">
        <v>63</v>
      </c>
      <c r="I308" s="491">
        <f t="shared" si="34"/>
        <v>63</v>
      </c>
      <c r="J308" s="492">
        <v>11</v>
      </c>
      <c r="K308" s="502">
        <f>I308*J308</f>
        <v>693</v>
      </c>
    </row>
    <row r="309" s="456" customFormat="1" ht="20.25" spans="1:14">
      <c r="A309" s="488">
        <v>45407</v>
      </c>
      <c r="B309" s="456" t="s">
        <v>220</v>
      </c>
      <c r="C309" s="490">
        <v>45406</v>
      </c>
      <c r="D309" s="491"/>
      <c r="E309" s="491"/>
      <c r="F309" s="493" t="s">
        <v>86</v>
      </c>
      <c r="G309" s="491">
        <v>1</v>
      </c>
      <c r="H309" s="431">
        <v>70</v>
      </c>
      <c r="I309" s="491">
        <f t="shared" si="34"/>
        <v>70</v>
      </c>
      <c r="J309" s="492">
        <v>11.2</v>
      </c>
      <c r="K309" s="502"/>
      <c r="L309" s="536"/>
      <c r="M309" s="536"/>
      <c r="N309" s="536"/>
    </row>
    <row r="310" s="456" customFormat="1" ht="20.25" spans="1:14">
      <c r="A310" s="488">
        <v>45407</v>
      </c>
      <c r="B310" s="456" t="s">
        <v>220</v>
      </c>
      <c r="C310" s="490">
        <v>45406</v>
      </c>
      <c r="D310" s="491"/>
      <c r="E310" s="491"/>
      <c r="F310" s="493" t="s">
        <v>87</v>
      </c>
      <c r="G310" s="491">
        <v>1</v>
      </c>
      <c r="H310" s="431">
        <v>130</v>
      </c>
      <c r="I310" s="491">
        <f t="shared" si="34"/>
        <v>130</v>
      </c>
      <c r="J310" s="492">
        <v>13.6</v>
      </c>
      <c r="K310" s="502"/>
      <c r="L310" s="536"/>
      <c r="M310" s="536"/>
      <c r="N310" s="536"/>
    </row>
    <row r="311" s="456" customFormat="1" ht="20.25" spans="1:14">
      <c r="A311" s="488">
        <v>45407</v>
      </c>
      <c r="B311" s="456" t="s">
        <v>220</v>
      </c>
      <c r="C311" s="490">
        <v>45406</v>
      </c>
      <c r="D311" s="491"/>
      <c r="E311" s="491"/>
      <c r="F311" s="493" t="s">
        <v>216</v>
      </c>
      <c r="G311" s="491">
        <v>1</v>
      </c>
      <c r="H311" s="431">
        <v>63</v>
      </c>
      <c r="I311" s="491">
        <f t="shared" si="34"/>
        <v>63</v>
      </c>
      <c r="J311" s="492">
        <v>15.2</v>
      </c>
      <c r="K311" s="502"/>
      <c r="L311" s="536"/>
      <c r="M311" s="536" t="s">
        <v>222</v>
      </c>
      <c r="N311" s="536"/>
    </row>
    <row r="312" s="456" customFormat="1" ht="20.25" spans="1:14">
      <c r="A312" s="488">
        <v>45407</v>
      </c>
      <c r="B312" s="456" t="s">
        <v>220</v>
      </c>
      <c r="C312" s="490">
        <v>45406</v>
      </c>
      <c r="D312" s="491"/>
      <c r="E312" s="491"/>
      <c r="F312" s="499" t="s">
        <v>223</v>
      </c>
      <c r="G312" s="501">
        <v>1</v>
      </c>
      <c r="H312" s="500">
        <f>SUM(H306:H311)</f>
        <v>501</v>
      </c>
      <c r="I312" s="501">
        <f t="shared" si="34"/>
        <v>501</v>
      </c>
      <c r="J312" s="502">
        <v>1</v>
      </c>
      <c r="K312" s="502">
        <f>I312*J312</f>
        <v>501</v>
      </c>
      <c r="L312" s="536">
        <f>SUM(K306:K312)</f>
        <v>1194</v>
      </c>
      <c r="M312" s="536"/>
      <c r="N312" s="536"/>
    </row>
    <row r="313" s="592" customFormat="1" ht="20.25" spans="1:14">
      <c r="A313" s="623">
        <v>45407</v>
      </c>
      <c r="B313" s="592" t="s">
        <v>224</v>
      </c>
      <c r="C313" s="624">
        <v>45407</v>
      </c>
      <c r="D313" s="625"/>
      <c r="E313" s="625"/>
      <c r="F313" s="626" t="s">
        <v>108</v>
      </c>
      <c r="G313" s="625">
        <v>1</v>
      </c>
      <c r="H313" s="627">
        <v>75</v>
      </c>
      <c r="I313" s="625">
        <f t="shared" si="34"/>
        <v>75</v>
      </c>
      <c r="J313" s="628">
        <v>18</v>
      </c>
      <c r="K313" s="628"/>
      <c r="L313" s="629"/>
      <c r="M313" s="629"/>
      <c r="N313" s="629"/>
    </row>
    <row r="314" s="592" customFormat="1" ht="20.25" spans="1:14">
      <c r="A314" s="623">
        <v>45407</v>
      </c>
      <c r="B314" s="592" t="s">
        <v>224</v>
      </c>
      <c r="C314" s="624">
        <v>45407</v>
      </c>
      <c r="D314" s="625"/>
      <c r="E314" s="625"/>
      <c r="F314" s="626">
        <v>808</v>
      </c>
      <c r="G314" s="625">
        <v>1</v>
      </c>
      <c r="H314" s="627">
        <v>112.5</v>
      </c>
      <c r="I314" s="625">
        <f t="shared" si="34"/>
        <v>112.5</v>
      </c>
      <c r="J314" s="628">
        <v>11</v>
      </c>
      <c r="K314" s="628">
        <f>I314*J314</f>
        <v>1237.5</v>
      </c>
      <c r="L314" s="629"/>
      <c r="M314" s="629"/>
      <c r="N314" s="629"/>
    </row>
    <row r="315" s="592" customFormat="1" ht="20.25" spans="1:14">
      <c r="A315" s="623">
        <v>45407</v>
      </c>
      <c r="B315" s="592" t="s">
        <v>224</v>
      </c>
      <c r="C315" s="624">
        <v>45407</v>
      </c>
      <c r="D315" s="625"/>
      <c r="E315" s="625"/>
      <c r="F315" s="499" t="s">
        <v>109</v>
      </c>
      <c r="G315" s="501">
        <v>1</v>
      </c>
      <c r="H315" s="500">
        <f>SUM(H313:H314)</f>
        <v>187.5</v>
      </c>
      <c r="I315" s="501">
        <f t="shared" si="34"/>
        <v>187.5</v>
      </c>
      <c r="J315" s="502">
        <v>1</v>
      </c>
      <c r="K315" s="502">
        <f>I315*J315</f>
        <v>187.5</v>
      </c>
      <c r="L315" s="629">
        <f>SUM(K313:K315)</f>
        <v>1425</v>
      </c>
      <c r="M315" s="629"/>
      <c r="N315" s="629"/>
    </row>
    <row r="316" s="456" customFormat="1" ht="20.25" spans="1:14">
      <c r="A316" s="488">
        <v>45407</v>
      </c>
      <c r="B316" s="456" t="s">
        <v>225</v>
      </c>
      <c r="C316" s="490">
        <v>45407</v>
      </c>
      <c r="D316" s="491"/>
      <c r="E316" s="491"/>
      <c r="F316" s="493" t="s">
        <v>42</v>
      </c>
      <c r="G316" s="491">
        <v>1</v>
      </c>
      <c r="H316" s="431">
        <v>75</v>
      </c>
      <c r="I316" s="491">
        <f t="shared" ref="I316:I339" si="35">G316*H316</f>
        <v>75</v>
      </c>
      <c r="J316" s="492"/>
      <c r="K316" s="492"/>
    </row>
    <row r="317" s="456" customFormat="1" ht="20.25" spans="1:14">
      <c r="A317" s="488">
        <v>45407</v>
      </c>
      <c r="B317" s="456" t="s">
        <v>225</v>
      </c>
      <c r="C317" s="490">
        <v>45407</v>
      </c>
      <c r="D317" s="491"/>
      <c r="E317" s="491"/>
      <c r="F317" s="493" t="s">
        <v>136</v>
      </c>
      <c r="G317" s="491">
        <v>1</v>
      </c>
      <c r="H317" s="431">
        <v>100</v>
      </c>
      <c r="I317" s="491">
        <f t="shared" si="35"/>
        <v>100</v>
      </c>
      <c r="J317" s="492"/>
      <c r="K317" s="492"/>
    </row>
    <row r="318" s="456" customFormat="1" ht="20.25" spans="1:14">
      <c r="A318" s="488">
        <v>45407</v>
      </c>
      <c r="B318" s="456" t="s">
        <v>225</v>
      </c>
      <c r="C318" s="490">
        <v>45407</v>
      </c>
      <c r="D318" s="491"/>
      <c r="E318" s="491"/>
      <c r="F318" s="493">
        <v>808</v>
      </c>
      <c r="G318" s="491">
        <v>1</v>
      </c>
      <c r="H318" s="431">
        <v>63</v>
      </c>
      <c r="I318" s="491">
        <f t="shared" si="35"/>
        <v>63</v>
      </c>
      <c r="J318" s="492">
        <v>11</v>
      </c>
      <c r="K318" s="492">
        <f>I318*J318</f>
        <v>693</v>
      </c>
    </row>
    <row r="319" s="456" customFormat="1" ht="20.25" spans="1:14">
      <c r="A319" s="488">
        <v>45407</v>
      </c>
      <c r="B319" s="456" t="s">
        <v>225</v>
      </c>
      <c r="C319" s="490">
        <v>45407</v>
      </c>
      <c r="D319" s="491"/>
      <c r="E319" s="491"/>
      <c r="F319" s="493" t="s">
        <v>216</v>
      </c>
      <c r="G319" s="491">
        <v>1</v>
      </c>
      <c r="H319" s="431">
        <v>63</v>
      </c>
      <c r="I319" s="491">
        <f t="shared" si="35"/>
        <v>63</v>
      </c>
      <c r="J319" s="492"/>
      <c r="K319" s="492"/>
    </row>
    <row r="320" s="456" customFormat="1" ht="20.25" spans="1:14">
      <c r="A320" s="488">
        <v>45407</v>
      </c>
      <c r="B320" s="456" t="s">
        <v>225</v>
      </c>
      <c r="C320" s="490">
        <v>45407</v>
      </c>
      <c r="D320" s="491"/>
      <c r="E320" s="491"/>
      <c r="F320" s="493" t="s">
        <v>44</v>
      </c>
      <c r="G320" s="491">
        <v>1</v>
      </c>
      <c r="H320" s="431">
        <v>70</v>
      </c>
      <c r="I320" s="491">
        <f t="shared" si="35"/>
        <v>70</v>
      </c>
      <c r="J320" s="492"/>
      <c r="K320" s="492"/>
      <c r="L320" s="536"/>
      <c r="M320" s="536" t="s">
        <v>126</v>
      </c>
      <c r="N320" s="536"/>
    </row>
    <row r="321" s="456" customFormat="1" ht="20.25" spans="1:18">
      <c r="A321" s="488">
        <v>45407</v>
      </c>
      <c r="B321" s="456" t="s">
        <v>225</v>
      </c>
      <c r="C321" s="490">
        <v>45407</v>
      </c>
      <c r="D321" s="491"/>
      <c r="E321" s="491"/>
      <c r="F321" s="493" t="s">
        <v>45</v>
      </c>
      <c r="G321" s="491">
        <v>1</v>
      </c>
      <c r="H321" s="431">
        <v>130</v>
      </c>
      <c r="I321" s="491">
        <f t="shared" si="35"/>
        <v>130</v>
      </c>
      <c r="J321" s="492"/>
      <c r="K321" s="492"/>
      <c r="L321" s="536"/>
      <c r="M321" s="536" t="s">
        <v>226</v>
      </c>
      <c r="N321" s="536"/>
      <c r="P321" s="489"/>
      <c r="Q321" s="489" t="s">
        <v>142</v>
      </c>
      <c r="R321" s="456" t="s">
        <v>143</v>
      </c>
    </row>
    <row r="322" s="456" customFormat="1" ht="20.25" spans="1:18">
      <c r="A322" s="488">
        <v>45407</v>
      </c>
      <c r="B322" s="456" t="s">
        <v>225</v>
      </c>
      <c r="C322" s="490">
        <v>45407</v>
      </c>
      <c r="D322" s="491"/>
      <c r="E322" s="491"/>
      <c r="F322" s="499" t="s">
        <v>227</v>
      </c>
      <c r="G322" s="501">
        <v>1</v>
      </c>
      <c r="H322" s="500">
        <f>SUM(H316:H321)</f>
        <v>501</v>
      </c>
      <c r="I322" s="501">
        <f t="shared" si="35"/>
        <v>501</v>
      </c>
      <c r="J322" s="502">
        <v>1</v>
      </c>
      <c r="K322" s="502">
        <f>I322*J322</f>
        <v>501</v>
      </c>
      <c r="L322" s="536">
        <f>SUM(K316:K322)</f>
        <v>1194</v>
      </c>
      <c r="M322" s="536"/>
      <c r="N322" s="536"/>
      <c r="Q322" s="456">
        <f>SUM(K236+K196+K185+K177+K151+K233)</f>
        <v>1293</v>
      </c>
      <c r="R322" s="456">
        <f>O323-P322-Q322</f>
        <v>-1293</v>
      </c>
    </row>
    <row r="323" s="457" customFormat="1" ht="20.25" spans="1:18">
      <c r="A323" s="494">
        <v>45409</v>
      </c>
      <c r="B323" s="457" t="s">
        <v>228</v>
      </c>
      <c r="C323" s="495">
        <v>45409</v>
      </c>
      <c r="D323" s="463"/>
      <c r="E323" s="463"/>
      <c r="F323" s="496" t="s">
        <v>16</v>
      </c>
      <c r="G323" s="463">
        <v>1</v>
      </c>
      <c r="H323" s="432">
        <v>200</v>
      </c>
      <c r="I323" s="463">
        <f t="shared" si="35"/>
        <v>200</v>
      </c>
      <c r="J323" s="497"/>
      <c r="K323" s="497"/>
    </row>
    <row r="324" s="457" customFormat="1" ht="20.25" spans="1:18">
      <c r="A324" s="494">
        <v>45409</v>
      </c>
      <c r="B324" s="457" t="s">
        <v>228</v>
      </c>
      <c r="C324" s="495">
        <v>45409</v>
      </c>
      <c r="D324" s="463"/>
      <c r="E324" s="463"/>
      <c r="F324" s="496" t="s">
        <v>13</v>
      </c>
      <c r="G324" s="463">
        <v>1</v>
      </c>
      <c r="H324" s="432">
        <v>200</v>
      </c>
      <c r="I324" s="463">
        <f t="shared" si="35"/>
        <v>200</v>
      </c>
      <c r="J324" s="497"/>
      <c r="K324" s="497"/>
    </row>
    <row r="325" s="457" customFormat="1" ht="20.25" spans="1:18">
      <c r="A325" s="494">
        <v>45409</v>
      </c>
      <c r="B325" s="457" t="s">
        <v>228</v>
      </c>
      <c r="C325" s="495">
        <v>45409</v>
      </c>
      <c r="D325" s="463"/>
      <c r="E325" s="463"/>
      <c r="F325" s="496" t="s">
        <v>86</v>
      </c>
      <c r="G325" s="463">
        <v>1</v>
      </c>
      <c r="H325" s="432">
        <v>70</v>
      </c>
      <c r="I325" s="463">
        <f t="shared" si="35"/>
        <v>70</v>
      </c>
      <c r="J325" s="497"/>
      <c r="K325" s="497"/>
    </row>
    <row r="326" s="457" customFormat="1" ht="20.25" spans="1:18">
      <c r="A326" s="494">
        <v>45409</v>
      </c>
      <c r="B326" s="457" t="s">
        <v>228</v>
      </c>
      <c r="C326" s="495">
        <v>45409</v>
      </c>
      <c r="D326" s="463"/>
      <c r="E326" s="463"/>
      <c r="F326" s="496" t="s">
        <v>87</v>
      </c>
      <c r="G326" s="463">
        <v>1</v>
      </c>
      <c r="H326" s="432">
        <v>380</v>
      </c>
      <c r="I326" s="463">
        <f t="shared" si="35"/>
        <v>380</v>
      </c>
      <c r="J326" s="497"/>
      <c r="K326" s="497"/>
    </row>
    <row r="327" s="457" customFormat="1" ht="20.25" spans="1:18">
      <c r="A327" s="494">
        <v>45409</v>
      </c>
      <c r="B327" s="457" t="s">
        <v>228</v>
      </c>
      <c r="C327" s="495">
        <v>45409</v>
      </c>
      <c r="D327" s="463"/>
      <c r="E327" s="463"/>
      <c r="F327" s="496" t="s">
        <v>115</v>
      </c>
      <c r="G327" s="463">
        <v>1</v>
      </c>
      <c r="H327" s="432">
        <v>125</v>
      </c>
      <c r="I327" s="463">
        <f t="shared" si="35"/>
        <v>125</v>
      </c>
      <c r="J327" s="497"/>
      <c r="K327" s="497"/>
    </row>
    <row r="328" s="457" customFormat="1" ht="20.25" spans="1:18">
      <c r="A328" s="494">
        <v>45409</v>
      </c>
      <c r="B328" s="457" t="s">
        <v>228</v>
      </c>
      <c r="C328" s="495">
        <v>45409</v>
      </c>
      <c r="D328" s="463"/>
      <c r="E328" s="463"/>
      <c r="F328" s="496">
        <v>808</v>
      </c>
      <c r="G328" s="463">
        <v>1</v>
      </c>
      <c r="H328" s="432">
        <v>25</v>
      </c>
      <c r="I328" s="463">
        <f t="shared" si="35"/>
        <v>25</v>
      </c>
      <c r="J328" s="497">
        <v>11</v>
      </c>
      <c r="K328" s="497">
        <f>I328*J328</f>
        <v>275</v>
      </c>
      <c r="L328" s="537" t="s">
        <v>116</v>
      </c>
      <c r="M328" s="536" t="s">
        <v>226</v>
      </c>
    </row>
    <row r="329" s="457" customFormat="1" ht="20.25" spans="1:18">
      <c r="A329" s="494">
        <v>45409</v>
      </c>
      <c r="B329" s="457" t="s">
        <v>228</v>
      </c>
      <c r="C329" s="495">
        <v>45409</v>
      </c>
      <c r="D329" s="463"/>
      <c r="E329" s="463"/>
      <c r="F329" s="499" t="s">
        <v>17</v>
      </c>
      <c r="G329" s="501">
        <v>1</v>
      </c>
      <c r="H329" s="500">
        <f>SUM(H323:H328)</f>
        <v>1000</v>
      </c>
      <c r="I329" s="501">
        <f t="shared" si="35"/>
        <v>1000</v>
      </c>
      <c r="J329" s="502">
        <v>1</v>
      </c>
      <c r="K329" s="502">
        <f>I329*J329</f>
        <v>1000</v>
      </c>
      <c r="L329" s="457">
        <f>SUM(K323:K329)</f>
        <v>1275</v>
      </c>
    </row>
    <row r="330" s="456" customFormat="1" ht="20.25" spans="1:18">
      <c r="A330" s="488">
        <v>45409</v>
      </c>
      <c r="B330" s="456" t="s">
        <v>229</v>
      </c>
      <c r="C330" s="490">
        <v>45405</v>
      </c>
      <c r="D330" s="491"/>
      <c r="E330" s="491"/>
      <c r="F330" s="493" t="s">
        <v>97</v>
      </c>
      <c r="G330" s="491">
        <v>1</v>
      </c>
      <c r="H330" s="431">
        <v>200</v>
      </c>
      <c r="I330" s="491">
        <f t="shared" si="35"/>
        <v>200</v>
      </c>
      <c r="J330" s="492">
        <v>26</v>
      </c>
      <c r="K330" s="492"/>
      <c r="L330" s="536"/>
    </row>
    <row r="331" s="456" customFormat="1" ht="20.25" spans="1:18">
      <c r="A331" s="488">
        <v>45409</v>
      </c>
      <c r="B331" s="456" t="s">
        <v>229</v>
      </c>
      <c r="C331" s="490">
        <v>45405</v>
      </c>
      <c r="D331" s="491"/>
      <c r="E331" s="491"/>
      <c r="F331" s="493" t="s">
        <v>125</v>
      </c>
      <c r="G331" s="491">
        <v>1</v>
      </c>
      <c r="H331" s="431">
        <v>720</v>
      </c>
      <c r="I331" s="491">
        <f t="shared" si="35"/>
        <v>720</v>
      </c>
      <c r="J331" s="492">
        <v>7.2</v>
      </c>
      <c r="K331" s="492">
        <f>I331*J331</f>
        <v>5184</v>
      </c>
      <c r="L331" s="536" t="s">
        <v>230</v>
      </c>
    </row>
    <row r="332" s="456" customFormat="1" ht="20.25" spans="1:18">
      <c r="A332" s="488">
        <v>45409</v>
      </c>
      <c r="B332" s="456" t="s">
        <v>229</v>
      </c>
      <c r="C332" s="490">
        <v>45405</v>
      </c>
      <c r="D332" s="491"/>
      <c r="E332" s="491"/>
      <c r="F332" s="493" t="s">
        <v>152</v>
      </c>
      <c r="G332" s="491">
        <v>1</v>
      </c>
      <c r="H332" s="431">
        <v>360</v>
      </c>
      <c r="I332" s="491">
        <f t="shared" si="35"/>
        <v>360</v>
      </c>
      <c r="J332" s="492">
        <v>8.8</v>
      </c>
      <c r="K332" s="492">
        <f>I332*J332</f>
        <v>3168</v>
      </c>
      <c r="L332" s="606" t="s">
        <v>231</v>
      </c>
    </row>
    <row r="333" s="456" customFormat="1" ht="20.25" spans="1:18">
      <c r="A333" s="488">
        <v>45409</v>
      </c>
      <c r="B333" s="456" t="s">
        <v>229</v>
      </c>
      <c r="C333" s="490">
        <v>45405</v>
      </c>
      <c r="D333" s="491"/>
      <c r="E333" s="491"/>
      <c r="F333" s="499" t="s">
        <v>68</v>
      </c>
      <c r="G333" s="491">
        <v>1</v>
      </c>
      <c r="H333" s="500">
        <f>SUM(H330:H332)</f>
        <v>1280</v>
      </c>
      <c r="I333" s="501">
        <f t="shared" si="35"/>
        <v>1280</v>
      </c>
      <c r="J333" s="502">
        <v>0.8</v>
      </c>
      <c r="K333" s="502">
        <f>I333*J333</f>
        <v>1024</v>
      </c>
      <c r="L333" s="536">
        <f>SUM(K330:K333)</f>
        <v>9376</v>
      </c>
    </row>
    <row r="334" s="457" customFormat="1" ht="20.25" spans="1:18">
      <c r="A334" s="494">
        <v>45412</v>
      </c>
      <c r="B334" s="457" t="s">
        <v>232</v>
      </c>
      <c r="C334" s="495">
        <v>45411</v>
      </c>
      <c r="D334" s="463"/>
      <c r="E334" s="463"/>
      <c r="F334" s="496" t="s">
        <v>97</v>
      </c>
      <c r="G334" s="463">
        <v>1</v>
      </c>
      <c r="H334" s="432">
        <v>200</v>
      </c>
      <c r="I334" s="463">
        <f t="shared" si="35"/>
        <v>200</v>
      </c>
      <c r="J334" s="497">
        <v>26</v>
      </c>
      <c r="K334" s="497"/>
      <c r="L334" s="537"/>
    </row>
    <row r="335" s="457" customFormat="1" ht="20.25" spans="1:18">
      <c r="A335" s="494">
        <v>45412</v>
      </c>
      <c r="B335" s="457" t="s">
        <v>232</v>
      </c>
      <c r="C335" s="495">
        <v>45411</v>
      </c>
      <c r="D335" s="463"/>
      <c r="E335" s="463"/>
      <c r="F335" s="496" t="s">
        <v>125</v>
      </c>
      <c r="G335" s="463">
        <v>1</v>
      </c>
      <c r="H335" s="432">
        <v>720</v>
      </c>
      <c r="I335" s="463">
        <f t="shared" si="35"/>
        <v>720</v>
      </c>
      <c r="J335" s="497">
        <v>7.2</v>
      </c>
      <c r="K335" s="497">
        <f>I335*J335</f>
        <v>5184</v>
      </c>
      <c r="L335" s="537"/>
    </row>
    <row r="336" s="457" customFormat="1" ht="20.25" spans="1:18">
      <c r="A336" s="494">
        <v>45412</v>
      </c>
      <c r="B336" s="457" t="s">
        <v>232</v>
      </c>
      <c r="C336" s="495">
        <v>45411</v>
      </c>
      <c r="D336" s="463"/>
      <c r="E336" s="463"/>
      <c r="F336" s="496" t="s">
        <v>152</v>
      </c>
      <c r="G336" s="463">
        <v>1</v>
      </c>
      <c r="H336" s="432">
        <v>360</v>
      </c>
      <c r="I336" s="463">
        <f t="shared" si="35"/>
        <v>360</v>
      </c>
      <c r="J336" s="497">
        <v>8.8</v>
      </c>
      <c r="K336" s="497">
        <f>I336*J336</f>
        <v>3168</v>
      </c>
      <c r="L336" s="537"/>
    </row>
    <row r="337" s="457" customFormat="1" ht="20.25" spans="1:17">
      <c r="A337" s="494">
        <v>45412</v>
      </c>
      <c r="B337" s="457" t="s">
        <v>232</v>
      </c>
      <c r="C337" s="495">
        <v>45411</v>
      </c>
      <c r="D337" s="463"/>
      <c r="E337" s="463"/>
      <c r="F337" s="499" t="s">
        <v>68</v>
      </c>
      <c r="G337" s="501">
        <v>1</v>
      </c>
      <c r="H337" s="500">
        <f>SUM(H334:H336)</f>
        <v>1280</v>
      </c>
      <c r="I337" s="501">
        <f t="shared" si="35"/>
        <v>1280</v>
      </c>
      <c r="J337" s="502">
        <v>0.8</v>
      </c>
      <c r="K337" s="502">
        <f>I337*J337</f>
        <v>1024</v>
      </c>
      <c r="L337" s="537">
        <f>SUM(K334:K337)</f>
        <v>9376</v>
      </c>
    </row>
    <row r="338" s="456" customFormat="1" ht="20.25" spans="1:17">
      <c r="A338" s="488">
        <v>45412</v>
      </c>
      <c r="B338" s="456" t="s">
        <v>233</v>
      </c>
      <c r="C338" s="490">
        <v>45411</v>
      </c>
      <c r="D338" s="491"/>
      <c r="E338" s="491"/>
      <c r="F338" s="493" t="s">
        <v>16</v>
      </c>
      <c r="G338" s="491">
        <v>2</v>
      </c>
      <c r="H338" s="431">
        <v>150</v>
      </c>
      <c r="I338" s="491">
        <f t="shared" ref="I338:I343" si="36">G338*H338</f>
        <v>300</v>
      </c>
      <c r="J338" s="492"/>
      <c r="K338" s="492"/>
    </row>
    <row r="339" s="456" customFormat="1" ht="20.25" spans="1:17">
      <c r="A339" s="488">
        <v>45412</v>
      </c>
      <c r="B339" s="456" t="s">
        <v>233</v>
      </c>
      <c r="C339" s="490">
        <v>45411</v>
      </c>
      <c r="D339" s="491"/>
      <c r="E339" s="491"/>
      <c r="F339" s="493" t="s">
        <v>44</v>
      </c>
      <c r="G339" s="491">
        <v>2</v>
      </c>
      <c r="H339" s="431">
        <v>200</v>
      </c>
      <c r="I339" s="491">
        <f t="shared" si="36"/>
        <v>400</v>
      </c>
      <c r="J339" s="492"/>
      <c r="K339" s="492"/>
    </row>
    <row r="340" s="456" customFormat="1" ht="20.25" spans="1:17">
      <c r="A340" s="488">
        <v>45412</v>
      </c>
      <c r="B340" s="456" t="s">
        <v>233</v>
      </c>
      <c r="C340" s="490">
        <v>45411</v>
      </c>
      <c r="D340" s="491"/>
      <c r="E340" s="491"/>
      <c r="F340" s="493" t="s">
        <v>45</v>
      </c>
      <c r="G340" s="491">
        <v>2</v>
      </c>
      <c r="H340" s="431">
        <v>450</v>
      </c>
      <c r="I340" s="491">
        <f t="shared" si="36"/>
        <v>900</v>
      </c>
      <c r="J340" s="492"/>
      <c r="K340" s="492"/>
    </row>
    <row r="341" s="456" customFormat="1" ht="20.25" spans="1:17">
      <c r="A341" s="488">
        <v>45412</v>
      </c>
      <c r="B341" s="456" t="s">
        <v>233</v>
      </c>
      <c r="C341" s="490">
        <v>45411</v>
      </c>
      <c r="D341" s="491"/>
      <c r="E341" s="491"/>
      <c r="F341" s="493" t="s">
        <v>181</v>
      </c>
      <c r="G341" s="491">
        <v>2</v>
      </c>
      <c r="H341" s="431">
        <v>50</v>
      </c>
      <c r="I341" s="491">
        <f t="shared" si="36"/>
        <v>100</v>
      </c>
      <c r="J341" s="492">
        <v>11</v>
      </c>
      <c r="K341" s="492">
        <f>I341*J341</f>
        <v>1100</v>
      </c>
      <c r="M341" s="456" t="s">
        <v>182</v>
      </c>
    </row>
    <row r="342" s="456" customFormat="1" ht="20.25" spans="1:17">
      <c r="A342" s="488">
        <v>45412</v>
      </c>
      <c r="B342" s="456" t="s">
        <v>233</v>
      </c>
      <c r="C342" s="490">
        <v>45411</v>
      </c>
      <c r="D342" s="491"/>
      <c r="E342" s="491"/>
      <c r="F342" s="493" t="s">
        <v>234</v>
      </c>
      <c r="G342" s="491">
        <v>2</v>
      </c>
      <c r="H342" s="431">
        <v>150</v>
      </c>
      <c r="I342" s="491">
        <f t="shared" si="36"/>
        <v>300</v>
      </c>
      <c r="J342" s="492"/>
      <c r="K342" s="492"/>
      <c r="M342" s="456" t="s">
        <v>184</v>
      </c>
      <c r="N342" s="456" t="s">
        <v>185</v>
      </c>
    </row>
    <row r="343" s="456" customFormat="1" ht="20.25" spans="1:17">
      <c r="A343" s="488">
        <v>45412</v>
      </c>
      <c r="B343" s="456" t="s">
        <v>233</v>
      </c>
      <c r="C343" s="490">
        <v>45411</v>
      </c>
      <c r="D343" s="491"/>
      <c r="E343" s="491"/>
      <c r="F343" s="499" t="s">
        <v>186</v>
      </c>
      <c r="G343" s="501">
        <v>2</v>
      </c>
      <c r="H343" s="500">
        <f>SUM(H338:H342)</f>
        <v>1000</v>
      </c>
      <c r="I343" s="501">
        <f t="shared" si="36"/>
        <v>2000</v>
      </c>
      <c r="J343" s="502">
        <v>1</v>
      </c>
      <c r="K343" s="502">
        <f>I343*J343</f>
        <v>2000</v>
      </c>
      <c r="L343" s="456">
        <f>SUM(K338:K343)</f>
        <v>3100</v>
      </c>
    </row>
    <row r="344" s="457" customFormat="1" ht="20.25" spans="1:17">
      <c r="A344" s="494"/>
      <c r="C344" s="504"/>
      <c r="D344" s="442"/>
      <c r="E344" s="442"/>
      <c r="F344" s="499"/>
      <c r="G344" s="442"/>
      <c r="H344" s="545"/>
      <c r="I344" s="442"/>
      <c r="J344" s="630"/>
      <c r="K344" s="630"/>
      <c r="L344" s="631"/>
      <c r="M344" s="631"/>
      <c r="N344" s="631" t="s">
        <v>31</v>
      </c>
      <c r="O344" s="21">
        <f>M349+M351+K438+L477+L480</f>
        <v>5220</v>
      </c>
    </row>
    <row r="345" s="454" customFormat="1" ht="21" customHeight="1" spans="1:17">
      <c r="A345" s="593" t="s">
        <v>235</v>
      </c>
      <c r="B345" s="593"/>
      <c r="C345" s="593"/>
      <c r="D345" s="593"/>
      <c r="E345" s="593"/>
      <c r="F345" s="593"/>
      <c r="G345" s="593"/>
      <c r="H345" s="593"/>
      <c r="I345" s="593"/>
      <c r="J345" s="632" t="s">
        <v>28</v>
      </c>
      <c r="K345" s="633">
        <f>SUM(K348:K492)</f>
        <v>83980.6</v>
      </c>
      <c r="L345" s="454" t="s">
        <v>29</v>
      </c>
      <c r="M345" s="601">
        <f>'24材料明细'!AQ259+K395</f>
        <v>55386.3</v>
      </c>
      <c r="N345" s="593" t="s">
        <v>30</v>
      </c>
      <c r="O345" s="601">
        <f>K354+K358+K368+K374+K379+K386+K394+K403+K411+K418+K422+K426+K431+K437+K445+K449+K458+K465+K468+K475+K487+K492</f>
        <v>23339.8</v>
      </c>
      <c r="P345" s="593"/>
      <c r="Q345" s="601"/>
    </row>
    <row r="346" s="454" customFormat="1" ht="12" customHeight="1" spans="1:17">
      <c r="A346" s="601"/>
      <c r="B346" s="481"/>
      <c r="C346" s="481"/>
      <c r="D346" s="481"/>
      <c r="E346" s="481"/>
      <c r="F346" s="481"/>
      <c r="G346" s="481"/>
      <c r="H346" s="481"/>
      <c r="I346" s="481"/>
      <c r="J346" s="481" t="s">
        <v>32</v>
      </c>
      <c r="K346" s="481">
        <f>SUM(I354+I358+I368+I374+I379+I386+I394+I403+I411+I418+I422+I426+I431+I437+I445+I449+I458+I465+I468+I475+I487+I492)/1000</f>
        <v>15.7789</v>
      </c>
      <c r="L346" s="454" t="s">
        <v>33</v>
      </c>
      <c r="M346" s="601">
        <f>K396+K478</f>
        <v>34.5</v>
      </c>
      <c r="N346" s="634" t="s">
        <v>34</v>
      </c>
      <c r="O346" s="633">
        <f>M345+M346+O344+O345</f>
        <v>83980.6</v>
      </c>
    </row>
    <row r="347" s="455" customFormat="1" ht="15" customHeight="1" spans="1:17">
      <c r="A347" s="604" t="s">
        <v>35</v>
      </c>
      <c r="B347" s="605" t="s">
        <v>36</v>
      </c>
      <c r="C347" s="486" t="s">
        <v>37</v>
      </c>
      <c r="D347" s="486"/>
      <c r="E347" s="486"/>
      <c r="F347" s="486" t="s">
        <v>38</v>
      </c>
      <c r="G347" s="486" t="s">
        <v>4</v>
      </c>
      <c r="H347" s="486" t="s">
        <v>5</v>
      </c>
      <c r="I347" s="486" t="s">
        <v>6</v>
      </c>
      <c r="J347" s="486" t="s">
        <v>7</v>
      </c>
      <c r="K347" s="486" t="s">
        <v>8</v>
      </c>
      <c r="L347" s="486" t="s">
        <v>39</v>
      </c>
      <c r="M347" s="486" t="s">
        <v>40</v>
      </c>
    </row>
    <row r="348" s="456" customFormat="1" ht="20.25" spans="1:17">
      <c r="A348" s="488">
        <v>45420</v>
      </c>
      <c r="B348" s="456" t="s">
        <v>236</v>
      </c>
      <c r="C348" s="490">
        <v>45411</v>
      </c>
      <c r="D348" s="491"/>
      <c r="E348" s="491"/>
      <c r="F348" s="522" t="s">
        <v>237</v>
      </c>
      <c r="G348" s="491">
        <v>2</v>
      </c>
      <c r="H348" s="431">
        <v>18</v>
      </c>
      <c r="I348" s="491">
        <f t="shared" ref="I348:I368" si="37">G348*H348</f>
        <v>36</v>
      </c>
      <c r="J348" s="492">
        <v>15</v>
      </c>
      <c r="K348" s="492">
        <f>I348*J348</f>
        <v>540</v>
      </c>
      <c r="L348" s="536"/>
      <c r="N348" s="489" t="s">
        <v>31</v>
      </c>
    </row>
    <row r="349" s="456" customFormat="1" ht="20.25" spans="1:17">
      <c r="A349" s="488">
        <v>45420</v>
      </c>
      <c r="B349" s="456" t="s">
        <v>236</v>
      </c>
      <c r="C349" s="490">
        <v>45411</v>
      </c>
      <c r="D349" s="491"/>
      <c r="E349" s="491"/>
      <c r="F349" s="522" t="s">
        <v>110</v>
      </c>
      <c r="G349" s="491">
        <v>2</v>
      </c>
      <c r="H349" s="431">
        <v>20</v>
      </c>
      <c r="I349" s="491">
        <f t="shared" si="37"/>
        <v>40</v>
      </c>
      <c r="J349" s="492">
        <v>15.5</v>
      </c>
      <c r="K349" s="492">
        <f>I349*J349</f>
        <v>620</v>
      </c>
      <c r="L349" s="536" t="s">
        <v>238</v>
      </c>
      <c r="M349" s="456">
        <f>SUM(K348:K349)</f>
        <v>1160</v>
      </c>
      <c r="N349" s="489"/>
    </row>
    <row r="350" s="456" customFormat="1" ht="20.25" spans="1:17">
      <c r="A350" s="488">
        <v>45420</v>
      </c>
      <c r="B350" s="456" t="s">
        <v>236</v>
      </c>
      <c r="C350" s="490">
        <v>45420</v>
      </c>
      <c r="D350" s="491"/>
      <c r="E350" s="491"/>
      <c r="F350" s="522" t="s">
        <v>237</v>
      </c>
      <c r="G350" s="491">
        <v>3</v>
      </c>
      <c r="H350" s="431">
        <v>18</v>
      </c>
      <c r="I350" s="491">
        <f t="shared" si="37"/>
        <v>54</v>
      </c>
      <c r="J350" s="492">
        <v>15</v>
      </c>
      <c r="K350" s="492">
        <f>I350*J350</f>
        <v>810</v>
      </c>
      <c r="L350" s="536"/>
      <c r="N350" s="489" t="s">
        <v>31</v>
      </c>
    </row>
    <row r="351" s="456" customFormat="1" ht="20.25" spans="1:17">
      <c r="A351" s="488">
        <v>45420</v>
      </c>
      <c r="B351" s="456" t="s">
        <v>236</v>
      </c>
      <c r="C351" s="490">
        <v>45420</v>
      </c>
      <c r="D351" s="491"/>
      <c r="E351" s="491"/>
      <c r="F351" s="522" t="s">
        <v>110</v>
      </c>
      <c r="G351" s="491">
        <v>2</v>
      </c>
      <c r="H351" s="431">
        <v>20</v>
      </c>
      <c r="I351" s="491">
        <f t="shared" si="37"/>
        <v>40</v>
      </c>
      <c r="J351" s="492">
        <v>15.5</v>
      </c>
      <c r="K351" s="492">
        <f>I351*J351</f>
        <v>620</v>
      </c>
      <c r="L351" s="536" t="s">
        <v>238</v>
      </c>
      <c r="M351" s="635">
        <f>SUM(K350:K351)</f>
        <v>1430</v>
      </c>
      <c r="N351" s="489"/>
    </row>
    <row r="352" s="457" customFormat="1" ht="20.25" spans="1:17">
      <c r="A352" s="494">
        <v>45420</v>
      </c>
      <c r="B352" s="607" t="s">
        <v>145</v>
      </c>
      <c r="C352" s="495">
        <v>45418</v>
      </c>
      <c r="D352" s="463"/>
      <c r="E352" s="463"/>
      <c r="F352" s="496" t="s">
        <v>108</v>
      </c>
      <c r="G352" s="463">
        <v>1</v>
      </c>
      <c r="H352" s="432">
        <v>75</v>
      </c>
      <c r="I352" s="463">
        <f t="shared" si="37"/>
        <v>75</v>
      </c>
      <c r="J352" s="497"/>
      <c r="K352" s="492"/>
      <c r="L352" s="537"/>
      <c r="M352" s="537"/>
      <c r="N352" s="537"/>
    </row>
    <row r="353" s="457" customFormat="1" ht="20.25" spans="1:14">
      <c r="A353" s="494">
        <v>45420</v>
      </c>
      <c r="B353" s="607" t="s">
        <v>145</v>
      </c>
      <c r="C353" s="495">
        <v>45418</v>
      </c>
      <c r="D353" s="463"/>
      <c r="E353" s="463"/>
      <c r="F353" s="496">
        <v>808</v>
      </c>
      <c r="G353" s="463">
        <v>1</v>
      </c>
      <c r="H353" s="432">
        <v>112.5</v>
      </c>
      <c r="I353" s="463">
        <f t="shared" si="37"/>
        <v>112.5</v>
      </c>
      <c r="J353" s="497">
        <v>11</v>
      </c>
      <c r="K353" s="492">
        <f>I353*J353</f>
        <v>1237.5</v>
      </c>
      <c r="L353" s="537"/>
      <c r="M353" s="537"/>
      <c r="N353" s="537"/>
    </row>
    <row r="354" s="457" customFormat="1" ht="20.25" spans="1:14">
      <c r="A354" s="494">
        <v>45420</v>
      </c>
      <c r="B354" s="607" t="s">
        <v>145</v>
      </c>
      <c r="C354" s="495">
        <v>45418</v>
      </c>
      <c r="D354" s="463"/>
      <c r="E354" s="463"/>
      <c r="F354" s="499" t="s">
        <v>109</v>
      </c>
      <c r="G354" s="463">
        <v>1</v>
      </c>
      <c r="H354" s="500">
        <f>SUM(H352:H353)</f>
        <v>187.5</v>
      </c>
      <c r="I354" s="501">
        <f t="shared" si="37"/>
        <v>187.5</v>
      </c>
      <c r="J354" s="502">
        <v>1</v>
      </c>
      <c r="K354" s="492">
        <f>I354*J354</f>
        <v>187.5</v>
      </c>
      <c r="L354" s="537">
        <f>SUM(K352:K354)</f>
        <v>1425</v>
      </c>
      <c r="M354" s="537"/>
      <c r="N354" s="537"/>
    </row>
    <row r="355" s="456" customFormat="1" ht="20.25" spans="1:14">
      <c r="A355" s="494">
        <v>45420</v>
      </c>
      <c r="B355" s="607" t="s">
        <v>145</v>
      </c>
      <c r="C355" s="495">
        <v>45418</v>
      </c>
      <c r="D355" s="463"/>
      <c r="E355" s="463"/>
      <c r="F355" s="493" t="s">
        <v>239</v>
      </c>
      <c r="G355" s="491">
        <v>1</v>
      </c>
      <c r="H355" s="431">
        <v>458</v>
      </c>
      <c r="I355" s="491">
        <f t="shared" si="37"/>
        <v>458</v>
      </c>
      <c r="J355" s="492"/>
      <c r="K355" s="492"/>
      <c r="L355" s="536"/>
      <c r="M355" s="536"/>
      <c r="N355" s="536"/>
    </row>
    <row r="356" s="456" customFormat="1" ht="20.25" spans="1:14">
      <c r="A356" s="494">
        <v>45420</v>
      </c>
      <c r="B356" s="607" t="s">
        <v>145</v>
      </c>
      <c r="C356" s="495">
        <v>45418</v>
      </c>
      <c r="D356" s="463"/>
      <c r="E356" s="463"/>
      <c r="F356" s="493" t="s">
        <v>240</v>
      </c>
      <c r="G356" s="491">
        <v>1</v>
      </c>
      <c r="H356" s="431">
        <v>65</v>
      </c>
      <c r="I356" s="491">
        <f t="shared" si="37"/>
        <v>65</v>
      </c>
      <c r="J356" s="492"/>
      <c r="K356" s="492"/>
      <c r="L356" s="536"/>
      <c r="M356" s="536"/>
      <c r="N356" s="536"/>
    </row>
    <row r="357" s="456" customFormat="1" ht="20.25" spans="1:14">
      <c r="A357" s="494">
        <v>45420</v>
      </c>
      <c r="B357" s="607" t="s">
        <v>145</v>
      </c>
      <c r="C357" s="495">
        <v>45418</v>
      </c>
      <c r="D357" s="463"/>
      <c r="E357" s="463"/>
      <c r="F357" s="493">
        <v>808</v>
      </c>
      <c r="G357" s="491">
        <v>1</v>
      </c>
      <c r="H357" s="431">
        <v>3</v>
      </c>
      <c r="I357" s="491">
        <f t="shared" si="37"/>
        <v>3</v>
      </c>
      <c r="J357" s="492">
        <v>11</v>
      </c>
      <c r="K357" s="492">
        <f>I357*J357</f>
        <v>33</v>
      </c>
      <c r="L357" s="536"/>
      <c r="M357" s="536"/>
      <c r="N357" s="536"/>
    </row>
    <row r="358" s="456" customFormat="1" ht="20.25" spans="1:14">
      <c r="A358" s="494">
        <v>45420</v>
      </c>
      <c r="B358" s="607" t="s">
        <v>145</v>
      </c>
      <c r="C358" s="495">
        <v>45418</v>
      </c>
      <c r="D358" s="463"/>
      <c r="E358" s="463"/>
      <c r="F358" s="499" t="s">
        <v>241</v>
      </c>
      <c r="G358" s="491">
        <v>1</v>
      </c>
      <c r="H358" s="500">
        <f>SUM(H355:H357)</f>
        <v>526</v>
      </c>
      <c r="I358" s="501">
        <f t="shared" si="37"/>
        <v>526</v>
      </c>
      <c r="J358" s="502">
        <v>1</v>
      </c>
      <c r="K358" s="492">
        <f>I358*J358</f>
        <v>526</v>
      </c>
      <c r="L358" s="536">
        <f>SUM(K355:K358)</f>
        <v>559</v>
      </c>
      <c r="M358" s="536"/>
      <c r="N358" s="536"/>
    </row>
    <row r="359" s="456" customFormat="1" ht="20.25" spans="1:14">
      <c r="A359" s="488">
        <v>45420</v>
      </c>
      <c r="B359" s="608" t="s">
        <v>148</v>
      </c>
      <c r="C359" s="490">
        <v>45419</v>
      </c>
      <c r="D359" s="491"/>
      <c r="E359" s="491"/>
      <c r="F359" s="493" t="s">
        <v>42</v>
      </c>
      <c r="G359" s="491">
        <v>1</v>
      </c>
      <c r="H359" s="431">
        <v>100</v>
      </c>
      <c r="I359" s="491">
        <f t="shared" si="37"/>
        <v>100</v>
      </c>
      <c r="J359" s="492"/>
      <c r="K359" s="492"/>
    </row>
    <row r="360" s="456" customFormat="1" ht="20.25" spans="1:14">
      <c r="A360" s="488">
        <v>45420</v>
      </c>
      <c r="B360" s="608" t="s">
        <v>148</v>
      </c>
      <c r="C360" s="490">
        <v>45419</v>
      </c>
      <c r="D360" s="491"/>
      <c r="E360" s="491"/>
      <c r="F360" s="493" t="s">
        <v>207</v>
      </c>
      <c r="G360" s="491">
        <v>1</v>
      </c>
      <c r="H360" s="431">
        <v>110</v>
      </c>
      <c r="I360" s="491">
        <f t="shared" si="37"/>
        <v>110</v>
      </c>
      <c r="J360" s="492"/>
      <c r="K360" s="492"/>
    </row>
    <row r="361" s="456" customFormat="1" ht="20.25" spans="1:14">
      <c r="A361" s="488">
        <v>45420</v>
      </c>
      <c r="B361" s="608" t="s">
        <v>148</v>
      </c>
      <c r="C361" s="490">
        <v>45419</v>
      </c>
      <c r="D361" s="491"/>
      <c r="E361" s="491"/>
      <c r="F361" s="493" t="s">
        <v>242</v>
      </c>
      <c r="G361" s="491">
        <v>1</v>
      </c>
      <c r="H361" s="431">
        <v>100</v>
      </c>
      <c r="I361" s="491">
        <f t="shared" si="37"/>
        <v>100</v>
      </c>
      <c r="J361" s="492"/>
      <c r="K361" s="492"/>
    </row>
    <row r="362" s="456" customFormat="1" ht="20.25" spans="1:14">
      <c r="A362" s="488">
        <v>45420</v>
      </c>
      <c r="B362" s="608" t="s">
        <v>148</v>
      </c>
      <c r="C362" s="490">
        <v>45419</v>
      </c>
      <c r="D362" s="491"/>
      <c r="E362" s="491"/>
      <c r="F362" s="493" t="s">
        <v>86</v>
      </c>
      <c r="G362" s="491">
        <v>1</v>
      </c>
      <c r="H362" s="431">
        <v>136</v>
      </c>
      <c r="I362" s="491">
        <f t="shared" si="37"/>
        <v>136</v>
      </c>
      <c r="J362" s="492"/>
      <c r="K362" s="492"/>
      <c r="L362" s="536"/>
      <c r="M362" s="536"/>
      <c r="N362" s="536"/>
    </row>
    <row r="363" s="456" customFormat="1" ht="20.25" spans="1:14">
      <c r="A363" s="488">
        <v>45420</v>
      </c>
      <c r="B363" s="608" t="s">
        <v>148</v>
      </c>
      <c r="C363" s="490">
        <v>45419</v>
      </c>
      <c r="D363" s="491"/>
      <c r="E363" s="491"/>
      <c r="F363" s="493" t="s">
        <v>87</v>
      </c>
      <c r="G363" s="491">
        <v>1</v>
      </c>
      <c r="H363" s="431">
        <v>260</v>
      </c>
      <c r="I363" s="491">
        <f t="shared" si="37"/>
        <v>260</v>
      </c>
      <c r="J363" s="492"/>
      <c r="K363" s="492"/>
      <c r="L363" s="536"/>
      <c r="M363" s="536"/>
      <c r="N363" s="536"/>
    </row>
    <row r="364" s="456" customFormat="1" ht="20.25" spans="1:14">
      <c r="A364" s="488">
        <v>45420</v>
      </c>
      <c r="B364" s="608" t="s">
        <v>148</v>
      </c>
      <c r="C364" s="490">
        <v>45419</v>
      </c>
      <c r="D364" s="491"/>
      <c r="E364" s="491"/>
      <c r="F364" s="493" t="s">
        <v>208</v>
      </c>
      <c r="G364" s="491">
        <v>1</v>
      </c>
      <c r="H364" s="431">
        <v>25</v>
      </c>
      <c r="I364" s="491">
        <f t="shared" si="37"/>
        <v>25</v>
      </c>
      <c r="J364" s="492">
        <v>17</v>
      </c>
      <c r="K364" s="492">
        <f>I364*J364</f>
        <v>425</v>
      </c>
      <c r="L364" s="536"/>
      <c r="M364" s="536"/>
      <c r="N364" s="536"/>
    </row>
    <row r="365" s="456" customFormat="1" ht="20.25" spans="1:14">
      <c r="A365" s="488">
        <v>45420</v>
      </c>
      <c r="B365" s="608" t="s">
        <v>148</v>
      </c>
      <c r="C365" s="490">
        <v>45419</v>
      </c>
      <c r="D365" s="491"/>
      <c r="E365" s="491"/>
      <c r="F365" s="493" t="s">
        <v>132</v>
      </c>
      <c r="G365" s="491">
        <v>1</v>
      </c>
      <c r="H365" s="431">
        <v>279</v>
      </c>
      <c r="I365" s="491">
        <f t="shared" si="37"/>
        <v>279</v>
      </c>
      <c r="J365" s="492">
        <v>3.6</v>
      </c>
      <c r="K365" s="492">
        <f>I365*J365</f>
        <v>1004.4</v>
      </c>
      <c r="L365" s="536"/>
      <c r="M365" s="536"/>
      <c r="N365" s="536"/>
    </row>
    <row r="366" s="456" customFormat="1" ht="20.25" spans="1:14">
      <c r="A366" s="488">
        <v>45420</v>
      </c>
      <c r="B366" s="608" t="s">
        <v>148</v>
      </c>
      <c r="C366" s="490">
        <v>45419</v>
      </c>
      <c r="D366" s="491"/>
      <c r="E366" s="491"/>
      <c r="F366" s="493" t="s">
        <v>137</v>
      </c>
      <c r="G366" s="491">
        <v>1</v>
      </c>
      <c r="H366" s="431">
        <v>50</v>
      </c>
      <c r="I366" s="491">
        <f t="shared" si="37"/>
        <v>50</v>
      </c>
      <c r="J366" s="492">
        <v>0.9</v>
      </c>
      <c r="K366" s="492">
        <f>I366*J366</f>
        <v>45</v>
      </c>
      <c r="L366" s="536" t="s">
        <v>210</v>
      </c>
      <c r="M366" s="536" t="s">
        <v>116</v>
      </c>
      <c r="N366" s="536"/>
    </row>
    <row r="367" s="456" customFormat="1" ht="20.25" spans="1:14">
      <c r="A367" s="488">
        <v>45420</v>
      </c>
      <c r="B367" s="608" t="s">
        <v>148</v>
      </c>
      <c r="C367" s="490">
        <v>45419</v>
      </c>
      <c r="D367" s="491"/>
      <c r="E367" s="491"/>
      <c r="F367" s="493" t="s">
        <v>211</v>
      </c>
      <c r="G367" s="491">
        <v>1</v>
      </c>
      <c r="H367" s="431">
        <v>1.8</v>
      </c>
      <c r="I367" s="491">
        <f t="shared" si="37"/>
        <v>1.8</v>
      </c>
      <c r="J367" s="492"/>
      <c r="K367" s="492"/>
      <c r="L367" s="536"/>
      <c r="M367" s="536"/>
      <c r="N367" s="536"/>
    </row>
    <row r="368" s="456" customFormat="1" ht="20.25" spans="1:14">
      <c r="A368" s="488">
        <v>45420</v>
      </c>
      <c r="B368" s="608" t="s">
        <v>148</v>
      </c>
      <c r="C368" s="490">
        <v>45419</v>
      </c>
      <c r="D368" s="491"/>
      <c r="E368" s="491"/>
      <c r="F368" s="499" t="s">
        <v>212</v>
      </c>
      <c r="G368" s="491">
        <v>1</v>
      </c>
      <c r="H368" s="500">
        <f>SUM(H359:H367)</f>
        <v>1061.8</v>
      </c>
      <c r="I368" s="501">
        <f t="shared" si="37"/>
        <v>1061.8</v>
      </c>
      <c r="J368" s="502">
        <v>1</v>
      </c>
      <c r="K368" s="492">
        <f>I368*J368</f>
        <v>1061.8</v>
      </c>
      <c r="L368" s="536">
        <f>SUM(K359:K368)</f>
        <v>2536.2</v>
      </c>
      <c r="M368" s="536"/>
      <c r="N368" s="536"/>
    </row>
    <row r="369" s="457" customFormat="1" ht="20.25" spans="1:14">
      <c r="A369" s="494">
        <v>45420</v>
      </c>
      <c r="B369" s="607" t="s">
        <v>243</v>
      </c>
      <c r="C369" s="495" t="s">
        <v>244</v>
      </c>
      <c r="D369" s="463"/>
      <c r="E369" s="463"/>
      <c r="F369" s="496" t="s">
        <v>176</v>
      </c>
      <c r="G369" s="463">
        <v>1</v>
      </c>
      <c r="H369" s="432">
        <v>190</v>
      </c>
      <c r="I369" s="520">
        <f t="shared" ref="I369:I374" si="38">G369*H369</f>
        <v>190</v>
      </c>
      <c r="J369" s="497"/>
      <c r="K369" s="492"/>
      <c r="L369" s="459" t="s">
        <v>245</v>
      </c>
    </row>
    <row r="370" s="457" customFormat="1" ht="20.25" spans="1:14">
      <c r="A370" s="494">
        <v>45420</v>
      </c>
      <c r="B370" s="607" t="s">
        <v>243</v>
      </c>
      <c r="C370" s="495" t="s">
        <v>244</v>
      </c>
      <c r="D370" s="463"/>
      <c r="E370" s="463"/>
      <c r="F370" s="496" t="s">
        <v>170</v>
      </c>
      <c r="G370" s="463">
        <v>1</v>
      </c>
      <c r="H370" s="432">
        <v>22.5</v>
      </c>
      <c r="I370" s="463">
        <f t="shared" si="38"/>
        <v>22.5</v>
      </c>
      <c r="J370" s="497">
        <v>75</v>
      </c>
      <c r="K370" s="492">
        <f>I370*J370</f>
        <v>1687.5</v>
      </c>
      <c r="L370" s="537"/>
      <c r="M370" s="537"/>
      <c r="N370" s="537"/>
    </row>
    <row r="371" s="457" customFormat="1" ht="20.25" spans="1:14">
      <c r="A371" s="494">
        <v>45420</v>
      </c>
      <c r="B371" s="607" t="s">
        <v>243</v>
      </c>
      <c r="C371" s="495" t="s">
        <v>244</v>
      </c>
      <c r="D371" s="463"/>
      <c r="E371" s="463"/>
      <c r="F371" s="496" t="s">
        <v>171</v>
      </c>
      <c r="G371" s="463">
        <v>1</v>
      </c>
      <c r="H371" s="432">
        <v>90</v>
      </c>
      <c r="I371" s="463">
        <f t="shared" si="38"/>
        <v>90</v>
      </c>
      <c r="J371" s="497"/>
      <c r="K371" s="492"/>
      <c r="L371" s="537"/>
      <c r="M371" s="537"/>
      <c r="N371" s="537"/>
    </row>
    <row r="372" s="457" customFormat="1" ht="20.25" spans="1:14">
      <c r="A372" s="494">
        <v>45420</v>
      </c>
      <c r="B372" s="607" t="s">
        <v>243</v>
      </c>
      <c r="C372" s="495" t="s">
        <v>244</v>
      </c>
      <c r="D372" s="463"/>
      <c r="E372" s="463"/>
      <c r="F372" s="496" t="s">
        <v>177</v>
      </c>
      <c r="G372" s="463">
        <v>1</v>
      </c>
      <c r="H372" s="432">
        <v>270</v>
      </c>
      <c r="I372" s="463">
        <f t="shared" si="38"/>
        <v>270</v>
      </c>
      <c r="J372" s="497">
        <v>11</v>
      </c>
      <c r="K372" s="492">
        <f>I372*J372</f>
        <v>2970</v>
      </c>
      <c r="L372" s="537"/>
      <c r="M372" s="537"/>
      <c r="N372" s="537"/>
    </row>
    <row r="373" s="457" customFormat="1" ht="20.25" spans="1:14">
      <c r="A373" s="494">
        <v>45420</v>
      </c>
      <c r="B373" s="607" t="s">
        <v>243</v>
      </c>
      <c r="C373" s="495" t="s">
        <v>244</v>
      </c>
      <c r="D373" s="463"/>
      <c r="E373" s="463"/>
      <c r="F373" s="496" t="s">
        <v>125</v>
      </c>
      <c r="G373" s="463">
        <v>1</v>
      </c>
      <c r="H373" s="432">
        <v>112.5</v>
      </c>
      <c r="I373" s="463">
        <f t="shared" si="38"/>
        <v>112.5</v>
      </c>
      <c r="J373" s="497">
        <v>7.2</v>
      </c>
      <c r="K373" s="492">
        <f>I373*J373</f>
        <v>810</v>
      </c>
      <c r="L373" s="537"/>
      <c r="M373" s="537" t="s">
        <v>246</v>
      </c>
      <c r="N373" s="537"/>
    </row>
    <row r="374" s="457" customFormat="1" ht="20.25" spans="1:14">
      <c r="A374" s="494">
        <v>45420</v>
      </c>
      <c r="B374" s="607" t="s">
        <v>243</v>
      </c>
      <c r="C374" s="495" t="s">
        <v>244</v>
      </c>
      <c r="D374" s="463"/>
      <c r="E374" s="463"/>
      <c r="F374" s="499" t="s">
        <v>179</v>
      </c>
      <c r="G374" s="501">
        <v>1</v>
      </c>
      <c r="H374" s="500">
        <f>SUM(H369:H373)</f>
        <v>685</v>
      </c>
      <c r="I374" s="501">
        <f t="shared" si="38"/>
        <v>685</v>
      </c>
      <c r="J374" s="502">
        <v>7.5</v>
      </c>
      <c r="K374" s="502">
        <f>I374*J374</f>
        <v>5137.5</v>
      </c>
      <c r="L374" s="537">
        <f>SUM(K369:K374)</f>
        <v>10605</v>
      </c>
      <c r="M374" s="537"/>
      <c r="N374" s="537"/>
    </row>
    <row r="375" s="456" customFormat="1" ht="20.25" spans="1:14">
      <c r="A375" s="488">
        <v>45422</v>
      </c>
      <c r="B375" s="608" t="s">
        <v>247</v>
      </c>
      <c r="C375" s="490">
        <v>45420</v>
      </c>
      <c r="D375" s="491"/>
      <c r="E375" s="491"/>
      <c r="F375" s="493" t="s">
        <v>16</v>
      </c>
      <c r="G375" s="491">
        <v>1</v>
      </c>
      <c r="H375" s="431">
        <v>8</v>
      </c>
      <c r="I375" s="491">
        <f t="shared" ref="I375:I386" si="39">G375*H375</f>
        <v>8</v>
      </c>
      <c r="J375" s="492"/>
      <c r="K375" s="492"/>
      <c r="L375" s="536"/>
      <c r="M375" s="536"/>
      <c r="N375" s="536"/>
    </row>
    <row r="376" s="456" customFormat="1" ht="20.25" spans="1:14">
      <c r="A376" s="488">
        <v>45422</v>
      </c>
      <c r="B376" s="608" t="s">
        <v>247</v>
      </c>
      <c r="C376" s="490">
        <v>45420</v>
      </c>
      <c r="D376" s="491"/>
      <c r="E376" s="491"/>
      <c r="F376" s="493" t="s">
        <v>133</v>
      </c>
      <c r="G376" s="491">
        <v>1</v>
      </c>
      <c r="H376" s="431">
        <v>40</v>
      </c>
      <c r="I376" s="491">
        <f t="shared" si="39"/>
        <v>40</v>
      </c>
      <c r="J376" s="492"/>
      <c r="K376" s="492"/>
      <c r="L376" s="536"/>
      <c r="M376" s="536"/>
      <c r="N376" s="536"/>
    </row>
    <row r="377" s="456" customFormat="1" ht="20.25" spans="1:14">
      <c r="A377" s="488">
        <v>45422</v>
      </c>
      <c r="B377" s="608" t="s">
        <v>247</v>
      </c>
      <c r="C377" s="490">
        <v>45420</v>
      </c>
      <c r="D377" s="491"/>
      <c r="E377" s="491"/>
      <c r="F377" s="493" t="s">
        <v>152</v>
      </c>
      <c r="G377" s="491">
        <v>1</v>
      </c>
      <c r="H377" s="431">
        <v>150</v>
      </c>
      <c r="I377" s="491">
        <f t="shared" si="39"/>
        <v>150</v>
      </c>
      <c r="J377" s="492">
        <v>8.8</v>
      </c>
      <c r="K377" s="492">
        <f>I377*J377</f>
        <v>1320</v>
      </c>
      <c r="L377" s="536" t="s">
        <v>248</v>
      </c>
      <c r="M377" s="536"/>
      <c r="N377" s="536"/>
    </row>
    <row r="378" s="456" customFormat="1" ht="20.25" spans="1:14">
      <c r="A378" s="488">
        <v>45422</v>
      </c>
      <c r="B378" s="608" t="s">
        <v>247</v>
      </c>
      <c r="C378" s="490">
        <v>45420</v>
      </c>
      <c r="D378" s="491"/>
      <c r="E378" s="491"/>
      <c r="F378" s="493" t="s">
        <v>125</v>
      </c>
      <c r="G378" s="491">
        <v>1</v>
      </c>
      <c r="H378" s="431">
        <v>150</v>
      </c>
      <c r="I378" s="491">
        <f t="shared" si="39"/>
        <v>150</v>
      </c>
      <c r="J378" s="492">
        <v>7.2</v>
      </c>
      <c r="K378" s="492">
        <f>I378*J378</f>
        <v>1080</v>
      </c>
      <c r="L378" s="536"/>
      <c r="M378" s="536"/>
      <c r="N378" s="536"/>
    </row>
    <row r="379" s="456" customFormat="1" ht="20.25" spans="1:14">
      <c r="A379" s="488">
        <v>45422</v>
      </c>
      <c r="B379" s="608" t="s">
        <v>247</v>
      </c>
      <c r="C379" s="490">
        <v>45420</v>
      </c>
      <c r="D379" s="491"/>
      <c r="E379" s="491"/>
      <c r="F379" s="499" t="s">
        <v>249</v>
      </c>
      <c r="G379" s="491">
        <v>1</v>
      </c>
      <c r="H379" s="500">
        <f>SUM(H375:H378)</f>
        <v>348</v>
      </c>
      <c r="I379" s="501">
        <f t="shared" si="39"/>
        <v>348</v>
      </c>
      <c r="J379" s="502">
        <v>1</v>
      </c>
      <c r="K379" s="502">
        <f>I379*J379</f>
        <v>348</v>
      </c>
      <c r="L379" s="536">
        <f>SUM(K375:K379)</f>
        <v>2748</v>
      </c>
      <c r="M379" s="536"/>
      <c r="N379" s="536"/>
    </row>
    <row r="380" s="457" customFormat="1" ht="20.25" spans="1:14">
      <c r="A380" s="494">
        <v>45422</v>
      </c>
      <c r="B380" s="607" t="s">
        <v>250</v>
      </c>
      <c r="C380" s="495">
        <v>45421</v>
      </c>
      <c r="D380" s="463"/>
      <c r="E380" s="463"/>
      <c r="F380" s="496" t="s">
        <v>251</v>
      </c>
      <c r="G380" s="463">
        <v>2</v>
      </c>
      <c r="H380" s="432">
        <v>32</v>
      </c>
      <c r="I380" s="463">
        <f t="shared" si="39"/>
        <v>64</v>
      </c>
      <c r="J380" s="497"/>
      <c r="K380" s="492"/>
      <c r="L380" s="537"/>
      <c r="M380" s="537"/>
      <c r="N380" s="537"/>
    </row>
    <row r="381" s="457" customFormat="1" ht="20.25" spans="1:14">
      <c r="A381" s="494">
        <v>45422</v>
      </c>
      <c r="B381" s="607" t="s">
        <v>250</v>
      </c>
      <c r="C381" s="495">
        <v>45421</v>
      </c>
      <c r="D381" s="463"/>
      <c r="E381" s="463"/>
      <c r="F381" s="496" t="s">
        <v>252</v>
      </c>
      <c r="G381" s="463">
        <v>2</v>
      </c>
      <c r="H381" s="432">
        <v>3</v>
      </c>
      <c r="I381" s="463">
        <f t="shared" si="39"/>
        <v>6</v>
      </c>
      <c r="J381" s="497"/>
      <c r="K381" s="492"/>
      <c r="L381" s="537"/>
      <c r="M381" s="537"/>
      <c r="N381" s="537"/>
    </row>
    <row r="382" s="457" customFormat="1" ht="20.25" spans="1:14">
      <c r="A382" s="494">
        <v>45422</v>
      </c>
      <c r="B382" s="607" t="s">
        <v>250</v>
      </c>
      <c r="C382" s="495">
        <v>45421</v>
      </c>
      <c r="D382" s="463"/>
      <c r="E382" s="463"/>
      <c r="F382" s="496" t="s">
        <v>211</v>
      </c>
      <c r="G382" s="463">
        <v>2</v>
      </c>
      <c r="H382" s="432">
        <v>1.8</v>
      </c>
      <c r="I382" s="463">
        <f t="shared" si="39"/>
        <v>3.6</v>
      </c>
      <c r="J382" s="497"/>
      <c r="K382" s="492"/>
      <c r="L382" s="537"/>
      <c r="M382" s="537"/>
      <c r="N382" s="537"/>
    </row>
    <row r="383" s="457" customFormat="1" ht="20.25" spans="1:14">
      <c r="A383" s="494">
        <v>45422</v>
      </c>
      <c r="B383" s="607" t="s">
        <v>250</v>
      </c>
      <c r="C383" s="495">
        <v>45421</v>
      </c>
      <c r="D383" s="463"/>
      <c r="E383" s="463"/>
      <c r="F383" s="496" t="s">
        <v>253</v>
      </c>
      <c r="G383" s="463">
        <v>2</v>
      </c>
      <c r="H383" s="432">
        <v>100</v>
      </c>
      <c r="I383" s="463">
        <f t="shared" si="39"/>
        <v>200</v>
      </c>
      <c r="J383" s="497"/>
      <c r="K383" s="492"/>
      <c r="L383" s="537"/>
      <c r="M383" s="537"/>
      <c r="N383" s="537"/>
    </row>
    <row r="384" s="457" customFormat="1" ht="20.25" spans="1:14">
      <c r="A384" s="494">
        <v>45422</v>
      </c>
      <c r="B384" s="607" t="s">
        <v>250</v>
      </c>
      <c r="C384" s="495">
        <v>45421</v>
      </c>
      <c r="D384" s="463"/>
      <c r="E384" s="463"/>
      <c r="F384" s="496" t="s">
        <v>82</v>
      </c>
      <c r="G384" s="463">
        <v>2</v>
      </c>
      <c r="H384" s="432">
        <v>20</v>
      </c>
      <c r="I384" s="463">
        <f t="shared" si="39"/>
        <v>40</v>
      </c>
      <c r="J384" s="497">
        <v>9</v>
      </c>
      <c r="K384" s="492">
        <f t="shared" ref="K381:K412" si="40">I384*J384</f>
        <v>360</v>
      </c>
      <c r="L384" s="537" t="s">
        <v>254</v>
      </c>
      <c r="M384" s="537"/>
      <c r="N384" s="537"/>
    </row>
    <row r="385" s="457" customFormat="1" ht="20.25" spans="1:14">
      <c r="A385" s="494">
        <v>45422</v>
      </c>
      <c r="B385" s="607" t="s">
        <v>250</v>
      </c>
      <c r="C385" s="495">
        <v>45421</v>
      </c>
      <c r="D385" s="463"/>
      <c r="E385" s="463"/>
      <c r="F385" s="496" t="s">
        <v>152</v>
      </c>
      <c r="G385" s="463">
        <v>2</v>
      </c>
      <c r="H385" s="432">
        <v>20</v>
      </c>
      <c r="I385" s="463">
        <f t="shared" si="39"/>
        <v>40</v>
      </c>
      <c r="J385" s="497">
        <v>8.8</v>
      </c>
      <c r="K385" s="492">
        <f t="shared" si="40"/>
        <v>352</v>
      </c>
      <c r="L385" s="3" t="s">
        <v>201</v>
      </c>
      <c r="M385" s="537"/>
      <c r="N385" s="537"/>
    </row>
    <row r="386" s="457" customFormat="1" ht="20.25" spans="1:14">
      <c r="A386" s="494">
        <v>45422</v>
      </c>
      <c r="B386" s="607" t="s">
        <v>250</v>
      </c>
      <c r="C386" s="495">
        <v>45421</v>
      </c>
      <c r="D386" s="463"/>
      <c r="E386" s="463"/>
      <c r="F386" s="499" t="s">
        <v>95</v>
      </c>
      <c r="G386" s="463">
        <v>2</v>
      </c>
      <c r="H386" s="500">
        <f>SUM(H380:H385)</f>
        <v>176.8</v>
      </c>
      <c r="I386" s="501">
        <f t="shared" si="39"/>
        <v>353.6</v>
      </c>
      <c r="J386" s="502">
        <v>5</v>
      </c>
      <c r="K386" s="502">
        <f t="shared" si="40"/>
        <v>1768</v>
      </c>
      <c r="L386" s="537">
        <f>SUM(K380:K386)</f>
        <v>2480</v>
      </c>
      <c r="M386" s="537"/>
      <c r="N386" s="537"/>
    </row>
    <row r="387" s="456" customFormat="1" ht="20.25" spans="1:14">
      <c r="A387" s="488">
        <v>45422</v>
      </c>
      <c r="B387" s="608" t="s">
        <v>255</v>
      </c>
      <c r="C387" s="490">
        <v>45421</v>
      </c>
      <c r="D387" s="491"/>
      <c r="E387" s="491"/>
      <c r="F387" s="493" t="s">
        <v>256</v>
      </c>
      <c r="G387" s="491">
        <v>1</v>
      </c>
      <c r="H387" s="431">
        <v>100</v>
      </c>
      <c r="I387" s="491">
        <f t="shared" ref="I387:I401" si="41">G387*H387</f>
        <v>100</v>
      </c>
      <c r="J387" s="492"/>
      <c r="K387" s="492"/>
      <c r="L387" s="536"/>
      <c r="M387" s="536"/>
      <c r="N387" s="536"/>
    </row>
    <row r="388" s="456" customFormat="1" ht="20.25" spans="1:14">
      <c r="A388" s="488">
        <v>45422</v>
      </c>
      <c r="B388" s="608" t="s">
        <v>255</v>
      </c>
      <c r="C388" s="490">
        <v>45421</v>
      </c>
      <c r="D388" s="491"/>
      <c r="E388" s="491"/>
      <c r="F388" s="493">
        <v>808</v>
      </c>
      <c r="G388" s="491">
        <v>1</v>
      </c>
      <c r="H388" s="431">
        <v>80</v>
      </c>
      <c r="I388" s="491">
        <f t="shared" si="41"/>
        <v>80</v>
      </c>
      <c r="J388" s="492">
        <v>11</v>
      </c>
      <c r="K388" s="492">
        <f t="shared" si="40"/>
        <v>880</v>
      </c>
      <c r="L388" s="536"/>
      <c r="M388" s="536"/>
      <c r="N388" s="536"/>
    </row>
    <row r="389" s="456" customFormat="1" ht="20.25" spans="1:14">
      <c r="A389" s="488">
        <v>45422</v>
      </c>
      <c r="B389" s="608" t="s">
        <v>255</v>
      </c>
      <c r="C389" s="490">
        <v>45421</v>
      </c>
      <c r="D389" s="491"/>
      <c r="E389" s="491"/>
      <c r="F389" s="493" t="s">
        <v>125</v>
      </c>
      <c r="G389" s="491">
        <v>1</v>
      </c>
      <c r="H389" s="431">
        <v>40</v>
      </c>
      <c r="I389" s="491">
        <f t="shared" si="41"/>
        <v>40</v>
      </c>
      <c r="J389" s="492">
        <v>7.2</v>
      </c>
      <c r="K389" s="492">
        <f t="shared" si="40"/>
        <v>288</v>
      </c>
      <c r="L389" s="536"/>
      <c r="M389" s="536"/>
      <c r="N389" s="536"/>
    </row>
    <row r="390" s="456" customFormat="1" ht="20.25" spans="1:14">
      <c r="A390" s="488">
        <v>45422</v>
      </c>
      <c r="B390" s="608" t="s">
        <v>255</v>
      </c>
      <c r="C390" s="490">
        <v>45421</v>
      </c>
      <c r="D390" s="491"/>
      <c r="E390" s="491"/>
      <c r="F390" s="493" t="s">
        <v>152</v>
      </c>
      <c r="G390" s="491">
        <v>1</v>
      </c>
      <c r="H390" s="431">
        <v>40</v>
      </c>
      <c r="I390" s="491">
        <f t="shared" si="41"/>
        <v>40</v>
      </c>
      <c r="J390" s="492">
        <v>8.8</v>
      </c>
      <c r="K390" s="492">
        <f t="shared" si="40"/>
        <v>352</v>
      </c>
      <c r="L390" s="536"/>
      <c r="M390" s="536"/>
      <c r="N390" s="536"/>
    </row>
    <row r="391" s="456" customFormat="1" ht="20.25" spans="1:14">
      <c r="A391" s="488">
        <v>45422</v>
      </c>
      <c r="B391" s="608" t="s">
        <v>255</v>
      </c>
      <c r="C391" s="490">
        <v>45421</v>
      </c>
      <c r="D391" s="491"/>
      <c r="E391" s="491"/>
      <c r="F391" s="493" t="s">
        <v>132</v>
      </c>
      <c r="G391" s="491">
        <v>1</v>
      </c>
      <c r="H391" s="431">
        <v>62</v>
      </c>
      <c r="I391" s="491">
        <f t="shared" si="41"/>
        <v>62</v>
      </c>
      <c r="J391" s="492">
        <v>3.6</v>
      </c>
      <c r="K391" s="492">
        <f t="shared" si="40"/>
        <v>223.2</v>
      </c>
      <c r="L391" s="606" t="s">
        <v>116</v>
      </c>
      <c r="M391" s="536"/>
      <c r="N391" s="536"/>
    </row>
    <row r="392" s="456" customFormat="1" ht="20.25" spans="1:14">
      <c r="A392" s="488">
        <v>45422</v>
      </c>
      <c r="B392" s="608" t="s">
        <v>255</v>
      </c>
      <c r="C392" s="490">
        <v>45421</v>
      </c>
      <c r="D392" s="491"/>
      <c r="E392" s="491"/>
      <c r="F392" s="493" t="s">
        <v>191</v>
      </c>
      <c r="G392" s="491">
        <v>1</v>
      </c>
      <c r="H392" s="431">
        <v>18</v>
      </c>
      <c r="I392" s="491">
        <f t="shared" si="41"/>
        <v>18</v>
      </c>
      <c r="J392" s="492">
        <v>17</v>
      </c>
      <c r="K392" s="492">
        <f t="shared" si="40"/>
        <v>306</v>
      </c>
      <c r="L392" s="536"/>
      <c r="M392" s="536"/>
      <c r="N392" s="536"/>
    </row>
    <row r="393" s="456" customFormat="1" ht="20.25" spans="1:14">
      <c r="A393" s="488">
        <v>45422</v>
      </c>
      <c r="B393" s="608" t="s">
        <v>255</v>
      </c>
      <c r="C393" s="490">
        <v>45421</v>
      </c>
      <c r="D393" s="491"/>
      <c r="E393" s="491"/>
      <c r="F393" s="493" t="s">
        <v>129</v>
      </c>
      <c r="G393" s="491">
        <v>1</v>
      </c>
      <c r="H393" s="431">
        <v>60</v>
      </c>
      <c r="I393" s="491">
        <f t="shared" si="41"/>
        <v>60</v>
      </c>
      <c r="J393" s="492"/>
      <c r="K393" s="492"/>
      <c r="L393" s="536"/>
      <c r="M393" s="536"/>
      <c r="N393" s="536"/>
    </row>
    <row r="394" s="456" customFormat="1" ht="20.25" spans="1:14">
      <c r="A394" s="488">
        <v>45422</v>
      </c>
      <c r="B394" s="608" t="s">
        <v>255</v>
      </c>
      <c r="C394" s="490">
        <v>45421</v>
      </c>
      <c r="D394" s="491"/>
      <c r="E394" s="491"/>
      <c r="F394" s="499" t="s">
        <v>257</v>
      </c>
      <c r="G394" s="501">
        <v>1</v>
      </c>
      <c r="H394" s="500">
        <f>SUM(H387:H393)</f>
        <v>400</v>
      </c>
      <c r="I394" s="501">
        <f t="shared" si="41"/>
        <v>400</v>
      </c>
      <c r="J394" s="502">
        <v>1</v>
      </c>
      <c r="K394" s="492">
        <f t="shared" si="40"/>
        <v>400</v>
      </c>
      <c r="L394" s="536">
        <f>SUM(K387:K396)</f>
        <v>2497.7</v>
      </c>
      <c r="M394" s="536"/>
      <c r="N394" s="536"/>
    </row>
    <row r="395" s="456" customFormat="1" ht="20.25" spans="1:14">
      <c r="A395" s="488">
        <v>45422</v>
      </c>
      <c r="B395" s="608" t="s">
        <v>255</v>
      </c>
      <c r="C395" s="490">
        <v>45421</v>
      </c>
      <c r="D395" s="491"/>
      <c r="E395" s="491"/>
      <c r="F395" s="493" t="s">
        <v>258</v>
      </c>
      <c r="G395" s="491">
        <v>1</v>
      </c>
      <c r="H395" s="431">
        <v>10</v>
      </c>
      <c r="I395" s="491">
        <f t="shared" si="41"/>
        <v>10</v>
      </c>
      <c r="J395" s="492">
        <v>3.6</v>
      </c>
      <c r="K395" s="492">
        <f t="shared" si="40"/>
        <v>36</v>
      </c>
      <c r="L395" s="536" t="s">
        <v>259</v>
      </c>
      <c r="M395" s="536"/>
      <c r="N395" s="536"/>
    </row>
    <row r="396" s="456" customFormat="1" ht="20.25" spans="1:14">
      <c r="A396" s="488">
        <v>45422</v>
      </c>
      <c r="B396" s="608" t="s">
        <v>255</v>
      </c>
      <c r="C396" s="528">
        <v>45421</v>
      </c>
      <c r="D396" s="528"/>
      <c r="E396" s="528"/>
      <c r="F396" s="493" t="s">
        <v>167</v>
      </c>
      <c r="G396" s="491">
        <v>1</v>
      </c>
      <c r="H396" s="431">
        <v>1</v>
      </c>
      <c r="I396" s="491">
        <f t="shared" si="41"/>
        <v>1</v>
      </c>
      <c r="J396" s="492">
        <v>12.5</v>
      </c>
      <c r="K396" s="492">
        <f t="shared" si="40"/>
        <v>12.5</v>
      </c>
      <c r="L396" s="536" t="s">
        <v>259</v>
      </c>
      <c r="M396" s="536"/>
      <c r="N396" s="536"/>
    </row>
    <row r="397" s="457" customFormat="1" ht="20.25" spans="1:14">
      <c r="A397" s="494">
        <v>45422</v>
      </c>
      <c r="B397" s="607" t="s">
        <v>52</v>
      </c>
      <c r="C397" s="495">
        <v>45421</v>
      </c>
      <c r="D397" s="463"/>
      <c r="E397" s="463"/>
      <c r="F397" s="496" t="s">
        <v>260</v>
      </c>
      <c r="G397" s="463">
        <v>1</v>
      </c>
      <c r="H397" s="432">
        <v>504</v>
      </c>
      <c r="I397" s="463">
        <f t="shared" si="41"/>
        <v>504</v>
      </c>
      <c r="J397" s="497"/>
      <c r="K397" s="492"/>
    </row>
    <row r="398" s="457" customFormat="1" ht="20.25" spans="1:14">
      <c r="A398" s="494">
        <v>45422</v>
      </c>
      <c r="B398" s="607" t="s">
        <v>52</v>
      </c>
      <c r="C398" s="495">
        <v>45421</v>
      </c>
      <c r="D398" s="463"/>
      <c r="E398" s="463"/>
      <c r="F398" s="496" t="s">
        <v>211</v>
      </c>
      <c r="G398" s="463">
        <v>1</v>
      </c>
      <c r="H398" s="432">
        <v>2</v>
      </c>
      <c r="I398" s="463">
        <f t="shared" si="41"/>
        <v>2</v>
      </c>
      <c r="J398" s="497"/>
      <c r="K398" s="492"/>
    </row>
    <row r="399" s="457" customFormat="1" ht="20.25" spans="1:14">
      <c r="A399" s="494">
        <v>45422</v>
      </c>
      <c r="B399" s="607" t="s">
        <v>52</v>
      </c>
      <c r="C399" s="495">
        <v>45421</v>
      </c>
      <c r="D399" s="463"/>
      <c r="E399" s="463"/>
      <c r="F399" s="496" t="s">
        <v>191</v>
      </c>
      <c r="G399" s="463">
        <v>1</v>
      </c>
      <c r="H399" s="432">
        <v>12.5</v>
      </c>
      <c r="I399" s="463">
        <f t="shared" ref="I399:I413" si="42">G399*H399</f>
        <v>12.5</v>
      </c>
      <c r="J399" s="497">
        <v>17</v>
      </c>
      <c r="K399" s="492">
        <f t="shared" si="40"/>
        <v>212.5</v>
      </c>
      <c r="L399" s="537"/>
      <c r="M399" s="537"/>
      <c r="N399" s="537"/>
    </row>
    <row r="400" s="457" customFormat="1" ht="20.25" spans="1:14">
      <c r="A400" s="494">
        <v>45422</v>
      </c>
      <c r="B400" s="607" t="s">
        <v>52</v>
      </c>
      <c r="C400" s="495">
        <v>45421</v>
      </c>
      <c r="D400" s="463"/>
      <c r="E400" s="463"/>
      <c r="F400" s="496" t="s">
        <v>137</v>
      </c>
      <c r="G400" s="463">
        <v>1</v>
      </c>
      <c r="H400" s="432">
        <v>50</v>
      </c>
      <c r="I400" s="463">
        <f t="shared" si="42"/>
        <v>50</v>
      </c>
      <c r="J400" s="497">
        <v>0.9</v>
      </c>
      <c r="K400" s="492">
        <f t="shared" si="40"/>
        <v>45</v>
      </c>
      <c r="L400" s="537"/>
      <c r="M400" s="537"/>
      <c r="N400" s="537"/>
    </row>
    <row r="401" s="457" customFormat="1" ht="20.25" spans="1:14">
      <c r="A401" s="494">
        <v>45422</v>
      </c>
      <c r="B401" s="607" t="s">
        <v>52</v>
      </c>
      <c r="C401" s="495">
        <v>45421</v>
      </c>
      <c r="D401" s="463"/>
      <c r="E401" s="463"/>
      <c r="F401" s="496" t="s">
        <v>132</v>
      </c>
      <c r="G401" s="463">
        <v>1</v>
      </c>
      <c r="H401" s="432">
        <v>3</v>
      </c>
      <c r="I401" s="463">
        <f t="shared" si="42"/>
        <v>3</v>
      </c>
      <c r="J401" s="497">
        <v>3.6</v>
      </c>
      <c r="K401" s="492">
        <f t="shared" si="40"/>
        <v>10.8</v>
      </c>
      <c r="L401" s="537" t="s">
        <v>116</v>
      </c>
      <c r="M401" s="537"/>
      <c r="N401" s="537"/>
    </row>
    <row r="402" s="457" customFormat="1" ht="20.25" spans="1:14">
      <c r="A402" s="494">
        <v>45422</v>
      </c>
      <c r="B402" s="607" t="s">
        <v>52</v>
      </c>
      <c r="C402" s="495">
        <v>45421</v>
      </c>
      <c r="D402" s="463"/>
      <c r="E402" s="463"/>
      <c r="F402" s="496" t="s">
        <v>125</v>
      </c>
      <c r="G402" s="463">
        <v>1</v>
      </c>
      <c r="H402" s="432">
        <v>2</v>
      </c>
      <c r="I402" s="463">
        <f t="shared" si="42"/>
        <v>2</v>
      </c>
      <c r="J402" s="497">
        <v>7.2</v>
      </c>
      <c r="K402" s="492">
        <f t="shared" si="40"/>
        <v>14.4</v>
      </c>
    </row>
    <row r="403" s="457" customFormat="1" ht="20.25" spans="1:14">
      <c r="A403" s="494">
        <v>45422</v>
      </c>
      <c r="B403" s="607" t="s">
        <v>52</v>
      </c>
      <c r="C403" s="495">
        <v>45421</v>
      </c>
      <c r="D403" s="463"/>
      <c r="E403" s="463"/>
      <c r="F403" s="499" t="s">
        <v>261</v>
      </c>
      <c r="G403" s="501">
        <v>1</v>
      </c>
      <c r="H403" s="500">
        <f>SUM(H397:H402)</f>
        <v>573.5</v>
      </c>
      <c r="I403" s="501">
        <f t="shared" si="42"/>
        <v>573.5</v>
      </c>
      <c r="J403" s="502">
        <v>1</v>
      </c>
      <c r="K403" s="492">
        <f t="shared" si="40"/>
        <v>573.5</v>
      </c>
      <c r="L403" s="636">
        <f>SUM(K397:K403)</f>
        <v>856.2</v>
      </c>
      <c r="M403" s="537" t="s">
        <v>118</v>
      </c>
      <c r="N403" s="537"/>
    </row>
    <row r="404" s="456" customFormat="1" ht="20.25" spans="1:14">
      <c r="A404" s="488">
        <v>45422</v>
      </c>
      <c r="B404" s="608" t="s">
        <v>57</v>
      </c>
      <c r="C404" s="490">
        <v>45422</v>
      </c>
      <c r="D404" s="491"/>
      <c r="E404" s="491"/>
      <c r="F404" s="493" t="s">
        <v>16</v>
      </c>
      <c r="G404" s="491">
        <v>1</v>
      </c>
      <c r="H404" s="431">
        <v>20</v>
      </c>
      <c r="I404" s="491">
        <f t="shared" si="42"/>
        <v>20</v>
      </c>
      <c r="J404" s="492"/>
      <c r="K404" s="492"/>
    </row>
    <row r="405" s="456" customFormat="1" ht="20.25" spans="1:14">
      <c r="A405" s="488">
        <v>45422</v>
      </c>
      <c r="B405" s="608" t="s">
        <v>57</v>
      </c>
      <c r="C405" s="490">
        <v>45422</v>
      </c>
      <c r="D405" s="491"/>
      <c r="E405" s="491"/>
      <c r="F405" s="493" t="s">
        <v>207</v>
      </c>
      <c r="G405" s="491">
        <v>1</v>
      </c>
      <c r="H405" s="431">
        <v>40</v>
      </c>
      <c r="I405" s="491">
        <f t="shared" si="42"/>
        <v>40</v>
      </c>
      <c r="J405" s="492"/>
      <c r="K405" s="492"/>
    </row>
    <row r="406" s="456" customFormat="1" ht="20.25" spans="1:14">
      <c r="A406" s="488">
        <v>45422</v>
      </c>
      <c r="B406" s="608" t="s">
        <v>57</v>
      </c>
      <c r="C406" s="490">
        <v>45422</v>
      </c>
      <c r="D406" s="491"/>
      <c r="E406" s="491"/>
      <c r="F406" s="493" t="s">
        <v>86</v>
      </c>
      <c r="G406" s="491">
        <v>1</v>
      </c>
      <c r="H406" s="431">
        <v>27</v>
      </c>
      <c r="I406" s="491">
        <f t="shared" si="42"/>
        <v>27</v>
      </c>
      <c r="J406" s="492"/>
      <c r="K406" s="492"/>
      <c r="L406" s="536"/>
      <c r="M406" s="536"/>
      <c r="N406" s="536"/>
    </row>
    <row r="407" s="456" customFormat="1" ht="20.25" spans="1:14">
      <c r="A407" s="488">
        <v>45422</v>
      </c>
      <c r="B407" s="608" t="s">
        <v>57</v>
      </c>
      <c r="C407" s="490">
        <v>45422</v>
      </c>
      <c r="D407" s="491"/>
      <c r="E407" s="491"/>
      <c r="F407" s="493" t="s">
        <v>87</v>
      </c>
      <c r="G407" s="491">
        <v>1</v>
      </c>
      <c r="H407" s="431">
        <v>52</v>
      </c>
      <c r="I407" s="491">
        <f t="shared" si="42"/>
        <v>52</v>
      </c>
      <c r="J407" s="492"/>
      <c r="K407" s="492"/>
      <c r="L407" s="536"/>
      <c r="M407" s="536"/>
      <c r="N407" s="536"/>
    </row>
    <row r="408" s="456" customFormat="1" ht="20.25" spans="1:14">
      <c r="A408" s="488">
        <v>45422</v>
      </c>
      <c r="B408" s="608" t="s">
        <v>57</v>
      </c>
      <c r="C408" s="490">
        <v>45422</v>
      </c>
      <c r="D408" s="491"/>
      <c r="E408" s="491"/>
      <c r="F408" s="493" t="s">
        <v>133</v>
      </c>
      <c r="G408" s="491">
        <v>1</v>
      </c>
      <c r="H408" s="431">
        <v>25</v>
      </c>
      <c r="I408" s="491">
        <f t="shared" si="42"/>
        <v>25</v>
      </c>
      <c r="J408" s="492"/>
      <c r="K408" s="492"/>
      <c r="L408" s="536"/>
      <c r="M408" s="536"/>
      <c r="N408" s="536"/>
    </row>
    <row r="409" s="456" customFormat="1" ht="20.25" spans="1:14">
      <c r="A409" s="488">
        <v>45422</v>
      </c>
      <c r="B409" s="608" t="s">
        <v>57</v>
      </c>
      <c r="C409" s="490">
        <v>45422</v>
      </c>
      <c r="D409" s="491"/>
      <c r="E409" s="491"/>
      <c r="F409" s="493" t="s">
        <v>132</v>
      </c>
      <c r="G409" s="491">
        <v>1</v>
      </c>
      <c r="H409" s="431">
        <v>136</v>
      </c>
      <c r="I409" s="491">
        <f t="shared" si="42"/>
        <v>136</v>
      </c>
      <c r="J409" s="492">
        <v>3.6</v>
      </c>
      <c r="K409" s="492">
        <f t="shared" si="40"/>
        <v>489.6</v>
      </c>
      <c r="L409" s="536"/>
      <c r="M409" s="536"/>
      <c r="N409" s="536"/>
    </row>
    <row r="410" s="456" customFormat="1" ht="20.25" spans="1:14">
      <c r="A410" s="488">
        <v>45422</v>
      </c>
      <c r="B410" s="608" t="s">
        <v>57</v>
      </c>
      <c r="C410" s="490">
        <v>45422</v>
      </c>
      <c r="D410" s="491"/>
      <c r="E410" s="491"/>
      <c r="F410" s="493" t="s">
        <v>125</v>
      </c>
      <c r="G410" s="491">
        <v>1</v>
      </c>
      <c r="H410" s="431">
        <v>80</v>
      </c>
      <c r="I410" s="491">
        <f t="shared" si="42"/>
        <v>80</v>
      </c>
      <c r="J410" s="492">
        <v>7.2</v>
      </c>
      <c r="K410" s="492">
        <f t="shared" si="40"/>
        <v>576</v>
      </c>
      <c r="L410" s="536" t="s">
        <v>210</v>
      </c>
      <c r="M410" s="536" t="s">
        <v>126</v>
      </c>
      <c r="N410" s="536"/>
    </row>
    <row r="411" s="456" customFormat="1" ht="20.25" spans="1:14">
      <c r="A411" s="488">
        <v>45422</v>
      </c>
      <c r="B411" s="608" t="s">
        <v>57</v>
      </c>
      <c r="C411" s="490">
        <v>45422</v>
      </c>
      <c r="D411" s="491"/>
      <c r="E411" s="491"/>
      <c r="F411" s="499" t="s">
        <v>262</v>
      </c>
      <c r="G411" s="491">
        <v>1</v>
      </c>
      <c r="H411" s="500">
        <f>SUM(H404:H410)</f>
        <v>380</v>
      </c>
      <c r="I411" s="501">
        <f t="shared" si="42"/>
        <v>380</v>
      </c>
      <c r="J411" s="502">
        <v>1</v>
      </c>
      <c r="K411" s="492">
        <f t="shared" si="40"/>
        <v>380</v>
      </c>
      <c r="L411" s="637">
        <f>SUM(K404:K411)</f>
        <v>1445.6</v>
      </c>
      <c r="M411" s="536"/>
      <c r="N411" s="536"/>
    </row>
    <row r="412" s="457" customFormat="1" ht="20.25" spans="1:14">
      <c r="A412" s="494">
        <v>45428</v>
      </c>
      <c r="B412" s="607" t="s">
        <v>263</v>
      </c>
      <c r="C412" s="495" t="s">
        <v>264</v>
      </c>
      <c r="D412" s="463"/>
      <c r="E412" s="463"/>
      <c r="F412" s="496" t="s">
        <v>265</v>
      </c>
      <c r="G412" s="463">
        <v>1</v>
      </c>
      <c r="H412" s="432">
        <v>100</v>
      </c>
      <c r="I412" s="463">
        <f t="shared" ref="I412:I438" si="43">G412*H412</f>
        <v>100</v>
      </c>
      <c r="J412" s="497"/>
      <c r="K412" s="492"/>
      <c r="L412" s="578"/>
      <c r="M412" s="537"/>
      <c r="N412" s="537"/>
    </row>
    <row r="413" s="457" customFormat="1" ht="20.25" spans="1:14">
      <c r="A413" s="494">
        <v>45428</v>
      </c>
      <c r="B413" s="607" t="s">
        <v>263</v>
      </c>
      <c r="C413" s="495" t="s">
        <v>264</v>
      </c>
      <c r="D413" s="463"/>
      <c r="E413" s="463"/>
      <c r="F413" s="496" t="s">
        <v>252</v>
      </c>
      <c r="G413" s="463">
        <v>1</v>
      </c>
      <c r="H413" s="432">
        <v>6</v>
      </c>
      <c r="I413" s="463">
        <f t="shared" si="43"/>
        <v>6</v>
      </c>
      <c r="J413" s="497"/>
      <c r="K413" s="492"/>
      <c r="L413" s="578"/>
      <c r="M413" s="537"/>
      <c r="N413" s="537"/>
    </row>
    <row r="414" s="457" customFormat="1" ht="20.25" spans="1:14">
      <c r="A414" s="494">
        <v>45428</v>
      </c>
      <c r="B414" s="607" t="s">
        <v>263</v>
      </c>
      <c r="C414" s="495" t="s">
        <v>264</v>
      </c>
      <c r="D414" s="463"/>
      <c r="E414" s="463"/>
      <c r="F414" s="496" t="s">
        <v>266</v>
      </c>
      <c r="G414" s="463">
        <v>1</v>
      </c>
      <c r="H414" s="432">
        <v>50</v>
      </c>
      <c r="I414" s="463">
        <f t="shared" si="43"/>
        <v>50</v>
      </c>
      <c r="J414" s="497"/>
      <c r="K414" s="492"/>
      <c r="L414" s="578"/>
      <c r="M414" s="537"/>
      <c r="N414" s="537"/>
    </row>
    <row r="415" s="457" customFormat="1" ht="20.25" spans="1:14">
      <c r="A415" s="494">
        <v>45428</v>
      </c>
      <c r="B415" s="607" t="s">
        <v>263</v>
      </c>
      <c r="C415" s="495" t="s">
        <v>264</v>
      </c>
      <c r="D415" s="463"/>
      <c r="E415" s="463"/>
      <c r="F415" s="496">
        <v>808</v>
      </c>
      <c r="G415" s="463">
        <v>1</v>
      </c>
      <c r="H415" s="432">
        <v>24</v>
      </c>
      <c r="I415" s="463">
        <f t="shared" si="43"/>
        <v>24</v>
      </c>
      <c r="J415" s="497">
        <v>11</v>
      </c>
      <c r="K415" s="492">
        <f t="shared" ref="K413:K444" si="44">I415*J415</f>
        <v>264</v>
      </c>
      <c r="L415" s="578"/>
      <c r="M415" s="537"/>
      <c r="N415" s="537"/>
    </row>
    <row r="416" s="457" customFormat="1" ht="20.25" spans="1:14">
      <c r="A416" s="494">
        <v>45428</v>
      </c>
      <c r="B416" s="607" t="s">
        <v>263</v>
      </c>
      <c r="C416" s="495" t="s">
        <v>264</v>
      </c>
      <c r="D416" s="463"/>
      <c r="E416" s="463"/>
      <c r="F416" s="496" t="s">
        <v>152</v>
      </c>
      <c r="G416" s="463">
        <v>1</v>
      </c>
      <c r="H416" s="432">
        <v>80</v>
      </c>
      <c r="I416" s="463">
        <f t="shared" si="43"/>
        <v>80</v>
      </c>
      <c r="J416" s="497">
        <v>8.8</v>
      </c>
      <c r="K416" s="492">
        <f t="shared" si="44"/>
        <v>704</v>
      </c>
      <c r="L416" s="636" t="s">
        <v>267</v>
      </c>
      <c r="N416" s="537"/>
    </row>
    <row r="417" s="457" customFormat="1" ht="20.25" spans="1:14">
      <c r="A417" s="494">
        <v>45428</v>
      </c>
      <c r="B417" s="607" t="s">
        <v>263</v>
      </c>
      <c r="C417" s="495" t="s">
        <v>264</v>
      </c>
      <c r="D417" s="463"/>
      <c r="E417" s="463"/>
      <c r="F417" s="496" t="s">
        <v>82</v>
      </c>
      <c r="G417" s="463">
        <v>1</v>
      </c>
      <c r="H417" s="432">
        <v>80</v>
      </c>
      <c r="I417" s="463">
        <f t="shared" si="43"/>
        <v>80</v>
      </c>
      <c r="J417" s="497">
        <v>9</v>
      </c>
      <c r="K417" s="492">
        <f t="shared" si="44"/>
        <v>720</v>
      </c>
      <c r="L417" s="578"/>
      <c r="M417" s="537"/>
      <c r="N417" s="537"/>
    </row>
    <row r="418" s="456" customFormat="1" ht="20.25" spans="1:14">
      <c r="A418" s="494">
        <v>45428</v>
      </c>
      <c r="B418" s="607" t="s">
        <v>263</v>
      </c>
      <c r="C418" s="495" t="s">
        <v>264</v>
      </c>
      <c r="D418" s="463"/>
      <c r="E418" s="463"/>
      <c r="F418" s="499" t="s">
        <v>268</v>
      </c>
      <c r="G418" s="501">
        <v>1</v>
      </c>
      <c r="H418" s="500">
        <f>SUM(H412:H417)</f>
        <v>340</v>
      </c>
      <c r="I418" s="501">
        <f t="shared" si="43"/>
        <v>340</v>
      </c>
      <c r="J418" s="502">
        <v>5</v>
      </c>
      <c r="K418" s="515">
        <f t="shared" si="44"/>
        <v>1700</v>
      </c>
      <c r="L418" s="638">
        <f>SUM(K412:K418)</f>
        <v>3388</v>
      </c>
      <c r="M418" s="536"/>
      <c r="N418" s="536"/>
    </row>
    <row r="419" s="456" customFormat="1" ht="20.25" spans="1:14">
      <c r="A419" s="488">
        <v>45428</v>
      </c>
      <c r="B419" s="456" t="s">
        <v>269</v>
      </c>
      <c r="C419" s="490">
        <v>45427</v>
      </c>
      <c r="D419" s="491"/>
      <c r="E419" s="491"/>
      <c r="F419" s="493" t="s">
        <v>65</v>
      </c>
      <c r="G419" s="491">
        <v>1</v>
      </c>
      <c r="H419" s="431">
        <v>300</v>
      </c>
      <c r="I419" s="491">
        <f t="shared" si="43"/>
        <v>300</v>
      </c>
      <c r="J419" s="492"/>
      <c r="K419" s="492"/>
      <c r="L419" s="536"/>
      <c r="M419" s="492"/>
    </row>
    <row r="420" s="456" customFormat="1" ht="20.25" spans="1:14">
      <c r="A420" s="488">
        <v>45428</v>
      </c>
      <c r="B420" s="456" t="s">
        <v>269</v>
      </c>
      <c r="C420" s="490">
        <v>45427</v>
      </c>
      <c r="D420" s="491"/>
      <c r="E420" s="491"/>
      <c r="F420" s="493" t="s">
        <v>152</v>
      </c>
      <c r="G420" s="491">
        <v>1</v>
      </c>
      <c r="H420" s="431">
        <v>180</v>
      </c>
      <c r="I420" s="491">
        <f t="shared" si="43"/>
        <v>180</v>
      </c>
      <c r="J420" s="492">
        <v>8.5</v>
      </c>
      <c r="K420" s="492">
        <f t="shared" si="44"/>
        <v>1530</v>
      </c>
      <c r="L420" s="536"/>
      <c r="M420" s="492"/>
    </row>
    <row r="421" s="456" customFormat="1" ht="20.25" spans="1:14">
      <c r="A421" s="488">
        <v>45428</v>
      </c>
      <c r="B421" s="456" t="s">
        <v>269</v>
      </c>
      <c r="C421" s="490">
        <v>45427</v>
      </c>
      <c r="D421" s="491"/>
      <c r="E421" s="491"/>
      <c r="F421" s="493" t="s">
        <v>125</v>
      </c>
      <c r="G421" s="491">
        <v>1</v>
      </c>
      <c r="H421" s="431">
        <v>540</v>
      </c>
      <c r="I421" s="491">
        <f t="shared" si="43"/>
        <v>540</v>
      </c>
      <c r="J421" s="492">
        <v>7.5</v>
      </c>
      <c r="K421" s="492">
        <f t="shared" si="44"/>
        <v>4050</v>
      </c>
      <c r="L421" s="536"/>
    </row>
    <row r="422" s="456" customFormat="1" ht="20.25" spans="1:14">
      <c r="A422" s="488">
        <v>45428</v>
      </c>
      <c r="B422" s="456" t="s">
        <v>269</v>
      </c>
      <c r="C422" s="490">
        <v>45427</v>
      </c>
      <c r="D422" s="491"/>
      <c r="E422" s="491"/>
      <c r="F422" s="499" t="s">
        <v>66</v>
      </c>
      <c r="G422" s="501">
        <v>1</v>
      </c>
      <c r="H422" s="500">
        <f>SUM(H419:H421)</f>
        <v>1020</v>
      </c>
      <c r="I422" s="501">
        <f t="shared" si="43"/>
        <v>1020</v>
      </c>
      <c r="J422" s="502">
        <v>0.8</v>
      </c>
      <c r="K422" s="515">
        <f t="shared" si="44"/>
        <v>816</v>
      </c>
      <c r="L422" s="536"/>
    </row>
    <row r="423" s="456" customFormat="1" ht="20.25" spans="1:14">
      <c r="A423" s="488">
        <v>45428</v>
      </c>
      <c r="B423" s="456" t="s">
        <v>269</v>
      </c>
      <c r="C423" s="490">
        <v>45427</v>
      </c>
      <c r="D423" s="491"/>
      <c r="E423" s="491"/>
      <c r="F423" s="493" t="s">
        <v>97</v>
      </c>
      <c r="G423" s="491">
        <v>1</v>
      </c>
      <c r="H423" s="431">
        <v>200</v>
      </c>
      <c r="I423" s="491">
        <f t="shared" si="43"/>
        <v>200</v>
      </c>
      <c r="J423" s="492"/>
      <c r="K423" s="492"/>
      <c r="L423" s="536"/>
    </row>
    <row r="424" s="456" customFormat="1" ht="20.25" spans="1:14">
      <c r="A424" s="488">
        <v>45428</v>
      </c>
      <c r="B424" s="456" t="s">
        <v>269</v>
      </c>
      <c r="C424" s="490">
        <v>45427</v>
      </c>
      <c r="D424" s="491"/>
      <c r="E424" s="491"/>
      <c r="F424" s="493" t="s">
        <v>125</v>
      </c>
      <c r="G424" s="491">
        <v>1</v>
      </c>
      <c r="H424" s="431">
        <v>720</v>
      </c>
      <c r="I424" s="491">
        <f t="shared" si="43"/>
        <v>720</v>
      </c>
      <c r="J424" s="492">
        <v>7.5</v>
      </c>
      <c r="K424" s="492">
        <f t="shared" si="44"/>
        <v>5400</v>
      </c>
      <c r="L424" s="536"/>
    </row>
    <row r="425" s="456" customFormat="1" ht="20.25" spans="1:14">
      <c r="A425" s="488">
        <v>45428</v>
      </c>
      <c r="B425" s="456" t="s">
        <v>269</v>
      </c>
      <c r="C425" s="490">
        <v>45427</v>
      </c>
      <c r="D425" s="491"/>
      <c r="E425" s="491"/>
      <c r="F425" s="493" t="s">
        <v>152</v>
      </c>
      <c r="G425" s="491">
        <v>1</v>
      </c>
      <c r="H425" s="431">
        <v>360</v>
      </c>
      <c r="I425" s="491">
        <f t="shared" si="43"/>
        <v>360</v>
      </c>
      <c r="J425" s="492">
        <v>8.5</v>
      </c>
      <c r="K425" s="492">
        <f t="shared" si="44"/>
        <v>3060</v>
      </c>
      <c r="L425" s="536"/>
    </row>
    <row r="426" s="457" customFormat="1" ht="20.25" spans="1:14">
      <c r="A426" s="488">
        <v>45428</v>
      </c>
      <c r="B426" s="456" t="s">
        <v>269</v>
      </c>
      <c r="C426" s="490">
        <v>45427</v>
      </c>
      <c r="D426" s="491"/>
      <c r="E426" s="491"/>
      <c r="F426" s="499" t="s">
        <v>68</v>
      </c>
      <c r="G426" s="501">
        <v>1</v>
      </c>
      <c r="H426" s="500">
        <f>SUM(H423:H425)</f>
        <v>1280</v>
      </c>
      <c r="I426" s="501">
        <f t="shared" si="43"/>
        <v>1280</v>
      </c>
      <c r="J426" s="502">
        <v>0.8</v>
      </c>
      <c r="K426" s="515">
        <f t="shared" si="44"/>
        <v>1024</v>
      </c>
      <c r="L426" s="537">
        <f>SUM(K419:K426)</f>
        <v>15880</v>
      </c>
    </row>
    <row r="427" s="457" customFormat="1" ht="20.25" spans="1:14">
      <c r="A427" s="494">
        <v>45428</v>
      </c>
      <c r="B427" s="457" t="s">
        <v>270</v>
      </c>
      <c r="C427" s="495">
        <v>45427</v>
      </c>
      <c r="D427" s="463"/>
      <c r="E427" s="463"/>
      <c r="F427" s="496" t="s">
        <v>42</v>
      </c>
      <c r="G427" s="463">
        <v>1</v>
      </c>
      <c r="H427" s="432">
        <v>180</v>
      </c>
      <c r="I427" s="463">
        <f t="shared" si="43"/>
        <v>180</v>
      </c>
      <c r="J427" s="497"/>
      <c r="K427" s="492"/>
    </row>
    <row r="428" s="457" customFormat="1" ht="20.25" spans="1:14">
      <c r="A428" s="494">
        <v>45428</v>
      </c>
      <c r="B428" s="457" t="s">
        <v>270</v>
      </c>
      <c r="C428" s="495">
        <v>45427</v>
      </c>
      <c r="D428" s="463"/>
      <c r="E428" s="463"/>
      <c r="F428" s="496" t="s">
        <v>43</v>
      </c>
      <c r="G428" s="463">
        <v>1</v>
      </c>
      <c r="H428" s="432">
        <v>126</v>
      </c>
      <c r="I428" s="463">
        <f t="shared" si="43"/>
        <v>126</v>
      </c>
      <c r="J428" s="497">
        <v>11</v>
      </c>
      <c r="K428" s="492">
        <f t="shared" si="44"/>
        <v>1386</v>
      </c>
    </row>
    <row r="429" s="457" customFormat="1" ht="20.25" spans="1:14">
      <c r="A429" s="494">
        <v>45428</v>
      </c>
      <c r="B429" s="457" t="s">
        <v>270</v>
      </c>
      <c r="C429" s="495">
        <v>45427</v>
      </c>
      <c r="D429" s="463"/>
      <c r="E429" s="463"/>
      <c r="F429" s="496" t="s">
        <v>86</v>
      </c>
      <c r="G429" s="463">
        <v>1</v>
      </c>
      <c r="H429" s="432">
        <v>102</v>
      </c>
      <c r="I429" s="463">
        <f t="shared" si="43"/>
        <v>102</v>
      </c>
      <c r="J429" s="497"/>
      <c r="K429" s="492"/>
      <c r="L429" s="537" t="s">
        <v>271</v>
      </c>
      <c r="M429" s="537"/>
      <c r="N429" s="537"/>
    </row>
    <row r="430" s="457" customFormat="1" ht="20.25" spans="1:14">
      <c r="A430" s="494">
        <v>45428</v>
      </c>
      <c r="B430" s="457" t="s">
        <v>270</v>
      </c>
      <c r="C430" s="495">
        <v>45427</v>
      </c>
      <c r="D430" s="463"/>
      <c r="E430" s="463"/>
      <c r="F430" s="496" t="s">
        <v>87</v>
      </c>
      <c r="G430" s="463">
        <v>1</v>
      </c>
      <c r="H430" s="432">
        <v>192</v>
      </c>
      <c r="I430" s="463">
        <f t="shared" si="43"/>
        <v>192</v>
      </c>
      <c r="J430" s="497"/>
      <c r="K430" s="492"/>
      <c r="L430" s="622"/>
      <c r="M430" s="537" t="s">
        <v>51</v>
      </c>
      <c r="N430" s="537"/>
    </row>
    <row r="431" s="457" customFormat="1" ht="20.25" spans="1:14">
      <c r="A431" s="494">
        <v>45428</v>
      </c>
      <c r="B431" s="457" t="s">
        <v>270</v>
      </c>
      <c r="C431" s="495">
        <v>45427</v>
      </c>
      <c r="D431" s="463"/>
      <c r="E431" s="463"/>
      <c r="F431" s="499" t="s">
        <v>47</v>
      </c>
      <c r="G431" s="501">
        <v>1</v>
      </c>
      <c r="H431" s="500">
        <f>SUM(H427:H430)</f>
        <v>600</v>
      </c>
      <c r="I431" s="501">
        <f t="shared" si="43"/>
        <v>600</v>
      </c>
      <c r="J431" s="502">
        <v>1</v>
      </c>
      <c r="K431" s="492">
        <f t="shared" si="44"/>
        <v>600</v>
      </c>
      <c r="L431" s="537">
        <f>SUM(K427:K431)</f>
        <v>1986</v>
      </c>
      <c r="M431" s="537"/>
      <c r="N431" s="537"/>
    </row>
    <row r="432" s="456" customFormat="1" ht="20.25" spans="1:14">
      <c r="A432" s="488">
        <v>45428</v>
      </c>
      <c r="B432" s="456" t="s">
        <v>272</v>
      </c>
      <c r="C432" s="490">
        <v>45427</v>
      </c>
      <c r="D432" s="491"/>
      <c r="E432" s="491"/>
      <c r="F432" s="493" t="s">
        <v>16</v>
      </c>
      <c r="G432" s="491">
        <v>1</v>
      </c>
      <c r="H432" s="431">
        <v>150</v>
      </c>
      <c r="I432" s="491">
        <f t="shared" si="43"/>
        <v>150</v>
      </c>
      <c r="J432" s="492"/>
      <c r="K432" s="492"/>
    </row>
    <row r="433" s="456" customFormat="1" ht="20.25" spans="1:15">
      <c r="A433" s="488">
        <v>45428</v>
      </c>
      <c r="B433" s="456" t="s">
        <v>272</v>
      </c>
      <c r="C433" s="490">
        <v>45427</v>
      </c>
      <c r="D433" s="491"/>
      <c r="E433" s="491"/>
      <c r="F433" s="493" t="s">
        <v>86</v>
      </c>
      <c r="G433" s="491">
        <v>1</v>
      </c>
      <c r="H433" s="431">
        <v>200</v>
      </c>
      <c r="I433" s="491">
        <f t="shared" si="43"/>
        <v>200</v>
      </c>
      <c r="J433" s="492"/>
      <c r="K433" s="492"/>
    </row>
    <row r="434" s="456" customFormat="1" ht="20.25" spans="1:15">
      <c r="A434" s="488">
        <v>45428</v>
      </c>
      <c r="B434" s="456" t="s">
        <v>272</v>
      </c>
      <c r="C434" s="490">
        <v>45427</v>
      </c>
      <c r="D434" s="491"/>
      <c r="E434" s="491"/>
      <c r="F434" s="493" t="s">
        <v>87</v>
      </c>
      <c r="G434" s="491">
        <v>1</v>
      </c>
      <c r="H434" s="431">
        <v>450</v>
      </c>
      <c r="I434" s="491">
        <f t="shared" si="43"/>
        <v>450</v>
      </c>
      <c r="J434" s="492"/>
      <c r="K434" s="492"/>
    </row>
    <row r="435" s="456" customFormat="1" ht="20.25" spans="1:15">
      <c r="A435" s="488">
        <v>45428</v>
      </c>
      <c r="B435" s="456" t="s">
        <v>272</v>
      </c>
      <c r="C435" s="490">
        <v>45427</v>
      </c>
      <c r="D435" s="491"/>
      <c r="E435" s="491"/>
      <c r="F435" s="493" t="s">
        <v>177</v>
      </c>
      <c r="G435" s="491">
        <v>1</v>
      </c>
      <c r="H435" s="431">
        <v>53</v>
      </c>
      <c r="I435" s="491">
        <f t="shared" si="43"/>
        <v>53</v>
      </c>
      <c r="J435" s="492">
        <v>11</v>
      </c>
      <c r="K435" s="492">
        <f t="shared" si="44"/>
        <v>583</v>
      </c>
      <c r="M435" s="456" t="s">
        <v>182</v>
      </c>
    </row>
    <row r="436" s="456" customFormat="1" ht="20.25" spans="1:15">
      <c r="A436" s="488">
        <v>45428</v>
      </c>
      <c r="B436" s="456" t="s">
        <v>272</v>
      </c>
      <c r="C436" s="490">
        <v>45427</v>
      </c>
      <c r="D436" s="491"/>
      <c r="E436" s="491"/>
      <c r="F436" s="493" t="s">
        <v>183</v>
      </c>
      <c r="G436" s="491">
        <v>1</v>
      </c>
      <c r="H436" s="431">
        <v>147</v>
      </c>
      <c r="I436" s="491">
        <f t="shared" si="43"/>
        <v>147</v>
      </c>
      <c r="J436" s="492"/>
      <c r="K436" s="492"/>
      <c r="M436" s="456" t="s">
        <v>184</v>
      </c>
      <c r="N436" s="456" t="s">
        <v>185</v>
      </c>
    </row>
    <row r="437" s="456" customFormat="1" ht="20.25" spans="1:15">
      <c r="A437" s="488">
        <v>45428</v>
      </c>
      <c r="B437" s="456" t="s">
        <v>272</v>
      </c>
      <c r="C437" s="490">
        <v>45427</v>
      </c>
      <c r="D437" s="491"/>
      <c r="E437" s="491"/>
      <c r="F437" s="499" t="s">
        <v>186</v>
      </c>
      <c r="G437" s="501">
        <v>1</v>
      </c>
      <c r="H437" s="500">
        <f>SUM(H432:H436)</f>
        <v>1000</v>
      </c>
      <c r="I437" s="501">
        <f t="shared" si="43"/>
        <v>1000</v>
      </c>
      <c r="J437" s="502">
        <v>1</v>
      </c>
      <c r="K437" s="492">
        <f t="shared" si="44"/>
        <v>1000</v>
      </c>
      <c r="L437" s="456">
        <f>SUM(K432:K438)</f>
        <v>2033</v>
      </c>
    </row>
    <row r="438" s="456" customFormat="1" ht="20.25" spans="1:15">
      <c r="A438" s="488">
        <v>45428</v>
      </c>
      <c r="B438" s="456" t="s">
        <v>272</v>
      </c>
      <c r="C438" s="490">
        <v>45427</v>
      </c>
      <c r="D438" s="491"/>
      <c r="E438" s="491"/>
      <c r="F438" s="522" t="s">
        <v>273</v>
      </c>
      <c r="G438" s="523">
        <v>1</v>
      </c>
      <c r="H438" s="524">
        <v>25</v>
      </c>
      <c r="I438" s="523">
        <f t="shared" si="43"/>
        <v>25</v>
      </c>
      <c r="J438" s="525">
        <v>18</v>
      </c>
      <c r="K438" s="525">
        <f t="shared" si="44"/>
        <v>450</v>
      </c>
      <c r="L438" s="4" t="s">
        <v>274</v>
      </c>
      <c r="O438" s="456" t="s">
        <v>275</v>
      </c>
    </row>
    <row r="439" s="456" customFormat="1" ht="20.25" spans="1:15">
      <c r="A439" s="494"/>
      <c r="B439" s="457"/>
      <c r="C439" s="495"/>
      <c r="D439" s="463"/>
      <c r="E439" s="463"/>
      <c r="F439" s="498" t="s">
        <v>276</v>
      </c>
      <c r="G439" s="463"/>
      <c r="H439" s="500"/>
      <c r="I439" s="501"/>
      <c r="J439" s="502"/>
      <c r="K439" s="492"/>
    </row>
    <row r="440" s="457" customFormat="1" ht="20.25" spans="1:15">
      <c r="A440" s="494">
        <v>45429</v>
      </c>
      <c r="B440" s="457" t="s">
        <v>277</v>
      </c>
      <c r="C440" s="504">
        <v>45428</v>
      </c>
      <c r="D440" s="504"/>
      <c r="E440" s="505"/>
      <c r="F440" s="496" t="s">
        <v>251</v>
      </c>
      <c r="G440" s="463">
        <v>2</v>
      </c>
      <c r="H440" s="432">
        <v>200</v>
      </c>
      <c r="I440" s="463">
        <f t="shared" ref="I440:I445" si="45">G440*H440</f>
        <v>400</v>
      </c>
      <c r="J440" s="497"/>
      <c r="K440" s="492"/>
    </row>
    <row r="441" s="457" customFormat="1" ht="20.25" spans="1:15">
      <c r="A441" s="494">
        <v>45429</v>
      </c>
      <c r="B441" s="457" t="s">
        <v>277</v>
      </c>
      <c r="C441" s="495">
        <v>45428</v>
      </c>
      <c r="D441" s="463"/>
      <c r="E441" s="463"/>
      <c r="F441" s="496" t="s">
        <v>129</v>
      </c>
      <c r="G441" s="463">
        <v>2</v>
      </c>
      <c r="H441" s="432">
        <v>150</v>
      </c>
      <c r="I441" s="463">
        <f t="shared" si="45"/>
        <v>300</v>
      </c>
      <c r="J441" s="497"/>
      <c r="K441" s="492"/>
    </row>
    <row r="442" s="457" customFormat="1" ht="20.25" spans="1:15">
      <c r="A442" s="494">
        <v>45429</v>
      </c>
      <c r="B442" s="457" t="s">
        <v>277</v>
      </c>
      <c r="C442" s="495">
        <v>45428</v>
      </c>
      <c r="D442" s="463"/>
      <c r="E442" s="463"/>
      <c r="F442" s="496">
        <v>808</v>
      </c>
      <c r="G442" s="463">
        <v>2</v>
      </c>
      <c r="H442" s="432">
        <v>200</v>
      </c>
      <c r="I442" s="463">
        <f t="shared" si="45"/>
        <v>400</v>
      </c>
      <c r="J442" s="497">
        <v>11</v>
      </c>
      <c r="K442" s="492">
        <f t="shared" si="44"/>
        <v>4400</v>
      </c>
    </row>
    <row r="443" s="457" customFormat="1" ht="20.25" spans="1:15">
      <c r="A443" s="494">
        <v>45429</v>
      </c>
      <c r="B443" s="457" t="s">
        <v>277</v>
      </c>
      <c r="C443" s="495">
        <v>45428</v>
      </c>
      <c r="D443" s="463"/>
      <c r="E443" s="463"/>
      <c r="F443" s="496" t="s">
        <v>86</v>
      </c>
      <c r="G443" s="463">
        <v>2</v>
      </c>
      <c r="H443" s="432">
        <v>70</v>
      </c>
      <c r="I443" s="463">
        <f t="shared" si="45"/>
        <v>140</v>
      </c>
      <c r="J443" s="497"/>
      <c r="K443" s="492"/>
      <c r="L443" s="537"/>
      <c r="M443" s="537"/>
      <c r="N443" s="537"/>
    </row>
    <row r="444" s="457" customFormat="1" ht="20.25" spans="1:15">
      <c r="A444" s="494">
        <v>45429</v>
      </c>
      <c r="B444" s="457" t="s">
        <v>277</v>
      </c>
      <c r="C444" s="495">
        <v>45428</v>
      </c>
      <c r="D444" s="463"/>
      <c r="E444" s="463"/>
      <c r="F444" s="496" t="s">
        <v>87</v>
      </c>
      <c r="G444" s="463">
        <v>2</v>
      </c>
      <c r="H444" s="432">
        <v>380</v>
      </c>
      <c r="I444" s="463">
        <f t="shared" si="45"/>
        <v>760</v>
      </c>
      <c r="J444" s="497"/>
      <c r="K444" s="492"/>
      <c r="L444" s="537"/>
      <c r="M444" s="537" t="s">
        <v>126</v>
      </c>
      <c r="N444" s="537"/>
    </row>
    <row r="445" s="457" customFormat="1" ht="20.25" spans="1:15">
      <c r="A445" s="494">
        <v>45429</v>
      </c>
      <c r="B445" s="457" t="s">
        <v>277</v>
      </c>
      <c r="C445" s="495">
        <v>45428</v>
      </c>
      <c r="D445" s="463"/>
      <c r="E445" s="463"/>
      <c r="F445" s="499" t="s">
        <v>130</v>
      </c>
      <c r="G445" s="501">
        <v>2</v>
      </c>
      <c r="H445" s="500">
        <f>SUM(H440:H444)</f>
        <v>1000</v>
      </c>
      <c r="I445" s="501">
        <f t="shared" si="45"/>
        <v>2000</v>
      </c>
      <c r="J445" s="502">
        <v>1</v>
      </c>
      <c r="K445" s="502">
        <f t="shared" ref="K445:K480" si="46">I445*J445</f>
        <v>2000</v>
      </c>
      <c r="L445" s="537">
        <f>SUM(K440:K445)</f>
        <v>6400</v>
      </c>
      <c r="M445" s="537"/>
      <c r="N445" s="537"/>
    </row>
    <row r="446" s="456" customFormat="1" ht="20.25" spans="1:15">
      <c r="A446" s="488">
        <v>45429</v>
      </c>
      <c r="B446" s="456" t="s">
        <v>79</v>
      </c>
      <c r="C446" s="490">
        <v>45429</v>
      </c>
      <c r="D446" s="491"/>
      <c r="E446" s="491"/>
      <c r="F446" s="493" t="s">
        <v>97</v>
      </c>
      <c r="G446" s="491">
        <v>1</v>
      </c>
      <c r="H446" s="431">
        <v>200</v>
      </c>
      <c r="I446" s="491">
        <f t="shared" ref="I446:I465" si="47">G446*H446</f>
        <v>200</v>
      </c>
      <c r="J446" s="492"/>
      <c r="K446" s="492"/>
      <c r="L446" s="536"/>
    </row>
    <row r="447" s="456" customFormat="1" ht="20.25" spans="1:15">
      <c r="A447" s="488">
        <v>45429</v>
      </c>
      <c r="B447" s="456" t="s">
        <v>79</v>
      </c>
      <c r="C447" s="490">
        <v>45429</v>
      </c>
      <c r="D447" s="491"/>
      <c r="E447" s="491"/>
      <c r="F447" s="493" t="s">
        <v>125</v>
      </c>
      <c r="G447" s="491">
        <v>1</v>
      </c>
      <c r="H447" s="431">
        <v>720</v>
      </c>
      <c r="I447" s="491">
        <f t="shared" si="47"/>
        <v>720</v>
      </c>
      <c r="J447" s="492">
        <v>7.5</v>
      </c>
      <c r="K447" s="492">
        <f t="shared" si="46"/>
        <v>5400</v>
      </c>
      <c r="L447" s="536"/>
    </row>
    <row r="448" s="456" customFormat="1" ht="20.25" spans="1:15">
      <c r="A448" s="488">
        <v>45429</v>
      </c>
      <c r="B448" s="456" t="s">
        <v>79</v>
      </c>
      <c r="C448" s="490">
        <v>45429</v>
      </c>
      <c r="D448" s="491"/>
      <c r="E448" s="491"/>
      <c r="F448" s="493" t="s">
        <v>152</v>
      </c>
      <c r="G448" s="491">
        <v>1</v>
      </c>
      <c r="H448" s="431">
        <v>360</v>
      </c>
      <c r="I448" s="491">
        <f t="shared" si="47"/>
        <v>360</v>
      </c>
      <c r="J448" s="492">
        <v>8.5</v>
      </c>
      <c r="K448" s="492">
        <f t="shared" si="46"/>
        <v>3060</v>
      </c>
      <c r="L448" s="536"/>
    </row>
    <row r="449" s="457" customFormat="1" ht="20.25" spans="1:14">
      <c r="A449" s="488">
        <v>45429</v>
      </c>
      <c r="B449" s="456" t="s">
        <v>79</v>
      </c>
      <c r="C449" s="490">
        <v>45429</v>
      </c>
      <c r="D449" s="491"/>
      <c r="E449" s="491"/>
      <c r="F449" s="499" t="s">
        <v>68</v>
      </c>
      <c r="G449" s="501">
        <v>1</v>
      </c>
      <c r="H449" s="500">
        <f>SUM(H446:H448)</f>
        <v>1280</v>
      </c>
      <c r="I449" s="501">
        <f t="shared" si="47"/>
        <v>1280</v>
      </c>
      <c r="J449" s="502">
        <v>0.8</v>
      </c>
      <c r="K449" s="502">
        <f t="shared" si="46"/>
        <v>1024</v>
      </c>
      <c r="L449" s="537">
        <f>SUM(K446:K449)</f>
        <v>9484</v>
      </c>
    </row>
    <row r="450" s="457" customFormat="1" ht="20.25" spans="1:14">
      <c r="A450" s="494">
        <v>45429</v>
      </c>
      <c r="B450" s="457" t="s">
        <v>85</v>
      </c>
      <c r="C450" s="495">
        <v>45429</v>
      </c>
      <c r="D450" s="463"/>
      <c r="E450" s="463"/>
      <c r="F450" s="522" t="s">
        <v>16</v>
      </c>
      <c r="G450" s="463">
        <v>1</v>
      </c>
      <c r="H450" s="524">
        <v>75</v>
      </c>
      <c r="I450" s="463">
        <f t="shared" si="47"/>
        <v>75</v>
      </c>
      <c r="J450" s="497"/>
      <c r="K450" s="492"/>
      <c r="L450" s="537"/>
      <c r="M450" s="537"/>
      <c r="N450" s="537"/>
    </row>
    <row r="451" s="457" customFormat="1" ht="20.25" spans="1:14">
      <c r="A451" s="494">
        <v>45429</v>
      </c>
      <c r="B451" s="457" t="s">
        <v>85</v>
      </c>
      <c r="C451" s="495">
        <v>45429</v>
      </c>
      <c r="D451" s="463"/>
      <c r="E451" s="463"/>
      <c r="F451" s="522" t="s">
        <v>86</v>
      </c>
      <c r="G451" s="463">
        <v>1</v>
      </c>
      <c r="H451" s="524">
        <v>100</v>
      </c>
      <c r="I451" s="463">
        <f t="shared" si="47"/>
        <v>100</v>
      </c>
      <c r="J451" s="497"/>
      <c r="K451" s="492"/>
      <c r="L451" s="537"/>
      <c r="M451" s="537"/>
      <c r="N451" s="537"/>
    </row>
    <row r="452" s="457" customFormat="1" ht="20.25" spans="1:14">
      <c r="A452" s="494">
        <v>45429</v>
      </c>
      <c r="B452" s="457" t="s">
        <v>85</v>
      </c>
      <c r="C452" s="495">
        <v>45429</v>
      </c>
      <c r="D452" s="463"/>
      <c r="E452" s="463"/>
      <c r="F452" s="522" t="s">
        <v>87</v>
      </c>
      <c r="G452" s="463">
        <v>1</v>
      </c>
      <c r="H452" s="524">
        <v>225</v>
      </c>
      <c r="I452" s="463">
        <f t="shared" si="47"/>
        <v>225</v>
      </c>
      <c r="J452" s="497"/>
      <c r="K452" s="492"/>
      <c r="L452" s="537"/>
      <c r="M452" s="537"/>
      <c r="N452" s="537"/>
    </row>
    <row r="453" s="457" customFormat="1" ht="20.25" spans="1:14">
      <c r="A453" s="494">
        <v>45429</v>
      </c>
      <c r="B453" s="457" t="s">
        <v>85</v>
      </c>
      <c r="C453" s="495">
        <v>45429</v>
      </c>
      <c r="D453" s="463"/>
      <c r="E453" s="463"/>
      <c r="F453" s="522" t="s">
        <v>177</v>
      </c>
      <c r="G453" s="463">
        <v>1</v>
      </c>
      <c r="H453" s="524">
        <v>25</v>
      </c>
      <c r="I453" s="463">
        <f t="shared" si="47"/>
        <v>25</v>
      </c>
      <c r="J453" s="497">
        <v>11</v>
      </c>
      <c r="K453" s="492">
        <f t="shared" si="46"/>
        <v>275</v>
      </c>
      <c r="L453" s="543" t="s">
        <v>189</v>
      </c>
      <c r="M453" s="543"/>
      <c r="N453" s="537"/>
    </row>
    <row r="454" s="457" customFormat="1" ht="20.25" spans="1:14">
      <c r="A454" s="494">
        <v>45429</v>
      </c>
      <c r="B454" s="457" t="s">
        <v>85</v>
      </c>
      <c r="C454" s="495">
        <v>45429</v>
      </c>
      <c r="D454" s="463"/>
      <c r="E454" s="463"/>
      <c r="F454" s="522" t="s">
        <v>183</v>
      </c>
      <c r="G454" s="463">
        <v>1</v>
      </c>
      <c r="H454" s="524">
        <v>75</v>
      </c>
      <c r="I454" s="463">
        <f t="shared" si="47"/>
        <v>75</v>
      </c>
      <c r="J454" s="497"/>
      <c r="K454" s="492"/>
      <c r="L454" s="639" t="s">
        <v>278</v>
      </c>
      <c r="M454" s="543"/>
      <c r="N454" s="537"/>
    </row>
    <row r="455" s="457" customFormat="1" ht="20.25" spans="1:14">
      <c r="A455" s="494">
        <v>45429</v>
      </c>
      <c r="B455" s="457" t="s">
        <v>85</v>
      </c>
      <c r="C455" s="495">
        <v>45429</v>
      </c>
      <c r="D455" s="463"/>
      <c r="E455" s="463"/>
      <c r="F455" s="496" t="s">
        <v>191</v>
      </c>
      <c r="G455" s="463">
        <v>1</v>
      </c>
      <c r="H455" s="432">
        <v>22.5</v>
      </c>
      <c r="I455" s="463">
        <f t="shared" si="47"/>
        <v>22.5</v>
      </c>
      <c r="J455" s="497">
        <v>17</v>
      </c>
      <c r="K455" s="492">
        <f t="shared" si="46"/>
        <v>382.5</v>
      </c>
      <c r="L455" s="537"/>
      <c r="M455" s="537"/>
      <c r="N455" s="537"/>
    </row>
    <row r="456" s="457" customFormat="1" ht="20.25" spans="1:14">
      <c r="A456" s="494">
        <v>45429</v>
      </c>
      <c r="B456" s="457" t="s">
        <v>85</v>
      </c>
      <c r="C456" s="495">
        <v>45429</v>
      </c>
      <c r="D456" s="463"/>
      <c r="E456" s="463"/>
      <c r="F456" s="496">
        <v>808</v>
      </c>
      <c r="G456" s="463">
        <v>1</v>
      </c>
      <c r="H456" s="432">
        <v>35</v>
      </c>
      <c r="I456" s="463">
        <f t="shared" si="47"/>
        <v>35</v>
      </c>
      <c r="J456" s="497">
        <v>11</v>
      </c>
      <c r="K456" s="492">
        <f t="shared" si="46"/>
        <v>385</v>
      </c>
      <c r="L456" s="536" t="s">
        <v>126</v>
      </c>
    </row>
    <row r="457" s="457" customFormat="1" ht="20.25" spans="1:14">
      <c r="A457" s="494">
        <v>45429</v>
      </c>
      <c r="B457" s="457" t="s">
        <v>85</v>
      </c>
      <c r="C457" s="495">
        <v>45429</v>
      </c>
      <c r="D457" s="463"/>
      <c r="E457" s="463"/>
      <c r="F457" s="496" t="s">
        <v>132</v>
      </c>
      <c r="G457" s="463">
        <v>1</v>
      </c>
      <c r="H457" s="432">
        <v>139</v>
      </c>
      <c r="I457" s="463">
        <f t="shared" si="47"/>
        <v>139</v>
      </c>
      <c r="J457" s="497">
        <v>3.6</v>
      </c>
      <c r="K457" s="492">
        <f t="shared" si="46"/>
        <v>500.4</v>
      </c>
    </row>
    <row r="458" s="457" customFormat="1" ht="20.25" spans="1:14">
      <c r="A458" s="494">
        <v>45429</v>
      </c>
      <c r="B458" s="457" t="s">
        <v>85</v>
      </c>
      <c r="C458" s="495">
        <v>45429</v>
      </c>
      <c r="D458" s="463"/>
      <c r="E458" s="463"/>
      <c r="F458" s="499" t="s">
        <v>134</v>
      </c>
      <c r="G458" s="501">
        <v>1</v>
      </c>
      <c r="H458" s="500">
        <f>SUM(H450:H457)</f>
        <v>696.5</v>
      </c>
      <c r="I458" s="501">
        <f t="shared" si="47"/>
        <v>696.5</v>
      </c>
      <c r="J458" s="502">
        <v>1</v>
      </c>
      <c r="K458" s="502">
        <f t="shared" si="46"/>
        <v>696.5</v>
      </c>
      <c r="L458" s="537">
        <f>SUM(K450:K458)</f>
        <v>2239.4</v>
      </c>
      <c r="M458" s="537"/>
      <c r="N458" s="537"/>
    </row>
    <row r="459" s="456" customFormat="1" ht="20.25" spans="1:14">
      <c r="A459" s="488">
        <v>45429</v>
      </c>
      <c r="B459" s="456" t="s">
        <v>279</v>
      </c>
      <c r="C459" s="490">
        <v>45429</v>
      </c>
      <c r="D459" s="491"/>
      <c r="E459" s="491"/>
      <c r="F459" s="493" t="s">
        <v>16</v>
      </c>
      <c r="G459" s="491">
        <v>1</v>
      </c>
      <c r="H459" s="431">
        <v>100</v>
      </c>
      <c r="I459" s="491">
        <f t="shared" si="47"/>
        <v>100</v>
      </c>
      <c r="J459" s="492"/>
      <c r="K459" s="492"/>
    </row>
    <row r="460" s="456" customFormat="1" ht="20.25" spans="1:14">
      <c r="A460" s="488">
        <v>45429</v>
      </c>
      <c r="B460" s="456" t="s">
        <v>279</v>
      </c>
      <c r="C460" s="490">
        <v>45429</v>
      </c>
      <c r="D460" s="491"/>
      <c r="E460" s="491"/>
      <c r="F460" s="493" t="s">
        <v>114</v>
      </c>
      <c r="G460" s="491">
        <v>1</v>
      </c>
      <c r="H460" s="431">
        <v>110</v>
      </c>
      <c r="I460" s="491">
        <f t="shared" si="47"/>
        <v>110</v>
      </c>
      <c r="J460" s="492"/>
      <c r="K460" s="492"/>
    </row>
    <row r="461" s="456" customFormat="1" ht="20.25" spans="1:14">
      <c r="A461" s="488">
        <v>45429</v>
      </c>
      <c r="B461" s="456" t="s">
        <v>279</v>
      </c>
      <c r="C461" s="490">
        <v>45429</v>
      </c>
      <c r="D461" s="491"/>
      <c r="E461" s="491"/>
      <c r="F461" s="493" t="s">
        <v>86</v>
      </c>
      <c r="G461" s="491">
        <v>1</v>
      </c>
      <c r="H461" s="431">
        <v>35</v>
      </c>
      <c r="I461" s="491">
        <f t="shared" ref="I461:I468" si="48">G461*H461</f>
        <v>35</v>
      </c>
      <c r="J461" s="492"/>
      <c r="K461" s="492"/>
      <c r="L461" s="536"/>
      <c r="M461" s="536"/>
      <c r="N461" s="536"/>
    </row>
    <row r="462" s="456" customFormat="1" ht="20.25" spans="1:14">
      <c r="A462" s="488">
        <v>45429</v>
      </c>
      <c r="B462" s="456" t="s">
        <v>279</v>
      </c>
      <c r="C462" s="490">
        <v>45429</v>
      </c>
      <c r="D462" s="491"/>
      <c r="E462" s="491"/>
      <c r="F462" s="493" t="s">
        <v>87</v>
      </c>
      <c r="G462" s="491">
        <v>1</v>
      </c>
      <c r="H462" s="431">
        <v>160</v>
      </c>
      <c r="I462" s="491">
        <f t="shared" si="48"/>
        <v>160</v>
      </c>
      <c r="J462" s="492"/>
      <c r="K462" s="492"/>
      <c r="L462" s="536"/>
      <c r="M462" s="536"/>
      <c r="N462" s="536"/>
    </row>
    <row r="463" s="456" customFormat="1" ht="20.25" spans="1:14">
      <c r="A463" s="488">
        <v>45429</v>
      </c>
      <c r="B463" s="456" t="s">
        <v>279</v>
      </c>
      <c r="C463" s="490">
        <v>45429</v>
      </c>
      <c r="D463" s="491"/>
      <c r="E463" s="491"/>
      <c r="F463" s="493" t="s">
        <v>115</v>
      </c>
      <c r="G463" s="491">
        <v>1</v>
      </c>
      <c r="H463" s="431">
        <v>62.5</v>
      </c>
      <c r="I463" s="491">
        <f t="shared" si="48"/>
        <v>62.5</v>
      </c>
      <c r="J463" s="492"/>
      <c r="K463" s="492"/>
      <c r="L463" s="536" t="s">
        <v>116</v>
      </c>
      <c r="M463" s="536"/>
      <c r="N463" s="536"/>
    </row>
    <row r="464" s="456" customFormat="1" ht="20.25" spans="1:14">
      <c r="A464" s="488">
        <v>45429</v>
      </c>
      <c r="B464" s="456" t="s">
        <v>279</v>
      </c>
      <c r="C464" s="490">
        <v>45429</v>
      </c>
      <c r="D464" s="491"/>
      <c r="E464" s="491"/>
      <c r="F464" s="493">
        <v>808</v>
      </c>
      <c r="G464" s="491">
        <v>1</v>
      </c>
      <c r="H464" s="431">
        <v>32.5</v>
      </c>
      <c r="I464" s="491">
        <f t="shared" si="48"/>
        <v>32.5</v>
      </c>
      <c r="J464" s="492">
        <v>11</v>
      </c>
      <c r="K464" s="492">
        <f t="shared" si="46"/>
        <v>357.5</v>
      </c>
    </row>
    <row r="465" s="456" customFormat="1" ht="20.25" spans="1:14">
      <c r="A465" s="488">
        <v>45429</v>
      </c>
      <c r="B465" s="456" t="s">
        <v>279</v>
      </c>
      <c r="C465" s="490">
        <v>45429</v>
      </c>
      <c r="D465" s="491"/>
      <c r="E465" s="491"/>
      <c r="F465" s="499" t="s">
        <v>117</v>
      </c>
      <c r="G465" s="491">
        <v>1</v>
      </c>
      <c r="H465" s="500">
        <f>SUM(H459:H464)</f>
        <v>500</v>
      </c>
      <c r="I465" s="501">
        <f t="shared" si="48"/>
        <v>500</v>
      </c>
      <c r="J465" s="502">
        <v>1</v>
      </c>
      <c r="K465" s="502">
        <f t="shared" si="46"/>
        <v>500</v>
      </c>
      <c r="L465" s="536">
        <f>SUM(K459:K465)</f>
        <v>857.5</v>
      </c>
      <c r="M465" s="536" t="s">
        <v>118</v>
      </c>
      <c r="N465" s="536"/>
    </row>
    <row r="466" s="457" customFormat="1" ht="20.25" spans="1:14">
      <c r="A466" s="494">
        <v>45430</v>
      </c>
      <c r="B466" s="457" t="s">
        <v>280</v>
      </c>
      <c r="C466" s="495">
        <v>45430</v>
      </c>
      <c r="D466" s="463"/>
      <c r="E466" s="463"/>
      <c r="F466" s="496" t="s">
        <v>108</v>
      </c>
      <c r="G466" s="463">
        <v>1</v>
      </c>
      <c r="H466" s="432">
        <v>200</v>
      </c>
      <c r="I466" s="463">
        <f t="shared" si="48"/>
        <v>200</v>
      </c>
      <c r="J466" s="497">
        <v>17.8</v>
      </c>
      <c r="K466" s="492"/>
      <c r="L466" s="537"/>
      <c r="M466" s="537"/>
      <c r="N466" s="537"/>
    </row>
    <row r="467" s="457" customFormat="1" ht="20.25" spans="1:14">
      <c r="A467" s="494">
        <v>45430</v>
      </c>
      <c r="B467" s="457" t="s">
        <v>280</v>
      </c>
      <c r="C467" s="495">
        <v>45430</v>
      </c>
      <c r="D467" s="463"/>
      <c r="E467" s="463"/>
      <c r="F467" s="496">
        <v>808</v>
      </c>
      <c r="G467" s="463">
        <v>1</v>
      </c>
      <c r="H467" s="432">
        <v>300</v>
      </c>
      <c r="I467" s="463">
        <f t="shared" si="48"/>
        <v>300</v>
      </c>
      <c r="J467" s="497">
        <v>11</v>
      </c>
      <c r="K467" s="492">
        <f t="shared" si="46"/>
        <v>3300</v>
      </c>
      <c r="L467" s="537"/>
      <c r="M467" s="537"/>
      <c r="N467" s="537"/>
    </row>
    <row r="468" s="457" customFormat="1" ht="20.25" spans="1:14">
      <c r="A468" s="494">
        <v>45430</v>
      </c>
      <c r="B468" s="457" t="s">
        <v>280</v>
      </c>
      <c r="C468" s="495">
        <v>45430</v>
      </c>
      <c r="D468" s="463"/>
      <c r="E468" s="463"/>
      <c r="F468" s="499" t="s">
        <v>109</v>
      </c>
      <c r="G468" s="463">
        <v>1</v>
      </c>
      <c r="H468" s="500">
        <f>SUM(H466:H467)</f>
        <v>500</v>
      </c>
      <c r="I468" s="501">
        <f t="shared" si="48"/>
        <v>500</v>
      </c>
      <c r="J468" s="502">
        <v>1</v>
      </c>
      <c r="K468" s="492">
        <f t="shared" si="46"/>
        <v>500</v>
      </c>
      <c r="L468" s="636">
        <f>SUM(K466:K468)</f>
        <v>3800</v>
      </c>
      <c r="M468" s="537"/>
      <c r="N468" s="537"/>
    </row>
    <row r="469" s="456" customFormat="1" ht="20.25" spans="1:14">
      <c r="A469" s="488">
        <v>45430</v>
      </c>
      <c r="B469" s="456" t="s">
        <v>281</v>
      </c>
      <c r="C469" s="490">
        <v>45430</v>
      </c>
      <c r="D469" s="491"/>
      <c r="E469" s="491"/>
      <c r="F469" s="493" t="s">
        <v>251</v>
      </c>
      <c r="G469" s="491">
        <v>1</v>
      </c>
      <c r="H469" s="431">
        <v>200</v>
      </c>
      <c r="I469" s="491">
        <f t="shared" ref="I469:I486" si="49">G469*H469</f>
        <v>200</v>
      </c>
      <c r="J469" s="492"/>
      <c r="K469" s="492"/>
    </row>
    <row r="470" s="456" customFormat="1" ht="20.25" spans="1:14">
      <c r="A470" s="488">
        <v>45430</v>
      </c>
      <c r="B470" s="456" t="s">
        <v>281</v>
      </c>
      <c r="C470" s="490">
        <v>45430</v>
      </c>
      <c r="D470" s="491"/>
      <c r="E470" s="491"/>
      <c r="F470" s="493" t="s">
        <v>13</v>
      </c>
      <c r="G470" s="491">
        <v>1</v>
      </c>
      <c r="H470" s="431">
        <v>200</v>
      </c>
      <c r="I470" s="491">
        <f t="shared" si="49"/>
        <v>200</v>
      </c>
      <c r="J470" s="492"/>
      <c r="K470" s="492"/>
    </row>
    <row r="471" s="456" customFormat="1" ht="20.25" spans="1:14">
      <c r="A471" s="488">
        <v>45430</v>
      </c>
      <c r="B471" s="456" t="s">
        <v>281</v>
      </c>
      <c r="C471" s="490">
        <v>45430</v>
      </c>
      <c r="D471" s="491"/>
      <c r="E471" s="491"/>
      <c r="F471" s="493" t="s">
        <v>86</v>
      </c>
      <c r="G471" s="491">
        <v>1</v>
      </c>
      <c r="H471" s="431">
        <v>70</v>
      </c>
      <c r="I471" s="491">
        <f t="shared" si="49"/>
        <v>70</v>
      </c>
      <c r="J471" s="492"/>
      <c r="K471" s="492"/>
    </row>
    <row r="472" s="456" customFormat="1" ht="20.25" spans="1:14">
      <c r="A472" s="488">
        <v>45430</v>
      </c>
      <c r="B472" s="456" t="s">
        <v>281</v>
      </c>
      <c r="C472" s="490">
        <v>45430</v>
      </c>
      <c r="D472" s="491"/>
      <c r="E472" s="491"/>
      <c r="F472" s="493" t="s">
        <v>87</v>
      </c>
      <c r="G472" s="491">
        <v>1</v>
      </c>
      <c r="H472" s="431">
        <v>380</v>
      </c>
      <c r="I472" s="491">
        <f t="shared" si="49"/>
        <v>380</v>
      </c>
      <c r="J472" s="492"/>
      <c r="K472" s="492"/>
    </row>
    <row r="473" s="456" customFormat="1" ht="20.25" spans="1:14">
      <c r="A473" s="488">
        <v>45430</v>
      </c>
      <c r="B473" s="456" t="s">
        <v>281</v>
      </c>
      <c r="C473" s="490">
        <v>45430</v>
      </c>
      <c r="D473" s="491"/>
      <c r="E473" s="491"/>
      <c r="F473" s="493" t="s">
        <v>115</v>
      </c>
      <c r="G473" s="491">
        <v>1</v>
      </c>
      <c r="H473" s="431">
        <v>125</v>
      </c>
      <c r="I473" s="491">
        <f t="shared" si="49"/>
        <v>125</v>
      </c>
      <c r="J473" s="492">
        <v>15</v>
      </c>
      <c r="K473" s="492"/>
    </row>
    <row r="474" s="456" customFormat="1" ht="20.25" spans="1:14">
      <c r="A474" s="488">
        <v>45430</v>
      </c>
      <c r="B474" s="456" t="s">
        <v>281</v>
      </c>
      <c r="C474" s="490">
        <v>45430</v>
      </c>
      <c r="D474" s="491"/>
      <c r="E474" s="491"/>
      <c r="F474" s="493">
        <v>808</v>
      </c>
      <c r="G474" s="491">
        <v>1</v>
      </c>
      <c r="H474" s="431">
        <v>25</v>
      </c>
      <c r="I474" s="491">
        <f t="shared" si="49"/>
        <v>25</v>
      </c>
      <c r="J474" s="492">
        <v>11</v>
      </c>
      <c r="K474" s="492">
        <f t="shared" si="46"/>
        <v>275</v>
      </c>
      <c r="L474" s="536" t="s">
        <v>116</v>
      </c>
      <c r="M474" s="536" t="s">
        <v>226</v>
      </c>
    </row>
    <row r="475" s="457" customFormat="1" ht="20.25" spans="1:14">
      <c r="A475" s="488">
        <v>45430</v>
      </c>
      <c r="B475" s="456" t="s">
        <v>281</v>
      </c>
      <c r="C475" s="490">
        <v>45430</v>
      </c>
      <c r="D475" s="491"/>
      <c r="E475" s="491"/>
      <c r="F475" s="499" t="s">
        <v>17</v>
      </c>
      <c r="G475" s="501">
        <v>1</v>
      </c>
      <c r="H475" s="500">
        <f>SUM(H469:H474)</f>
        <v>1000</v>
      </c>
      <c r="I475" s="501">
        <f t="shared" si="49"/>
        <v>1000</v>
      </c>
      <c r="J475" s="502">
        <v>1</v>
      </c>
      <c r="K475" s="492">
        <f t="shared" si="46"/>
        <v>1000</v>
      </c>
      <c r="L475" s="464">
        <f>SUM(K469:K475)</f>
        <v>1275</v>
      </c>
    </row>
    <row r="476" s="457" customFormat="1" ht="20.25" spans="1:14">
      <c r="A476" s="494">
        <v>45433</v>
      </c>
      <c r="B476" s="457" t="s">
        <v>98</v>
      </c>
      <c r="C476" s="495">
        <v>45433</v>
      </c>
      <c r="D476" s="463"/>
      <c r="E476" s="463"/>
      <c r="F476" s="522" t="s">
        <v>282</v>
      </c>
      <c r="G476" s="463">
        <v>2</v>
      </c>
      <c r="H476" s="432">
        <v>20</v>
      </c>
      <c r="I476" s="463">
        <f t="shared" si="49"/>
        <v>40</v>
      </c>
      <c r="J476" s="497"/>
      <c r="K476" s="497"/>
      <c r="L476" s="537"/>
      <c r="M476" s="496" t="s">
        <v>283</v>
      </c>
    </row>
    <row r="477" s="457" customFormat="1" ht="20.25" spans="1:14">
      <c r="A477" s="494">
        <v>45433</v>
      </c>
      <c r="B477" s="457" t="s">
        <v>98</v>
      </c>
      <c r="C477" s="495">
        <v>45433</v>
      </c>
      <c r="D477" s="463"/>
      <c r="E477" s="463"/>
      <c r="F477" s="522" t="s">
        <v>284</v>
      </c>
      <c r="G477" s="463">
        <v>4</v>
      </c>
      <c r="H477" s="432">
        <v>10</v>
      </c>
      <c r="I477" s="463">
        <f t="shared" si="49"/>
        <v>40</v>
      </c>
      <c r="J477" s="497">
        <v>15.5</v>
      </c>
      <c r="K477" s="497">
        <f t="shared" si="46"/>
        <v>620</v>
      </c>
      <c r="L477" s="537">
        <f t="shared" ref="L476:L478" si="50">K477</f>
        <v>620</v>
      </c>
      <c r="M477" s="442"/>
    </row>
    <row r="478" s="457" customFormat="1" ht="20.25" spans="1:14">
      <c r="A478" s="494">
        <v>45433</v>
      </c>
      <c r="B478" s="457" t="s">
        <v>98</v>
      </c>
      <c r="C478" s="495">
        <v>45433</v>
      </c>
      <c r="D478" s="463"/>
      <c r="E478" s="463"/>
      <c r="F478" s="522" t="s">
        <v>285</v>
      </c>
      <c r="G478" s="463">
        <v>4</v>
      </c>
      <c r="H478" s="432">
        <v>1</v>
      </c>
      <c r="I478" s="463">
        <f t="shared" si="49"/>
        <v>4</v>
      </c>
      <c r="J478" s="497">
        <v>5.5</v>
      </c>
      <c r="K478" s="497">
        <f t="shared" si="46"/>
        <v>22</v>
      </c>
      <c r="L478" s="537">
        <f t="shared" si="50"/>
        <v>22</v>
      </c>
      <c r="M478" s="442">
        <f>SUM(L476:L478)</f>
        <v>642</v>
      </c>
    </row>
    <row r="479" s="456" customFormat="1" ht="20.25" spans="1:14">
      <c r="A479" s="488">
        <v>45436</v>
      </c>
      <c r="B479" s="456" t="s">
        <v>206</v>
      </c>
      <c r="C479" s="490">
        <v>45435</v>
      </c>
      <c r="D479" s="491"/>
      <c r="E479" s="491"/>
      <c r="F479" s="493" t="s">
        <v>286</v>
      </c>
      <c r="G479" s="491">
        <v>3</v>
      </c>
      <c r="H479" s="431">
        <v>18</v>
      </c>
      <c r="I479" s="491">
        <f t="shared" si="49"/>
        <v>54</v>
      </c>
      <c r="J479" s="492">
        <v>15</v>
      </c>
      <c r="K479" s="492">
        <f t="shared" si="46"/>
        <v>810</v>
      </c>
      <c r="L479" s="536"/>
      <c r="M479" s="489" t="s">
        <v>31</v>
      </c>
    </row>
    <row r="480" s="456" customFormat="1" ht="20.25" spans="1:14">
      <c r="A480" s="488">
        <v>45436</v>
      </c>
      <c r="B480" s="456" t="s">
        <v>206</v>
      </c>
      <c r="C480" s="490">
        <v>45435</v>
      </c>
      <c r="D480" s="491"/>
      <c r="E480" s="491"/>
      <c r="F480" s="493" t="s">
        <v>287</v>
      </c>
      <c r="G480" s="491">
        <v>5</v>
      </c>
      <c r="H480" s="431">
        <v>10</v>
      </c>
      <c r="I480" s="491">
        <f t="shared" si="49"/>
        <v>50</v>
      </c>
      <c r="J480" s="492">
        <v>15</v>
      </c>
      <c r="K480" s="492">
        <f t="shared" si="46"/>
        <v>750</v>
      </c>
      <c r="L480" s="536">
        <f>SUM(K479:K480)</f>
        <v>1560</v>
      </c>
      <c r="M480" s="489" t="s">
        <v>31</v>
      </c>
    </row>
    <row r="481" s="456" customFormat="1" ht="20.25" spans="1:17">
      <c r="A481" s="528"/>
      <c r="B481" s="528"/>
      <c r="C481" s="528"/>
      <c r="D481" s="528"/>
      <c r="E481" s="528"/>
      <c r="F481" s="640" t="s">
        <v>288</v>
      </c>
      <c r="G481" s="491"/>
      <c r="H481" s="431"/>
      <c r="I481" s="491"/>
      <c r="J481" s="492"/>
      <c r="K481" s="492"/>
      <c r="L481" s="536"/>
      <c r="M481" s="489"/>
    </row>
    <row r="482" s="456" customFormat="1" ht="20.25" spans="1:17">
      <c r="A482" s="488">
        <v>45441</v>
      </c>
      <c r="B482" s="456" t="s">
        <v>131</v>
      </c>
      <c r="C482" s="490">
        <v>45436</v>
      </c>
      <c r="D482" s="491"/>
      <c r="E482" s="491"/>
      <c r="F482" s="493" t="s">
        <v>16</v>
      </c>
      <c r="G482" s="491">
        <v>2</v>
      </c>
      <c r="H482" s="431">
        <v>48</v>
      </c>
      <c r="I482" s="491">
        <f t="shared" ref="I482:I492" si="51">G482*H482</f>
        <v>96</v>
      </c>
      <c r="J482" s="492"/>
      <c r="K482" s="492"/>
    </row>
    <row r="483" s="456" customFormat="1" ht="20.25" spans="1:17">
      <c r="A483" s="488">
        <v>45436</v>
      </c>
      <c r="B483" s="456" t="s">
        <v>131</v>
      </c>
      <c r="C483" s="490">
        <v>45436</v>
      </c>
      <c r="D483" s="491"/>
      <c r="E483" s="491"/>
      <c r="F483" s="493" t="s">
        <v>89</v>
      </c>
      <c r="G483" s="491">
        <v>2</v>
      </c>
      <c r="H483" s="431">
        <v>4.5</v>
      </c>
      <c r="I483" s="491">
        <f t="shared" si="51"/>
        <v>9</v>
      </c>
      <c r="J483" s="492"/>
      <c r="K483" s="492"/>
    </row>
    <row r="484" s="456" customFormat="1" ht="20.25" spans="1:17">
      <c r="A484" s="488">
        <v>45436</v>
      </c>
      <c r="B484" s="456" t="s">
        <v>131</v>
      </c>
      <c r="C484" s="490">
        <v>45436</v>
      </c>
      <c r="D484" s="491"/>
      <c r="E484" s="491"/>
      <c r="F484" s="498" t="s">
        <v>289</v>
      </c>
      <c r="G484" s="491">
        <v>2</v>
      </c>
      <c r="H484" s="431">
        <v>150</v>
      </c>
      <c r="I484" s="520">
        <f t="shared" si="51"/>
        <v>300</v>
      </c>
      <c r="J484" s="492"/>
      <c r="K484" s="492"/>
    </row>
    <row r="485" s="456" customFormat="1" ht="20.25" spans="1:17">
      <c r="A485" s="488">
        <v>45436</v>
      </c>
      <c r="B485" s="456" t="s">
        <v>131</v>
      </c>
      <c r="C485" s="490">
        <v>45436</v>
      </c>
      <c r="D485" s="491"/>
      <c r="E485" s="491"/>
      <c r="F485" s="493" t="s">
        <v>82</v>
      </c>
      <c r="G485" s="491">
        <v>2</v>
      </c>
      <c r="H485" s="431">
        <v>30</v>
      </c>
      <c r="I485" s="491">
        <f t="shared" si="51"/>
        <v>60</v>
      </c>
      <c r="J485" s="492">
        <v>8.1</v>
      </c>
      <c r="K485" s="492">
        <f t="shared" ref="K484:K487" si="52">I485*J485</f>
        <v>486</v>
      </c>
    </row>
    <row r="486" s="456" customFormat="1" ht="20.25" spans="1:17">
      <c r="A486" s="488">
        <v>45436</v>
      </c>
      <c r="B486" s="456" t="s">
        <v>131</v>
      </c>
      <c r="C486" s="490">
        <v>45436</v>
      </c>
      <c r="D486" s="491"/>
      <c r="E486" s="491"/>
      <c r="F486" s="493" t="s">
        <v>152</v>
      </c>
      <c r="G486" s="491">
        <v>2</v>
      </c>
      <c r="H486" s="431">
        <v>30</v>
      </c>
      <c r="I486" s="491">
        <f t="shared" si="51"/>
        <v>60</v>
      </c>
      <c r="J486" s="492">
        <v>8.5</v>
      </c>
      <c r="K486" s="492">
        <f t="shared" si="52"/>
        <v>510</v>
      </c>
    </row>
    <row r="487" s="456" customFormat="1" ht="20.25" spans="1:17">
      <c r="A487" s="488">
        <v>45436</v>
      </c>
      <c r="B487" s="456" t="s">
        <v>131</v>
      </c>
      <c r="C487" s="490">
        <v>45436</v>
      </c>
      <c r="D487" s="491"/>
      <c r="E487" s="491"/>
      <c r="F487" s="499" t="s">
        <v>84</v>
      </c>
      <c r="G487" s="501">
        <v>2</v>
      </c>
      <c r="H487" s="500">
        <f>SUM(H482:H486)</f>
        <v>262.5</v>
      </c>
      <c r="I487" s="501">
        <f t="shared" si="51"/>
        <v>525</v>
      </c>
      <c r="J487" s="502">
        <v>3</v>
      </c>
      <c r="K487" s="502">
        <f t="shared" si="52"/>
        <v>1575</v>
      </c>
      <c r="L487" s="456">
        <f>SUM(K482:K487)</f>
        <v>2571</v>
      </c>
    </row>
    <row r="488" s="457" customFormat="1" ht="20.25" spans="1:17">
      <c r="A488" s="494">
        <v>45442</v>
      </c>
      <c r="B488" s="607" t="s">
        <v>213</v>
      </c>
      <c r="C488" s="495">
        <v>45442</v>
      </c>
      <c r="D488" s="463"/>
      <c r="E488" s="463"/>
      <c r="F488" s="496" t="s">
        <v>16</v>
      </c>
      <c r="G488" s="463">
        <v>1</v>
      </c>
      <c r="H488" s="432">
        <v>12</v>
      </c>
      <c r="I488" s="463">
        <f t="shared" si="51"/>
        <v>12</v>
      </c>
      <c r="J488" s="497"/>
      <c r="K488" s="497"/>
      <c r="L488" s="537"/>
      <c r="M488" s="537"/>
      <c r="N488" s="537"/>
    </row>
    <row r="489" s="457" customFormat="1" ht="20.25" spans="1:17">
      <c r="A489" s="494">
        <v>45442</v>
      </c>
      <c r="B489" s="607" t="s">
        <v>213</v>
      </c>
      <c r="C489" s="495">
        <v>45442</v>
      </c>
      <c r="D489" s="463"/>
      <c r="E489" s="463"/>
      <c r="F489" s="496" t="s">
        <v>133</v>
      </c>
      <c r="G489" s="463">
        <v>1</v>
      </c>
      <c r="H489" s="432">
        <v>60</v>
      </c>
      <c r="I489" s="463">
        <f t="shared" si="51"/>
        <v>60</v>
      </c>
      <c r="J489" s="497"/>
      <c r="K489" s="497"/>
      <c r="L489" s="537"/>
      <c r="M489" s="537"/>
      <c r="N489" s="537"/>
    </row>
    <row r="490" s="457" customFormat="1" ht="20.25" spans="1:17">
      <c r="A490" s="494">
        <v>45442</v>
      </c>
      <c r="B490" s="607" t="s">
        <v>213</v>
      </c>
      <c r="C490" s="495">
        <v>45442</v>
      </c>
      <c r="D490" s="463"/>
      <c r="E490" s="463"/>
      <c r="F490" s="496" t="s">
        <v>152</v>
      </c>
      <c r="G490" s="463">
        <v>1</v>
      </c>
      <c r="H490" s="432">
        <v>225</v>
      </c>
      <c r="I490" s="463">
        <f t="shared" si="51"/>
        <v>225</v>
      </c>
      <c r="J490" s="497">
        <v>8.5</v>
      </c>
      <c r="K490" s="497">
        <f t="shared" ref="K490:K492" si="53">I490*J490</f>
        <v>1912.5</v>
      </c>
      <c r="L490" s="537" t="s">
        <v>248</v>
      </c>
      <c r="M490" s="537"/>
      <c r="N490" s="537"/>
    </row>
    <row r="491" s="457" customFormat="1" ht="20.25" spans="1:17">
      <c r="A491" s="494">
        <v>45442</v>
      </c>
      <c r="B491" s="607" t="s">
        <v>213</v>
      </c>
      <c r="C491" s="495">
        <v>45442</v>
      </c>
      <c r="D491" s="463"/>
      <c r="E491" s="463"/>
      <c r="F491" s="496" t="s">
        <v>125</v>
      </c>
      <c r="G491" s="463">
        <v>1</v>
      </c>
      <c r="H491" s="432">
        <v>225</v>
      </c>
      <c r="I491" s="463">
        <f t="shared" si="51"/>
        <v>225</v>
      </c>
      <c r="J491" s="497">
        <v>7.5</v>
      </c>
      <c r="K491" s="497">
        <f t="shared" si="53"/>
        <v>1687.5</v>
      </c>
      <c r="L491" s="537"/>
      <c r="M491" s="537"/>
      <c r="N491" s="537"/>
    </row>
    <row r="492" s="457" customFormat="1" ht="20.25" spans="1:17">
      <c r="A492" s="494">
        <v>45442</v>
      </c>
      <c r="B492" s="607" t="s">
        <v>213</v>
      </c>
      <c r="C492" s="495">
        <v>45442</v>
      </c>
      <c r="D492" s="463"/>
      <c r="E492" s="463"/>
      <c r="F492" s="499" t="s">
        <v>249</v>
      </c>
      <c r="G492" s="501">
        <v>1</v>
      </c>
      <c r="H492" s="500">
        <f>SUM(H488:H491)</f>
        <v>522</v>
      </c>
      <c r="I492" s="501">
        <f t="shared" si="51"/>
        <v>522</v>
      </c>
      <c r="J492" s="502">
        <v>1</v>
      </c>
      <c r="K492" s="502">
        <f t="shared" si="53"/>
        <v>522</v>
      </c>
      <c r="L492" s="537">
        <f>SUM(K488:K492)</f>
        <v>4122</v>
      </c>
      <c r="M492" s="537"/>
      <c r="N492" s="537"/>
    </row>
    <row r="493" s="454" customFormat="1" ht="21" customHeight="1" spans="1:17">
      <c r="A493" s="601" t="s">
        <v>290</v>
      </c>
      <c r="B493" s="481"/>
      <c r="C493" s="481"/>
      <c r="D493" s="481"/>
      <c r="E493" s="481"/>
      <c r="F493" s="481"/>
      <c r="G493" s="481"/>
      <c r="H493" s="481"/>
      <c r="I493" s="481"/>
      <c r="J493" s="632" t="s">
        <v>28</v>
      </c>
      <c r="K493" s="595">
        <f>SUM(K496:K696)</f>
        <v>108216.14</v>
      </c>
      <c r="L493" s="454" t="s">
        <v>29</v>
      </c>
      <c r="M493" s="601">
        <f>'24材料明细'!AQ211+K680</f>
        <v>71768.84</v>
      </c>
      <c r="N493" s="593" t="s">
        <v>30</v>
      </c>
      <c r="O493" s="601">
        <f>K505+K510+K520+K526+K530+K534+K541+K547+K555+K560+K572+K578+K585+K593+K598+K604+K610+K616+K623+K632+K639+K647+K655+K661+K667+K673+K679+K690+K696</f>
        <v>35307.3</v>
      </c>
      <c r="P493" s="481" t="s">
        <v>31</v>
      </c>
      <c r="Q493" s="601">
        <f>K562+K563</f>
        <v>930</v>
      </c>
    </row>
    <row r="494" s="454" customFormat="1" ht="18" customHeight="1" spans="1:17">
      <c r="A494" s="601"/>
      <c r="B494" s="481"/>
      <c r="C494" s="481"/>
      <c r="D494" s="481"/>
      <c r="E494" s="481"/>
      <c r="F494" s="481"/>
      <c r="G494" s="481"/>
      <c r="H494" s="481"/>
      <c r="I494" s="481"/>
      <c r="J494" s="481" t="s">
        <v>32</v>
      </c>
      <c r="K494" s="481">
        <f>SUM(I505+I510+I520+I526+I530+I534+I541+I547+I555+I560+I572+I578+I585+I593+I598+I604+I610+I616+I623+I632+I639+I647+I655+I661+I667+I673+I679+I690+I696)/1000</f>
        <v>21.1983</v>
      </c>
      <c r="L494" s="454" t="s">
        <v>33</v>
      </c>
      <c r="M494" s="601">
        <f>K498+K561+K564+K625+K681+K682+K683</f>
        <v>210</v>
      </c>
      <c r="N494" s="634" t="s">
        <v>34</v>
      </c>
      <c r="O494" s="595">
        <f>M493+M494+O493+Q493</f>
        <v>108216.14</v>
      </c>
    </row>
    <row r="495" s="455" customFormat="1" ht="15" customHeight="1" spans="1:17">
      <c r="A495" s="604" t="s">
        <v>35</v>
      </c>
      <c r="B495" s="605" t="s">
        <v>36</v>
      </c>
      <c r="C495" s="486" t="s">
        <v>37</v>
      </c>
      <c r="D495" s="486"/>
      <c r="E495" s="486"/>
      <c r="F495" s="486" t="s">
        <v>38</v>
      </c>
      <c r="G495" s="486" t="s">
        <v>4</v>
      </c>
      <c r="H495" s="486" t="s">
        <v>5</v>
      </c>
      <c r="I495" s="486" t="s">
        <v>6</v>
      </c>
      <c r="J495" s="486" t="s">
        <v>7</v>
      </c>
      <c r="K495" s="486" t="s">
        <v>8</v>
      </c>
      <c r="L495" s="486" t="s">
        <v>39</v>
      </c>
      <c r="M495" s="486" t="s">
        <v>40</v>
      </c>
    </row>
    <row r="496" s="456" customFormat="1" ht="20.25" spans="1:17">
      <c r="A496" s="488">
        <v>45445</v>
      </c>
      <c r="B496" s="456" t="s">
        <v>148</v>
      </c>
      <c r="C496" s="490">
        <v>45445</v>
      </c>
      <c r="D496" s="491"/>
      <c r="E496" s="491"/>
      <c r="F496" s="493" t="s">
        <v>291</v>
      </c>
      <c r="G496" s="491">
        <v>1</v>
      </c>
      <c r="H496" s="431">
        <v>26</v>
      </c>
      <c r="I496" s="491">
        <f t="shared" ref="I496:I540" si="54">G496*H496</f>
        <v>26</v>
      </c>
      <c r="J496" s="492"/>
      <c r="K496" s="492"/>
    </row>
    <row r="497" s="456" customFormat="1" ht="20.25" spans="1:15">
      <c r="A497" s="488">
        <v>45445</v>
      </c>
      <c r="B497" s="456" t="s">
        <v>148</v>
      </c>
      <c r="C497" s="490">
        <v>45445</v>
      </c>
      <c r="D497" s="491"/>
      <c r="E497" s="491"/>
      <c r="F497" s="493" t="s">
        <v>292</v>
      </c>
      <c r="G497" s="491">
        <v>1</v>
      </c>
      <c r="H497" s="431">
        <v>10</v>
      </c>
      <c r="I497" s="491">
        <f t="shared" si="54"/>
        <v>10</v>
      </c>
      <c r="J497" s="492"/>
      <c r="K497" s="492"/>
    </row>
    <row r="498" s="456" customFormat="1" ht="20.25" spans="1:15">
      <c r="A498" s="488">
        <v>45445</v>
      </c>
      <c r="B498" s="456" t="s">
        <v>148</v>
      </c>
      <c r="C498" s="490">
        <v>45445</v>
      </c>
      <c r="D498" s="491"/>
      <c r="E498" s="491"/>
      <c r="F498" s="493" t="s">
        <v>112</v>
      </c>
      <c r="G498" s="491">
        <v>2</v>
      </c>
      <c r="H498" s="431">
        <v>1</v>
      </c>
      <c r="I498" s="491">
        <f t="shared" si="54"/>
        <v>2</v>
      </c>
      <c r="J498" s="492">
        <v>12.5</v>
      </c>
      <c r="K498" s="492">
        <f>I498*J498</f>
        <v>25</v>
      </c>
      <c r="L498" s="456" t="e">
        <f>+#REF!</f>
        <v>#REF!</v>
      </c>
    </row>
    <row r="499" s="457" customFormat="1" ht="20.25" spans="1:15">
      <c r="A499" s="494">
        <v>45447</v>
      </c>
      <c r="B499" s="457" t="s">
        <v>151</v>
      </c>
      <c r="C499" s="495">
        <v>45447</v>
      </c>
      <c r="D499" s="463"/>
      <c r="E499" s="463"/>
      <c r="F499" s="496" t="s">
        <v>251</v>
      </c>
      <c r="G499" s="463">
        <v>1</v>
      </c>
      <c r="H499" s="432">
        <v>200</v>
      </c>
      <c r="I499" s="463">
        <f t="shared" si="54"/>
        <v>200</v>
      </c>
      <c r="J499" s="497"/>
      <c r="K499" s="497"/>
      <c r="O499" s="456"/>
    </row>
    <row r="500" s="457" customFormat="1" ht="20.25" spans="1:15">
      <c r="A500" s="494">
        <v>45447</v>
      </c>
      <c r="B500" s="457" t="s">
        <v>151</v>
      </c>
      <c r="C500" s="495">
        <v>45447</v>
      </c>
      <c r="D500" s="463"/>
      <c r="E500" s="463"/>
      <c r="F500" s="496" t="s">
        <v>13</v>
      </c>
      <c r="G500" s="463">
        <v>1</v>
      </c>
      <c r="H500" s="432">
        <v>200</v>
      </c>
      <c r="I500" s="463">
        <f t="shared" si="54"/>
        <v>200</v>
      </c>
      <c r="J500" s="497"/>
      <c r="K500" s="497"/>
      <c r="O500" s="456"/>
    </row>
    <row r="501" s="457" customFormat="1" ht="20.25" spans="1:15">
      <c r="A501" s="494">
        <v>45447</v>
      </c>
      <c r="B501" s="457" t="s">
        <v>151</v>
      </c>
      <c r="C501" s="495">
        <v>45447</v>
      </c>
      <c r="D501" s="463"/>
      <c r="E501" s="463"/>
      <c r="F501" s="496" t="s">
        <v>86</v>
      </c>
      <c r="G501" s="463">
        <v>1</v>
      </c>
      <c r="H501" s="432">
        <v>70</v>
      </c>
      <c r="I501" s="463">
        <f t="shared" si="54"/>
        <v>70</v>
      </c>
      <c r="J501" s="497"/>
      <c r="K501" s="497"/>
      <c r="O501" s="456"/>
    </row>
    <row r="502" s="457" customFormat="1" ht="20.25" spans="1:15">
      <c r="A502" s="494">
        <v>45447</v>
      </c>
      <c r="B502" s="457" t="s">
        <v>151</v>
      </c>
      <c r="C502" s="495">
        <v>45447</v>
      </c>
      <c r="D502" s="463"/>
      <c r="E502" s="463"/>
      <c r="F502" s="496" t="s">
        <v>87</v>
      </c>
      <c r="G502" s="463">
        <v>1</v>
      </c>
      <c r="H502" s="432">
        <v>380</v>
      </c>
      <c r="I502" s="463">
        <f t="shared" si="54"/>
        <v>380</v>
      </c>
      <c r="J502" s="497"/>
      <c r="K502" s="497"/>
      <c r="O502" s="456"/>
    </row>
    <row r="503" s="457" customFormat="1" ht="20.25" spans="1:15">
      <c r="A503" s="494">
        <v>45447</v>
      </c>
      <c r="B503" s="457" t="s">
        <v>151</v>
      </c>
      <c r="C503" s="495">
        <v>45447</v>
      </c>
      <c r="D503" s="463"/>
      <c r="E503" s="463"/>
      <c r="F503" s="496" t="s">
        <v>115</v>
      </c>
      <c r="G503" s="463">
        <v>1</v>
      </c>
      <c r="H503" s="432">
        <v>125</v>
      </c>
      <c r="I503" s="463">
        <f t="shared" si="54"/>
        <v>125</v>
      </c>
      <c r="J503" s="497"/>
      <c r="K503" s="497"/>
      <c r="O503" s="456"/>
    </row>
    <row r="504" s="457" customFormat="1" ht="20.25" spans="1:15">
      <c r="A504" s="494">
        <v>45447</v>
      </c>
      <c r="B504" s="457" t="s">
        <v>151</v>
      </c>
      <c r="C504" s="495">
        <v>45447</v>
      </c>
      <c r="D504" s="463"/>
      <c r="E504" s="463"/>
      <c r="F504" s="496">
        <v>808</v>
      </c>
      <c r="G504" s="463">
        <v>1</v>
      </c>
      <c r="H504" s="432">
        <v>25</v>
      </c>
      <c r="I504" s="463">
        <f t="shared" si="54"/>
        <v>25</v>
      </c>
      <c r="J504" s="497">
        <v>11</v>
      </c>
      <c r="K504" s="497">
        <f>I504*J504</f>
        <v>275</v>
      </c>
      <c r="L504" s="537" t="s">
        <v>116</v>
      </c>
      <c r="M504" s="537" t="s">
        <v>226</v>
      </c>
      <c r="O504" s="456"/>
    </row>
    <row r="505" s="457" customFormat="1" ht="20.25" spans="1:15">
      <c r="A505" s="494">
        <v>45447</v>
      </c>
      <c r="B505" s="457" t="s">
        <v>151</v>
      </c>
      <c r="C505" s="495">
        <v>45447</v>
      </c>
      <c r="D505" s="463"/>
      <c r="E505" s="463"/>
      <c r="F505" s="496" t="s">
        <v>17</v>
      </c>
      <c r="G505" s="463">
        <v>1</v>
      </c>
      <c r="H505" s="432">
        <f>SUM(H499:H504)</f>
        <v>1000</v>
      </c>
      <c r="I505" s="463">
        <f t="shared" si="54"/>
        <v>1000</v>
      </c>
      <c r="J505" s="497">
        <v>1</v>
      </c>
      <c r="K505" s="497">
        <f>I505*J505</f>
        <v>1000</v>
      </c>
      <c r="L505" s="457">
        <f>SUM(K499:K505)</f>
        <v>1275</v>
      </c>
      <c r="O505" s="456"/>
    </row>
    <row r="506" s="456" customFormat="1" ht="20.25" spans="1:15">
      <c r="A506" s="488">
        <v>45449</v>
      </c>
      <c r="B506" s="456" t="s">
        <v>247</v>
      </c>
      <c r="C506" s="490">
        <v>45448</v>
      </c>
      <c r="D506" s="491"/>
      <c r="E506" s="491"/>
      <c r="F506" s="493" t="s">
        <v>293</v>
      </c>
      <c r="G506" s="491">
        <v>1</v>
      </c>
      <c r="H506" s="431">
        <v>229</v>
      </c>
      <c r="I506" s="491">
        <f t="shared" si="54"/>
        <v>229</v>
      </c>
      <c r="J506" s="492"/>
      <c r="K506" s="492"/>
      <c r="L506" s="536"/>
      <c r="M506" s="536"/>
      <c r="N506" s="536"/>
    </row>
    <row r="507" s="456" customFormat="1" ht="20.25" spans="1:15">
      <c r="A507" s="488">
        <v>45449</v>
      </c>
      <c r="B507" s="456" t="s">
        <v>247</v>
      </c>
      <c r="C507" s="490">
        <v>45448</v>
      </c>
      <c r="D507" s="491"/>
      <c r="E507" s="491"/>
      <c r="F507" s="493" t="s">
        <v>125</v>
      </c>
      <c r="G507" s="491">
        <v>1</v>
      </c>
      <c r="H507" s="431">
        <v>227</v>
      </c>
      <c r="I507" s="491">
        <f t="shared" si="54"/>
        <v>227</v>
      </c>
      <c r="J507" s="492">
        <v>7.5</v>
      </c>
      <c r="K507" s="492">
        <f>I507*J507</f>
        <v>1702.5</v>
      </c>
      <c r="L507" s="536"/>
      <c r="M507" s="536"/>
      <c r="N507" s="536"/>
    </row>
    <row r="508" s="456" customFormat="1" ht="20.25" spans="1:15">
      <c r="A508" s="488">
        <v>45449</v>
      </c>
      <c r="B508" s="456" t="s">
        <v>247</v>
      </c>
      <c r="C508" s="490">
        <v>45448</v>
      </c>
      <c r="D508" s="491"/>
      <c r="E508" s="491"/>
      <c r="F508" s="493">
        <v>808</v>
      </c>
      <c r="G508" s="491">
        <v>1</v>
      </c>
      <c r="H508" s="431">
        <v>108</v>
      </c>
      <c r="I508" s="491">
        <f t="shared" si="54"/>
        <v>108</v>
      </c>
      <c r="J508" s="492">
        <v>11</v>
      </c>
      <c r="K508" s="492">
        <f>I508*J508</f>
        <v>1188</v>
      </c>
      <c r="L508" s="536" t="s">
        <v>294</v>
      </c>
      <c r="M508" s="536"/>
      <c r="N508" s="536"/>
    </row>
    <row r="509" s="456" customFormat="1" ht="20.25" spans="1:15">
      <c r="A509" s="488">
        <v>45449</v>
      </c>
      <c r="B509" s="456" t="s">
        <v>247</v>
      </c>
      <c r="C509" s="490">
        <v>45448</v>
      </c>
      <c r="D509" s="491"/>
      <c r="E509" s="491"/>
      <c r="F509" s="493" t="s">
        <v>12</v>
      </c>
      <c r="G509" s="491">
        <v>1</v>
      </c>
      <c r="H509" s="431">
        <v>55</v>
      </c>
      <c r="I509" s="491">
        <f t="shared" si="54"/>
        <v>55</v>
      </c>
      <c r="J509" s="492">
        <v>8.5</v>
      </c>
      <c r="K509" s="492">
        <f>I509*J509</f>
        <v>467.5</v>
      </c>
      <c r="L509" s="536"/>
      <c r="M509" s="536" t="s">
        <v>295</v>
      </c>
      <c r="N509" s="536"/>
    </row>
    <row r="510" s="456" customFormat="1" ht="20.25" spans="1:15">
      <c r="A510" s="488">
        <v>45449</v>
      </c>
      <c r="B510" s="456" t="s">
        <v>247</v>
      </c>
      <c r="C510" s="490">
        <v>45448</v>
      </c>
      <c r="D510" s="491"/>
      <c r="E510" s="491"/>
      <c r="F510" s="499" t="s">
        <v>296</v>
      </c>
      <c r="G510" s="501">
        <v>1</v>
      </c>
      <c r="H510" s="500">
        <f>SUM(H506:H509)</f>
        <v>619</v>
      </c>
      <c r="I510" s="501">
        <f t="shared" si="54"/>
        <v>619</v>
      </c>
      <c r="J510" s="502">
        <v>1</v>
      </c>
      <c r="K510" s="502">
        <f>I510*J510</f>
        <v>619</v>
      </c>
      <c r="L510" s="636">
        <f>SUM(K506:K510)</f>
        <v>3977</v>
      </c>
      <c r="M510" s="536"/>
      <c r="N510" s="536"/>
    </row>
    <row r="511" s="457" customFormat="1" ht="20.25" spans="1:15">
      <c r="A511" s="494">
        <v>45449</v>
      </c>
      <c r="B511" s="457" t="s">
        <v>250</v>
      </c>
      <c r="C511" s="495">
        <v>45448</v>
      </c>
      <c r="D511" s="463"/>
      <c r="E511" s="463"/>
      <c r="F511" s="496" t="s">
        <v>42</v>
      </c>
      <c r="G511" s="463">
        <v>1</v>
      </c>
      <c r="H511" s="432">
        <v>100</v>
      </c>
      <c r="I511" s="463">
        <f t="shared" si="54"/>
        <v>100</v>
      </c>
      <c r="J511" s="497"/>
      <c r="K511" s="497"/>
      <c r="O511" s="456"/>
    </row>
    <row r="512" s="457" customFormat="1" ht="20.25" spans="1:15">
      <c r="A512" s="494">
        <v>45449</v>
      </c>
      <c r="B512" s="457" t="s">
        <v>250</v>
      </c>
      <c r="C512" s="495">
        <v>45448</v>
      </c>
      <c r="D512" s="463"/>
      <c r="E512" s="463"/>
      <c r="F512" s="496" t="s">
        <v>207</v>
      </c>
      <c r="G512" s="463">
        <v>1</v>
      </c>
      <c r="H512" s="432">
        <v>100</v>
      </c>
      <c r="I512" s="463">
        <f t="shared" si="54"/>
        <v>100</v>
      </c>
      <c r="J512" s="497"/>
      <c r="K512" s="497"/>
      <c r="O512" s="456"/>
    </row>
    <row r="513" s="457" customFormat="1" ht="20.25" spans="1:15">
      <c r="A513" s="494">
        <v>45449</v>
      </c>
      <c r="B513" s="457" t="s">
        <v>250</v>
      </c>
      <c r="C513" s="495">
        <v>45448</v>
      </c>
      <c r="D513" s="463"/>
      <c r="E513" s="463"/>
      <c r="F513" s="496" t="s">
        <v>242</v>
      </c>
      <c r="G513" s="463">
        <v>1</v>
      </c>
      <c r="H513" s="432">
        <v>100</v>
      </c>
      <c r="I513" s="463">
        <f t="shared" si="54"/>
        <v>100</v>
      </c>
      <c r="J513" s="497"/>
      <c r="K513" s="497"/>
      <c r="O513" s="456"/>
    </row>
    <row r="514" s="457" customFormat="1" ht="20.25" spans="1:15">
      <c r="A514" s="494">
        <v>45449</v>
      </c>
      <c r="B514" s="457" t="s">
        <v>250</v>
      </c>
      <c r="C514" s="495">
        <v>45448</v>
      </c>
      <c r="D514" s="463"/>
      <c r="E514" s="463"/>
      <c r="F514" s="496" t="s">
        <v>86</v>
      </c>
      <c r="G514" s="463">
        <v>1</v>
      </c>
      <c r="H514" s="432">
        <v>136</v>
      </c>
      <c r="I514" s="463">
        <f t="shared" si="54"/>
        <v>136</v>
      </c>
      <c r="J514" s="497"/>
      <c r="K514" s="497"/>
      <c r="L514" s="537"/>
      <c r="M514" s="537"/>
      <c r="N514" s="537"/>
      <c r="O514" s="456"/>
    </row>
    <row r="515" s="457" customFormat="1" ht="20.25" spans="1:15">
      <c r="A515" s="494">
        <v>45449</v>
      </c>
      <c r="B515" s="457" t="s">
        <v>250</v>
      </c>
      <c r="C515" s="495">
        <v>45448</v>
      </c>
      <c r="D515" s="463"/>
      <c r="E515" s="463"/>
      <c r="F515" s="496" t="s">
        <v>87</v>
      </c>
      <c r="G515" s="463">
        <v>1</v>
      </c>
      <c r="H515" s="432">
        <v>260</v>
      </c>
      <c r="I515" s="463">
        <f t="shared" si="54"/>
        <v>260</v>
      </c>
      <c r="J515" s="497"/>
      <c r="K515" s="497"/>
      <c r="L515" s="537"/>
      <c r="M515" s="537"/>
      <c r="N515" s="537"/>
      <c r="O515" s="456"/>
    </row>
    <row r="516" s="457" customFormat="1" ht="20.25" spans="1:15">
      <c r="A516" s="494">
        <v>45449</v>
      </c>
      <c r="B516" s="457" t="s">
        <v>250</v>
      </c>
      <c r="C516" s="495">
        <v>45448</v>
      </c>
      <c r="D516" s="463"/>
      <c r="E516" s="463"/>
      <c r="F516" s="496" t="s">
        <v>208</v>
      </c>
      <c r="G516" s="463">
        <v>1</v>
      </c>
      <c r="H516" s="432">
        <v>25</v>
      </c>
      <c r="I516" s="463">
        <f t="shared" si="54"/>
        <v>25</v>
      </c>
      <c r="J516" s="497">
        <v>17</v>
      </c>
      <c r="K516" s="497">
        <f>I516*J516</f>
        <v>425</v>
      </c>
      <c r="L516" s="537"/>
      <c r="M516" s="537"/>
      <c r="N516" s="537"/>
      <c r="O516" s="456"/>
    </row>
    <row r="517" s="457" customFormat="1" ht="20.25" spans="1:15">
      <c r="A517" s="494">
        <v>45449</v>
      </c>
      <c r="B517" s="457" t="s">
        <v>250</v>
      </c>
      <c r="C517" s="495">
        <v>45448</v>
      </c>
      <c r="D517" s="463"/>
      <c r="E517" s="463"/>
      <c r="F517" s="496" t="s">
        <v>132</v>
      </c>
      <c r="G517" s="463">
        <v>1</v>
      </c>
      <c r="H517" s="432">
        <v>279</v>
      </c>
      <c r="I517" s="463">
        <f t="shared" si="54"/>
        <v>279</v>
      </c>
      <c r="J517" s="497">
        <v>3.6</v>
      </c>
      <c r="K517" s="497">
        <f t="shared" ref="K516:K518" si="55">I517*J517</f>
        <v>1004.4</v>
      </c>
      <c r="L517" s="537"/>
      <c r="M517" s="537"/>
      <c r="N517" s="537"/>
      <c r="O517" s="456"/>
    </row>
    <row r="518" s="457" customFormat="1" ht="20.25" spans="1:15">
      <c r="A518" s="494">
        <v>45449</v>
      </c>
      <c r="B518" s="457" t="s">
        <v>250</v>
      </c>
      <c r="C518" s="495">
        <v>45448</v>
      </c>
      <c r="D518" s="463"/>
      <c r="E518" s="463"/>
      <c r="F518" s="496" t="s">
        <v>137</v>
      </c>
      <c r="G518" s="463">
        <v>1</v>
      </c>
      <c r="H518" s="432">
        <v>50</v>
      </c>
      <c r="I518" s="463">
        <f t="shared" si="54"/>
        <v>50</v>
      </c>
      <c r="J518" s="497">
        <v>0.9</v>
      </c>
      <c r="K518" s="497">
        <f t="shared" si="55"/>
        <v>45</v>
      </c>
      <c r="L518" s="537" t="s">
        <v>116</v>
      </c>
      <c r="M518" s="537"/>
      <c r="N518" s="537"/>
      <c r="O518" s="456"/>
    </row>
    <row r="519" s="457" customFormat="1" ht="20.25" spans="1:15">
      <c r="A519" s="494">
        <v>45449</v>
      </c>
      <c r="B519" s="457" t="s">
        <v>250</v>
      </c>
      <c r="C519" s="495">
        <v>45448</v>
      </c>
      <c r="D519" s="463"/>
      <c r="E519" s="463"/>
      <c r="F519" s="496" t="s">
        <v>211</v>
      </c>
      <c r="G519" s="463">
        <v>1</v>
      </c>
      <c r="H519" s="432">
        <v>1.8</v>
      </c>
      <c r="I519" s="463">
        <f t="shared" si="54"/>
        <v>1.8</v>
      </c>
      <c r="J519" s="497"/>
      <c r="K519" s="497"/>
      <c r="L519" s="537"/>
      <c r="M519" s="537"/>
      <c r="N519" s="537"/>
      <c r="O519" s="456"/>
    </row>
    <row r="520" s="457" customFormat="1" ht="20.25" spans="1:15">
      <c r="A520" s="494">
        <v>45449</v>
      </c>
      <c r="B520" s="457" t="s">
        <v>250</v>
      </c>
      <c r="C520" s="495">
        <v>45448</v>
      </c>
      <c r="D520" s="463"/>
      <c r="E520" s="463"/>
      <c r="F520" s="499" t="s">
        <v>212</v>
      </c>
      <c r="G520" s="501">
        <v>1</v>
      </c>
      <c r="H520" s="500">
        <f>SUM(H511:H519)</f>
        <v>1051.8</v>
      </c>
      <c r="I520" s="501">
        <f t="shared" si="54"/>
        <v>1051.8</v>
      </c>
      <c r="J520" s="502">
        <v>1</v>
      </c>
      <c r="K520" s="502">
        <f>I520*J520</f>
        <v>1051.8</v>
      </c>
      <c r="L520" s="636">
        <f>SUM(K511:K520)</f>
        <v>2526.2</v>
      </c>
      <c r="M520" s="537"/>
      <c r="N520" s="537"/>
      <c r="O520" s="456"/>
    </row>
    <row r="521" s="456" customFormat="1" ht="20.25" spans="1:15">
      <c r="A521" s="488">
        <v>45449</v>
      </c>
      <c r="B521" s="456" t="s">
        <v>255</v>
      </c>
      <c r="C521" s="490">
        <v>45448</v>
      </c>
      <c r="D521" s="491"/>
      <c r="E521" s="491"/>
      <c r="F521" s="493" t="s">
        <v>16</v>
      </c>
      <c r="G521" s="491">
        <v>1</v>
      </c>
      <c r="H521" s="431">
        <v>55</v>
      </c>
      <c r="I521" s="491">
        <f t="shared" si="54"/>
        <v>55</v>
      </c>
      <c r="J521" s="492"/>
      <c r="K521" s="492"/>
      <c r="L521" s="536"/>
      <c r="M521" s="536"/>
      <c r="N521" s="536"/>
    </row>
    <row r="522" s="456" customFormat="1" ht="20.25" spans="1:15">
      <c r="A522" s="488">
        <v>45449</v>
      </c>
      <c r="B522" s="456" t="s">
        <v>255</v>
      </c>
      <c r="C522" s="490">
        <v>45448</v>
      </c>
      <c r="D522" s="491"/>
      <c r="E522" s="491"/>
      <c r="F522" s="493" t="s">
        <v>297</v>
      </c>
      <c r="G522" s="491">
        <v>1</v>
      </c>
      <c r="H522" s="431">
        <v>195</v>
      </c>
      <c r="I522" s="491">
        <f t="shared" si="54"/>
        <v>195</v>
      </c>
      <c r="J522" s="492"/>
      <c r="K522" s="492"/>
      <c r="L522" s="536"/>
      <c r="M522" s="536"/>
      <c r="N522" s="536"/>
    </row>
    <row r="523" s="456" customFormat="1" ht="20.25" spans="1:15">
      <c r="A523" s="488">
        <v>45449</v>
      </c>
      <c r="B523" s="456" t="s">
        <v>255</v>
      </c>
      <c r="C523" s="490">
        <v>45448</v>
      </c>
      <c r="D523" s="491"/>
      <c r="E523" s="491"/>
      <c r="F523" s="493" t="s">
        <v>86</v>
      </c>
      <c r="G523" s="491">
        <v>1</v>
      </c>
      <c r="H523" s="431">
        <v>38</v>
      </c>
      <c r="I523" s="491">
        <f t="shared" si="54"/>
        <v>38</v>
      </c>
      <c r="J523" s="492"/>
      <c r="K523" s="492"/>
      <c r="L523" s="536"/>
      <c r="M523" s="536"/>
      <c r="N523" s="536"/>
    </row>
    <row r="524" s="456" customFormat="1" ht="20.25" spans="1:15">
      <c r="A524" s="488">
        <v>45449</v>
      </c>
      <c r="B524" s="456" t="s">
        <v>255</v>
      </c>
      <c r="C524" s="490">
        <v>45448</v>
      </c>
      <c r="D524" s="491"/>
      <c r="E524" s="491"/>
      <c r="F524" s="493" t="s">
        <v>298</v>
      </c>
      <c r="G524" s="491">
        <v>1</v>
      </c>
      <c r="H524" s="431">
        <v>72</v>
      </c>
      <c r="I524" s="491">
        <f t="shared" si="54"/>
        <v>72</v>
      </c>
      <c r="J524" s="492"/>
      <c r="K524" s="492"/>
      <c r="L524" s="536" t="s">
        <v>126</v>
      </c>
      <c r="M524" s="536"/>
      <c r="N524" s="536"/>
    </row>
    <row r="525" s="456" customFormat="1" ht="20.25" spans="1:15">
      <c r="A525" s="488">
        <v>45449</v>
      </c>
      <c r="B525" s="456" t="s">
        <v>255</v>
      </c>
      <c r="C525" s="490">
        <v>45448</v>
      </c>
      <c r="D525" s="491"/>
      <c r="E525" s="491"/>
      <c r="F525" s="493">
        <v>808</v>
      </c>
      <c r="G525" s="491">
        <v>1</v>
      </c>
      <c r="H525" s="431">
        <v>40</v>
      </c>
      <c r="I525" s="491">
        <f t="shared" si="54"/>
        <v>40</v>
      </c>
      <c r="J525" s="492">
        <v>11</v>
      </c>
      <c r="K525" s="492">
        <f>I525*J525</f>
        <v>440</v>
      </c>
      <c r="L525" s="536"/>
      <c r="M525" s="536"/>
      <c r="N525" s="536"/>
    </row>
    <row r="526" s="456" customFormat="1" ht="20.25" spans="1:15">
      <c r="A526" s="488">
        <v>45449</v>
      </c>
      <c r="B526" s="456" t="s">
        <v>255</v>
      </c>
      <c r="C526" s="490">
        <v>45448</v>
      </c>
      <c r="D526" s="491"/>
      <c r="E526" s="491"/>
      <c r="F526" s="499" t="s">
        <v>299</v>
      </c>
      <c r="G526" s="501">
        <v>1</v>
      </c>
      <c r="H526" s="500">
        <f>SUM(H521:H525)</f>
        <v>400</v>
      </c>
      <c r="I526" s="501">
        <f t="shared" si="54"/>
        <v>400</v>
      </c>
      <c r="J526" s="502">
        <v>1</v>
      </c>
      <c r="K526" s="502">
        <f>I526*J526</f>
        <v>400</v>
      </c>
      <c r="L526" s="536">
        <f>SUM(K521:K526)</f>
        <v>840</v>
      </c>
      <c r="M526" s="536"/>
      <c r="N526" s="536"/>
    </row>
    <row r="527" s="457" customFormat="1" ht="20.25" spans="1:15">
      <c r="A527" s="494">
        <v>45449</v>
      </c>
      <c r="B527" s="457" t="s">
        <v>52</v>
      </c>
      <c r="C527" s="495">
        <v>45449</v>
      </c>
      <c r="D527" s="463"/>
      <c r="E527" s="463"/>
      <c r="F527" s="496" t="s">
        <v>65</v>
      </c>
      <c r="G527" s="463">
        <v>1</v>
      </c>
      <c r="H527" s="432">
        <v>300</v>
      </c>
      <c r="I527" s="463">
        <f t="shared" si="54"/>
        <v>300</v>
      </c>
      <c r="J527" s="497"/>
      <c r="K527" s="497"/>
      <c r="L527" s="537"/>
      <c r="O527" s="456"/>
    </row>
    <row r="528" s="457" customFormat="1" ht="20.25" spans="1:15">
      <c r="A528" s="494">
        <v>45449</v>
      </c>
      <c r="B528" s="457" t="s">
        <v>52</v>
      </c>
      <c r="C528" s="495">
        <v>45449</v>
      </c>
      <c r="D528" s="463"/>
      <c r="E528" s="463"/>
      <c r="F528" s="496" t="s">
        <v>125</v>
      </c>
      <c r="G528" s="463">
        <v>1</v>
      </c>
      <c r="H528" s="432">
        <v>540</v>
      </c>
      <c r="I528" s="463">
        <f t="shared" si="54"/>
        <v>540</v>
      </c>
      <c r="J528" s="497">
        <v>7.4</v>
      </c>
      <c r="K528" s="497">
        <f>I528*J528</f>
        <v>3996</v>
      </c>
      <c r="L528" s="537"/>
      <c r="O528" s="456"/>
    </row>
    <row r="529" s="457" customFormat="1" ht="20.25" spans="1:15">
      <c r="A529" s="494">
        <v>45449</v>
      </c>
      <c r="B529" s="457" t="s">
        <v>52</v>
      </c>
      <c r="C529" s="495">
        <v>45449</v>
      </c>
      <c r="D529" s="463"/>
      <c r="E529" s="463"/>
      <c r="F529" s="496" t="s">
        <v>152</v>
      </c>
      <c r="G529" s="463">
        <v>1</v>
      </c>
      <c r="H529" s="432">
        <v>180</v>
      </c>
      <c r="I529" s="463">
        <f t="shared" si="54"/>
        <v>180</v>
      </c>
      <c r="J529" s="497">
        <v>8.6</v>
      </c>
      <c r="K529" s="497">
        <f>I529*J529</f>
        <v>1548</v>
      </c>
      <c r="L529" s="537"/>
      <c r="O529" s="456"/>
    </row>
    <row r="530" s="457" customFormat="1" ht="20.25" spans="1:15">
      <c r="A530" s="494">
        <v>45449</v>
      </c>
      <c r="B530" s="457" t="s">
        <v>52</v>
      </c>
      <c r="C530" s="495">
        <v>45449</v>
      </c>
      <c r="D530" s="463"/>
      <c r="E530" s="463"/>
      <c r="F530" s="499" t="s">
        <v>66</v>
      </c>
      <c r="G530" s="501">
        <v>1</v>
      </c>
      <c r="H530" s="500">
        <f>SUM(H527:H529)</f>
        <v>1020</v>
      </c>
      <c r="I530" s="501">
        <f t="shared" si="54"/>
        <v>1020</v>
      </c>
      <c r="J530" s="502">
        <v>0.8</v>
      </c>
      <c r="K530" s="502">
        <f>I530*J530</f>
        <v>816</v>
      </c>
      <c r="L530" s="537"/>
      <c r="O530" s="456"/>
    </row>
    <row r="531" s="457" customFormat="1" ht="20.25" spans="1:15">
      <c r="A531" s="494">
        <v>45449</v>
      </c>
      <c r="B531" s="457" t="s">
        <v>52</v>
      </c>
      <c r="C531" s="495">
        <v>45449</v>
      </c>
      <c r="D531" s="463"/>
      <c r="E531" s="463"/>
      <c r="F531" s="496" t="s">
        <v>97</v>
      </c>
      <c r="G531" s="463">
        <v>1</v>
      </c>
      <c r="H531" s="432">
        <v>200</v>
      </c>
      <c r="I531" s="463">
        <f t="shared" si="54"/>
        <v>200</v>
      </c>
      <c r="J531" s="497"/>
      <c r="K531" s="497"/>
      <c r="L531" s="537"/>
      <c r="O531" s="456"/>
    </row>
    <row r="532" s="457" customFormat="1" ht="20.25" spans="1:15">
      <c r="A532" s="494">
        <v>45449</v>
      </c>
      <c r="B532" s="457" t="s">
        <v>52</v>
      </c>
      <c r="C532" s="495">
        <v>45449</v>
      </c>
      <c r="D532" s="463"/>
      <c r="E532" s="463"/>
      <c r="F532" s="496" t="s">
        <v>125</v>
      </c>
      <c r="G532" s="463">
        <v>1</v>
      </c>
      <c r="H532" s="432">
        <v>720</v>
      </c>
      <c r="I532" s="463">
        <f t="shared" si="54"/>
        <v>720</v>
      </c>
      <c r="J532" s="497">
        <v>7.4</v>
      </c>
      <c r="K532" s="497">
        <f>I532*J532</f>
        <v>5328</v>
      </c>
      <c r="L532" s="537"/>
      <c r="O532" s="456"/>
    </row>
    <row r="533" s="457" customFormat="1" ht="20.25" spans="1:15">
      <c r="A533" s="494">
        <v>45449</v>
      </c>
      <c r="B533" s="457" t="s">
        <v>52</v>
      </c>
      <c r="C533" s="495">
        <v>45449</v>
      </c>
      <c r="D533" s="463"/>
      <c r="E533" s="463"/>
      <c r="F533" s="496" t="s">
        <v>152</v>
      </c>
      <c r="G533" s="463">
        <v>1</v>
      </c>
      <c r="H533" s="432">
        <v>360</v>
      </c>
      <c r="I533" s="463">
        <f t="shared" si="54"/>
        <v>360</v>
      </c>
      <c r="J533" s="497">
        <v>8.6</v>
      </c>
      <c r="K533" s="497">
        <f t="shared" ref="K532:K534" si="56">I533*J533</f>
        <v>3096</v>
      </c>
      <c r="L533" s="537"/>
      <c r="O533" s="456"/>
    </row>
    <row r="534" s="457" customFormat="1" ht="20.25" spans="1:15">
      <c r="A534" s="494">
        <v>45449</v>
      </c>
      <c r="B534" s="457" t="s">
        <v>52</v>
      </c>
      <c r="C534" s="495">
        <v>45449</v>
      </c>
      <c r="D534" s="463"/>
      <c r="E534" s="463"/>
      <c r="F534" s="499" t="s">
        <v>68</v>
      </c>
      <c r="G534" s="501">
        <v>1</v>
      </c>
      <c r="H534" s="500">
        <f>SUM(H531:H533)</f>
        <v>1280</v>
      </c>
      <c r="I534" s="501">
        <f t="shared" si="54"/>
        <v>1280</v>
      </c>
      <c r="J534" s="502">
        <v>0.8</v>
      </c>
      <c r="K534" s="502">
        <f t="shared" si="56"/>
        <v>1024</v>
      </c>
      <c r="L534" s="537">
        <f>SUM(K527:K534)</f>
        <v>15808</v>
      </c>
      <c r="O534" s="456"/>
    </row>
    <row r="535" s="456" customFormat="1" ht="20.25" spans="1:15">
      <c r="A535" s="488">
        <v>45449</v>
      </c>
      <c r="B535" s="456" t="s">
        <v>57</v>
      </c>
      <c r="C535" s="490">
        <v>45449</v>
      </c>
      <c r="D535" s="491"/>
      <c r="E535" s="491"/>
      <c r="F535" s="493" t="s">
        <v>16</v>
      </c>
      <c r="G535" s="491">
        <v>1</v>
      </c>
      <c r="H535" s="431">
        <v>75</v>
      </c>
      <c r="I535" s="491">
        <f t="shared" si="54"/>
        <v>75</v>
      </c>
      <c r="J535" s="492"/>
      <c r="K535" s="492"/>
      <c r="L535" s="536"/>
      <c r="M535" s="536"/>
      <c r="N535" s="536"/>
    </row>
    <row r="536" s="456" customFormat="1" ht="20.25" spans="1:15">
      <c r="A536" s="488">
        <v>45449</v>
      </c>
      <c r="B536" s="456" t="s">
        <v>57</v>
      </c>
      <c r="C536" s="490">
        <v>45449</v>
      </c>
      <c r="D536" s="491"/>
      <c r="E536" s="491"/>
      <c r="F536" s="493" t="s">
        <v>300</v>
      </c>
      <c r="G536" s="491">
        <v>1</v>
      </c>
      <c r="H536" s="431">
        <v>100</v>
      </c>
      <c r="I536" s="491">
        <f t="shared" si="54"/>
        <v>100</v>
      </c>
      <c r="J536" s="492"/>
      <c r="K536" s="492"/>
      <c r="L536" s="536"/>
      <c r="M536" s="536"/>
      <c r="N536" s="536"/>
    </row>
    <row r="537" s="456" customFormat="1" ht="20.25" spans="1:15">
      <c r="A537" s="488">
        <v>45449</v>
      </c>
      <c r="B537" s="456" t="s">
        <v>57</v>
      </c>
      <c r="C537" s="490">
        <v>45449</v>
      </c>
      <c r="D537" s="491"/>
      <c r="E537" s="491"/>
      <c r="F537" s="493" t="s">
        <v>86</v>
      </c>
      <c r="G537" s="491">
        <v>1</v>
      </c>
      <c r="H537" s="431">
        <v>70</v>
      </c>
      <c r="I537" s="491">
        <f t="shared" si="54"/>
        <v>70</v>
      </c>
      <c r="J537" s="492"/>
      <c r="K537" s="492"/>
      <c r="L537" s="536"/>
      <c r="M537" s="536"/>
      <c r="N537" s="536"/>
    </row>
    <row r="538" s="456" customFormat="1" ht="20.25" spans="1:15">
      <c r="A538" s="488">
        <v>45449</v>
      </c>
      <c r="B538" s="456" t="s">
        <v>57</v>
      </c>
      <c r="C538" s="490">
        <v>45449</v>
      </c>
      <c r="D538" s="491"/>
      <c r="E538" s="491"/>
      <c r="F538" s="493" t="s">
        <v>298</v>
      </c>
      <c r="G538" s="491">
        <v>1</v>
      </c>
      <c r="H538" s="431">
        <v>130</v>
      </c>
      <c r="I538" s="491">
        <f t="shared" si="54"/>
        <v>130</v>
      </c>
      <c r="J538" s="492"/>
      <c r="K538" s="492"/>
      <c r="L538" s="536" t="s">
        <v>126</v>
      </c>
      <c r="M538" s="536"/>
      <c r="N538" s="536"/>
    </row>
    <row r="539" s="456" customFormat="1" ht="20.25" spans="1:15">
      <c r="A539" s="488">
        <v>45449</v>
      </c>
      <c r="B539" s="456" t="s">
        <v>57</v>
      </c>
      <c r="C539" s="490">
        <v>45449</v>
      </c>
      <c r="D539" s="491"/>
      <c r="E539" s="491"/>
      <c r="F539" s="493">
        <v>808</v>
      </c>
      <c r="G539" s="491">
        <v>1</v>
      </c>
      <c r="H539" s="431">
        <v>63</v>
      </c>
      <c r="I539" s="491">
        <f t="shared" si="54"/>
        <v>63</v>
      </c>
      <c r="J539" s="492">
        <v>11</v>
      </c>
      <c r="K539" s="492">
        <f>I539*J539</f>
        <v>693</v>
      </c>
      <c r="L539" s="536"/>
      <c r="M539" s="536"/>
      <c r="N539" s="536"/>
    </row>
    <row r="540" s="456" customFormat="1" ht="20.25" spans="1:15">
      <c r="A540" s="488">
        <v>45449</v>
      </c>
      <c r="B540" s="456" t="s">
        <v>57</v>
      </c>
      <c r="C540" s="490">
        <v>45449</v>
      </c>
      <c r="D540" s="491"/>
      <c r="E540" s="491"/>
      <c r="F540" s="493" t="s">
        <v>240</v>
      </c>
      <c r="G540" s="491">
        <v>1</v>
      </c>
      <c r="H540" s="431">
        <v>63</v>
      </c>
      <c r="I540" s="491"/>
      <c r="J540" s="492"/>
      <c r="K540" s="492"/>
      <c r="L540" s="536"/>
      <c r="M540" s="536"/>
      <c r="N540" s="536"/>
    </row>
    <row r="541" s="456" customFormat="1" ht="20.25" spans="1:15">
      <c r="A541" s="488">
        <v>45449</v>
      </c>
      <c r="B541" s="456" t="s">
        <v>57</v>
      </c>
      <c r="C541" s="490">
        <v>45449</v>
      </c>
      <c r="D541" s="491"/>
      <c r="E541" s="491"/>
      <c r="F541" s="499" t="s">
        <v>301</v>
      </c>
      <c r="G541" s="501">
        <v>1</v>
      </c>
      <c r="H541" s="500">
        <f>SUM(H535:H540)</f>
        <v>501</v>
      </c>
      <c r="I541" s="501">
        <f t="shared" ref="I541:I590" si="57">G541*H541</f>
        <v>501</v>
      </c>
      <c r="J541" s="502">
        <v>1</v>
      </c>
      <c r="K541" s="502">
        <f>I541*J541</f>
        <v>501</v>
      </c>
      <c r="L541" s="536">
        <f>SUM(K535:K541)</f>
        <v>1194</v>
      </c>
      <c r="M541" s="536"/>
      <c r="N541" s="536"/>
    </row>
    <row r="542" s="457" customFormat="1" ht="20.25" spans="1:15">
      <c r="A542" s="494">
        <v>45458</v>
      </c>
      <c r="B542" s="457" t="s">
        <v>161</v>
      </c>
      <c r="C542" s="504">
        <v>45455</v>
      </c>
      <c r="D542" s="504"/>
      <c r="E542" s="505"/>
      <c r="F542" s="496" t="s">
        <v>251</v>
      </c>
      <c r="G542" s="463">
        <v>1</v>
      </c>
      <c r="H542" s="432">
        <v>200</v>
      </c>
      <c r="I542" s="463">
        <f t="shared" si="57"/>
        <v>200</v>
      </c>
      <c r="J542" s="497"/>
      <c r="K542" s="497"/>
      <c r="O542" s="456"/>
    </row>
    <row r="543" s="457" customFormat="1" ht="20.25" spans="1:15">
      <c r="A543" s="494">
        <v>45458</v>
      </c>
      <c r="B543" s="457" t="s">
        <v>161</v>
      </c>
      <c r="C543" s="504">
        <v>45455</v>
      </c>
      <c r="D543" s="504"/>
      <c r="E543" s="505"/>
      <c r="F543" s="496" t="s">
        <v>129</v>
      </c>
      <c r="G543" s="463">
        <v>1</v>
      </c>
      <c r="H543" s="432">
        <v>150</v>
      </c>
      <c r="I543" s="463">
        <f t="shared" si="57"/>
        <v>150</v>
      </c>
      <c r="J543" s="497"/>
      <c r="K543" s="497"/>
      <c r="O543" s="456"/>
    </row>
    <row r="544" s="457" customFormat="1" ht="20.25" spans="1:15">
      <c r="A544" s="494">
        <v>45458</v>
      </c>
      <c r="B544" s="457" t="s">
        <v>161</v>
      </c>
      <c r="C544" s="504">
        <v>45455</v>
      </c>
      <c r="D544" s="504"/>
      <c r="E544" s="505"/>
      <c r="F544" s="496">
        <v>808</v>
      </c>
      <c r="G544" s="463">
        <v>1</v>
      </c>
      <c r="H544" s="432">
        <v>200</v>
      </c>
      <c r="I544" s="463">
        <f t="shared" si="57"/>
        <v>200</v>
      </c>
      <c r="J544" s="497">
        <v>10.8</v>
      </c>
      <c r="K544" s="497">
        <f>I544*J544</f>
        <v>2160</v>
      </c>
      <c r="O544" s="456"/>
    </row>
    <row r="545" s="457" customFormat="1" ht="20.25" spans="1:15">
      <c r="A545" s="494">
        <v>45458</v>
      </c>
      <c r="B545" s="457" t="s">
        <v>161</v>
      </c>
      <c r="C545" s="504">
        <v>45455</v>
      </c>
      <c r="D545" s="504"/>
      <c r="E545" s="505"/>
      <c r="F545" s="496" t="s">
        <v>86</v>
      </c>
      <c r="G545" s="463">
        <v>1</v>
      </c>
      <c r="H545" s="432">
        <v>70</v>
      </c>
      <c r="I545" s="463">
        <f t="shared" si="57"/>
        <v>70</v>
      </c>
      <c r="J545" s="497"/>
      <c r="K545" s="497"/>
      <c r="L545" s="537"/>
      <c r="M545" s="537"/>
      <c r="N545" s="537"/>
      <c r="O545" s="456"/>
    </row>
    <row r="546" s="457" customFormat="1" ht="20.25" spans="1:15">
      <c r="A546" s="494">
        <v>45458</v>
      </c>
      <c r="B546" s="457" t="s">
        <v>161</v>
      </c>
      <c r="C546" s="504">
        <v>45455</v>
      </c>
      <c r="D546" s="504"/>
      <c r="E546" s="505"/>
      <c r="F546" s="496" t="s">
        <v>87</v>
      </c>
      <c r="G546" s="463">
        <v>1</v>
      </c>
      <c r="H546" s="432">
        <v>380</v>
      </c>
      <c r="I546" s="463">
        <f t="shared" si="57"/>
        <v>380</v>
      </c>
      <c r="J546" s="497"/>
      <c r="K546" s="497"/>
      <c r="L546" s="537"/>
      <c r="M546" s="537" t="s">
        <v>126</v>
      </c>
      <c r="N546" s="537"/>
      <c r="O546" s="456"/>
    </row>
    <row r="547" s="457" customFormat="1" ht="20.25" spans="1:15">
      <c r="A547" s="494">
        <v>45458</v>
      </c>
      <c r="B547" s="457" t="s">
        <v>161</v>
      </c>
      <c r="C547" s="504">
        <v>45455</v>
      </c>
      <c r="D547" s="504"/>
      <c r="E547" s="505"/>
      <c r="F547" s="499" t="s">
        <v>130</v>
      </c>
      <c r="G547" s="501">
        <v>1</v>
      </c>
      <c r="H547" s="500">
        <f>SUM(H542:H546)</f>
        <v>1000</v>
      </c>
      <c r="I547" s="501">
        <f t="shared" si="57"/>
        <v>1000</v>
      </c>
      <c r="J547" s="502">
        <v>1</v>
      </c>
      <c r="K547" s="502">
        <f>I547*J547</f>
        <v>1000</v>
      </c>
      <c r="L547" s="537">
        <f>SUM(K542:K547)</f>
        <v>3160</v>
      </c>
      <c r="M547" s="537"/>
      <c r="N547" s="537"/>
      <c r="O547" s="456"/>
    </row>
    <row r="548" s="456" customFormat="1" ht="20.25" spans="1:15">
      <c r="A548" s="488">
        <v>45458</v>
      </c>
      <c r="B548" s="456" t="s">
        <v>302</v>
      </c>
      <c r="C548" s="528">
        <v>45456</v>
      </c>
      <c r="D548" s="528"/>
      <c r="E548" s="529"/>
      <c r="F548" s="493" t="s">
        <v>303</v>
      </c>
      <c r="G548" s="491">
        <v>1</v>
      </c>
      <c r="H548" s="431">
        <v>150</v>
      </c>
      <c r="I548" s="491">
        <f t="shared" si="57"/>
        <v>150</v>
      </c>
      <c r="J548" s="492"/>
      <c r="K548" s="492"/>
    </row>
    <row r="549" s="456" customFormat="1" ht="20.25" spans="1:15">
      <c r="A549" s="488">
        <v>45458</v>
      </c>
      <c r="B549" s="456" t="s">
        <v>302</v>
      </c>
      <c r="C549" s="528">
        <v>45456</v>
      </c>
      <c r="D549" s="528"/>
      <c r="E549" s="529"/>
      <c r="F549" s="493" t="s">
        <v>129</v>
      </c>
      <c r="G549" s="491">
        <v>1</v>
      </c>
      <c r="H549" s="431">
        <v>120</v>
      </c>
      <c r="I549" s="491">
        <f t="shared" si="57"/>
        <v>120</v>
      </c>
      <c r="J549" s="492"/>
      <c r="K549" s="492"/>
    </row>
    <row r="550" s="456" customFormat="1" ht="20.25" spans="1:15">
      <c r="A550" s="488">
        <v>45458</v>
      </c>
      <c r="B550" s="456" t="s">
        <v>302</v>
      </c>
      <c r="C550" s="528">
        <v>45456</v>
      </c>
      <c r="D550" s="528"/>
      <c r="E550" s="529"/>
      <c r="F550" s="493" t="s">
        <v>208</v>
      </c>
      <c r="G550" s="491">
        <v>1</v>
      </c>
      <c r="H550" s="431">
        <v>30</v>
      </c>
      <c r="I550" s="491">
        <f t="shared" si="57"/>
        <v>30</v>
      </c>
      <c r="J550" s="492">
        <v>17</v>
      </c>
      <c r="K550" s="492">
        <f>I550*J550</f>
        <v>510</v>
      </c>
    </row>
    <row r="551" s="456" customFormat="1" ht="20.25" spans="1:15">
      <c r="A551" s="488">
        <v>45458</v>
      </c>
      <c r="B551" s="456" t="s">
        <v>302</v>
      </c>
      <c r="C551" s="528">
        <v>45456</v>
      </c>
      <c r="D551" s="528"/>
      <c r="E551" s="529"/>
      <c r="F551" s="493">
        <v>808</v>
      </c>
      <c r="G551" s="491">
        <v>1</v>
      </c>
      <c r="H551" s="431">
        <v>100</v>
      </c>
      <c r="I551" s="491">
        <f t="shared" si="57"/>
        <v>100</v>
      </c>
      <c r="J551" s="492">
        <v>10.8</v>
      </c>
      <c r="K551" s="492">
        <f>I551*J551</f>
        <v>1080</v>
      </c>
    </row>
    <row r="552" s="456" customFormat="1" ht="20.25" spans="1:15">
      <c r="A552" s="488">
        <v>45458</v>
      </c>
      <c r="B552" s="456" t="s">
        <v>302</v>
      </c>
      <c r="C552" s="528">
        <v>45456</v>
      </c>
      <c r="D552" s="528"/>
      <c r="E552" s="529"/>
      <c r="F552" s="493" t="s">
        <v>132</v>
      </c>
      <c r="G552" s="491">
        <v>1</v>
      </c>
      <c r="H552" s="431">
        <v>200</v>
      </c>
      <c r="I552" s="491">
        <f t="shared" si="57"/>
        <v>200</v>
      </c>
      <c r="J552" s="492">
        <v>3.4</v>
      </c>
      <c r="K552" s="492">
        <f>I552*J552</f>
        <v>680</v>
      </c>
    </row>
    <row r="553" s="456" customFormat="1" ht="20.25" spans="1:15">
      <c r="A553" s="488">
        <v>45458</v>
      </c>
      <c r="B553" s="456" t="s">
        <v>302</v>
      </c>
      <c r="C553" s="528">
        <v>45456</v>
      </c>
      <c r="D553" s="528"/>
      <c r="E553" s="529"/>
      <c r="F553" s="493" t="s">
        <v>86</v>
      </c>
      <c r="G553" s="491">
        <v>1</v>
      </c>
      <c r="H553" s="431">
        <v>140</v>
      </c>
      <c r="I553" s="491">
        <f t="shared" si="57"/>
        <v>140</v>
      </c>
      <c r="J553" s="492"/>
      <c r="K553" s="492"/>
      <c r="L553" s="536"/>
      <c r="M553" s="536"/>
      <c r="N553" s="536"/>
    </row>
    <row r="554" s="456" customFormat="1" ht="20.25" spans="1:15">
      <c r="A554" s="488">
        <v>45458</v>
      </c>
      <c r="B554" s="456" t="s">
        <v>302</v>
      </c>
      <c r="C554" s="528">
        <v>45456</v>
      </c>
      <c r="D554" s="528"/>
      <c r="E554" s="529"/>
      <c r="F554" s="493" t="s">
        <v>87</v>
      </c>
      <c r="G554" s="491">
        <v>1</v>
      </c>
      <c r="H554" s="431">
        <v>260</v>
      </c>
      <c r="I554" s="491">
        <f t="shared" si="57"/>
        <v>260</v>
      </c>
      <c r="J554" s="492"/>
      <c r="K554" s="492"/>
      <c r="L554" s="536"/>
      <c r="M554" s="536" t="s">
        <v>126</v>
      </c>
      <c r="N554" s="536"/>
    </row>
    <row r="555" s="456" customFormat="1" ht="20.25" spans="1:15">
      <c r="A555" s="488">
        <v>45458</v>
      </c>
      <c r="B555" s="456" t="s">
        <v>302</v>
      </c>
      <c r="C555" s="528">
        <v>45456</v>
      </c>
      <c r="D555" s="528"/>
      <c r="E555" s="529"/>
      <c r="F555" s="493" t="s">
        <v>304</v>
      </c>
      <c r="G555" s="491">
        <v>1</v>
      </c>
      <c r="H555" s="500">
        <f>SUM(H548:H554)</f>
        <v>1000</v>
      </c>
      <c r="I555" s="501">
        <f t="shared" si="57"/>
        <v>1000</v>
      </c>
      <c r="J555" s="502">
        <v>1</v>
      </c>
      <c r="K555" s="502">
        <f>I555*J555</f>
        <v>1000</v>
      </c>
      <c r="L555" s="536">
        <f>SUM(K548:K555)</f>
        <v>3270</v>
      </c>
      <c r="M555" s="536"/>
      <c r="N555" s="536"/>
    </row>
    <row r="556" s="457" customFormat="1" ht="20.25" spans="1:15">
      <c r="A556" s="494">
        <v>45458</v>
      </c>
      <c r="B556" s="457" t="s">
        <v>305</v>
      </c>
      <c r="C556" s="495">
        <v>45458</v>
      </c>
      <c r="D556" s="463"/>
      <c r="E556" s="463"/>
      <c r="F556" s="496" t="s">
        <v>16</v>
      </c>
      <c r="G556" s="463">
        <v>1</v>
      </c>
      <c r="H556" s="432">
        <v>0.4</v>
      </c>
      <c r="I556" s="463">
        <f t="shared" si="57"/>
        <v>0.4</v>
      </c>
      <c r="J556" s="497"/>
      <c r="K556" s="497"/>
      <c r="L556" s="537"/>
      <c r="M556" s="537"/>
      <c r="N556" s="537"/>
      <c r="O556" s="456"/>
    </row>
    <row r="557" s="457" customFormat="1" ht="20.25" spans="1:15">
      <c r="A557" s="494">
        <v>45458</v>
      </c>
      <c r="B557" s="457" t="s">
        <v>305</v>
      </c>
      <c r="C557" s="495">
        <v>45458</v>
      </c>
      <c r="D557" s="463"/>
      <c r="E557" s="463"/>
      <c r="F557" s="496" t="s">
        <v>208</v>
      </c>
      <c r="G557" s="463">
        <v>1</v>
      </c>
      <c r="H557" s="432">
        <v>1.8</v>
      </c>
      <c r="I557" s="463">
        <f t="shared" si="57"/>
        <v>1.8</v>
      </c>
      <c r="J557" s="497">
        <v>17</v>
      </c>
      <c r="K557" s="497">
        <f t="shared" ref="K557:K564" si="58">I557*J557</f>
        <v>30.6</v>
      </c>
      <c r="L557" s="537"/>
      <c r="M557" s="537"/>
      <c r="N557" s="537"/>
      <c r="O557" s="456"/>
    </row>
    <row r="558" s="457" customFormat="1" ht="20.25" spans="1:15">
      <c r="A558" s="494">
        <v>45458</v>
      </c>
      <c r="B558" s="457" t="s">
        <v>305</v>
      </c>
      <c r="C558" s="495">
        <v>45458</v>
      </c>
      <c r="D558" s="463"/>
      <c r="E558" s="463"/>
      <c r="F558" s="496" t="s">
        <v>152</v>
      </c>
      <c r="G558" s="463">
        <v>1</v>
      </c>
      <c r="H558" s="432">
        <v>6.9</v>
      </c>
      <c r="I558" s="463">
        <f t="shared" si="57"/>
        <v>6.9</v>
      </c>
      <c r="J558" s="497">
        <v>8.6</v>
      </c>
      <c r="K558" s="497">
        <f t="shared" si="58"/>
        <v>59.34</v>
      </c>
      <c r="L558" s="537" t="s">
        <v>248</v>
      </c>
      <c r="M558" s="537"/>
      <c r="N558" s="537"/>
      <c r="O558" s="456"/>
    </row>
    <row r="559" s="457" customFormat="1" ht="20.25" spans="1:15">
      <c r="A559" s="494">
        <v>45458</v>
      </c>
      <c r="B559" s="457" t="s">
        <v>305</v>
      </c>
      <c r="C559" s="495">
        <v>45458</v>
      </c>
      <c r="D559" s="463"/>
      <c r="E559" s="463"/>
      <c r="F559" s="496" t="s">
        <v>125</v>
      </c>
      <c r="G559" s="463">
        <v>1</v>
      </c>
      <c r="H559" s="432">
        <v>6.9</v>
      </c>
      <c r="I559" s="463">
        <f t="shared" si="57"/>
        <v>6.9</v>
      </c>
      <c r="J559" s="497">
        <v>7.4</v>
      </c>
      <c r="K559" s="497">
        <f t="shared" si="58"/>
        <v>51.06</v>
      </c>
      <c r="L559" s="537"/>
      <c r="M559" s="537"/>
      <c r="N559" s="537"/>
      <c r="O559" s="456"/>
    </row>
    <row r="560" s="457" customFormat="1" ht="20.25" spans="1:15">
      <c r="A560" s="494">
        <v>45458</v>
      </c>
      <c r="B560" s="457" t="s">
        <v>305</v>
      </c>
      <c r="C560" s="495">
        <v>45458</v>
      </c>
      <c r="D560" s="463"/>
      <c r="E560" s="463"/>
      <c r="F560" s="499" t="s">
        <v>249</v>
      </c>
      <c r="G560" s="501">
        <v>1</v>
      </c>
      <c r="H560" s="500">
        <f>SUM(H556:H559)</f>
        <v>16</v>
      </c>
      <c r="I560" s="501">
        <f t="shared" si="57"/>
        <v>16</v>
      </c>
      <c r="J560" s="502">
        <v>1</v>
      </c>
      <c r="K560" s="502">
        <f t="shared" si="58"/>
        <v>16</v>
      </c>
      <c r="L560" s="537"/>
      <c r="M560" s="537"/>
      <c r="N560" s="537"/>
      <c r="O560" s="456"/>
    </row>
    <row r="561" s="456" customFormat="1" ht="20.25" spans="1:15">
      <c r="A561" s="494">
        <v>45458</v>
      </c>
      <c r="B561" s="457" t="s">
        <v>305</v>
      </c>
      <c r="C561" s="495">
        <v>45458</v>
      </c>
      <c r="D561" s="463"/>
      <c r="E561" s="463"/>
      <c r="F561" s="496" t="s">
        <v>306</v>
      </c>
      <c r="G561" s="463">
        <v>1</v>
      </c>
      <c r="H561" s="432">
        <v>1</v>
      </c>
      <c r="I561" s="463">
        <f t="shared" si="57"/>
        <v>1</v>
      </c>
      <c r="J561" s="497">
        <v>14</v>
      </c>
      <c r="K561" s="497">
        <f t="shared" si="58"/>
        <v>14</v>
      </c>
      <c r="L561" s="537">
        <f>SUM(K556:K561)</f>
        <v>171</v>
      </c>
      <c r="M561" s="536"/>
      <c r="N561" s="536"/>
    </row>
    <row r="562" s="456" customFormat="1" ht="20.25" spans="1:15">
      <c r="A562" s="488">
        <v>45461</v>
      </c>
      <c r="B562" s="456" t="s">
        <v>175</v>
      </c>
      <c r="C562" s="490">
        <v>45461</v>
      </c>
      <c r="D562" s="491"/>
      <c r="E562" s="491"/>
      <c r="F562" s="522" t="s">
        <v>284</v>
      </c>
      <c r="G562" s="491">
        <v>4</v>
      </c>
      <c r="H562" s="431">
        <v>10</v>
      </c>
      <c r="I562" s="491">
        <f t="shared" si="57"/>
        <v>40</v>
      </c>
      <c r="J562" s="492">
        <v>15.5</v>
      </c>
      <c r="K562" s="492">
        <f t="shared" si="58"/>
        <v>620</v>
      </c>
      <c r="L562" s="536" t="s">
        <v>31</v>
      </c>
      <c r="M562" s="493"/>
    </row>
    <row r="563" s="456" customFormat="1" ht="20.25" spans="1:15">
      <c r="A563" s="488">
        <v>45461</v>
      </c>
      <c r="B563" s="456" t="s">
        <v>175</v>
      </c>
      <c r="C563" s="490">
        <v>45461</v>
      </c>
      <c r="D563" s="491"/>
      <c r="E563" s="491"/>
      <c r="F563" s="522" t="s">
        <v>284</v>
      </c>
      <c r="G563" s="491">
        <v>5</v>
      </c>
      <c r="H563" s="431">
        <v>4</v>
      </c>
      <c r="I563" s="491">
        <f t="shared" si="57"/>
        <v>20</v>
      </c>
      <c r="J563" s="492">
        <v>15.5</v>
      </c>
      <c r="K563" s="492">
        <f t="shared" si="58"/>
        <v>310</v>
      </c>
      <c r="L563" s="536" t="s">
        <v>31</v>
      </c>
      <c r="M563" s="489"/>
    </row>
    <row r="564" s="456" customFormat="1" ht="20.25" spans="1:15">
      <c r="A564" s="488">
        <v>45461</v>
      </c>
      <c r="B564" s="456" t="s">
        <v>175</v>
      </c>
      <c r="C564" s="490">
        <v>45461</v>
      </c>
      <c r="D564" s="491"/>
      <c r="E564" s="491"/>
      <c r="F564" s="522" t="s">
        <v>285</v>
      </c>
      <c r="G564" s="523">
        <v>5</v>
      </c>
      <c r="H564" s="524">
        <v>1</v>
      </c>
      <c r="I564" s="523">
        <f t="shared" si="57"/>
        <v>5</v>
      </c>
      <c r="J564" s="525">
        <v>5.5</v>
      </c>
      <c r="K564" s="525">
        <f t="shared" si="58"/>
        <v>27.5</v>
      </c>
      <c r="L564" s="536">
        <f>SUM(K562:K564)</f>
        <v>957.5</v>
      </c>
      <c r="M564" s="489"/>
    </row>
    <row r="565" s="457" customFormat="1" ht="20.25" spans="1:15">
      <c r="A565" s="494">
        <v>45464</v>
      </c>
      <c r="B565" s="607" t="s">
        <v>188</v>
      </c>
      <c r="C565" s="495">
        <v>45461</v>
      </c>
      <c r="D565" s="463"/>
      <c r="E565" s="463"/>
      <c r="F565" s="496" t="s">
        <v>256</v>
      </c>
      <c r="G565" s="463">
        <v>1</v>
      </c>
      <c r="H565" s="432">
        <v>100</v>
      </c>
      <c r="I565" s="463">
        <f t="shared" si="57"/>
        <v>100</v>
      </c>
      <c r="J565" s="497"/>
      <c r="K565" s="497"/>
      <c r="L565" s="537"/>
      <c r="M565" s="537"/>
      <c r="N565" s="537"/>
      <c r="O565" s="456"/>
    </row>
    <row r="566" s="457" customFormat="1" ht="20.25" spans="1:15">
      <c r="A566" s="494">
        <v>45464</v>
      </c>
      <c r="B566" s="607" t="s">
        <v>188</v>
      </c>
      <c r="C566" s="495">
        <v>45461</v>
      </c>
      <c r="D566" s="463"/>
      <c r="E566" s="463"/>
      <c r="F566" s="496">
        <v>808</v>
      </c>
      <c r="G566" s="463">
        <v>1</v>
      </c>
      <c r="H566" s="432">
        <v>80</v>
      </c>
      <c r="I566" s="463">
        <f t="shared" si="57"/>
        <v>80</v>
      </c>
      <c r="J566" s="497">
        <v>10.8</v>
      </c>
      <c r="K566" s="497">
        <f>I566*J566</f>
        <v>864</v>
      </c>
      <c r="L566" s="537"/>
      <c r="M566" s="537"/>
      <c r="N566" s="537"/>
      <c r="O566" s="456"/>
    </row>
    <row r="567" s="457" customFormat="1" ht="20.25" spans="1:15">
      <c r="A567" s="494">
        <v>45464</v>
      </c>
      <c r="B567" s="607" t="s">
        <v>188</v>
      </c>
      <c r="C567" s="495">
        <v>45461</v>
      </c>
      <c r="D567" s="463"/>
      <c r="E567" s="463"/>
      <c r="F567" s="496" t="s">
        <v>125</v>
      </c>
      <c r="G567" s="463">
        <v>1</v>
      </c>
      <c r="H567" s="432">
        <v>110</v>
      </c>
      <c r="I567" s="463">
        <f t="shared" si="57"/>
        <v>110</v>
      </c>
      <c r="J567" s="497">
        <v>7.4</v>
      </c>
      <c r="K567" s="497">
        <f>I567*J567</f>
        <v>814</v>
      </c>
      <c r="L567" s="537"/>
      <c r="M567" s="537"/>
      <c r="N567" s="537"/>
      <c r="O567" s="456"/>
    </row>
    <row r="568" s="457" customFormat="1" ht="20.25" spans="1:15">
      <c r="A568" s="494">
        <v>45464</v>
      </c>
      <c r="B568" s="607" t="s">
        <v>188</v>
      </c>
      <c r="C568" s="495">
        <v>45461</v>
      </c>
      <c r="D568" s="463"/>
      <c r="E568" s="463"/>
      <c r="F568" s="496" t="s">
        <v>152</v>
      </c>
      <c r="G568" s="463">
        <v>1</v>
      </c>
      <c r="H568" s="432">
        <v>40</v>
      </c>
      <c r="I568" s="463">
        <f t="shared" si="57"/>
        <v>40</v>
      </c>
      <c r="J568" s="497">
        <v>8.6</v>
      </c>
      <c r="K568" s="497">
        <f>I568*J568</f>
        <v>344</v>
      </c>
      <c r="L568" s="606" t="s">
        <v>307</v>
      </c>
      <c r="M568" s="537"/>
      <c r="N568" s="537"/>
      <c r="O568" s="456"/>
    </row>
    <row r="569" s="457" customFormat="1" ht="20.25" spans="1:15">
      <c r="A569" s="494">
        <v>45464</v>
      </c>
      <c r="B569" s="607" t="s">
        <v>188</v>
      </c>
      <c r="C569" s="495">
        <v>45461</v>
      </c>
      <c r="D569" s="463"/>
      <c r="E569" s="463"/>
      <c r="F569" s="496" t="s">
        <v>132</v>
      </c>
      <c r="G569" s="463">
        <v>1</v>
      </c>
      <c r="H569" s="432">
        <v>60</v>
      </c>
      <c r="I569" s="463">
        <f t="shared" si="57"/>
        <v>60</v>
      </c>
      <c r="J569" s="497">
        <v>3.4</v>
      </c>
      <c r="K569" s="497">
        <f>I569*J569</f>
        <v>204</v>
      </c>
      <c r="L569" s="537" t="s">
        <v>116</v>
      </c>
      <c r="M569" s="537"/>
      <c r="N569" s="537"/>
      <c r="O569" s="456"/>
    </row>
    <row r="570" s="457" customFormat="1" ht="20.25" spans="1:15">
      <c r="A570" s="494">
        <v>45464</v>
      </c>
      <c r="B570" s="607" t="s">
        <v>188</v>
      </c>
      <c r="C570" s="495">
        <v>45461</v>
      </c>
      <c r="D570" s="463"/>
      <c r="E570" s="463"/>
      <c r="F570" s="496" t="s">
        <v>191</v>
      </c>
      <c r="G570" s="463">
        <v>1</v>
      </c>
      <c r="H570" s="432">
        <v>22</v>
      </c>
      <c r="I570" s="463">
        <f t="shared" si="57"/>
        <v>22</v>
      </c>
      <c r="J570" s="497">
        <v>17</v>
      </c>
      <c r="K570" s="497">
        <f>I570*J570</f>
        <v>374</v>
      </c>
      <c r="L570" s="499" t="s">
        <v>308</v>
      </c>
      <c r="M570" s="537"/>
      <c r="N570" s="537"/>
      <c r="O570" s="456"/>
    </row>
    <row r="571" s="457" customFormat="1" ht="20.25" spans="1:15">
      <c r="A571" s="494">
        <v>45464</v>
      </c>
      <c r="B571" s="607" t="s">
        <v>188</v>
      </c>
      <c r="C571" s="495">
        <v>45461</v>
      </c>
      <c r="D571" s="463"/>
      <c r="E571" s="463"/>
      <c r="F571" s="496" t="s">
        <v>129</v>
      </c>
      <c r="G571" s="463">
        <v>1</v>
      </c>
      <c r="H571" s="432">
        <v>60</v>
      </c>
      <c r="I571" s="463">
        <f t="shared" si="57"/>
        <v>60</v>
      </c>
      <c r="J571" s="497"/>
      <c r="K571" s="497"/>
      <c r="L571" s="537"/>
      <c r="M571" s="537"/>
      <c r="N571" s="537"/>
      <c r="O571" s="456"/>
    </row>
    <row r="572" s="457" customFormat="1" ht="20.25" spans="1:15">
      <c r="A572" s="494">
        <v>45464</v>
      </c>
      <c r="B572" s="607" t="s">
        <v>188</v>
      </c>
      <c r="C572" s="495">
        <v>45461</v>
      </c>
      <c r="D572" s="463"/>
      <c r="E572" s="463"/>
      <c r="F572" s="496" t="s">
        <v>257</v>
      </c>
      <c r="G572" s="463">
        <v>1</v>
      </c>
      <c r="H572" s="500">
        <f>SUM(H565:H571)</f>
        <v>472</v>
      </c>
      <c r="I572" s="501">
        <f t="shared" si="57"/>
        <v>472</v>
      </c>
      <c r="J572" s="502">
        <v>1</v>
      </c>
      <c r="K572" s="502">
        <f>I572*J572</f>
        <v>472</v>
      </c>
      <c r="L572" s="537">
        <f>SUM(K565:K572)</f>
        <v>3072</v>
      </c>
      <c r="M572" s="537"/>
      <c r="N572" s="537"/>
      <c r="O572" s="456"/>
    </row>
    <row r="573" s="456" customFormat="1" ht="20.25" spans="1:15">
      <c r="A573" s="488">
        <v>45464</v>
      </c>
      <c r="B573" s="608" t="s">
        <v>309</v>
      </c>
      <c r="C573" s="490">
        <v>45461</v>
      </c>
      <c r="D573" s="491"/>
      <c r="E573" s="491"/>
      <c r="F573" s="493" t="s">
        <v>16</v>
      </c>
      <c r="G573" s="491">
        <v>3</v>
      </c>
      <c r="H573" s="431">
        <v>48</v>
      </c>
      <c r="I573" s="491">
        <f t="shared" si="57"/>
        <v>144</v>
      </c>
      <c r="J573" s="492">
        <v>13.5</v>
      </c>
      <c r="K573" s="492"/>
    </row>
    <row r="574" s="456" customFormat="1" ht="20.25" spans="1:15">
      <c r="A574" s="488">
        <v>45464</v>
      </c>
      <c r="B574" s="608" t="s">
        <v>309</v>
      </c>
      <c r="C574" s="490">
        <v>45461</v>
      </c>
      <c r="D574" s="491"/>
      <c r="E574" s="491"/>
      <c r="F574" s="493" t="s">
        <v>89</v>
      </c>
      <c r="G574" s="491">
        <v>3</v>
      </c>
      <c r="H574" s="431">
        <v>4.5</v>
      </c>
      <c r="I574" s="491">
        <f t="shared" si="57"/>
        <v>13.5</v>
      </c>
      <c r="J574" s="492">
        <v>56</v>
      </c>
      <c r="K574" s="492"/>
    </row>
    <row r="575" s="456" customFormat="1" ht="20.25" spans="1:15">
      <c r="A575" s="488">
        <v>45464</v>
      </c>
      <c r="B575" s="608" t="s">
        <v>309</v>
      </c>
      <c r="C575" s="490">
        <v>45461</v>
      </c>
      <c r="D575" s="491"/>
      <c r="E575" s="491"/>
      <c r="F575" s="498" t="s">
        <v>289</v>
      </c>
      <c r="G575" s="491">
        <v>3</v>
      </c>
      <c r="H575" s="431">
        <v>150</v>
      </c>
      <c r="I575" s="520">
        <f t="shared" si="57"/>
        <v>450</v>
      </c>
      <c r="J575" s="492">
        <v>15.1</v>
      </c>
      <c r="K575" s="492"/>
      <c r="M575" s="456" t="s">
        <v>310</v>
      </c>
    </row>
    <row r="576" s="456" customFormat="1" ht="20.25" spans="1:15">
      <c r="A576" s="488">
        <v>45464</v>
      </c>
      <c r="B576" s="608" t="s">
        <v>309</v>
      </c>
      <c r="C576" s="490">
        <v>45461</v>
      </c>
      <c r="D576" s="491"/>
      <c r="E576" s="491"/>
      <c r="F576" s="493" t="s">
        <v>82</v>
      </c>
      <c r="G576" s="491">
        <v>3</v>
      </c>
      <c r="H576" s="431">
        <v>30</v>
      </c>
      <c r="I576" s="491">
        <f t="shared" si="57"/>
        <v>90</v>
      </c>
      <c r="J576" s="492">
        <v>8.5</v>
      </c>
      <c r="K576" s="492">
        <f>I576*J576</f>
        <v>765</v>
      </c>
      <c r="M576" s="456" t="s">
        <v>311</v>
      </c>
    </row>
    <row r="577" s="456" customFormat="1" ht="20.25" spans="1:15">
      <c r="A577" s="488">
        <v>45464</v>
      </c>
      <c r="B577" s="608" t="s">
        <v>309</v>
      </c>
      <c r="C577" s="490">
        <v>45461</v>
      </c>
      <c r="D577" s="491"/>
      <c r="E577" s="491"/>
      <c r="F577" s="493" t="s">
        <v>152</v>
      </c>
      <c r="G577" s="491">
        <v>3</v>
      </c>
      <c r="H577" s="431">
        <v>30</v>
      </c>
      <c r="I577" s="491">
        <f t="shared" si="57"/>
        <v>90</v>
      </c>
      <c r="J577" s="492">
        <v>8.6</v>
      </c>
      <c r="K577" s="492">
        <f>I577*J577</f>
        <v>774</v>
      </c>
    </row>
    <row r="578" s="456" customFormat="1" ht="20.25" spans="1:15">
      <c r="A578" s="488">
        <v>45464</v>
      </c>
      <c r="B578" s="608" t="s">
        <v>309</v>
      </c>
      <c r="C578" s="490">
        <v>45461</v>
      </c>
      <c r="D578" s="491"/>
      <c r="E578" s="491"/>
      <c r="F578" s="499" t="s">
        <v>84</v>
      </c>
      <c r="G578" s="501">
        <v>3</v>
      </c>
      <c r="H578" s="500">
        <f>SUM(H573:H577)</f>
        <v>262.5</v>
      </c>
      <c r="I578" s="501">
        <f t="shared" si="57"/>
        <v>787.5</v>
      </c>
      <c r="J578" s="502">
        <v>3</v>
      </c>
      <c r="K578" s="492">
        <f>I578*J578</f>
        <v>2362.5</v>
      </c>
      <c r="L578" s="456">
        <f>SUM(K573:K578)</f>
        <v>3901.5</v>
      </c>
    </row>
    <row r="579" s="457" customFormat="1" ht="20.25" spans="1:15">
      <c r="A579" s="494">
        <v>45464</v>
      </c>
      <c r="B579" s="607" t="s">
        <v>312</v>
      </c>
      <c r="C579" s="495">
        <v>45461</v>
      </c>
      <c r="D579" s="463"/>
      <c r="E579" s="463"/>
      <c r="F579" s="496" t="s">
        <v>251</v>
      </c>
      <c r="G579" s="463">
        <v>1</v>
      </c>
      <c r="H579" s="432">
        <v>200</v>
      </c>
      <c r="I579" s="463">
        <f t="shared" si="57"/>
        <v>200</v>
      </c>
      <c r="J579" s="497">
        <v>13.5</v>
      </c>
      <c r="K579" s="497"/>
      <c r="O579" s="456"/>
    </row>
    <row r="580" s="457" customFormat="1" ht="20.25" spans="1:15">
      <c r="A580" s="494">
        <v>45464</v>
      </c>
      <c r="B580" s="607" t="s">
        <v>312</v>
      </c>
      <c r="C580" s="495">
        <v>45461</v>
      </c>
      <c r="D580" s="463"/>
      <c r="E580" s="463"/>
      <c r="F580" s="496" t="s">
        <v>13</v>
      </c>
      <c r="G580" s="463">
        <v>1</v>
      </c>
      <c r="H580" s="432">
        <v>200</v>
      </c>
      <c r="I580" s="463">
        <f t="shared" si="57"/>
        <v>200</v>
      </c>
      <c r="J580" s="497">
        <v>17.9</v>
      </c>
      <c r="K580" s="497"/>
      <c r="O580" s="456"/>
    </row>
    <row r="581" s="457" customFormat="1" ht="20.25" spans="1:15">
      <c r="A581" s="494">
        <v>45464</v>
      </c>
      <c r="B581" s="607" t="s">
        <v>312</v>
      </c>
      <c r="C581" s="495">
        <v>45461</v>
      </c>
      <c r="D581" s="463"/>
      <c r="E581" s="463"/>
      <c r="F581" s="496" t="s">
        <v>86</v>
      </c>
      <c r="G581" s="463">
        <v>1</v>
      </c>
      <c r="H581" s="432">
        <v>70</v>
      </c>
      <c r="I581" s="463">
        <f t="shared" si="57"/>
        <v>70</v>
      </c>
      <c r="J581" s="497">
        <v>14.1</v>
      </c>
      <c r="K581" s="497"/>
      <c r="O581" s="456"/>
    </row>
    <row r="582" s="457" customFormat="1" ht="20.25" spans="1:15">
      <c r="A582" s="494">
        <v>45464</v>
      </c>
      <c r="B582" s="607" t="s">
        <v>312</v>
      </c>
      <c r="C582" s="495">
        <v>45461</v>
      </c>
      <c r="D582" s="463"/>
      <c r="E582" s="463"/>
      <c r="F582" s="496" t="s">
        <v>87</v>
      </c>
      <c r="G582" s="463">
        <v>1</v>
      </c>
      <c r="H582" s="432">
        <v>380</v>
      </c>
      <c r="I582" s="463">
        <f t="shared" si="57"/>
        <v>380</v>
      </c>
      <c r="J582" s="497">
        <v>11.4</v>
      </c>
      <c r="K582" s="497"/>
      <c r="O582" s="456"/>
    </row>
    <row r="583" s="457" customFormat="1" ht="20.25" spans="1:15">
      <c r="A583" s="494">
        <v>45464</v>
      </c>
      <c r="B583" s="607" t="s">
        <v>312</v>
      </c>
      <c r="C583" s="495">
        <v>45461</v>
      </c>
      <c r="D583" s="463"/>
      <c r="E583" s="463"/>
      <c r="F583" s="496" t="s">
        <v>115</v>
      </c>
      <c r="G583" s="463">
        <v>1</v>
      </c>
      <c r="H583" s="432">
        <v>125</v>
      </c>
      <c r="I583" s="463">
        <f t="shared" si="57"/>
        <v>125</v>
      </c>
      <c r="J583" s="497">
        <v>14.72</v>
      </c>
      <c r="K583" s="497"/>
      <c r="L583" s="457" t="s">
        <v>313</v>
      </c>
      <c r="O583" s="456"/>
    </row>
    <row r="584" s="457" customFormat="1" ht="20.25" spans="1:15">
      <c r="A584" s="494">
        <v>45464</v>
      </c>
      <c r="B584" s="607" t="s">
        <v>312</v>
      </c>
      <c r="C584" s="495">
        <v>45461</v>
      </c>
      <c r="D584" s="463"/>
      <c r="E584" s="463"/>
      <c r="F584" s="496">
        <v>808</v>
      </c>
      <c r="G584" s="463">
        <v>1</v>
      </c>
      <c r="H584" s="432">
        <v>25</v>
      </c>
      <c r="I584" s="463">
        <f t="shared" si="57"/>
        <v>25</v>
      </c>
      <c r="J584" s="497">
        <v>10.8</v>
      </c>
      <c r="K584" s="497">
        <f t="shared" ref="K584:K593" si="59">I584*J584</f>
        <v>270</v>
      </c>
      <c r="L584" s="537" t="s">
        <v>116</v>
      </c>
      <c r="M584" s="537" t="s">
        <v>314</v>
      </c>
      <c r="O584" s="456"/>
    </row>
    <row r="585" s="457" customFormat="1" ht="20.25" spans="1:15">
      <c r="A585" s="494">
        <v>45461</v>
      </c>
      <c r="B585" s="607" t="s">
        <v>312</v>
      </c>
      <c r="C585" s="495">
        <v>45461</v>
      </c>
      <c r="D585" s="463"/>
      <c r="E585" s="463"/>
      <c r="F585" s="496" t="s">
        <v>17</v>
      </c>
      <c r="G585" s="463">
        <v>1</v>
      </c>
      <c r="H585" s="500">
        <f>SUM(H579:H584)</f>
        <v>1000</v>
      </c>
      <c r="I585" s="501">
        <f t="shared" si="57"/>
        <v>1000</v>
      </c>
      <c r="J585" s="502">
        <v>1</v>
      </c>
      <c r="K585" s="502">
        <f t="shared" si="59"/>
        <v>1000</v>
      </c>
      <c r="L585" s="457">
        <f>SUM(K579:K585)</f>
        <v>1270</v>
      </c>
      <c r="O585" s="456"/>
    </row>
    <row r="586" s="456" customFormat="1" ht="20.25" spans="1:15">
      <c r="A586" s="488">
        <v>45464</v>
      </c>
      <c r="B586" s="608" t="s">
        <v>192</v>
      </c>
      <c r="C586" s="490">
        <v>45463</v>
      </c>
      <c r="D586" s="491"/>
      <c r="E586" s="491"/>
      <c r="F586" s="493" t="s">
        <v>207</v>
      </c>
      <c r="G586" s="491">
        <v>1</v>
      </c>
      <c r="H586" s="431">
        <v>125</v>
      </c>
      <c r="I586" s="491">
        <f t="shared" ref="I586:I630" si="60">G586*H586</f>
        <v>125</v>
      </c>
      <c r="J586" s="492"/>
      <c r="K586" s="492"/>
    </row>
    <row r="587" s="456" customFormat="1" ht="20.25" spans="1:15">
      <c r="A587" s="488">
        <v>45464</v>
      </c>
      <c r="B587" s="608" t="s">
        <v>192</v>
      </c>
      <c r="C587" s="490">
        <v>45463</v>
      </c>
      <c r="D587" s="491"/>
      <c r="E587" s="491"/>
      <c r="F587" s="493" t="s">
        <v>298</v>
      </c>
      <c r="G587" s="491">
        <v>1</v>
      </c>
      <c r="H587" s="431">
        <v>125</v>
      </c>
      <c r="I587" s="491">
        <f t="shared" si="60"/>
        <v>125</v>
      </c>
      <c r="J587" s="492"/>
      <c r="K587" s="492"/>
    </row>
    <row r="588" s="456" customFormat="1" ht="20.25" spans="1:15">
      <c r="A588" s="488">
        <v>45464</v>
      </c>
      <c r="B588" s="608" t="s">
        <v>192</v>
      </c>
      <c r="C588" s="490">
        <v>45463</v>
      </c>
      <c r="D588" s="491"/>
      <c r="E588" s="491"/>
      <c r="F588" s="493" t="s">
        <v>149</v>
      </c>
      <c r="G588" s="491">
        <v>1</v>
      </c>
      <c r="H588" s="431">
        <v>35</v>
      </c>
      <c r="I588" s="491">
        <f t="shared" si="60"/>
        <v>35</v>
      </c>
      <c r="J588" s="492"/>
      <c r="K588" s="492"/>
    </row>
    <row r="589" s="456" customFormat="1" ht="20.25" spans="1:15">
      <c r="A589" s="488">
        <v>45464</v>
      </c>
      <c r="B589" s="608" t="s">
        <v>192</v>
      </c>
      <c r="C589" s="490">
        <v>45463</v>
      </c>
      <c r="D589" s="491"/>
      <c r="E589" s="491"/>
      <c r="F589" s="493">
        <v>808</v>
      </c>
      <c r="G589" s="491">
        <v>1</v>
      </c>
      <c r="H589" s="431">
        <v>100</v>
      </c>
      <c r="I589" s="491">
        <f t="shared" si="60"/>
        <v>100</v>
      </c>
      <c r="J589" s="492">
        <v>10.8</v>
      </c>
      <c r="K589" s="497">
        <f t="shared" si="59"/>
        <v>1080</v>
      </c>
    </row>
    <row r="590" s="456" customFormat="1" ht="20.25" spans="1:15">
      <c r="A590" s="488">
        <v>45464</v>
      </c>
      <c r="B590" s="608" t="s">
        <v>192</v>
      </c>
      <c r="C590" s="490">
        <v>45463</v>
      </c>
      <c r="D590" s="491"/>
      <c r="E590" s="491"/>
      <c r="F590" s="493" t="s">
        <v>125</v>
      </c>
      <c r="G590" s="491">
        <v>1</v>
      </c>
      <c r="H590" s="431">
        <v>20</v>
      </c>
      <c r="I590" s="491">
        <f t="shared" si="60"/>
        <v>20</v>
      </c>
      <c r="J590" s="492">
        <v>7.4</v>
      </c>
      <c r="K590" s="497">
        <f t="shared" si="59"/>
        <v>148</v>
      </c>
    </row>
    <row r="591" s="456" customFormat="1" ht="20.25" spans="1:15">
      <c r="A591" s="488">
        <v>45464</v>
      </c>
      <c r="B591" s="608" t="s">
        <v>192</v>
      </c>
      <c r="C591" s="490">
        <v>45463</v>
      </c>
      <c r="D591" s="491"/>
      <c r="E591" s="491"/>
      <c r="F591" s="493" t="s">
        <v>315</v>
      </c>
      <c r="G591" s="491">
        <v>1</v>
      </c>
      <c r="H591" s="431">
        <v>80</v>
      </c>
      <c r="I591" s="491">
        <f t="shared" si="60"/>
        <v>80</v>
      </c>
      <c r="J591" s="492"/>
      <c r="K591" s="497"/>
    </row>
    <row r="592" s="456" customFormat="1" ht="20.25" spans="1:15">
      <c r="A592" s="488">
        <v>45464</v>
      </c>
      <c r="B592" s="608" t="s">
        <v>192</v>
      </c>
      <c r="C592" s="490">
        <v>45463</v>
      </c>
      <c r="D592" s="491"/>
      <c r="E592" s="491"/>
      <c r="F592" s="493" t="s">
        <v>316</v>
      </c>
      <c r="G592" s="491">
        <v>1</v>
      </c>
      <c r="H592" s="431">
        <v>15</v>
      </c>
      <c r="I592" s="491">
        <f t="shared" si="60"/>
        <v>15</v>
      </c>
      <c r="J592" s="492"/>
      <c r="K592" s="497"/>
    </row>
    <row r="593" s="456" customFormat="1" ht="20.25" spans="1:15">
      <c r="A593" s="488">
        <v>45464</v>
      </c>
      <c r="B593" s="608" t="s">
        <v>192</v>
      </c>
      <c r="C593" s="490">
        <v>45463</v>
      </c>
      <c r="D593" s="491"/>
      <c r="E593" s="491"/>
      <c r="F593" s="499" t="s">
        <v>317</v>
      </c>
      <c r="G593" s="501">
        <v>1</v>
      </c>
      <c r="H593" s="500">
        <f>SUM(H586:H592)</f>
        <v>500</v>
      </c>
      <c r="I593" s="501">
        <f t="shared" si="60"/>
        <v>500</v>
      </c>
      <c r="J593" s="502">
        <v>1</v>
      </c>
      <c r="K593" s="502">
        <f t="shared" si="59"/>
        <v>500</v>
      </c>
      <c r="L593" s="456">
        <f>SUM(K586:K593)</f>
        <v>1728</v>
      </c>
    </row>
    <row r="594" s="457" customFormat="1" ht="20.25" spans="1:15">
      <c r="A594" s="494">
        <v>45464</v>
      </c>
      <c r="B594" s="607" t="s">
        <v>91</v>
      </c>
      <c r="C594" s="495">
        <v>45464</v>
      </c>
      <c r="D594" s="463"/>
      <c r="E594" s="463"/>
      <c r="F594" s="496" t="s">
        <v>97</v>
      </c>
      <c r="G594" s="463">
        <v>2</v>
      </c>
      <c r="H594" s="432">
        <v>200</v>
      </c>
      <c r="I594" s="463">
        <f t="shared" si="60"/>
        <v>400</v>
      </c>
      <c r="J594" s="497">
        <v>28</v>
      </c>
      <c r="K594" s="497"/>
      <c r="L594" s="537"/>
      <c r="O594" s="456"/>
    </row>
    <row r="595" s="457" customFormat="1" ht="20.25" spans="1:15">
      <c r="A595" s="494">
        <v>45464</v>
      </c>
      <c r="B595" s="607" t="s">
        <v>91</v>
      </c>
      <c r="C595" s="495">
        <v>45464</v>
      </c>
      <c r="D595" s="463"/>
      <c r="E595" s="463"/>
      <c r="F595" s="496" t="s">
        <v>318</v>
      </c>
      <c r="G595" s="463">
        <v>2</v>
      </c>
      <c r="H595" s="432">
        <v>180</v>
      </c>
      <c r="I595" s="463">
        <f t="shared" si="60"/>
        <v>360</v>
      </c>
      <c r="J595" s="497">
        <v>7.4</v>
      </c>
      <c r="K595" s="497">
        <f>I595*J595</f>
        <v>2664</v>
      </c>
      <c r="L595" s="537"/>
      <c r="O595" s="456"/>
    </row>
    <row r="596" s="457" customFormat="1" ht="20.25" spans="1:15">
      <c r="A596" s="494">
        <v>45464</v>
      </c>
      <c r="B596" s="607" t="s">
        <v>91</v>
      </c>
      <c r="C596" s="495">
        <v>45464</v>
      </c>
      <c r="D596" s="463"/>
      <c r="E596" s="463"/>
      <c r="F596" s="496" t="s">
        <v>125</v>
      </c>
      <c r="G596" s="463">
        <v>2</v>
      </c>
      <c r="H596" s="432">
        <v>540</v>
      </c>
      <c r="I596" s="463">
        <f t="shared" si="60"/>
        <v>1080</v>
      </c>
      <c r="J596" s="497">
        <v>6.7</v>
      </c>
      <c r="K596" s="497">
        <f>I596*J596</f>
        <v>7236</v>
      </c>
      <c r="L596" s="537"/>
      <c r="O596" s="456"/>
    </row>
    <row r="597" s="457" customFormat="1" ht="20.25" spans="1:15">
      <c r="A597" s="494">
        <v>45464</v>
      </c>
      <c r="B597" s="607" t="s">
        <v>91</v>
      </c>
      <c r="C597" s="495">
        <v>45464</v>
      </c>
      <c r="D597" s="463"/>
      <c r="E597" s="463"/>
      <c r="F597" s="496" t="s">
        <v>152</v>
      </c>
      <c r="G597" s="463">
        <v>2</v>
      </c>
      <c r="H597" s="432">
        <v>360</v>
      </c>
      <c r="I597" s="463">
        <f t="shared" si="60"/>
        <v>720</v>
      </c>
      <c r="J597" s="497">
        <v>8.6</v>
      </c>
      <c r="K597" s="497">
        <f>I597*J597</f>
        <v>6192</v>
      </c>
      <c r="L597" s="537"/>
      <c r="O597" s="456"/>
    </row>
    <row r="598" s="457" customFormat="1" ht="20.25" spans="1:15">
      <c r="A598" s="494">
        <v>45464</v>
      </c>
      <c r="B598" s="607" t="s">
        <v>91</v>
      </c>
      <c r="C598" s="495">
        <v>45464</v>
      </c>
      <c r="D598" s="463"/>
      <c r="E598" s="463"/>
      <c r="F598" s="496" t="s">
        <v>68</v>
      </c>
      <c r="G598" s="463">
        <v>2</v>
      </c>
      <c r="H598" s="500">
        <f>SUM(H594:H597)</f>
        <v>1280</v>
      </c>
      <c r="I598" s="501">
        <f t="shared" si="60"/>
        <v>2560</v>
      </c>
      <c r="J598" s="502">
        <v>0.8</v>
      </c>
      <c r="K598" s="502">
        <f>I598*J598</f>
        <v>2048</v>
      </c>
      <c r="L598" s="537">
        <f>SUM(K594:K598)</f>
        <v>18140</v>
      </c>
      <c r="O598" s="456"/>
    </row>
    <row r="599" s="456" customFormat="1" ht="20.25" spans="1:15">
      <c r="A599" s="488">
        <v>45464</v>
      </c>
      <c r="B599" s="608" t="s">
        <v>96</v>
      </c>
      <c r="C599" s="490" t="s">
        <v>319</v>
      </c>
      <c r="D599" s="491"/>
      <c r="E599" s="491"/>
      <c r="F599" s="493" t="s">
        <v>176</v>
      </c>
      <c r="G599" s="491">
        <v>1</v>
      </c>
      <c r="H599" s="431">
        <v>200</v>
      </c>
      <c r="I599" s="491">
        <f t="shared" si="60"/>
        <v>200</v>
      </c>
      <c r="J599" s="492">
        <v>13.5</v>
      </c>
      <c r="K599" s="492"/>
    </row>
    <row r="600" s="456" customFormat="1" ht="20.25" spans="1:15">
      <c r="A600" s="488">
        <v>45464</v>
      </c>
      <c r="B600" s="608" t="s">
        <v>96</v>
      </c>
      <c r="C600" s="490" t="s">
        <v>319</v>
      </c>
      <c r="D600" s="491"/>
      <c r="E600" s="491"/>
      <c r="F600" s="493" t="s">
        <v>170</v>
      </c>
      <c r="G600" s="491">
        <v>1</v>
      </c>
      <c r="H600" s="431">
        <v>25</v>
      </c>
      <c r="I600" s="491">
        <f t="shared" si="60"/>
        <v>25</v>
      </c>
      <c r="J600" s="492">
        <v>75</v>
      </c>
      <c r="K600" s="492">
        <f>I600*J600</f>
        <v>1875</v>
      </c>
      <c r="L600" s="536"/>
      <c r="M600" s="536"/>
      <c r="N600" s="536"/>
    </row>
    <row r="601" s="456" customFormat="1" ht="20.25" spans="1:15">
      <c r="A601" s="488">
        <v>45464</v>
      </c>
      <c r="B601" s="608" t="s">
        <v>96</v>
      </c>
      <c r="C601" s="490" t="s">
        <v>319</v>
      </c>
      <c r="D601" s="491"/>
      <c r="E601" s="491"/>
      <c r="F601" s="493" t="s">
        <v>171</v>
      </c>
      <c r="G601" s="491">
        <v>1</v>
      </c>
      <c r="H601" s="431">
        <v>100</v>
      </c>
      <c r="I601" s="491">
        <f t="shared" si="60"/>
        <v>100</v>
      </c>
      <c r="J601" s="492">
        <v>23</v>
      </c>
      <c r="K601" s="492"/>
      <c r="L601" s="536"/>
      <c r="M601" s="536"/>
      <c r="N601" s="536"/>
    </row>
    <row r="602" s="456" customFormat="1" ht="20.25" spans="1:15">
      <c r="A602" s="488">
        <v>45464</v>
      </c>
      <c r="B602" s="608" t="s">
        <v>96</v>
      </c>
      <c r="C602" s="490" t="s">
        <v>319</v>
      </c>
      <c r="D602" s="491"/>
      <c r="E602" s="491"/>
      <c r="F602" s="493" t="s">
        <v>177</v>
      </c>
      <c r="G602" s="491">
        <v>1</v>
      </c>
      <c r="H602" s="431">
        <v>300</v>
      </c>
      <c r="I602" s="491">
        <f t="shared" si="60"/>
        <v>300</v>
      </c>
      <c r="J602" s="492">
        <v>11</v>
      </c>
      <c r="K602" s="492">
        <f>I602*J602</f>
        <v>3300</v>
      </c>
      <c r="L602" s="536" t="s">
        <v>320</v>
      </c>
      <c r="M602" s="536"/>
      <c r="N602" s="536"/>
    </row>
    <row r="603" s="456" customFormat="1" ht="20.25" spans="1:15">
      <c r="A603" s="488">
        <v>45464</v>
      </c>
      <c r="B603" s="608" t="s">
        <v>96</v>
      </c>
      <c r="C603" s="490" t="s">
        <v>319</v>
      </c>
      <c r="D603" s="491"/>
      <c r="E603" s="491"/>
      <c r="F603" s="493" t="s">
        <v>125</v>
      </c>
      <c r="G603" s="491">
        <v>1</v>
      </c>
      <c r="H603" s="431">
        <v>125</v>
      </c>
      <c r="I603" s="491">
        <f t="shared" si="60"/>
        <v>125</v>
      </c>
      <c r="J603" s="492">
        <v>6.7</v>
      </c>
      <c r="K603" s="492">
        <f t="shared" ref="K602:K604" si="61">I603*J603</f>
        <v>837.5</v>
      </c>
      <c r="L603" s="536"/>
      <c r="M603" s="536" t="s">
        <v>321</v>
      </c>
      <c r="N603" s="536"/>
    </row>
    <row r="604" s="456" customFormat="1" ht="20.25" spans="1:15">
      <c r="A604" s="488">
        <v>45464</v>
      </c>
      <c r="B604" s="608" t="s">
        <v>96</v>
      </c>
      <c r="C604" s="490" t="s">
        <v>319</v>
      </c>
      <c r="D604" s="491"/>
      <c r="E604" s="491"/>
      <c r="F604" s="493" t="s">
        <v>179</v>
      </c>
      <c r="G604" s="491">
        <v>1</v>
      </c>
      <c r="H604" s="500">
        <f>SUM(H599:H603)</f>
        <v>750</v>
      </c>
      <c r="I604" s="501">
        <f t="shared" si="60"/>
        <v>750</v>
      </c>
      <c r="J604" s="502">
        <v>7.5</v>
      </c>
      <c r="K604" s="502">
        <f t="shared" si="61"/>
        <v>5625</v>
      </c>
      <c r="L604" s="536">
        <f>SUM(K599:K604)</f>
        <v>11637.5</v>
      </c>
      <c r="M604" s="536"/>
      <c r="N604" s="536"/>
    </row>
    <row r="605" s="457" customFormat="1" ht="20.25" spans="1:15">
      <c r="A605" s="494">
        <v>45464</v>
      </c>
      <c r="B605" s="607" t="s">
        <v>98</v>
      </c>
      <c r="C605" s="495" t="s">
        <v>319</v>
      </c>
      <c r="D605" s="463"/>
      <c r="E605" s="463"/>
      <c r="F605" s="496" t="s">
        <v>176</v>
      </c>
      <c r="G605" s="463">
        <v>1</v>
      </c>
      <c r="H605" s="432">
        <v>200</v>
      </c>
      <c r="I605" s="463">
        <f t="shared" si="60"/>
        <v>200</v>
      </c>
      <c r="J605" s="497"/>
      <c r="K605" s="492"/>
      <c r="L605" s="459"/>
    </row>
    <row r="606" s="457" customFormat="1" ht="20.25" spans="1:15">
      <c r="A606" s="494">
        <v>45464</v>
      </c>
      <c r="B606" s="607" t="s">
        <v>98</v>
      </c>
      <c r="C606" s="495" t="s">
        <v>319</v>
      </c>
      <c r="D606" s="463"/>
      <c r="E606" s="463"/>
      <c r="F606" s="496" t="s">
        <v>170</v>
      </c>
      <c r="G606" s="463">
        <v>1</v>
      </c>
      <c r="H606" s="432">
        <v>25</v>
      </c>
      <c r="I606" s="463">
        <f t="shared" si="60"/>
        <v>25</v>
      </c>
      <c r="J606" s="497">
        <v>75</v>
      </c>
      <c r="K606" s="492">
        <f t="shared" ref="K606:K610" si="62">I606*J606</f>
        <v>1875</v>
      </c>
      <c r="L606" s="537"/>
      <c r="M606" s="537"/>
      <c r="N606" s="537"/>
    </row>
    <row r="607" s="457" customFormat="1" ht="20.25" spans="1:15">
      <c r="A607" s="494">
        <v>45464</v>
      </c>
      <c r="B607" s="607" t="s">
        <v>98</v>
      </c>
      <c r="C607" s="495" t="s">
        <v>319</v>
      </c>
      <c r="D607" s="463"/>
      <c r="E607" s="463"/>
      <c r="F607" s="496" t="s">
        <v>171</v>
      </c>
      <c r="G607" s="463">
        <v>1</v>
      </c>
      <c r="H607" s="432">
        <v>100</v>
      </c>
      <c r="I607" s="463">
        <f t="shared" si="60"/>
        <v>100</v>
      </c>
      <c r="J607" s="497"/>
      <c r="K607" s="492"/>
      <c r="L607" s="537"/>
      <c r="M607" s="537"/>
      <c r="N607" s="537"/>
    </row>
    <row r="608" s="457" customFormat="1" ht="20.25" spans="1:15">
      <c r="A608" s="494">
        <v>45464</v>
      </c>
      <c r="B608" s="607" t="s">
        <v>98</v>
      </c>
      <c r="C608" s="495" t="s">
        <v>319</v>
      </c>
      <c r="D608" s="463"/>
      <c r="E608" s="463"/>
      <c r="F608" s="496" t="s">
        <v>177</v>
      </c>
      <c r="G608" s="463">
        <v>1</v>
      </c>
      <c r="H608" s="432">
        <v>300</v>
      </c>
      <c r="I608" s="463">
        <f t="shared" si="60"/>
        <v>300</v>
      </c>
      <c r="J608" s="497">
        <v>11</v>
      </c>
      <c r="K608" s="492">
        <f t="shared" si="62"/>
        <v>3300</v>
      </c>
      <c r="L608" s="537" t="s">
        <v>322</v>
      </c>
      <c r="M608" s="537"/>
      <c r="N608" s="537"/>
    </row>
    <row r="609" s="457" customFormat="1" ht="20.25" spans="1:14">
      <c r="A609" s="494">
        <v>45464</v>
      </c>
      <c r="B609" s="607" t="s">
        <v>98</v>
      </c>
      <c r="C609" s="495" t="s">
        <v>319</v>
      </c>
      <c r="D609" s="463"/>
      <c r="E609" s="463"/>
      <c r="F609" s="496" t="s">
        <v>125</v>
      </c>
      <c r="G609" s="463">
        <v>1</v>
      </c>
      <c r="H609" s="432">
        <v>125</v>
      </c>
      <c r="I609" s="463">
        <f t="shared" si="60"/>
        <v>125</v>
      </c>
      <c r="J609" s="497">
        <v>6.7</v>
      </c>
      <c r="K609" s="492">
        <f t="shared" si="62"/>
        <v>837.5</v>
      </c>
      <c r="L609" s="537"/>
      <c r="M609" s="537" t="s">
        <v>323</v>
      </c>
      <c r="N609" s="537"/>
    </row>
    <row r="610" s="457" customFormat="1" ht="20.25" spans="1:14">
      <c r="A610" s="494">
        <v>45464</v>
      </c>
      <c r="B610" s="607" t="s">
        <v>98</v>
      </c>
      <c r="C610" s="495" t="s">
        <v>319</v>
      </c>
      <c r="D610" s="463"/>
      <c r="E610" s="463"/>
      <c r="F610" s="499" t="s">
        <v>179</v>
      </c>
      <c r="G610" s="463">
        <v>1</v>
      </c>
      <c r="H610" s="500">
        <f>SUM(H605:H609)</f>
        <v>750</v>
      </c>
      <c r="I610" s="501">
        <f t="shared" si="60"/>
        <v>750</v>
      </c>
      <c r="J610" s="502">
        <v>7.5</v>
      </c>
      <c r="K610" s="502">
        <f t="shared" si="62"/>
        <v>5625</v>
      </c>
      <c r="L610" s="537">
        <f>SUM(K605:K610)</f>
        <v>11637.5</v>
      </c>
      <c r="M610" s="537"/>
      <c r="N610" s="537"/>
    </row>
    <row r="611" s="456" customFormat="1" ht="20.25" spans="1:14">
      <c r="A611" s="488">
        <v>45470</v>
      </c>
      <c r="B611" s="456" t="s">
        <v>324</v>
      </c>
      <c r="C611" s="490">
        <v>45465</v>
      </c>
      <c r="D611" s="491"/>
      <c r="E611" s="491"/>
      <c r="F611" s="493" t="s">
        <v>16</v>
      </c>
      <c r="G611" s="491">
        <v>1</v>
      </c>
      <c r="H611" s="431">
        <v>150</v>
      </c>
      <c r="I611" s="491">
        <f t="shared" si="60"/>
        <v>150</v>
      </c>
      <c r="J611" s="492">
        <v>13.5</v>
      </c>
      <c r="K611" s="492"/>
    </row>
    <row r="612" s="456" customFormat="1" ht="20.25" spans="1:14">
      <c r="A612" s="488">
        <v>45470</v>
      </c>
      <c r="B612" s="456" t="s">
        <v>324</v>
      </c>
      <c r="C612" s="490">
        <v>45465</v>
      </c>
      <c r="D612" s="491"/>
      <c r="E612" s="491"/>
      <c r="F612" s="493" t="s">
        <v>86</v>
      </c>
      <c r="G612" s="491">
        <v>1</v>
      </c>
      <c r="H612" s="431">
        <v>200</v>
      </c>
      <c r="I612" s="491">
        <f t="shared" si="60"/>
        <v>200</v>
      </c>
      <c r="J612" s="492">
        <v>14.1</v>
      </c>
      <c r="K612" s="492"/>
    </row>
    <row r="613" s="456" customFormat="1" ht="20.25" spans="1:14">
      <c r="A613" s="488">
        <v>45470</v>
      </c>
      <c r="B613" s="456" t="s">
        <v>324</v>
      </c>
      <c r="C613" s="490">
        <v>45465</v>
      </c>
      <c r="D613" s="491"/>
      <c r="E613" s="491"/>
      <c r="F613" s="493" t="s">
        <v>87</v>
      </c>
      <c r="G613" s="491">
        <v>1</v>
      </c>
      <c r="H613" s="431">
        <v>450</v>
      </c>
      <c r="I613" s="491">
        <f t="shared" si="60"/>
        <v>450</v>
      </c>
      <c r="J613" s="492">
        <v>11.4</v>
      </c>
      <c r="K613" s="492"/>
      <c r="M613" s="606" t="s">
        <v>325</v>
      </c>
      <c r="N613" s="537" t="s">
        <v>326</v>
      </c>
    </row>
    <row r="614" s="456" customFormat="1" ht="20.25" spans="1:14">
      <c r="A614" s="488">
        <v>45470</v>
      </c>
      <c r="B614" s="456" t="s">
        <v>324</v>
      </c>
      <c r="C614" s="490">
        <v>45465</v>
      </c>
      <c r="D614" s="491"/>
      <c r="E614" s="491"/>
      <c r="F614" s="493" t="s">
        <v>177</v>
      </c>
      <c r="G614" s="491">
        <v>1</v>
      </c>
      <c r="H614" s="431">
        <v>50</v>
      </c>
      <c r="I614" s="491">
        <f t="shared" si="60"/>
        <v>50</v>
      </c>
      <c r="J614" s="492">
        <v>11</v>
      </c>
      <c r="K614" s="492">
        <f>I614*J614</f>
        <v>550</v>
      </c>
      <c r="M614" s="456" t="s">
        <v>182</v>
      </c>
    </row>
    <row r="615" s="456" customFormat="1" ht="20.25" spans="1:14">
      <c r="A615" s="488">
        <v>45470</v>
      </c>
      <c r="B615" s="456" t="s">
        <v>324</v>
      </c>
      <c r="C615" s="490">
        <v>45465</v>
      </c>
      <c r="D615" s="491"/>
      <c r="E615" s="491"/>
      <c r="F615" s="493" t="s">
        <v>183</v>
      </c>
      <c r="G615" s="491">
        <v>1</v>
      </c>
      <c r="H615" s="431">
        <v>150</v>
      </c>
      <c r="I615" s="491">
        <f t="shared" si="60"/>
        <v>150</v>
      </c>
      <c r="J615" s="492">
        <v>23.5</v>
      </c>
      <c r="K615" s="492"/>
      <c r="M615" s="456" t="s">
        <v>184</v>
      </c>
      <c r="N615" s="456" t="s">
        <v>185</v>
      </c>
    </row>
    <row r="616" s="456" customFormat="1" ht="20.25" spans="1:14">
      <c r="A616" s="488">
        <v>45470</v>
      </c>
      <c r="B616" s="456" t="s">
        <v>324</v>
      </c>
      <c r="C616" s="490">
        <v>45465</v>
      </c>
      <c r="D616" s="491"/>
      <c r="E616" s="491"/>
      <c r="F616" s="499" t="s">
        <v>186</v>
      </c>
      <c r="G616" s="501">
        <v>1</v>
      </c>
      <c r="H616" s="500">
        <f>SUM(H611:H615)</f>
        <v>1000</v>
      </c>
      <c r="I616" s="501">
        <f t="shared" si="60"/>
        <v>1000</v>
      </c>
      <c r="J616" s="502">
        <v>1</v>
      </c>
      <c r="K616" s="492">
        <f>I616*J616</f>
        <v>1000</v>
      </c>
      <c r="L616" s="456">
        <f>SUM(K611:K616)</f>
        <v>1550</v>
      </c>
    </row>
    <row r="617" s="457" customFormat="1" ht="20.25" spans="1:14">
      <c r="A617" s="494">
        <v>45470</v>
      </c>
      <c r="B617" s="457" t="s">
        <v>327</v>
      </c>
      <c r="C617" s="495">
        <v>45465</v>
      </c>
      <c r="D617" s="463"/>
      <c r="E617" s="463"/>
      <c r="F617" s="496" t="s">
        <v>328</v>
      </c>
      <c r="G617" s="463">
        <v>1</v>
      </c>
      <c r="H617" s="463">
        <v>21</v>
      </c>
      <c r="I617" s="463">
        <f t="shared" si="60"/>
        <v>21</v>
      </c>
      <c r="J617" s="497"/>
      <c r="K617" s="497"/>
    </row>
    <row r="618" s="457" customFormat="1" ht="20.25" spans="1:14">
      <c r="A618" s="494">
        <v>45470</v>
      </c>
      <c r="B618" s="457" t="s">
        <v>327</v>
      </c>
      <c r="C618" s="495">
        <v>45465</v>
      </c>
      <c r="D618" s="463"/>
      <c r="E618" s="463"/>
      <c r="F618" s="496" t="s">
        <v>329</v>
      </c>
      <c r="G618" s="463">
        <v>1</v>
      </c>
      <c r="H618" s="463">
        <v>27</v>
      </c>
      <c r="I618" s="463">
        <f t="shared" ref="I617:I639" si="63">G618*H618</f>
        <v>27</v>
      </c>
      <c r="J618" s="497"/>
      <c r="K618" s="497"/>
    </row>
    <row r="619" s="457" customFormat="1" ht="20.25" spans="1:14">
      <c r="A619" s="494">
        <v>45470</v>
      </c>
      <c r="B619" s="457" t="s">
        <v>327</v>
      </c>
      <c r="C619" s="495">
        <v>45465</v>
      </c>
      <c r="D619" s="463"/>
      <c r="E619" s="463"/>
      <c r="F619" s="496" t="s">
        <v>86</v>
      </c>
      <c r="G619" s="463">
        <v>1</v>
      </c>
      <c r="H619" s="463">
        <v>19</v>
      </c>
      <c r="I619" s="463">
        <f t="shared" si="63"/>
        <v>19</v>
      </c>
      <c r="J619" s="497"/>
      <c r="K619" s="497"/>
    </row>
    <row r="620" s="457" customFormat="1" ht="20.25" spans="1:14">
      <c r="A620" s="494">
        <v>45470</v>
      </c>
      <c r="B620" s="457" t="s">
        <v>327</v>
      </c>
      <c r="C620" s="495">
        <v>45465</v>
      </c>
      <c r="D620" s="463"/>
      <c r="E620" s="463"/>
      <c r="F620" s="496" t="s">
        <v>87</v>
      </c>
      <c r="G620" s="463">
        <v>1</v>
      </c>
      <c r="H620" s="463">
        <v>35</v>
      </c>
      <c r="I620" s="463">
        <f t="shared" si="63"/>
        <v>35</v>
      </c>
      <c r="J620" s="497"/>
      <c r="K620" s="497"/>
    </row>
    <row r="621" s="457" customFormat="1" ht="20.25" spans="1:14">
      <c r="A621" s="494">
        <v>45470</v>
      </c>
      <c r="B621" s="457" t="s">
        <v>327</v>
      </c>
      <c r="C621" s="495">
        <v>45465</v>
      </c>
      <c r="D621" s="463"/>
      <c r="E621" s="463"/>
      <c r="F621" s="496">
        <v>808</v>
      </c>
      <c r="G621" s="463">
        <v>1</v>
      </c>
      <c r="H621" s="463">
        <v>17</v>
      </c>
      <c r="I621" s="463">
        <f t="shared" si="63"/>
        <v>17</v>
      </c>
      <c r="J621" s="497">
        <v>11</v>
      </c>
      <c r="K621" s="497">
        <f t="shared" ref="K621:K623" si="64">I621*J621</f>
        <v>187</v>
      </c>
    </row>
    <row r="622" s="457" customFormat="1" ht="20.25" spans="1:14">
      <c r="A622" s="494">
        <v>45470</v>
      </c>
      <c r="B622" s="457" t="s">
        <v>327</v>
      </c>
      <c r="C622" s="495">
        <v>45465</v>
      </c>
      <c r="D622" s="463"/>
      <c r="E622" s="463"/>
      <c r="F622" s="496" t="s">
        <v>115</v>
      </c>
      <c r="G622" s="463">
        <v>1</v>
      </c>
      <c r="H622" s="463">
        <v>17</v>
      </c>
      <c r="I622" s="463">
        <f t="shared" si="63"/>
        <v>17</v>
      </c>
      <c r="J622" s="497"/>
      <c r="K622" s="497"/>
    </row>
    <row r="623" s="457" customFormat="1" ht="20.25" spans="1:14">
      <c r="A623" s="494">
        <v>45470</v>
      </c>
      <c r="B623" s="457" t="s">
        <v>327</v>
      </c>
      <c r="C623" s="495">
        <v>45465</v>
      </c>
      <c r="D623" s="463"/>
      <c r="E623" s="463"/>
      <c r="F623" s="496" t="s">
        <v>330</v>
      </c>
      <c r="G623" s="463">
        <v>1</v>
      </c>
      <c r="H623" s="500">
        <f>SUM(H617:H622)</f>
        <v>136</v>
      </c>
      <c r="I623" s="501">
        <f t="shared" si="63"/>
        <v>136</v>
      </c>
      <c r="J623" s="502">
        <v>1</v>
      </c>
      <c r="K623" s="502">
        <f t="shared" si="64"/>
        <v>136</v>
      </c>
      <c r="L623" s="457" t="s">
        <v>331</v>
      </c>
    </row>
    <row r="624" s="457" customFormat="1" ht="20.25" spans="1:14">
      <c r="A624" s="494">
        <v>45470</v>
      </c>
      <c r="B624" s="457" t="s">
        <v>327</v>
      </c>
      <c r="C624" s="495">
        <v>45465</v>
      </c>
      <c r="D624" s="463"/>
      <c r="E624" s="463"/>
      <c r="F624" s="498" t="s">
        <v>332</v>
      </c>
      <c r="G624" s="463">
        <v>1</v>
      </c>
      <c r="H624" s="432">
        <v>18</v>
      </c>
      <c r="I624" s="463">
        <f t="shared" si="63"/>
        <v>18</v>
      </c>
      <c r="J624" s="497"/>
      <c r="K624" s="497"/>
    </row>
    <row r="625" s="456" customFormat="1" ht="20.25" spans="1:12">
      <c r="A625" s="494">
        <v>45470</v>
      </c>
      <c r="B625" s="457" t="s">
        <v>327</v>
      </c>
      <c r="C625" s="495">
        <v>45465</v>
      </c>
      <c r="D625" s="463"/>
      <c r="E625" s="463"/>
      <c r="F625" s="498" t="s">
        <v>333</v>
      </c>
      <c r="G625" s="463">
        <v>1</v>
      </c>
      <c r="H625" s="432">
        <v>1</v>
      </c>
      <c r="I625" s="491">
        <f t="shared" si="63"/>
        <v>1</v>
      </c>
      <c r="J625" s="492">
        <v>14</v>
      </c>
      <c r="K625" s="492">
        <f>I625*J625</f>
        <v>14</v>
      </c>
      <c r="L625" s="456">
        <f>SUM(K617:K625)</f>
        <v>337</v>
      </c>
    </row>
    <row r="626" s="456" customFormat="1" ht="20.25" spans="1:12">
      <c r="A626" s="488">
        <v>45470</v>
      </c>
      <c r="B626" s="456" t="s">
        <v>334</v>
      </c>
      <c r="C626" s="490">
        <v>45467</v>
      </c>
      <c r="D626" s="491"/>
      <c r="E626" s="491"/>
      <c r="F626" s="493" t="s">
        <v>16</v>
      </c>
      <c r="G626" s="491">
        <v>1</v>
      </c>
      <c r="H626" s="431">
        <v>50</v>
      </c>
      <c r="I626" s="491">
        <f t="shared" si="63"/>
        <v>50</v>
      </c>
      <c r="J626" s="492">
        <v>13.6</v>
      </c>
      <c r="K626" s="492"/>
    </row>
    <row r="627" s="456" customFormat="1" ht="20.25" spans="1:12">
      <c r="A627" s="488">
        <v>45470</v>
      </c>
      <c r="B627" s="456" t="s">
        <v>334</v>
      </c>
      <c r="C627" s="490">
        <v>45467</v>
      </c>
      <c r="D627" s="491"/>
      <c r="E627" s="491"/>
      <c r="F627" s="493" t="s">
        <v>335</v>
      </c>
      <c r="G627" s="491">
        <v>1</v>
      </c>
      <c r="H627" s="431">
        <v>2</v>
      </c>
      <c r="I627" s="491">
        <f t="shared" si="63"/>
        <v>2</v>
      </c>
      <c r="J627" s="492">
        <v>56</v>
      </c>
      <c r="K627" s="492"/>
    </row>
    <row r="628" s="456" customFormat="1" ht="20.25" spans="1:12">
      <c r="A628" s="488">
        <v>45470</v>
      </c>
      <c r="B628" s="456" t="s">
        <v>334</v>
      </c>
      <c r="C628" s="490">
        <v>45467</v>
      </c>
      <c r="D628" s="491"/>
      <c r="E628" s="491"/>
      <c r="F628" s="493" t="s">
        <v>336</v>
      </c>
      <c r="G628" s="491">
        <v>1</v>
      </c>
      <c r="H628" s="431">
        <v>30</v>
      </c>
      <c r="I628" s="491">
        <f t="shared" si="63"/>
        <v>30</v>
      </c>
      <c r="J628" s="492">
        <v>205</v>
      </c>
      <c r="K628" s="492"/>
    </row>
    <row r="629" s="456" customFormat="1" ht="20.25" spans="1:12">
      <c r="A629" s="488">
        <v>45470</v>
      </c>
      <c r="B629" s="456" t="s">
        <v>334</v>
      </c>
      <c r="C629" s="490">
        <v>45467</v>
      </c>
      <c r="D629" s="491"/>
      <c r="E629" s="491"/>
      <c r="F629" s="493" t="s">
        <v>152</v>
      </c>
      <c r="G629" s="491">
        <v>1</v>
      </c>
      <c r="H629" s="431">
        <v>76</v>
      </c>
      <c r="I629" s="491">
        <f t="shared" si="63"/>
        <v>76</v>
      </c>
      <c r="J629" s="491">
        <v>8.6</v>
      </c>
      <c r="K629" s="492">
        <f>I629*J629</f>
        <v>653.6</v>
      </c>
    </row>
    <row r="630" s="456" customFormat="1" ht="20.25" spans="1:12">
      <c r="A630" s="488">
        <v>45470</v>
      </c>
      <c r="B630" s="456" t="s">
        <v>334</v>
      </c>
      <c r="C630" s="490">
        <v>45467</v>
      </c>
      <c r="D630" s="491"/>
      <c r="E630" s="491"/>
      <c r="F630" s="493" t="s">
        <v>12</v>
      </c>
      <c r="G630" s="491">
        <v>1</v>
      </c>
      <c r="H630" s="431">
        <v>76</v>
      </c>
      <c r="I630" s="491">
        <f t="shared" si="63"/>
        <v>76</v>
      </c>
      <c r="J630" s="491">
        <v>8.5</v>
      </c>
      <c r="K630" s="492">
        <f>I630*J630</f>
        <v>646</v>
      </c>
      <c r="L630" s="641" t="s">
        <v>337</v>
      </c>
    </row>
    <row r="631" s="456" customFormat="1" ht="20.25" spans="1:12">
      <c r="A631" s="488">
        <v>45470</v>
      </c>
      <c r="B631" s="456" t="s">
        <v>334</v>
      </c>
      <c r="C631" s="490">
        <v>45467</v>
      </c>
      <c r="D631" s="491"/>
      <c r="E631" s="491"/>
      <c r="F631" s="493">
        <v>808</v>
      </c>
      <c r="G631" s="491">
        <v>1</v>
      </c>
      <c r="H631" s="431">
        <v>15</v>
      </c>
      <c r="I631" s="491">
        <f t="shared" si="63"/>
        <v>15</v>
      </c>
      <c r="J631" s="491">
        <v>11</v>
      </c>
      <c r="K631" s="492">
        <f>I631*J631</f>
        <v>165</v>
      </c>
      <c r="L631" s="641" t="s">
        <v>338</v>
      </c>
    </row>
    <row r="632" s="456" customFormat="1" ht="20.25" spans="1:12">
      <c r="A632" s="488">
        <v>45470</v>
      </c>
      <c r="B632" s="456" t="s">
        <v>334</v>
      </c>
      <c r="C632" s="490">
        <v>45467</v>
      </c>
      <c r="D632" s="491"/>
      <c r="E632" s="491"/>
      <c r="F632" s="499" t="s">
        <v>339</v>
      </c>
      <c r="G632" s="501">
        <v>1</v>
      </c>
      <c r="H632" s="500">
        <f>SUM(H626:H631)</f>
        <v>249</v>
      </c>
      <c r="I632" s="501">
        <f t="shared" si="63"/>
        <v>249</v>
      </c>
      <c r="J632" s="501">
        <v>5</v>
      </c>
      <c r="K632" s="492">
        <f>I632*J632</f>
        <v>1245</v>
      </c>
      <c r="L632" s="456">
        <f>SUM(K626:K632)</f>
        <v>2709.6</v>
      </c>
    </row>
    <row r="633" s="457" customFormat="1" ht="20.25" spans="1:12">
      <c r="A633" s="494">
        <v>45470</v>
      </c>
      <c r="B633" s="457" t="s">
        <v>105</v>
      </c>
      <c r="C633" s="495">
        <v>45468</v>
      </c>
      <c r="D633" s="463"/>
      <c r="E633" s="463"/>
      <c r="F633" s="496" t="s">
        <v>328</v>
      </c>
      <c r="G633" s="463">
        <v>1</v>
      </c>
      <c r="H633" s="463">
        <v>75</v>
      </c>
      <c r="I633" s="463">
        <f t="shared" si="63"/>
        <v>75</v>
      </c>
      <c r="J633" s="497"/>
      <c r="K633" s="497"/>
    </row>
    <row r="634" s="457" customFormat="1" ht="20.25" spans="1:12">
      <c r="A634" s="494">
        <v>45470</v>
      </c>
      <c r="B634" s="457" t="s">
        <v>105</v>
      </c>
      <c r="C634" s="495">
        <v>45468</v>
      </c>
      <c r="D634" s="463"/>
      <c r="E634" s="463"/>
      <c r="F634" s="496" t="s">
        <v>329</v>
      </c>
      <c r="G634" s="463">
        <v>1</v>
      </c>
      <c r="H634" s="463">
        <v>100</v>
      </c>
      <c r="I634" s="463">
        <f t="shared" si="63"/>
        <v>100</v>
      </c>
      <c r="J634" s="497"/>
      <c r="K634" s="497"/>
    </row>
    <row r="635" s="457" customFormat="1" ht="20.25" spans="1:12">
      <c r="A635" s="494">
        <v>45470</v>
      </c>
      <c r="B635" s="457" t="s">
        <v>105</v>
      </c>
      <c r="C635" s="495">
        <v>45468</v>
      </c>
      <c r="D635" s="463"/>
      <c r="E635" s="463"/>
      <c r="F635" s="496" t="s">
        <v>86</v>
      </c>
      <c r="G635" s="463">
        <v>1</v>
      </c>
      <c r="H635" s="463">
        <v>70</v>
      </c>
      <c r="I635" s="463">
        <f t="shared" si="63"/>
        <v>70</v>
      </c>
      <c r="J635" s="497"/>
      <c r="K635" s="497"/>
    </row>
    <row r="636" s="457" customFormat="1" ht="20.25" spans="1:12">
      <c r="A636" s="494">
        <v>45470</v>
      </c>
      <c r="B636" s="457" t="s">
        <v>105</v>
      </c>
      <c r="C636" s="495">
        <v>45468</v>
      </c>
      <c r="D636" s="463"/>
      <c r="E636" s="463"/>
      <c r="F636" s="496" t="s">
        <v>87</v>
      </c>
      <c r="G636" s="463">
        <v>1</v>
      </c>
      <c r="H636" s="463">
        <v>130</v>
      </c>
      <c r="I636" s="463">
        <f t="shared" si="63"/>
        <v>130</v>
      </c>
      <c r="J636" s="497"/>
      <c r="K636" s="497"/>
    </row>
    <row r="637" s="457" customFormat="1" ht="20.25" spans="1:12">
      <c r="A637" s="494">
        <v>45470</v>
      </c>
      <c r="B637" s="457" t="s">
        <v>105</v>
      </c>
      <c r="C637" s="495">
        <v>45468</v>
      </c>
      <c r="D637" s="463"/>
      <c r="E637" s="463"/>
      <c r="F637" s="496">
        <v>808</v>
      </c>
      <c r="G637" s="463">
        <v>1</v>
      </c>
      <c r="H637" s="463">
        <v>62</v>
      </c>
      <c r="I637" s="463">
        <f t="shared" si="63"/>
        <v>62</v>
      </c>
      <c r="J637" s="497">
        <v>11</v>
      </c>
      <c r="K637" s="497">
        <f>I637*J637</f>
        <v>682</v>
      </c>
      <c r="L637" s="457" t="s">
        <v>331</v>
      </c>
    </row>
    <row r="638" s="457" customFormat="1" ht="20.25" spans="1:12">
      <c r="A638" s="494">
        <v>45470</v>
      </c>
      <c r="B638" s="457" t="s">
        <v>105</v>
      </c>
      <c r="C638" s="495">
        <v>45468</v>
      </c>
      <c r="D638" s="463"/>
      <c r="E638" s="463"/>
      <c r="F638" s="496" t="s">
        <v>115</v>
      </c>
      <c r="G638" s="463">
        <v>1</v>
      </c>
      <c r="H638" s="463">
        <v>63</v>
      </c>
      <c r="I638" s="463">
        <f t="shared" si="63"/>
        <v>63</v>
      </c>
      <c r="J638" s="497"/>
      <c r="K638" s="497"/>
      <c r="L638" s="3" t="s">
        <v>340</v>
      </c>
    </row>
    <row r="639" s="457" customFormat="1" ht="20.25" spans="1:12">
      <c r="A639" s="494">
        <v>45470</v>
      </c>
      <c r="B639" s="457" t="s">
        <v>105</v>
      </c>
      <c r="C639" s="495">
        <v>45468</v>
      </c>
      <c r="D639" s="463"/>
      <c r="E639" s="463"/>
      <c r="F639" s="496" t="s">
        <v>330</v>
      </c>
      <c r="G639" s="463">
        <v>1</v>
      </c>
      <c r="H639" s="500">
        <f>SUM(H633:H638)</f>
        <v>500</v>
      </c>
      <c r="I639" s="501">
        <f t="shared" si="63"/>
        <v>500</v>
      </c>
      <c r="J639" s="502">
        <v>1</v>
      </c>
      <c r="K639" s="502">
        <f>I639*J639</f>
        <v>500</v>
      </c>
      <c r="L639" s="457">
        <f>SUM(K633:K639)</f>
        <v>1182</v>
      </c>
    </row>
    <row r="640" s="456" customFormat="1" ht="20.25" spans="1:12">
      <c r="A640" s="488">
        <v>45470</v>
      </c>
      <c r="B640" s="456" t="s">
        <v>341</v>
      </c>
      <c r="C640" s="490">
        <v>45469</v>
      </c>
      <c r="D640" s="491"/>
      <c r="E640" s="491"/>
      <c r="F640" s="493" t="s">
        <v>315</v>
      </c>
      <c r="G640" s="491">
        <v>1</v>
      </c>
      <c r="H640" s="431">
        <v>40</v>
      </c>
      <c r="I640" s="491">
        <f t="shared" ref="I640:I680" si="65">G640*H640</f>
        <v>40</v>
      </c>
      <c r="J640" s="492"/>
      <c r="K640" s="492"/>
    </row>
    <row r="641" s="456" customFormat="1" ht="20.25" spans="1:13">
      <c r="A641" s="488">
        <v>45470</v>
      </c>
      <c r="B641" s="456" t="s">
        <v>341</v>
      </c>
      <c r="C641" s="490">
        <v>45469</v>
      </c>
      <c r="D641" s="491"/>
      <c r="E641" s="491"/>
      <c r="F641" s="493" t="s">
        <v>316</v>
      </c>
      <c r="G641" s="491">
        <v>1</v>
      </c>
      <c r="H641" s="431">
        <v>6</v>
      </c>
      <c r="I641" s="491">
        <f t="shared" si="65"/>
        <v>6</v>
      </c>
      <c r="J641" s="492"/>
      <c r="K641" s="492"/>
    </row>
    <row r="642" s="456" customFormat="1" ht="20.25" spans="1:13">
      <c r="A642" s="488">
        <v>45470</v>
      </c>
      <c r="B642" s="456" t="s">
        <v>341</v>
      </c>
      <c r="C642" s="490">
        <v>45469</v>
      </c>
      <c r="D642" s="491"/>
      <c r="E642" s="491"/>
      <c r="F642" s="493" t="s">
        <v>342</v>
      </c>
      <c r="G642" s="491">
        <v>1</v>
      </c>
      <c r="H642" s="431">
        <v>44</v>
      </c>
      <c r="I642" s="491">
        <f t="shared" si="65"/>
        <v>44</v>
      </c>
      <c r="J642" s="492"/>
      <c r="K642" s="492"/>
    </row>
    <row r="643" s="456" customFormat="1" ht="20.25" spans="1:13">
      <c r="A643" s="488">
        <v>45470</v>
      </c>
      <c r="B643" s="456" t="s">
        <v>341</v>
      </c>
      <c r="C643" s="490">
        <v>45469</v>
      </c>
      <c r="D643" s="491"/>
      <c r="E643" s="491"/>
      <c r="F643" s="493" t="s">
        <v>149</v>
      </c>
      <c r="G643" s="491">
        <v>1</v>
      </c>
      <c r="H643" s="431">
        <v>14</v>
      </c>
      <c r="I643" s="491">
        <f t="shared" si="65"/>
        <v>14</v>
      </c>
      <c r="J643" s="492"/>
      <c r="K643" s="492"/>
    </row>
    <row r="644" s="456" customFormat="1" ht="20.25" spans="1:13">
      <c r="A644" s="488">
        <v>45470</v>
      </c>
      <c r="B644" s="456" t="s">
        <v>341</v>
      </c>
      <c r="C644" s="490">
        <v>45469</v>
      </c>
      <c r="D644" s="491"/>
      <c r="E644" s="491"/>
      <c r="F644" s="493" t="s">
        <v>298</v>
      </c>
      <c r="G644" s="491">
        <v>1</v>
      </c>
      <c r="H644" s="431">
        <v>50</v>
      </c>
      <c r="I644" s="491">
        <f t="shared" si="65"/>
        <v>50</v>
      </c>
      <c r="J644" s="492"/>
      <c r="K644" s="492"/>
    </row>
    <row r="645" s="456" customFormat="1" ht="20.25" spans="1:13">
      <c r="A645" s="488">
        <v>45470</v>
      </c>
      <c r="B645" s="456" t="s">
        <v>341</v>
      </c>
      <c r="C645" s="490">
        <v>45469</v>
      </c>
      <c r="D645" s="491"/>
      <c r="E645" s="491"/>
      <c r="F645" s="493">
        <v>808</v>
      </c>
      <c r="G645" s="491">
        <v>1</v>
      </c>
      <c r="H645" s="431">
        <v>40</v>
      </c>
      <c r="I645" s="491">
        <f t="shared" si="65"/>
        <v>40</v>
      </c>
      <c r="J645" s="492">
        <v>11</v>
      </c>
      <c r="K645" s="492">
        <f t="shared" ref="K645:K647" si="66">I645*J645</f>
        <v>440</v>
      </c>
      <c r="L645" s="456" t="s">
        <v>343</v>
      </c>
    </row>
    <row r="646" s="456" customFormat="1" ht="20.25" spans="1:13">
      <c r="A646" s="488">
        <v>45470</v>
      </c>
      <c r="B646" s="456" t="s">
        <v>341</v>
      </c>
      <c r="C646" s="490">
        <v>45469</v>
      </c>
      <c r="D646" s="491"/>
      <c r="E646" s="491"/>
      <c r="F646" s="493" t="s">
        <v>125</v>
      </c>
      <c r="G646" s="491">
        <v>1</v>
      </c>
      <c r="H646" s="431">
        <v>6</v>
      </c>
      <c r="I646" s="491">
        <f t="shared" si="65"/>
        <v>6</v>
      </c>
      <c r="J646" s="492">
        <v>6.7</v>
      </c>
      <c r="K646" s="492">
        <f t="shared" si="66"/>
        <v>40.2</v>
      </c>
    </row>
    <row r="647" s="456" customFormat="1" ht="20.25" spans="1:13">
      <c r="A647" s="488">
        <v>45470</v>
      </c>
      <c r="B647" s="456" t="s">
        <v>341</v>
      </c>
      <c r="C647" s="490">
        <v>45469</v>
      </c>
      <c r="D647" s="491"/>
      <c r="E647" s="491"/>
      <c r="F647" s="493" t="s">
        <v>344</v>
      </c>
      <c r="G647" s="501">
        <v>1</v>
      </c>
      <c r="H647" s="500">
        <f>SUM(H640:H646)</f>
        <v>200</v>
      </c>
      <c r="I647" s="501">
        <f t="shared" si="65"/>
        <v>200</v>
      </c>
      <c r="J647" s="502">
        <v>1</v>
      </c>
      <c r="K647" s="502">
        <f t="shared" si="66"/>
        <v>200</v>
      </c>
      <c r="L647" s="456">
        <f>SUM(K640:K647)</f>
        <v>680.2</v>
      </c>
    </row>
    <row r="648" s="457" customFormat="1" ht="20.25" spans="1:13">
      <c r="A648" s="494">
        <v>45470</v>
      </c>
      <c r="B648" s="457" t="s">
        <v>107</v>
      </c>
      <c r="C648" s="495">
        <v>45469</v>
      </c>
      <c r="D648" s="463"/>
      <c r="E648" s="463"/>
      <c r="F648" s="496" t="s">
        <v>315</v>
      </c>
      <c r="G648" s="463">
        <v>1</v>
      </c>
      <c r="H648" s="432">
        <v>40</v>
      </c>
      <c r="I648" s="463">
        <f t="shared" si="65"/>
        <v>40</v>
      </c>
      <c r="J648" s="497"/>
      <c r="K648" s="497"/>
    </row>
    <row r="649" s="457" customFormat="1" ht="20.25" spans="1:13">
      <c r="A649" s="494">
        <v>45470</v>
      </c>
      <c r="B649" s="457" t="s">
        <v>107</v>
      </c>
      <c r="C649" s="495">
        <v>45469</v>
      </c>
      <c r="D649" s="463"/>
      <c r="E649" s="463"/>
      <c r="F649" s="496" t="s">
        <v>316</v>
      </c>
      <c r="G649" s="463">
        <v>1</v>
      </c>
      <c r="H649" s="432">
        <v>6</v>
      </c>
      <c r="I649" s="463">
        <f t="shared" si="65"/>
        <v>6</v>
      </c>
      <c r="J649" s="497"/>
      <c r="K649" s="497"/>
    </row>
    <row r="650" s="457" customFormat="1" ht="20.25" spans="1:13">
      <c r="A650" s="494">
        <v>45470</v>
      </c>
      <c r="B650" s="457" t="s">
        <v>107</v>
      </c>
      <c r="C650" s="495">
        <v>45469</v>
      </c>
      <c r="D650" s="463"/>
      <c r="E650" s="463"/>
      <c r="F650" s="496" t="s">
        <v>345</v>
      </c>
      <c r="G650" s="463">
        <v>1</v>
      </c>
      <c r="H650" s="432">
        <v>40</v>
      </c>
      <c r="I650" s="463">
        <f t="shared" si="65"/>
        <v>40</v>
      </c>
      <c r="J650" s="497"/>
      <c r="K650" s="497"/>
    </row>
    <row r="651" s="457" customFormat="1" ht="20.25" spans="1:13">
      <c r="A651" s="494">
        <v>45470</v>
      </c>
      <c r="B651" s="457" t="s">
        <v>107</v>
      </c>
      <c r="C651" s="495">
        <v>45469</v>
      </c>
      <c r="D651" s="463"/>
      <c r="E651" s="463"/>
      <c r="F651" s="496" t="s">
        <v>149</v>
      </c>
      <c r="G651" s="463">
        <v>1</v>
      </c>
      <c r="H651" s="432">
        <v>14</v>
      </c>
      <c r="I651" s="463">
        <f t="shared" si="65"/>
        <v>14</v>
      </c>
      <c r="J651" s="497"/>
      <c r="K651" s="497"/>
    </row>
    <row r="652" s="457" customFormat="1" ht="20.25" spans="1:13">
      <c r="A652" s="494">
        <v>45470</v>
      </c>
      <c r="B652" s="457" t="s">
        <v>107</v>
      </c>
      <c r="C652" s="495">
        <v>45469</v>
      </c>
      <c r="D652" s="463"/>
      <c r="E652" s="463"/>
      <c r="F652" s="496" t="s">
        <v>298</v>
      </c>
      <c r="G652" s="463">
        <v>1</v>
      </c>
      <c r="H652" s="432">
        <v>50</v>
      </c>
      <c r="I652" s="463">
        <f t="shared" si="65"/>
        <v>50</v>
      </c>
      <c r="J652" s="497"/>
      <c r="K652" s="497"/>
    </row>
    <row r="653" s="457" customFormat="1" ht="20.25" spans="1:13">
      <c r="A653" s="494">
        <v>45470</v>
      </c>
      <c r="B653" s="457" t="s">
        <v>107</v>
      </c>
      <c r="C653" s="495">
        <v>45469</v>
      </c>
      <c r="D653" s="463"/>
      <c r="E653" s="463"/>
      <c r="F653" s="496">
        <v>808</v>
      </c>
      <c r="G653" s="463">
        <v>1</v>
      </c>
      <c r="H653" s="432">
        <v>40</v>
      </c>
      <c r="I653" s="463">
        <f t="shared" si="65"/>
        <v>40</v>
      </c>
      <c r="J653" s="497">
        <v>11</v>
      </c>
      <c r="K653" s="497">
        <f t="shared" ref="K653:K655" si="67">I653*J653</f>
        <v>440</v>
      </c>
      <c r="M653" s="457" t="s">
        <v>126</v>
      </c>
    </row>
    <row r="654" s="457" customFormat="1" ht="20.25" spans="1:13">
      <c r="A654" s="494">
        <v>45470</v>
      </c>
      <c r="B654" s="457" t="s">
        <v>107</v>
      </c>
      <c r="C654" s="495">
        <v>45469</v>
      </c>
      <c r="D654" s="463"/>
      <c r="E654" s="463"/>
      <c r="F654" s="496" t="s">
        <v>125</v>
      </c>
      <c r="G654" s="463">
        <v>1</v>
      </c>
      <c r="H654" s="432">
        <v>10</v>
      </c>
      <c r="I654" s="463">
        <f t="shared" si="65"/>
        <v>10</v>
      </c>
      <c r="J654" s="497">
        <v>6.7</v>
      </c>
      <c r="K654" s="497">
        <f t="shared" si="67"/>
        <v>67</v>
      </c>
    </row>
    <row r="655" s="457" customFormat="1" ht="20.25" spans="1:13">
      <c r="A655" s="494">
        <v>45470</v>
      </c>
      <c r="B655" s="457" t="s">
        <v>107</v>
      </c>
      <c r="C655" s="495">
        <v>45469</v>
      </c>
      <c r="D655" s="463"/>
      <c r="E655" s="463"/>
      <c r="F655" s="499" t="s">
        <v>346</v>
      </c>
      <c r="G655" s="501">
        <v>1</v>
      </c>
      <c r="H655" s="500">
        <f>SUM(H648:H654)</f>
        <v>200</v>
      </c>
      <c r="I655" s="501">
        <f t="shared" si="65"/>
        <v>200</v>
      </c>
      <c r="J655" s="502">
        <v>1</v>
      </c>
      <c r="K655" s="502">
        <f t="shared" si="67"/>
        <v>200</v>
      </c>
      <c r="L655" s="457">
        <f>SUM(K648:K655)</f>
        <v>707</v>
      </c>
    </row>
    <row r="656" s="456" customFormat="1" ht="20.25" spans="1:13">
      <c r="A656" s="488">
        <v>45471</v>
      </c>
      <c r="B656" s="456" t="s">
        <v>131</v>
      </c>
      <c r="C656" s="490">
        <v>45470</v>
      </c>
      <c r="D656" s="491"/>
      <c r="E656" s="491"/>
      <c r="F656" s="493" t="s">
        <v>16</v>
      </c>
      <c r="G656" s="491">
        <v>1</v>
      </c>
      <c r="H656" s="431">
        <v>150</v>
      </c>
      <c r="I656" s="491">
        <f t="shared" si="65"/>
        <v>150</v>
      </c>
      <c r="J656" s="492">
        <v>13.5</v>
      </c>
      <c r="K656" s="492"/>
    </row>
    <row r="657" s="456" customFormat="1" ht="20.25" spans="1:15">
      <c r="A657" s="488">
        <v>45471</v>
      </c>
      <c r="B657" s="456" t="s">
        <v>131</v>
      </c>
      <c r="C657" s="490">
        <v>45470</v>
      </c>
      <c r="D657" s="491"/>
      <c r="E657" s="491"/>
      <c r="F657" s="493" t="s">
        <v>86</v>
      </c>
      <c r="G657" s="491">
        <v>1</v>
      </c>
      <c r="H657" s="431">
        <v>200</v>
      </c>
      <c r="I657" s="491">
        <f t="shared" si="65"/>
        <v>200</v>
      </c>
      <c r="J657" s="492">
        <v>14.1</v>
      </c>
      <c r="K657" s="492"/>
    </row>
    <row r="658" s="456" customFormat="1" ht="20.25" spans="1:15">
      <c r="A658" s="488">
        <v>45471</v>
      </c>
      <c r="B658" s="456" t="s">
        <v>131</v>
      </c>
      <c r="C658" s="490">
        <v>45470</v>
      </c>
      <c r="D658" s="491"/>
      <c r="E658" s="491"/>
      <c r="F658" s="493" t="s">
        <v>87</v>
      </c>
      <c r="G658" s="491">
        <v>1</v>
      </c>
      <c r="H658" s="431">
        <v>450</v>
      </c>
      <c r="I658" s="491">
        <f t="shared" si="65"/>
        <v>450</v>
      </c>
      <c r="J658" s="492">
        <v>11.4</v>
      </c>
      <c r="K658" s="492"/>
      <c r="M658" s="606" t="s">
        <v>325</v>
      </c>
      <c r="N658" s="537" t="s">
        <v>326</v>
      </c>
    </row>
    <row r="659" s="456" customFormat="1" ht="20.25" spans="1:15">
      <c r="A659" s="488">
        <v>45471</v>
      </c>
      <c r="B659" s="456" t="s">
        <v>131</v>
      </c>
      <c r="C659" s="490">
        <v>45470</v>
      </c>
      <c r="D659" s="491"/>
      <c r="E659" s="491"/>
      <c r="F659" s="493" t="s">
        <v>177</v>
      </c>
      <c r="G659" s="491">
        <v>1</v>
      </c>
      <c r="H659" s="431">
        <v>50</v>
      </c>
      <c r="I659" s="491">
        <f t="shared" si="65"/>
        <v>50</v>
      </c>
      <c r="J659" s="492">
        <v>11</v>
      </c>
      <c r="K659" s="492">
        <f t="shared" ref="K659:K664" si="68">I659*J659</f>
        <v>550</v>
      </c>
      <c r="M659" s="456" t="s">
        <v>182</v>
      </c>
    </row>
    <row r="660" s="456" customFormat="1" ht="20.25" spans="1:15">
      <c r="A660" s="488">
        <v>45471</v>
      </c>
      <c r="B660" s="456" t="s">
        <v>131</v>
      </c>
      <c r="C660" s="490">
        <v>45470</v>
      </c>
      <c r="D660" s="491"/>
      <c r="E660" s="491"/>
      <c r="F660" s="493" t="s">
        <v>183</v>
      </c>
      <c r="G660" s="491">
        <v>1</v>
      </c>
      <c r="H660" s="431">
        <v>150</v>
      </c>
      <c r="I660" s="491">
        <f t="shared" si="65"/>
        <v>150</v>
      </c>
      <c r="J660" s="492">
        <v>23.5</v>
      </c>
      <c r="K660" s="492"/>
      <c r="M660" s="456" t="s">
        <v>184</v>
      </c>
      <c r="N660" s="456" t="s">
        <v>185</v>
      </c>
    </row>
    <row r="661" s="456" customFormat="1" ht="20.25" spans="1:15">
      <c r="A661" s="488">
        <v>45471</v>
      </c>
      <c r="B661" s="456" t="s">
        <v>131</v>
      </c>
      <c r="C661" s="490">
        <v>45470</v>
      </c>
      <c r="D661" s="491"/>
      <c r="E661" s="491"/>
      <c r="F661" s="499" t="s">
        <v>186</v>
      </c>
      <c r="G661" s="501">
        <v>1</v>
      </c>
      <c r="H661" s="500">
        <f>SUM(H656:H660)</f>
        <v>1000</v>
      </c>
      <c r="I661" s="501">
        <f t="shared" si="65"/>
        <v>1000</v>
      </c>
      <c r="J661" s="502">
        <v>1</v>
      </c>
      <c r="K661" s="492">
        <f t="shared" si="68"/>
        <v>1000</v>
      </c>
      <c r="L661" s="456">
        <f>SUM(K656:K661)</f>
        <v>1550</v>
      </c>
    </row>
    <row r="662" s="457" customFormat="1" ht="20.25" spans="1:15">
      <c r="A662" s="494">
        <v>45471</v>
      </c>
      <c r="B662" s="457" t="s">
        <v>135</v>
      </c>
      <c r="C662" s="504">
        <v>45470</v>
      </c>
      <c r="D662" s="504"/>
      <c r="E662" s="505"/>
      <c r="F662" s="496" t="s">
        <v>251</v>
      </c>
      <c r="G662" s="463">
        <v>1</v>
      </c>
      <c r="H662" s="432">
        <v>200</v>
      </c>
      <c r="I662" s="463">
        <f t="shared" si="65"/>
        <v>200</v>
      </c>
      <c r="J662" s="497"/>
      <c r="K662" s="497"/>
      <c r="O662" s="456"/>
    </row>
    <row r="663" s="457" customFormat="1" ht="20.25" spans="1:15">
      <c r="A663" s="494">
        <v>45471</v>
      </c>
      <c r="B663" s="457" t="s">
        <v>135</v>
      </c>
      <c r="C663" s="504">
        <v>45470</v>
      </c>
      <c r="D663" s="504"/>
      <c r="E663" s="505"/>
      <c r="F663" s="496" t="s">
        <v>129</v>
      </c>
      <c r="G663" s="463">
        <v>1</v>
      </c>
      <c r="H663" s="432">
        <v>150</v>
      </c>
      <c r="I663" s="463">
        <f t="shared" si="65"/>
        <v>150</v>
      </c>
      <c r="J663" s="497"/>
      <c r="K663" s="497"/>
      <c r="O663" s="456"/>
    </row>
    <row r="664" s="457" customFormat="1" ht="20.25" spans="1:15">
      <c r="A664" s="494">
        <v>45471</v>
      </c>
      <c r="B664" s="457" t="s">
        <v>135</v>
      </c>
      <c r="C664" s="504">
        <v>45470</v>
      </c>
      <c r="D664" s="504"/>
      <c r="E664" s="505"/>
      <c r="F664" s="496">
        <v>808</v>
      </c>
      <c r="G664" s="463">
        <v>1</v>
      </c>
      <c r="H664" s="432">
        <v>200</v>
      </c>
      <c r="I664" s="463">
        <f t="shared" si="65"/>
        <v>200</v>
      </c>
      <c r="J664" s="497">
        <v>11</v>
      </c>
      <c r="K664" s="497">
        <f t="shared" si="68"/>
        <v>2200</v>
      </c>
      <c r="O664" s="456"/>
    </row>
    <row r="665" s="457" customFormat="1" ht="20.25" spans="1:15">
      <c r="A665" s="494">
        <v>45471</v>
      </c>
      <c r="B665" s="457" t="s">
        <v>135</v>
      </c>
      <c r="C665" s="504">
        <v>45470</v>
      </c>
      <c r="D665" s="504"/>
      <c r="E665" s="505"/>
      <c r="F665" s="496" t="s">
        <v>86</v>
      </c>
      <c r="G665" s="463">
        <v>1</v>
      </c>
      <c r="H665" s="432">
        <v>70</v>
      </c>
      <c r="I665" s="463">
        <f t="shared" si="65"/>
        <v>70</v>
      </c>
      <c r="J665" s="497"/>
      <c r="K665" s="497"/>
      <c r="L665" s="537"/>
      <c r="M665" s="537"/>
      <c r="N665" s="537"/>
      <c r="O665" s="456"/>
    </row>
    <row r="666" s="457" customFormat="1" ht="20.25" spans="1:15">
      <c r="A666" s="494">
        <v>45471</v>
      </c>
      <c r="B666" s="457" t="s">
        <v>135</v>
      </c>
      <c r="C666" s="504">
        <v>45470</v>
      </c>
      <c r="D666" s="504"/>
      <c r="E666" s="505"/>
      <c r="F666" s="496" t="s">
        <v>87</v>
      </c>
      <c r="G666" s="463">
        <v>1</v>
      </c>
      <c r="H666" s="432">
        <v>380</v>
      </c>
      <c r="I666" s="463">
        <f t="shared" si="65"/>
        <v>380</v>
      </c>
      <c r="J666" s="497"/>
      <c r="K666" s="497"/>
      <c r="L666" s="537"/>
      <c r="M666" s="537" t="s">
        <v>126</v>
      </c>
      <c r="N666" s="537"/>
      <c r="O666" s="456"/>
    </row>
    <row r="667" s="457" customFormat="1" ht="20.25" spans="1:15">
      <c r="A667" s="494">
        <v>45471</v>
      </c>
      <c r="B667" s="457" t="s">
        <v>135</v>
      </c>
      <c r="C667" s="504">
        <v>45470</v>
      </c>
      <c r="D667" s="504"/>
      <c r="E667" s="505"/>
      <c r="F667" s="499" t="s">
        <v>130</v>
      </c>
      <c r="G667" s="501">
        <v>1</v>
      </c>
      <c r="H667" s="500">
        <f>SUM(H662:H666)</f>
        <v>1000</v>
      </c>
      <c r="I667" s="501">
        <f t="shared" si="65"/>
        <v>1000</v>
      </c>
      <c r="J667" s="502">
        <v>1</v>
      </c>
      <c r="K667" s="502">
        <f>I667*J667</f>
        <v>1000</v>
      </c>
      <c r="L667" s="537">
        <f>SUM(K662:K667)</f>
        <v>3200</v>
      </c>
      <c r="M667" s="537"/>
      <c r="N667" s="537"/>
      <c r="O667" s="456"/>
    </row>
    <row r="668" s="456" customFormat="1" ht="20.25" spans="1:15">
      <c r="A668" s="488">
        <v>45472</v>
      </c>
      <c r="B668" s="456" t="s">
        <v>220</v>
      </c>
      <c r="C668" s="490" t="s">
        <v>347</v>
      </c>
      <c r="D668" s="491"/>
      <c r="E668" s="491"/>
      <c r="F668" s="493" t="s">
        <v>265</v>
      </c>
      <c r="G668" s="491">
        <v>1</v>
      </c>
      <c r="H668" s="431">
        <v>140</v>
      </c>
      <c r="I668" s="491">
        <f t="shared" si="65"/>
        <v>140</v>
      </c>
      <c r="J668" s="492"/>
      <c r="K668" s="492"/>
    </row>
    <row r="669" s="456" customFormat="1" ht="20.25" spans="1:15">
      <c r="A669" s="488">
        <v>45472</v>
      </c>
      <c r="B669" s="456" t="s">
        <v>220</v>
      </c>
      <c r="C669" s="490" t="s">
        <v>347</v>
      </c>
      <c r="D669" s="491"/>
      <c r="E669" s="491"/>
      <c r="F669" s="493" t="s">
        <v>252</v>
      </c>
      <c r="G669" s="491">
        <v>1</v>
      </c>
      <c r="H669" s="431">
        <v>7</v>
      </c>
      <c r="I669" s="491">
        <f t="shared" si="65"/>
        <v>7</v>
      </c>
      <c r="J669" s="492"/>
      <c r="K669" s="492"/>
    </row>
    <row r="670" s="456" customFormat="1" ht="20.25" spans="1:15">
      <c r="A670" s="488">
        <v>45472</v>
      </c>
      <c r="B670" s="456" t="s">
        <v>220</v>
      </c>
      <c r="C670" s="490" t="s">
        <v>347</v>
      </c>
      <c r="D670" s="491"/>
      <c r="E670" s="491"/>
      <c r="F670" s="493" t="s">
        <v>266</v>
      </c>
      <c r="G670" s="491">
        <v>1</v>
      </c>
      <c r="H670" s="431">
        <v>100</v>
      </c>
      <c r="I670" s="491">
        <f t="shared" si="65"/>
        <v>100</v>
      </c>
      <c r="J670" s="492"/>
      <c r="K670" s="492"/>
      <c r="M670" s="459" t="s">
        <v>348</v>
      </c>
      <c r="N670" s="459"/>
    </row>
    <row r="671" s="456" customFormat="1" ht="20.25" spans="1:15">
      <c r="A671" s="488">
        <v>45472</v>
      </c>
      <c r="B671" s="456" t="s">
        <v>220</v>
      </c>
      <c r="C671" s="490" t="s">
        <v>347</v>
      </c>
      <c r="D671" s="491"/>
      <c r="E671" s="491"/>
      <c r="F671" s="493">
        <v>808</v>
      </c>
      <c r="G671" s="491">
        <v>1</v>
      </c>
      <c r="H671" s="431">
        <v>210</v>
      </c>
      <c r="I671" s="491">
        <f t="shared" si="65"/>
        <v>210</v>
      </c>
      <c r="J671" s="492">
        <v>11</v>
      </c>
      <c r="K671" s="492">
        <f>I671*J671</f>
        <v>2310</v>
      </c>
    </row>
    <row r="672" s="456" customFormat="1" ht="20.25" spans="1:15">
      <c r="A672" s="488">
        <v>45472</v>
      </c>
      <c r="B672" s="456" t="s">
        <v>220</v>
      </c>
      <c r="C672" s="490" t="s">
        <v>347</v>
      </c>
      <c r="D672" s="491"/>
      <c r="E672" s="491"/>
      <c r="F672" s="493" t="s">
        <v>46</v>
      </c>
      <c r="G672" s="491">
        <v>1</v>
      </c>
      <c r="H672" s="431">
        <v>233</v>
      </c>
      <c r="I672" s="491">
        <f t="shared" ref="I672:I680" si="69">G672*H672</f>
        <v>233</v>
      </c>
      <c r="J672" s="492">
        <v>6.7</v>
      </c>
      <c r="K672" s="492">
        <f>I672*J672</f>
        <v>1561.1</v>
      </c>
    </row>
    <row r="673" s="456" customFormat="1" ht="20.25" spans="1:15">
      <c r="A673" s="488">
        <v>45472</v>
      </c>
      <c r="B673" s="456" t="s">
        <v>220</v>
      </c>
      <c r="C673" s="490" t="s">
        <v>347</v>
      </c>
      <c r="D673" s="491"/>
      <c r="E673" s="491"/>
      <c r="F673" s="493" t="s">
        <v>268</v>
      </c>
      <c r="G673" s="501">
        <v>1</v>
      </c>
      <c r="H673" s="500">
        <f>SUM(H668:H672)</f>
        <v>690</v>
      </c>
      <c r="I673" s="501">
        <f t="shared" si="69"/>
        <v>690</v>
      </c>
      <c r="J673" s="502">
        <v>5</v>
      </c>
      <c r="K673" s="502">
        <f>I673*J673</f>
        <v>3450</v>
      </c>
      <c r="L673" s="456">
        <f>SUM(K668:K673)</f>
        <v>7321.1</v>
      </c>
    </row>
    <row r="674" s="457" customFormat="1" ht="20.25" spans="1:15">
      <c r="A674" s="494">
        <v>45472</v>
      </c>
      <c r="B674" s="457" t="s">
        <v>224</v>
      </c>
      <c r="C674" s="495">
        <v>45471</v>
      </c>
      <c r="D674" s="463"/>
      <c r="E674" s="463"/>
      <c r="F674" s="496" t="s">
        <v>16</v>
      </c>
      <c r="G674" s="463">
        <v>1</v>
      </c>
      <c r="H674" s="432">
        <v>0.4</v>
      </c>
      <c r="I674" s="463">
        <f t="shared" si="69"/>
        <v>0.4</v>
      </c>
      <c r="J674" s="497"/>
      <c r="K674" s="497"/>
      <c r="L674" s="537"/>
      <c r="M674" s="537"/>
      <c r="N674" s="537"/>
      <c r="O674" s="456"/>
    </row>
    <row r="675" s="457" customFormat="1" ht="20.25" spans="1:15">
      <c r="A675" s="494">
        <v>45472</v>
      </c>
      <c r="B675" s="457" t="s">
        <v>224</v>
      </c>
      <c r="C675" s="495">
        <v>45471</v>
      </c>
      <c r="D675" s="463"/>
      <c r="E675" s="463"/>
      <c r="F675" s="496" t="s">
        <v>133</v>
      </c>
      <c r="G675" s="463">
        <v>1</v>
      </c>
      <c r="H675" s="432">
        <v>1</v>
      </c>
      <c r="I675" s="463">
        <f t="shared" si="69"/>
        <v>1</v>
      </c>
      <c r="J675" s="497"/>
      <c r="K675" s="497"/>
      <c r="L675" s="537"/>
      <c r="M675" s="537"/>
      <c r="N675" s="537"/>
      <c r="O675" s="456"/>
    </row>
    <row r="676" s="457" customFormat="1" ht="20.25" spans="1:15">
      <c r="A676" s="494">
        <v>45472</v>
      </c>
      <c r="B676" s="457" t="s">
        <v>224</v>
      </c>
      <c r="C676" s="495">
        <v>45471</v>
      </c>
      <c r="D676" s="463"/>
      <c r="E676" s="463"/>
      <c r="F676" s="496" t="s">
        <v>208</v>
      </c>
      <c r="G676" s="463">
        <v>1</v>
      </c>
      <c r="H676" s="432">
        <v>1</v>
      </c>
      <c r="I676" s="463">
        <f t="shared" si="69"/>
        <v>1</v>
      </c>
      <c r="J676" s="497">
        <v>17</v>
      </c>
      <c r="K676" s="497">
        <f t="shared" ref="K676:K683" si="70">I676*J676</f>
        <v>17</v>
      </c>
      <c r="L676" s="537"/>
      <c r="M676" s="537"/>
      <c r="N676" s="537"/>
      <c r="O676" s="456"/>
    </row>
    <row r="677" s="457" customFormat="1" ht="20.25" spans="1:15">
      <c r="A677" s="494">
        <v>45472</v>
      </c>
      <c r="B677" s="457" t="s">
        <v>224</v>
      </c>
      <c r="C677" s="495">
        <v>45471</v>
      </c>
      <c r="D677" s="463"/>
      <c r="E677" s="463"/>
      <c r="F677" s="496" t="s">
        <v>152</v>
      </c>
      <c r="G677" s="463">
        <v>1</v>
      </c>
      <c r="H677" s="432">
        <v>6.8</v>
      </c>
      <c r="I677" s="463">
        <f t="shared" si="69"/>
        <v>6.8</v>
      </c>
      <c r="J677" s="497">
        <v>8.6</v>
      </c>
      <c r="K677" s="497">
        <f t="shared" si="70"/>
        <v>58.48</v>
      </c>
      <c r="L677" s="537" t="s">
        <v>248</v>
      </c>
      <c r="M677" s="537"/>
      <c r="N677" s="537"/>
      <c r="O677" s="456"/>
    </row>
    <row r="678" s="457" customFormat="1" ht="20.25" spans="1:15">
      <c r="A678" s="494">
        <v>45472</v>
      </c>
      <c r="B678" s="457" t="s">
        <v>224</v>
      </c>
      <c r="C678" s="495">
        <v>45471</v>
      </c>
      <c r="D678" s="463"/>
      <c r="E678" s="463"/>
      <c r="F678" s="496" t="s">
        <v>125</v>
      </c>
      <c r="G678" s="463">
        <v>1</v>
      </c>
      <c r="H678" s="432">
        <v>6.8</v>
      </c>
      <c r="I678" s="463">
        <f t="shared" si="69"/>
        <v>6.8</v>
      </c>
      <c r="J678" s="497">
        <v>6.7</v>
      </c>
      <c r="K678" s="497">
        <f t="shared" si="70"/>
        <v>45.56</v>
      </c>
      <c r="L678" s="537"/>
      <c r="M678" s="537"/>
      <c r="N678" s="537"/>
      <c r="O678" s="456"/>
    </row>
    <row r="679" s="457" customFormat="1" ht="20.25" spans="1:15">
      <c r="A679" s="494">
        <v>45472</v>
      </c>
      <c r="B679" s="457" t="s">
        <v>224</v>
      </c>
      <c r="C679" s="495">
        <v>45471</v>
      </c>
      <c r="D679" s="463"/>
      <c r="E679" s="463"/>
      <c r="F679" s="499" t="s">
        <v>249</v>
      </c>
      <c r="G679" s="501">
        <v>1</v>
      </c>
      <c r="H679" s="500">
        <f>SUM(H674:H678)</f>
        <v>16</v>
      </c>
      <c r="I679" s="501">
        <f t="shared" si="69"/>
        <v>16</v>
      </c>
      <c r="J679" s="502">
        <v>1</v>
      </c>
      <c r="K679" s="502">
        <f t="shared" si="70"/>
        <v>16</v>
      </c>
      <c r="L679" s="537"/>
      <c r="M679" s="537"/>
      <c r="N679" s="537"/>
      <c r="O679" s="456"/>
    </row>
    <row r="680" s="457" customFormat="1" ht="20.25" spans="1:15">
      <c r="A680" s="494">
        <v>45472</v>
      </c>
      <c r="B680" s="457" t="s">
        <v>224</v>
      </c>
      <c r="C680" s="495">
        <v>45471</v>
      </c>
      <c r="D680" s="463"/>
      <c r="E680" s="463"/>
      <c r="F680" s="496" t="s">
        <v>349</v>
      </c>
      <c r="G680" s="463">
        <v>1</v>
      </c>
      <c r="H680" s="432">
        <v>1</v>
      </c>
      <c r="I680" s="463">
        <f t="shared" ref="I680:I696" si="71">G680*H680</f>
        <v>1</v>
      </c>
      <c r="J680" s="497">
        <v>65</v>
      </c>
      <c r="K680" s="497">
        <f t="shared" si="70"/>
        <v>65</v>
      </c>
      <c r="L680" s="537"/>
      <c r="M680" s="537"/>
      <c r="N680" s="537"/>
      <c r="O680" s="456"/>
    </row>
    <row r="681" s="456" customFormat="1" ht="20.25" spans="1:15">
      <c r="A681" s="494">
        <v>45472</v>
      </c>
      <c r="B681" s="457" t="s">
        <v>224</v>
      </c>
      <c r="C681" s="495">
        <v>45471</v>
      </c>
      <c r="D681" s="463"/>
      <c r="E681" s="463"/>
      <c r="F681" s="496" t="s">
        <v>306</v>
      </c>
      <c r="G681" s="463">
        <v>1</v>
      </c>
      <c r="H681" s="432">
        <v>1</v>
      </c>
      <c r="I681" s="463">
        <f t="shared" si="71"/>
        <v>1</v>
      </c>
      <c r="J681" s="497">
        <v>14</v>
      </c>
      <c r="K681" s="525">
        <f t="shared" si="70"/>
        <v>14</v>
      </c>
      <c r="L681" s="537"/>
      <c r="M681" s="536"/>
      <c r="N681" s="536"/>
    </row>
    <row r="682" s="456" customFormat="1" ht="20.25" spans="1:15">
      <c r="A682" s="494">
        <v>45472</v>
      </c>
      <c r="B682" s="457" t="s">
        <v>224</v>
      </c>
      <c r="C682" s="495">
        <v>45471</v>
      </c>
      <c r="D682" s="463"/>
      <c r="E682" s="463"/>
      <c r="F682" s="496" t="s">
        <v>350</v>
      </c>
      <c r="G682" s="463">
        <v>20</v>
      </c>
      <c r="H682" s="432">
        <v>1</v>
      </c>
      <c r="I682" s="463">
        <f t="shared" si="71"/>
        <v>20</v>
      </c>
      <c r="J682" s="497">
        <v>5.5</v>
      </c>
      <c r="K682" s="525">
        <f t="shared" si="70"/>
        <v>110</v>
      </c>
      <c r="L682" s="537"/>
      <c r="M682" s="536"/>
      <c r="N682" s="536"/>
    </row>
    <row r="683" s="456" customFormat="1" ht="20.25" spans="1:15">
      <c r="A683" s="494">
        <v>45472</v>
      </c>
      <c r="B683" s="457" t="s">
        <v>224</v>
      </c>
      <c r="C683" s="495">
        <v>45471</v>
      </c>
      <c r="D683" s="463"/>
      <c r="E683" s="463"/>
      <c r="F683" s="496" t="s">
        <v>351</v>
      </c>
      <c r="G683" s="463">
        <v>1</v>
      </c>
      <c r="H683" s="432">
        <v>1</v>
      </c>
      <c r="I683" s="463">
        <f t="shared" si="71"/>
        <v>1</v>
      </c>
      <c r="J683" s="497">
        <v>5.5</v>
      </c>
      <c r="K683" s="525">
        <f t="shared" si="70"/>
        <v>5.5</v>
      </c>
      <c r="L683" s="537">
        <f>SUM(K674:K683)</f>
        <v>331.54</v>
      </c>
      <c r="M683" s="536"/>
      <c r="N683" s="536"/>
    </row>
    <row r="684" s="456" customFormat="1" ht="20.25" spans="1:15">
      <c r="A684" s="488">
        <v>45472</v>
      </c>
      <c r="B684" s="456" t="s">
        <v>225</v>
      </c>
      <c r="C684" s="490">
        <v>45468</v>
      </c>
      <c r="D684" s="491"/>
      <c r="E684" s="491"/>
      <c r="F684" s="493" t="s">
        <v>328</v>
      </c>
      <c r="G684" s="491">
        <v>1</v>
      </c>
      <c r="H684" s="491">
        <v>100</v>
      </c>
      <c r="I684" s="491">
        <f t="shared" si="71"/>
        <v>100</v>
      </c>
      <c r="J684" s="492"/>
      <c r="K684" s="492"/>
    </row>
    <row r="685" s="456" customFormat="1" ht="20.25" spans="1:15">
      <c r="A685" s="488">
        <v>45472</v>
      </c>
      <c r="B685" s="456" t="s">
        <v>225</v>
      </c>
      <c r="C685" s="490">
        <v>45468</v>
      </c>
      <c r="D685" s="491"/>
      <c r="E685" s="491"/>
      <c r="F685" s="493" t="s">
        <v>352</v>
      </c>
      <c r="G685" s="491">
        <v>1</v>
      </c>
      <c r="H685" s="491">
        <v>110</v>
      </c>
      <c r="I685" s="491">
        <f t="shared" si="71"/>
        <v>110</v>
      </c>
      <c r="J685" s="492"/>
      <c r="K685" s="492"/>
    </row>
    <row r="686" s="456" customFormat="1" ht="20.25" spans="1:15">
      <c r="A686" s="488">
        <v>45472</v>
      </c>
      <c r="B686" s="456" t="s">
        <v>225</v>
      </c>
      <c r="C686" s="490">
        <v>45468</v>
      </c>
      <c r="D686" s="491"/>
      <c r="E686" s="491"/>
      <c r="F686" s="493" t="s">
        <v>86</v>
      </c>
      <c r="G686" s="491">
        <v>1</v>
      </c>
      <c r="H686" s="491">
        <v>35</v>
      </c>
      <c r="I686" s="491">
        <f t="shared" si="71"/>
        <v>35</v>
      </c>
      <c r="J686" s="492"/>
      <c r="K686" s="492"/>
      <c r="M686" s="456" t="s">
        <v>353</v>
      </c>
    </row>
    <row r="687" s="456" customFormat="1" ht="20.25" spans="1:15">
      <c r="A687" s="488">
        <v>45472</v>
      </c>
      <c r="B687" s="456" t="s">
        <v>225</v>
      </c>
      <c r="C687" s="490">
        <v>45468</v>
      </c>
      <c r="D687" s="491"/>
      <c r="E687" s="491"/>
      <c r="F687" s="493" t="s">
        <v>87</v>
      </c>
      <c r="G687" s="491">
        <v>1</v>
      </c>
      <c r="H687" s="491">
        <v>160</v>
      </c>
      <c r="I687" s="491">
        <f t="shared" si="71"/>
        <v>160</v>
      </c>
      <c r="J687" s="492"/>
      <c r="K687" s="492"/>
    </row>
    <row r="688" s="456" customFormat="1" ht="20.25" spans="1:15">
      <c r="A688" s="488">
        <v>45472</v>
      </c>
      <c r="B688" s="456" t="s">
        <v>225</v>
      </c>
      <c r="C688" s="490">
        <v>45468</v>
      </c>
      <c r="D688" s="491"/>
      <c r="E688" s="491"/>
      <c r="F688" s="493">
        <v>808</v>
      </c>
      <c r="G688" s="491">
        <v>1</v>
      </c>
      <c r="H688" s="491">
        <v>32.5</v>
      </c>
      <c r="I688" s="491">
        <f t="shared" si="71"/>
        <v>32.5</v>
      </c>
      <c r="J688" s="492">
        <v>11</v>
      </c>
      <c r="K688" s="492">
        <f t="shared" ref="K688:K693" si="72">I688*J688</f>
        <v>357.5</v>
      </c>
      <c r="L688" s="456" t="s">
        <v>354</v>
      </c>
    </row>
    <row r="689" s="456" customFormat="1" ht="20.25" spans="1:17">
      <c r="A689" s="488">
        <v>45472</v>
      </c>
      <c r="B689" s="456" t="s">
        <v>225</v>
      </c>
      <c r="C689" s="490">
        <v>45468</v>
      </c>
      <c r="D689" s="491"/>
      <c r="E689" s="491"/>
      <c r="F689" s="493" t="s">
        <v>115</v>
      </c>
      <c r="G689" s="491">
        <v>1</v>
      </c>
      <c r="H689" s="491">
        <v>62.5</v>
      </c>
      <c r="I689" s="491">
        <f t="shared" si="71"/>
        <v>62.5</v>
      </c>
      <c r="J689" s="492"/>
      <c r="K689" s="492"/>
      <c r="L689" s="4"/>
    </row>
    <row r="690" s="456" customFormat="1" ht="20.25" spans="1:17">
      <c r="A690" s="488">
        <v>45472</v>
      </c>
      <c r="B690" s="456" t="s">
        <v>225</v>
      </c>
      <c r="C690" s="490">
        <v>45468</v>
      </c>
      <c r="D690" s="491"/>
      <c r="E690" s="491"/>
      <c r="F690" s="499" t="s">
        <v>355</v>
      </c>
      <c r="G690" s="501">
        <v>1</v>
      </c>
      <c r="H690" s="500">
        <f>SUM(H684:H689)</f>
        <v>500</v>
      </c>
      <c r="I690" s="501">
        <f t="shared" si="71"/>
        <v>500</v>
      </c>
      <c r="J690" s="502">
        <v>1</v>
      </c>
      <c r="K690" s="502">
        <f t="shared" si="72"/>
        <v>500</v>
      </c>
      <c r="L690" s="456">
        <f>SUM(K684:K690)</f>
        <v>857.5</v>
      </c>
    </row>
    <row r="691" s="457" customFormat="1" ht="20.25" spans="1:17">
      <c r="A691" s="494">
        <v>45472</v>
      </c>
      <c r="B691" s="457" t="s">
        <v>356</v>
      </c>
      <c r="C691" s="504">
        <v>45472</v>
      </c>
      <c r="D691" s="504"/>
      <c r="E691" s="505"/>
      <c r="F691" s="496" t="s">
        <v>251</v>
      </c>
      <c r="G691" s="463">
        <v>1</v>
      </c>
      <c r="H691" s="432">
        <v>200</v>
      </c>
      <c r="I691" s="463">
        <f t="shared" si="71"/>
        <v>200</v>
      </c>
      <c r="J691" s="497"/>
      <c r="K691" s="497"/>
      <c r="O691" s="456"/>
    </row>
    <row r="692" s="457" customFormat="1" ht="20.25" spans="1:17">
      <c r="A692" s="494">
        <v>45472</v>
      </c>
      <c r="B692" s="457" t="s">
        <v>356</v>
      </c>
      <c r="C692" s="504">
        <v>45472</v>
      </c>
      <c r="D692" s="504"/>
      <c r="E692" s="505"/>
      <c r="F692" s="496" t="s">
        <v>129</v>
      </c>
      <c r="G692" s="463">
        <v>1</v>
      </c>
      <c r="H692" s="432">
        <v>150</v>
      </c>
      <c r="I692" s="463">
        <f t="shared" si="71"/>
        <v>150</v>
      </c>
      <c r="J692" s="497"/>
      <c r="K692" s="497"/>
      <c r="O692" s="456"/>
    </row>
    <row r="693" s="457" customFormat="1" ht="20.25" spans="1:17">
      <c r="A693" s="494">
        <v>45472</v>
      </c>
      <c r="B693" s="457" t="s">
        <v>356</v>
      </c>
      <c r="C693" s="504">
        <v>45472</v>
      </c>
      <c r="D693" s="504"/>
      <c r="E693" s="505"/>
      <c r="F693" s="496">
        <v>808</v>
      </c>
      <c r="G693" s="463">
        <v>1</v>
      </c>
      <c r="H693" s="432">
        <v>200</v>
      </c>
      <c r="I693" s="463">
        <f t="shared" si="71"/>
        <v>200</v>
      </c>
      <c r="J693" s="497">
        <v>11</v>
      </c>
      <c r="K693" s="497">
        <f t="shared" si="72"/>
        <v>2200</v>
      </c>
      <c r="O693" s="456"/>
    </row>
    <row r="694" s="457" customFormat="1" ht="20.25" spans="1:17">
      <c r="A694" s="494">
        <v>45472</v>
      </c>
      <c r="B694" s="457" t="s">
        <v>356</v>
      </c>
      <c r="C694" s="504">
        <v>45472</v>
      </c>
      <c r="D694" s="504"/>
      <c r="E694" s="505"/>
      <c r="F694" s="496" t="s">
        <v>86</v>
      </c>
      <c r="G694" s="463">
        <v>1</v>
      </c>
      <c r="H694" s="432">
        <v>70</v>
      </c>
      <c r="I694" s="463">
        <f t="shared" si="71"/>
        <v>70</v>
      </c>
      <c r="J694" s="497"/>
      <c r="K694" s="497"/>
      <c r="L694" s="537"/>
      <c r="M694" s="537"/>
      <c r="N694" s="537"/>
      <c r="O694" s="456"/>
    </row>
    <row r="695" s="457" customFormat="1" ht="20.25" spans="1:17">
      <c r="A695" s="494">
        <v>45472</v>
      </c>
      <c r="B695" s="457" t="s">
        <v>356</v>
      </c>
      <c r="C695" s="504">
        <v>45472</v>
      </c>
      <c r="D695" s="504"/>
      <c r="E695" s="505"/>
      <c r="F695" s="496" t="s">
        <v>87</v>
      </c>
      <c r="G695" s="463">
        <v>1</v>
      </c>
      <c r="H695" s="432">
        <v>380</v>
      </c>
      <c r="I695" s="463">
        <f t="shared" si="71"/>
        <v>380</v>
      </c>
      <c r="J695" s="497"/>
      <c r="K695" s="497"/>
      <c r="L695" s="537"/>
      <c r="M695" s="537" t="s">
        <v>126</v>
      </c>
      <c r="N695" s="537"/>
      <c r="O695" s="456"/>
    </row>
    <row r="696" s="457" customFormat="1" ht="20.25" spans="1:17">
      <c r="A696" s="494">
        <v>45472</v>
      </c>
      <c r="B696" s="457" t="s">
        <v>356</v>
      </c>
      <c r="C696" s="504">
        <v>45472</v>
      </c>
      <c r="D696" s="504"/>
      <c r="E696" s="505"/>
      <c r="F696" s="499" t="s">
        <v>130</v>
      </c>
      <c r="G696" s="501">
        <v>1</v>
      </c>
      <c r="H696" s="500">
        <f>SUM(H691:H695)</f>
        <v>1000</v>
      </c>
      <c r="I696" s="501">
        <f t="shared" si="71"/>
        <v>1000</v>
      </c>
      <c r="J696" s="502">
        <v>1</v>
      </c>
      <c r="K696" s="502">
        <f>I696*J696</f>
        <v>1000</v>
      </c>
      <c r="L696" s="537">
        <f>SUM(K691:K696)</f>
        <v>3200</v>
      </c>
      <c r="M696" s="537"/>
      <c r="N696" s="537"/>
      <c r="O696" s="456"/>
    </row>
    <row r="697" s="456" customFormat="1" ht="20.25" spans="1:17">
      <c r="A697" s="488"/>
      <c r="C697" s="490"/>
      <c r="D697" s="491"/>
      <c r="E697" s="491"/>
      <c r="F697" s="499"/>
      <c r="G697" s="501"/>
      <c r="H697" s="500"/>
      <c r="I697" s="501"/>
      <c r="J697" s="502"/>
      <c r="K697" s="492"/>
    </row>
    <row r="698" s="454" customFormat="1" ht="21" customHeight="1" spans="1:17">
      <c r="A698" s="601" t="s">
        <v>357</v>
      </c>
      <c r="B698" s="481"/>
      <c r="C698" s="481"/>
      <c r="D698" s="481"/>
      <c r="E698" s="481"/>
      <c r="F698" s="481"/>
      <c r="G698" s="481"/>
      <c r="H698" s="481"/>
      <c r="I698" s="481"/>
      <c r="J698" s="632" t="s">
        <v>28</v>
      </c>
      <c r="K698" s="595">
        <f>SUM(K701:K830)</f>
        <v>70432.7</v>
      </c>
      <c r="L698" s="454" t="s">
        <v>29</v>
      </c>
      <c r="M698" s="601">
        <f>'24材料明细'!AQ175+K822+K823</f>
        <v>53511</v>
      </c>
      <c r="N698" s="593" t="s">
        <v>30</v>
      </c>
      <c r="O698" s="601">
        <f>K706+K711+K714+K718+K722+K739+K733+K746+K755+K759+K769+K783+K790+K801+K807+K813+K821+K829</f>
        <v>14133.2</v>
      </c>
      <c r="P698" s="481" t="s">
        <v>31</v>
      </c>
      <c r="Q698" s="601">
        <f>K770+K772+K771+K773</f>
        <v>2660</v>
      </c>
    </row>
    <row r="699" s="454" customFormat="1" ht="18" customHeight="1" spans="1:17">
      <c r="A699" s="601"/>
      <c r="B699" s="481"/>
      <c r="C699" s="481"/>
      <c r="D699" s="481"/>
      <c r="E699" s="481"/>
      <c r="F699" s="481"/>
      <c r="G699" s="481"/>
      <c r="H699" s="481"/>
      <c r="I699" s="481"/>
      <c r="J699" s="481" t="s">
        <v>32</v>
      </c>
      <c r="K699" s="481">
        <f>(H706+H711+H714+H718)/1000</f>
        <v>3.53</v>
      </c>
      <c r="L699" s="454" t="s">
        <v>33</v>
      </c>
      <c r="M699" s="601">
        <f>K774+K792+K824+K830</f>
        <v>128.5</v>
      </c>
      <c r="N699" s="634" t="s">
        <v>34</v>
      </c>
      <c r="O699" s="595">
        <f>M698+M699+O698+Q698</f>
        <v>70432.7</v>
      </c>
    </row>
    <row r="700" s="455" customFormat="1" ht="15" customHeight="1" spans="1:17">
      <c r="A700" s="604" t="s">
        <v>35</v>
      </c>
      <c r="B700" s="605" t="s">
        <v>36</v>
      </c>
      <c r="C700" s="486" t="s">
        <v>37</v>
      </c>
      <c r="D700" s="486"/>
      <c r="E700" s="486"/>
      <c r="F700" s="486" t="s">
        <v>38</v>
      </c>
      <c r="G700" s="486" t="s">
        <v>4</v>
      </c>
      <c r="H700" s="486" t="s">
        <v>5</v>
      </c>
      <c r="I700" s="486" t="s">
        <v>6</v>
      </c>
      <c r="J700" s="486" t="s">
        <v>7</v>
      </c>
      <c r="K700" s="486" t="s">
        <v>8</v>
      </c>
      <c r="L700" s="486" t="s">
        <v>39</v>
      </c>
      <c r="M700" s="486" t="s">
        <v>40</v>
      </c>
      <c r="N700" s="487"/>
      <c r="O700" s="487"/>
    </row>
    <row r="701" s="456" customFormat="1" ht="20.25" spans="1:17">
      <c r="A701" s="488">
        <v>45475</v>
      </c>
      <c r="B701" s="456" t="s">
        <v>358</v>
      </c>
      <c r="C701" s="490">
        <v>45474</v>
      </c>
      <c r="D701" s="491"/>
      <c r="E701" s="491"/>
      <c r="F701" s="493" t="s">
        <v>16</v>
      </c>
      <c r="G701" s="491">
        <v>1</v>
      </c>
      <c r="H701" s="431">
        <v>150</v>
      </c>
      <c r="I701" s="491">
        <f t="shared" ref="I701:I739" si="73">G701*H701</f>
        <v>150</v>
      </c>
      <c r="J701" s="492">
        <v>13.5</v>
      </c>
      <c r="K701" s="492"/>
    </row>
    <row r="702" s="456" customFormat="1" ht="20.25" spans="1:17">
      <c r="A702" s="488">
        <v>45475</v>
      </c>
      <c r="B702" s="456" t="s">
        <v>358</v>
      </c>
      <c r="C702" s="490">
        <v>45474</v>
      </c>
      <c r="D702" s="491"/>
      <c r="E702" s="491"/>
      <c r="F702" s="493" t="s">
        <v>86</v>
      </c>
      <c r="G702" s="491">
        <v>1</v>
      </c>
      <c r="H702" s="431">
        <v>200</v>
      </c>
      <c r="I702" s="491">
        <f t="shared" si="73"/>
        <v>200</v>
      </c>
      <c r="J702" s="492">
        <v>14.1</v>
      </c>
      <c r="K702" s="492"/>
    </row>
    <row r="703" s="456" customFormat="1" ht="20.25" spans="1:17">
      <c r="A703" s="488">
        <v>45475</v>
      </c>
      <c r="B703" s="456" t="s">
        <v>358</v>
      </c>
      <c r="C703" s="490">
        <v>45474</v>
      </c>
      <c r="D703" s="491"/>
      <c r="E703" s="491"/>
      <c r="F703" s="493" t="s">
        <v>87</v>
      </c>
      <c r="G703" s="491">
        <v>1</v>
      </c>
      <c r="H703" s="431">
        <v>450</v>
      </c>
      <c r="I703" s="491">
        <f t="shared" si="73"/>
        <v>450</v>
      </c>
      <c r="J703" s="492">
        <v>11.4</v>
      </c>
      <c r="K703" s="492"/>
      <c r="M703" s="606" t="s">
        <v>325</v>
      </c>
      <c r="N703" s="537" t="s">
        <v>326</v>
      </c>
    </row>
    <row r="704" s="456" customFormat="1" ht="20.25" spans="1:17">
      <c r="A704" s="488">
        <v>45475</v>
      </c>
      <c r="B704" s="456" t="s">
        <v>358</v>
      </c>
      <c r="C704" s="490">
        <v>45474</v>
      </c>
      <c r="D704" s="491"/>
      <c r="E704" s="491"/>
      <c r="F704" s="493" t="s">
        <v>177</v>
      </c>
      <c r="G704" s="491">
        <v>1</v>
      </c>
      <c r="H704" s="431">
        <v>50</v>
      </c>
      <c r="I704" s="491">
        <f t="shared" si="73"/>
        <v>50</v>
      </c>
      <c r="J704" s="492">
        <v>11</v>
      </c>
      <c r="K704" s="492">
        <f t="shared" ref="K704:K708" si="74">I704*J704</f>
        <v>550</v>
      </c>
      <c r="M704" s="456" t="s">
        <v>182</v>
      </c>
    </row>
    <row r="705" s="456" customFormat="1" ht="20.25" spans="1:18">
      <c r="A705" s="488">
        <v>45475</v>
      </c>
      <c r="B705" s="456" t="s">
        <v>358</v>
      </c>
      <c r="C705" s="490">
        <v>45474</v>
      </c>
      <c r="D705" s="491"/>
      <c r="E705" s="491"/>
      <c r="F705" s="493" t="s">
        <v>183</v>
      </c>
      <c r="G705" s="491">
        <v>1</v>
      </c>
      <c r="H705" s="431">
        <v>150</v>
      </c>
      <c r="I705" s="491">
        <f t="shared" si="73"/>
        <v>150</v>
      </c>
      <c r="J705" s="492">
        <v>23.5</v>
      </c>
      <c r="K705" s="492"/>
      <c r="M705" s="456" t="s">
        <v>184</v>
      </c>
      <c r="N705" s="456" t="s">
        <v>185</v>
      </c>
    </row>
    <row r="706" s="456" customFormat="1" ht="20.25" spans="1:18">
      <c r="A706" s="488">
        <v>45475</v>
      </c>
      <c r="B706" s="456" t="s">
        <v>358</v>
      </c>
      <c r="C706" s="490">
        <v>45474</v>
      </c>
      <c r="D706" s="491"/>
      <c r="E706" s="491"/>
      <c r="F706" s="499" t="s">
        <v>186</v>
      </c>
      <c r="G706" s="501">
        <v>1</v>
      </c>
      <c r="H706" s="500">
        <f>SUM(H701:H705)</f>
        <v>1000</v>
      </c>
      <c r="I706" s="501">
        <f t="shared" si="73"/>
        <v>1000</v>
      </c>
      <c r="J706" s="502">
        <v>1</v>
      </c>
      <c r="K706" s="502">
        <f t="shared" si="74"/>
        <v>1000</v>
      </c>
      <c r="L706" s="456">
        <f>SUM(K701:K706)</f>
        <v>1550</v>
      </c>
      <c r="R706" s="459" t="s">
        <v>359</v>
      </c>
    </row>
    <row r="707" s="457" customFormat="1" ht="20.25" spans="1:18">
      <c r="A707" s="494">
        <v>45475</v>
      </c>
      <c r="B707" s="457" t="s">
        <v>360</v>
      </c>
      <c r="C707" s="495">
        <v>45474</v>
      </c>
      <c r="D707" s="463"/>
      <c r="E707" s="463"/>
      <c r="F707" s="496" t="s">
        <v>42</v>
      </c>
      <c r="G707" s="463">
        <v>1</v>
      </c>
      <c r="H707" s="432">
        <v>150</v>
      </c>
      <c r="I707" s="463">
        <f t="shared" si="73"/>
        <v>150</v>
      </c>
      <c r="J707" s="497"/>
      <c r="K707" s="492"/>
      <c r="Q707" s="642" t="s">
        <v>361</v>
      </c>
      <c r="R707" s="459" t="s">
        <v>362</v>
      </c>
    </row>
    <row r="708" s="457" customFormat="1" ht="20.25" spans="1:18">
      <c r="A708" s="494">
        <v>45475</v>
      </c>
      <c r="B708" s="457" t="s">
        <v>360</v>
      </c>
      <c r="C708" s="495">
        <v>45474</v>
      </c>
      <c r="D708" s="463"/>
      <c r="E708" s="463"/>
      <c r="F708" s="496" t="s">
        <v>43</v>
      </c>
      <c r="G708" s="463">
        <v>1</v>
      </c>
      <c r="H708" s="432">
        <v>105</v>
      </c>
      <c r="I708" s="463">
        <f t="shared" si="73"/>
        <v>105</v>
      </c>
      <c r="J708" s="497">
        <v>11</v>
      </c>
      <c r="K708" s="492">
        <f t="shared" si="74"/>
        <v>1155</v>
      </c>
      <c r="Q708" s="643"/>
      <c r="R708" s="459" t="s">
        <v>363</v>
      </c>
    </row>
    <row r="709" s="457" customFormat="1" ht="20.25" spans="1:18">
      <c r="A709" s="494">
        <v>45475</v>
      </c>
      <c r="B709" s="457" t="s">
        <v>360</v>
      </c>
      <c r="C709" s="495">
        <v>45474</v>
      </c>
      <c r="D709" s="463"/>
      <c r="E709" s="463"/>
      <c r="F709" s="496" t="s">
        <v>86</v>
      </c>
      <c r="G709" s="463">
        <v>1</v>
      </c>
      <c r="H709" s="432">
        <v>85</v>
      </c>
      <c r="I709" s="463">
        <f t="shared" si="73"/>
        <v>85</v>
      </c>
      <c r="J709" s="497"/>
      <c r="K709" s="492"/>
      <c r="L709" s="536" t="s">
        <v>364</v>
      </c>
      <c r="M709" s="536"/>
      <c r="N709" s="536"/>
      <c r="Q709" s="643"/>
      <c r="R709" s="459" t="s">
        <v>365</v>
      </c>
    </row>
    <row r="710" s="457" customFormat="1" ht="20.25" spans="1:18">
      <c r="A710" s="494">
        <v>45475</v>
      </c>
      <c r="B710" s="457" t="s">
        <v>360</v>
      </c>
      <c r="C710" s="495">
        <v>45474</v>
      </c>
      <c r="D710" s="463"/>
      <c r="E710" s="463"/>
      <c r="F710" s="496" t="s">
        <v>87</v>
      </c>
      <c r="G710" s="463">
        <v>1</v>
      </c>
      <c r="H710" s="432">
        <v>160</v>
      </c>
      <c r="I710" s="463">
        <f t="shared" si="73"/>
        <v>160</v>
      </c>
      <c r="J710" s="497"/>
      <c r="K710" s="492"/>
      <c r="L710" s="536" t="s">
        <v>51</v>
      </c>
      <c r="M710" s="456"/>
      <c r="N710" s="536"/>
      <c r="Q710" s="643"/>
      <c r="R710" s="459" t="s">
        <v>366</v>
      </c>
    </row>
    <row r="711" s="457" customFormat="1" ht="20.25" spans="1:18">
      <c r="A711" s="494">
        <v>45475</v>
      </c>
      <c r="B711" s="457" t="s">
        <v>360</v>
      </c>
      <c r="C711" s="495">
        <v>45474</v>
      </c>
      <c r="D711" s="463"/>
      <c r="E711" s="463"/>
      <c r="F711" s="499" t="s">
        <v>47</v>
      </c>
      <c r="G711" s="501">
        <v>1</v>
      </c>
      <c r="H711" s="500">
        <f>SUM(H707:H710)</f>
        <v>500</v>
      </c>
      <c r="I711" s="501">
        <f t="shared" si="73"/>
        <v>500</v>
      </c>
      <c r="J711" s="502">
        <v>1</v>
      </c>
      <c r="K711" s="502">
        <f t="shared" ref="K711:K714" si="75">I711*J711</f>
        <v>500</v>
      </c>
      <c r="L711" s="537">
        <f>SUM(K707:K711)</f>
        <v>1655</v>
      </c>
      <c r="M711" s="537"/>
      <c r="N711" s="537"/>
      <c r="Q711" s="644" t="s">
        <v>367</v>
      </c>
      <c r="R711" s="459" t="s">
        <v>368</v>
      </c>
    </row>
    <row r="712" s="456" customFormat="1" ht="20.25" spans="1:18">
      <c r="A712" s="488">
        <v>45479</v>
      </c>
      <c r="B712" s="456" t="s">
        <v>157</v>
      </c>
      <c r="C712" s="490">
        <v>45477</v>
      </c>
      <c r="D712" s="491"/>
      <c r="E712" s="491"/>
      <c r="F712" s="493" t="s">
        <v>108</v>
      </c>
      <c r="G712" s="491">
        <v>1</v>
      </c>
      <c r="H712" s="431">
        <v>300</v>
      </c>
      <c r="I712" s="491">
        <f t="shared" si="73"/>
        <v>300</v>
      </c>
      <c r="J712" s="492"/>
      <c r="K712" s="492"/>
      <c r="L712" s="536"/>
      <c r="M712" s="536"/>
      <c r="N712" s="536"/>
    </row>
    <row r="713" s="456" customFormat="1" ht="20.25" spans="1:18">
      <c r="A713" s="488">
        <v>45479</v>
      </c>
      <c r="B713" s="456" t="s">
        <v>157</v>
      </c>
      <c r="C713" s="490">
        <v>45477</v>
      </c>
      <c r="D713" s="491"/>
      <c r="E713" s="491"/>
      <c r="F713" s="493">
        <v>808</v>
      </c>
      <c r="G713" s="491">
        <v>1</v>
      </c>
      <c r="H713" s="431">
        <v>450</v>
      </c>
      <c r="I713" s="491">
        <f t="shared" si="73"/>
        <v>450</v>
      </c>
      <c r="J713" s="492">
        <v>11</v>
      </c>
      <c r="K713" s="492">
        <f t="shared" si="75"/>
        <v>4950</v>
      </c>
      <c r="L713" s="536"/>
      <c r="M713" s="536"/>
      <c r="N713" s="536"/>
    </row>
    <row r="714" s="456" customFormat="1" ht="20.25" spans="1:18">
      <c r="A714" s="488">
        <v>45479</v>
      </c>
      <c r="B714" s="456" t="s">
        <v>157</v>
      </c>
      <c r="C714" s="490">
        <v>45477</v>
      </c>
      <c r="D714" s="491"/>
      <c r="E714" s="491"/>
      <c r="F714" s="493" t="s">
        <v>109</v>
      </c>
      <c r="G714" s="491">
        <v>1</v>
      </c>
      <c r="H714" s="500">
        <f>SUM(H712:H713)</f>
        <v>750</v>
      </c>
      <c r="I714" s="501">
        <f t="shared" si="73"/>
        <v>750</v>
      </c>
      <c r="J714" s="502">
        <v>1</v>
      </c>
      <c r="K714" s="502">
        <f t="shared" si="75"/>
        <v>750</v>
      </c>
      <c r="L714" s="536"/>
      <c r="M714" s="536"/>
      <c r="N714" s="536"/>
    </row>
    <row r="715" s="457" customFormat="1" ht="20.25" spans="1:18">
      <c r="A715" s="488">
        <v>45479</v>
      </c>
      <c r="B715" s="456" t="s">
        <v>157</v>
      </c>
      <c r="C715" s="495">
        <v>45477</v>
      </c>
      <c r="D715" s="463"/>
      <c r="E715" s="463"/>
      <c r="F715" s="496" t="s">
        <v>97</v>
      </c>
      <c r="G715" s="463">
        <v>1</v>
      </c>
      <c r="H715" s="432">
        <v>200</v>
      </c>
      <c r="I715" s="463">
        <f t="shared" si="73"/>
        <v>200</v>
      </c>
      <c r="J715" s="497"/>
      <c r="K715" s="497"/>
      <c r="L715" s="537"/>
      <c r="O715" s="456"/>
    </row>
    <row r="716" s="457" customFormat="1" ht="20.25" spans="1:18">
      <c r="A716" s="488">
        <v>45479</v>
      </c>
      <c r="B716" s="456" t="s">
        <v>157</v>
      </c>
      <c r="C716" s="495">
        <v>45477</v>
      </c>
      <c r="D716" s="463"/>
      <c r="E716" s="463"/>
      <c r="F716" s="496" t="s">
        <v>125</v>
      </c>
      <c r="G716" s="463">
        <v>1</v>
      </c>
      <c r="H716" s="432">
        <v>720</v>
      </c>
      <c r="I716" s="463">
        <f t="shared" si="73"/>
        <v>720</v>
      </c>
      <c r="J716" s="497">
        <v>6.7</v>
      </c>
      <c r="K716" s="497">
        <f t="shared" ref="K716:K718" si="76">I716*J716</f>
        <v>4824</v>
      </c>
      <c r="L716" s="537"/>
      <c r="O716" s="456"/>
    </row>
    <row r="717" s="457" customFormat="1" ht="20.25" spans="1:18">
      <c r="A717" s="488">
        <v>45479</v>
      </c>
      <c r="B717" s="456" t="s">
        <v>157</v>
      </c>
      <c r="C717" s="495">
        <v>45477</v>
      </c>
      <c r="D717" s="463"/>
      <c r="E717" s="463"/>
      <c r="F717" s="496" t="s">
        <v>152</v>
      </c>
      <c r="G717" s="463">
        <v>1</v>
      </c>
      <c r="H717" s="432">
        <v>360</v>
      </c>
      <c r="I717" s="463">
        <f t="shared" si="73"/>
        <v>360</v>
      </c>
      <c r="J717" s="497">
        <v>8.6</v>
      </c>
      <c r="K717" s="497">
        <f t="shared" si="76"/>
        <v>3096</v>
      </c>
      <c r="L717" s="537"/>
      <c r="O717" s="456"/>
    </row>
    <row r="718" s="457" customFormat="1" ht="20.25" spans="1:18">
      <c r="A718" s="488">
        <v>45479</v>
      </c>
      <c r="B718" s="456" t="s">
        <v>157</v>
      </c>
      <c r="C718" s="495">
        <v>45477</v>
      </c>
      <c r="D718" s="463"/>
      <c r="E718" s="463"/>
      <c r="F718" s="499" t="s">
        <v>68</v>
      </c>
      <c r="G718" s="501">
        <v>1</v>
      </c>
      <c r="H718" s="500">
        <f>SUM(H715:H717)</f>
        <v>1280</v>
      </c>
      <c r="I718" s="501">
        <f t="shared" si="73"/>
        <v>1280</v>
      </c>
      <c r="J718" s="502">
        <v>0.8</v>
      </c>
      <c r="K718" s="502">
        <f t="shared" si="76"/>
        <v>1024</v>
      </c>
      <c r="L718" s="537">
        <f>SUM(K712:K718)</f>
        <v>14644</v>
      </c>
      <c r="O718" s="456"/>
    </row>
    <row r="719" s="456" customFormat="1" ht="20.25" spans="1:18">
      <c r="A719" s="488">
        <v>45484</v>
      </c>
      <c r="B719" s="456" t="s">
        <v>369</v>
      </c>
      <c r="C719" s="490">
        <v>45483</v>
      </c>
      <c r="D719" s="491"/>
      <c r="E719" s="491"/>
      <c r="F719" s="493" t="s">
        <v>65</v>
      </c>
      <c r="G719" s="491">
        <v>1</v>
      </c>
      <c r="H719" s="431">
        <v>375</v>
      </c>
      <c r="I719" s="491">
        <f t="shared" si="73"/>
        <v>375</v>
      </c>
      <c r="J719" s="492"/>
      <c r="K719" s="492"/>
      <c r="L719" s="536"/>
    </row>
    <row r="720" s="456" customFormat="1" ht="20.25" spans="1:18">
      <c r="A720" s="488">
        <v>45484</v>
      </c>
      <c r="B720" s="456" t="s">
        <v>369</v>
      </c>
      <c r="C720" s="490">
        <v>45483</v>
      </c>
      <c r="D720" s="491"/>
      <c r="E720" s="491"/>
      <c r="F720" s="493" t="s">
        <v>125</v>
      </c>
      <c r="G720" s="491">
        <v>1</v>
      </c>
      <c r="H720" s="431">
        <v>720</v>
      </c>
      <c r="I720" s="491">
        <f t="shared" si="73"/>
        <v>720</v>
      </c>
      <c r="J720" s="492">
        <v>6.7</v>
      </c>
      <c r="K720" s="492">
        <f t="shared" ref="K720:K722" si="77">I720*J720</f>
        <v>4824</v>
      </c>
      <c r="L720" s="536"/>
    </row>
    <row r="721" s="456" customFormat="1" ht="20.25" spans="1:12">
      <c r="A721" s="488">
        <v>45484</v>
      </c>
      <c r="B721" s="456" t="s">
        <v>369</v>
      </c>
      <c r="C721" s="490">
        <v>45483</v>
      </c>
      <c r="D721" s="491"/>
      <c r="E721" s="491"/>
      <c r="F721" s="493" t="s">
        <v>152</v>
      </c>
      <c r="G721" s="491">
        <v>1</v>
      </c>
      <c r="H721" s="431">
        <v>180</v>
      </c>
      <c r="I721" s="491">
        <f t="shared" si="73"/>
        <v>180</v>
      </c>
      <c r="J721" s="492">
        <v>8.6</v>
      </c>
      <c r="K721" s="492">
        <f t="shared" si="77"/>
        <v>1548</v>
      </c>
      <c r="L721" s="536"/>
    </row>
    <row r="722" s="456" customFormat="1" ht="20.25" spans="1:12">
      <c r="A722" s="488">
        <v>45484</v>
      </c>
      <c r="B722" s="456" t="s">
        <v>369</v>
      </c>
      <c r="C722" s="490">
        <v>45483</v>
      </c>
      <c r="D722" s="491"/>
      <c r="E722" s="491"/>
      <c r="F722" s="499" t="s">
        <v>66</v>
      </c>
      <c r="G722" s="501">
        <v>1</v>
      </c>
      <c r="H722" s="500">
        <f>SUM(H719:H721)</f>
        <v>1275</v>
      </c>
      <c r="I722" s="501">
        <f t="shared" si="73"/>
        <v>1275</v>
      </c>
      <c r="J722" s="502">
        <v>0.8</v>
      </c>
      <c r="K722" s="502">
        <f t="shared" si="77"/>
        <v>1020</v>
      </c>
      <c r="L722" s="536">
        <f>SUM(K719:K722)</f>
        <v>7392</v>
      </c>
    </row>
    <row r="723" s="457" customFormat="1" ht="20.25" spans="1:12">
      <c r="A723" s="494">
        <v>45484</v>
      </c>
      <c r="B723" s="457" t="s">
        <v>370</v>
      </c>
      <c r="C723" s="504">
        <v>45483</v>
      </c>
      <c r="D723" s="504"/>
      <c r="E723" s="505"/>
      <c r="F723" s="496" t="s">
        <v>42</v>
      </c>
      <c r="G723" s="463">
        <v>1</v>
      </c>
      <c r="H723" s="432">
        <v>30</v>
      </c>
      <c r="I723" s="463">
        <f t="shared" si="73"/>
        <v>30</v>
      </c>
      <c r="J723" s="497"/>
      <c r="K723" s="497"/>
    </row>
    <row r="724" s="457" customFormat="1" ht="20.25" spans="1:12">
      <c r="A724" s="494">
        <v>45484</v>
      </c>
      <c r="B724" s="457" t="s">
        <v>370</v>
      </c>
      <c r="C724" s="504">
        <v>45483</v>
      </c>
      <c r="D724" s="504"/>
      <c r="E724" s="505"/>
      <c r="F724" s="496" t="s">
        <v>183</v>
      </c>
      <c r="G724" s="463">
        <v>1</v>
      </c>
      <c r="H724" s="432">
        <v>24</v>
      </c>
      <c r="I724" s="463">
        <f t="shared" si="73"/>
        <v>24</v>
      </c>
      <c r="J724" s="497"/>
      <c r="K724" s="497"/>
    </row>
    <row r="725" s="457" customFormat="1" ht="20.25" spans="1:12">
      <c r="A725" s="494">
        <v>45484</v>
      </c>
      <c r="B725" s="457" t="s">
        <v>370</v>
      </c>
      <c r="C725" s="504">
        <v>45483</v>
      </c>
      <c r="D725" s="504"/>
      <c r="E725" s="505"/>
      <c r="F725" s="496" t="s">
        <v>87</v>
      </c>
      <c r="G725" s="463">
        <v>1</v>
      </c>
      <c r="H725" s="432">
        <v>52</v>
      </c>
      <c r="I725" s="463">
        <f t="shared" si="73"/>
        <v>52</v>
      </c>
      <c r="J725" s="497"/>
      <c r="K725" s="497"/>
    </row>
    <row r="726" s="457" customFormat="1" ht="20.25" spans="1:12">
      <c r="A726" s="494">
        <v>45484</v>
      </c>
      <c r="B726" s="457" t="s">
        <v>370</v>
      </c>
      <c r="C726" s="504">
        <v>45483</v>
      </c>
      <c r="D726" s="504"/>
      <c r="E726" s="505"/>
      <c r="F726" s="496" t="s">
        <v>86</v>
      </c>
      <c r="G726" s="463">
        <v>1</v>
      </c>
      <c r="H726" s="432">
        <v>28</v>
      </c>
      <c r="I726" s="463">
        <f t="shared" si="73"/>
        <v>28</v>
      </c>
      <c r="J726" s="497"/>
      <c r="K726" s="497"/>
    </row>
    <row r="727" s="457" customFormat="1" ht="20.25" spans="1:12">
      <c r="A727" s="494">
        <v>45484</v>
      </c>
      <c r="B727" s="457" t="s">
        <v>370</v>
      </c>
      <c r="C727" s="504">
        <v>45483</v>
      </c>
      <c r="D727" s="504"/>
      <c r="E727" s="505"/>
      <c r="F727" s="496" t="s">
        <v>133</v>
      </c>
      <c r="G727" s="463">
        <v>1</v>
      </c>
      <c r="H727" s="432">
        <v>20</v>
      </c>
      <c r="I727" s="463">
        <f t="shared" si="73"/>
        <v>20</v>
      </c>
      <c r="J727" s="497"/>
      <c r="K727" s="497"/>
    </row>
    <row r="728" s="457" customFormat="1" ht="20.25" spans="1:12">
      <c r="A728" s="494">
        <v>45484</v>
      </c>
      <c r="B728" s="457" t="s">
        <v>370</v>
      </c>
      <c r="C728" s="504">
        <v>45483</v>
      </c>
      <c r="D728" s="504"/>
      <c r="E728" s="505"/>
      <c r="F728" s="496" t="s">
        <v>208</v>
      </c>
      <c r="G728" s="463">
        <v>1</v>
      </c>
      <c r="H728" s="432">
        <v>6</v>
      </c>
      <c r="I728" s="463">
        <f t="shared" si="73"/>
        <v>6</v>
      </c>
      <c r="J728" s="497">
        <v>17</v>
      </c>
      <c r="K728" s="497">
        <f t="shared" ref="K728:K733" si="78">I728*J728</f>
        <v>102</v>
      </c>
    </row>
    <row r="729" s="457" customFormat="1" ht="20.25" spans="1:12">
      <c r="A729" s="494">
        <v>45484</v>
      </c>
      <c r="B729" s="457" t="s">
        <v>370</v>
      </c>
      <c r="C729" s="504">
        <v>45483</v>
      </c>
      <c r="D729" s="504"/>
      <c r="E729" s="505"/>
      <c r="F729" s="496" t="s">
        <v>132</v>
      </c>
      <c r="G729" s="463">
        <v>1</v>
      </c>
      <c r="H729" s="432">
        <v>40</v>
      </c>
      <c r="I729" s="463">
        <f t="shared" si="73"/>
        <v>40</v>
      </c>
      <c r="J729" s="497">
        <v>3.6</v>
      </c>
      <c r="K729" s="497">
        <f t="shared" si="78"/>
        <v>144</v>
      </c>
    </row>
    <row r="730" s="457" customFormat="1" ht="20.25" spans="1:12">
      <c r="A730" s="494">
        <v>45484</v>
      </c>
      <c r="B730" s="457" t="s">
        <v>370</v>
      </c>
      <c r="C730" s="504">
        <v>45483</v>
      </c>
      <c r="D730" s="504"/>
      <c r="E730" s="505"/>
      <c r="F730" s="496" t="s">
        <v>125</v>
      </c>
      <c r="G730" s="463">
        <v>1</v>
      </c>
      <c r="H730" s="432">
        <v>80</v>
      </c>
      <c r="I730" s="463">
        <f t="shared" si="73"/>
        <v>80</v>
      </c>
      <c r="J730" s="497">
        <v>6.7</v>
      </c>
      <c r="K730" s="497">
        <f t="shared" si="78"/>
        <v>536</v>
      </c>
      <c r="L730" s="537" t="s">
        <v>126</v>
      </c>
    </row>
    <row r="731" s="457" customFormat="1" ht="20.25" spans="1:12">
      <c r="A731" s="494">
        <v>45484</v>
      </c>
      <c r="B731" s="457" t="s">
        <v>370</v>
      </c>
      <c r="C731" s="504">
        <v>45483</v>
      </c>
      <c r="D731" s="504"/>
      <c r="E731" s="505"/>
      <c r="F731" s="496" t="s">
        <v>152</v>
      </c>
      <c r="G731" s="463">
        <v>1</v>
      </c>
      <c r="H731" s="432">
        <v>60</v>
      </c>
      <c r="I731" s="463">
        <f t="shared" si="73"/>
        <v>60</v>
      </c>
      <c r="J731" s="497">
        <v>8.6</v>
      </c>
      <c r="K731" s="497">
        <f t="shared" si="78"/>
        <v>516</v>
      </c>
    </row>
    <row r="732" s="457" customFormat="1" ht="20.25" spans="1:12">
      <c r="A732" s="494">
        <v>45484</v>
      </c>
      <c r="B732" s="457" t="s">
        <v>370</v>
      </c>
      <c r="C732" s="504">
        <v>45483</v>
      </c>
      <c r="D732" s="504"/>
      <c r="E732" s="505"/>
      <c r="F732" s="496">
        <v>808</v>
      </c>
      <c r="G732" s="463">
        <v>1</v>
      </c>
      <c r="H732" s="432">
        <v>20</v>
      </c>
      <c r="I732" s="463">
        <f t="shared" si="73"/>
        <v>20</v>
      </c>
      <c r="J732" s="497">
        <v>11.2</v>
      </c>
      <c r="K732" s="497">
        <f t="shared" si="78"/>
        <v>224</v>
      </c>
    </row>
    <row r="733" s="457" customFormat="1" ht="20.25" spans="1:12">
      <c r="A733" s="494">
        <v>45484</v>
      </c>
      <c r="B733" s="457" t="s">
        <v>370</v>
      </c>
      <c r="C733" s="504">
        <v>45483</v>
      </c>
      <c r="D733" s="504"/>
      <c r="E733" s="505"/>
      <c r="F733" s="499" t="s">
        <v>371</v>
      </c>
      <c r="G733" s="501">
        <v>1</v>
      </c>
      <c r="H733" s="500">
        <f>SUM(H723:H732)</f>
        <v>360</v>
      </c>
      <c r="I733" s="501">
        <f t="shared" si="73"/>
        <v>360</v>
      </c>
      <c r="J733" s="502">
        <v>1</v>
      </c>
      <c r="K733" s="502">
        <f t="shared" si="78"/>
        <v>360</v>
      </c>
      <c r="L733" s="457">
        <f>SUM(K723:K733)</f>
        <v>1882</v>
      </c>
    </row>
    <row r="734" s="456" customFormat="1" ht="20.25" spans="1:12">
      <c r="A734" s="488">
        <v>45484</v>
      </c>
      <c r="B734" s="456" t="s">
        <v>372</v>
      </c>
      <c r="C734" s="528">
        <v>45483</v>
      </c>
      <c r="D734" s="528"/>
      <c r="E734" s="529"/>
      <c r="F734" s="493" t="s">
        <v>251</v>
      </c>
      <c r="G734" s="491">
        <v>1</v>
      </c>
      <c r="H734" s="431">
        <v>200</v>
      </c>
      <c r="I734" s="491">
        <f t="shared" si="73"/>
        <v>200</v>
      </c>
      <c r="J734" s="492"/>
      <c r="K734" s="492"/>
    </row>
    <row r="735" s="456" customFormat="1" ht="20.25" spans="1:12">
      <c r="A735" s="488">
        <v>45484</v>
      </c>
      <c r="B735" s="456" t="s">
        <v>372</v>
      </c>
      <c r="C735" s="528">
        <v>45483</v>
      </c>
      <c r="D735" s="528"/>
      <c r="E735" s="529"/>
      <c r="F735" s="493" t="s">
        <v>129</v>
      </c>
      <c r="G735" s="491">
        <v>1</v>
      </c>
      <c r="H735" s="431">
        <v>150</v>
      </c>
      <c r="I735" s="491">
        <f t="shared" ref="I735:I746" si="79">G735*H735</f>
        <v>150</v>
      </c>
      <c r="J735" s="492"/>
      <c r="K735" s="492"/>
    </row>
    <row r="736" s="456" customFormat="1" ht="20.25" spans="1:12">
      <c r="A736" s="488">
        <v>45484</v>
      </c>
      <c r="B736" s="456" t="s">
        <v>372</v>
      </c>
      <c r="C736" s="528">
        <v>45483</v>
      </c>
      <c r="D736" s="528"/>
      <c r="E736" s="529"/>
      <c r="F736" s="493">
        <v>808</v>
      </c>
      <c r="G736" s="491">
        <v>1</v>
      </c>
      <c r="H736" s="431">
        <v>200</v>
      </c>
      <c r="I736" s="491">
        <f t="shared" si="79"/>
        <v>200</v>
      </c>
      <c r="J736" s="492">
        <v>11.2</v>
      </c>
      <c r="K736" s="492">
        <f>I736*J736</f>
        <v>2240</v>
      </c>
    </row>
    <row r="737" s="456" customFormat="1" ht="20.25" spans="1:14">
      <c r="A737" s="488">
        <v>45484</v>
      </c>
      <c r="B737" s="456" t="s">
        <v>372</v>
      </c>
      <c r="C737" s="528">
        <v>45483</v>
      </c>
      <c r="D737" s="528"/>
      <c r="E737" s="529"/>
      <c r="F737" s="493" t="s">
        <v>86</v>
      </c>
      <c r="G737" s="491">
        <v>1</v>
      </c>
      <c r="H737" s="431">
        <v>70</v>
      </c>
      <c r="I737" s="491">
        <f t="shared" si="79"/>
        <v>70</v>
      </c>
      <c r="J737" s="492"/>
      <c r="K737" s="492"/>
      <c r="L737" s="536"/>
      <c r="M737" s="536"/>
      <c r="N737" s="536"/>
    </row>
    <row r="738" s="456" customFormat="1" ht="20.25" spans="1:14">
      <c r="A738" s="488">
        <v>45484</v>
      </c>
      <c r="B738" s="456" t="s">
        <v>372</v>
      </c>
      <c r="C738" s="528">
        <v>45483</v>
      </c>
      <c r="D738" s="528"/>
      <c r="E738" s="529"/>
      <c r="F738" s="493" t="s">
        <v>87</v>
      </c>
      <c r="G738" s="491">
        <v>1</v>
      </c>
      <c r="H738" s="431">
        <v>380</v>
      </c>
      <c r="I738" s="491">
        <f t="shared" si="79"/>
        <v>380</v>
      </c>
      <c r="J738" s="492"/>
      <c r="K738" s="492"/>
      <c r="L738" s="536"/>
      <c r="M738" s="536" t="s">
        <v>126</v>
      </c>
      <c r="N738" s="536"/>
    </row>
    <row r="739" s="456" customFormat="1" ht="20.25" spans="1:14">
      <c r="A739" s="488">
        <v>45484</v>
      </c>
      <c r="B739" s="456" t="s">
        <v>372</v>
      </c>
      <c r="C739" s="528">
        <v>45483</v>
      </c>
      <c r="D739" s="528"/>
      <c r="E739" s="529"/>
      <c r="F739" s="499" t="s">
        <v>130</v>
      </c>
      <c r="G739" s="501">
        <v>1</v>
      </c>
      <c r="H739" s="500">
        <f>SUM(H734:H738)</f>
        <v>1000</v>
      </c>
      <c r="I739" s="501">
        <f t="shared" si="79"/>
        <v>1000</v>
      </c>
      <c r="J739" s="502">
        <v>1</v>
      </c>
      <c r="K739" s="502">
        <f>I739*J739</f>
        <v>1000</v>
      </c>
      <c r="L739" s="536">
        <f>SUM(K734:K739)</f>
        <v>3240</v>
      </c>
      <c r="M739" s="536"/>
      <c r="N739" s="536"/>
    </row>
    <row r="740" s="457" customFormat="1" ht="20.25" spans="1:14">
      <c r="A740" s="494">
        <v>45484</v>
      </c>
      <c r="B740" s="457" t="s">
        <v>161</v>
      </c>
      <c r="C740" s="495">
        <v>45483</v>
      </c>
      <c r="D740" s="463"/>
      <c r="E740" s="463"/>
      <c r="F740" s="496" t="s">
        <v>251</v>
      </c>
      <c r="G740" s="463">
        <v>1</v>
      </c>
      <c r="H740" s="432">
        <v>200</v>
      </c>
      <c r="I740" s="463">
        <f t="shared" si="79"/>
        <v>200</v>
      </c>
      <c r="J740" s="497">
        <v>13.5</v>
      </c>
      <c r="K740" s="497"/>
    </row>
    <row r="741" s="457" customFormat="1" ht="20.25" spans="1:14">
      <c r="A741" s="494">
        <v>45484</v>
      </c>
      <c r="B741" s="457" t="s">
        <v>161</v>
      </c>
      <c r="C741" s="495">
        <v>45483</v>
      </c>
      <c r="D741" s="463"/>
      <c r="E741" s="463"/>
      <c r="F741" s="496" t="s">
        <v>13</v>
      </c>
      <c r="G741" s="463">
        <v>1</v>
      </c>
      <c r="H741" s="432">
        <v>200</v>
      </c>
      <c r="I741" s="463">
        <f t="shared" si="79"/>
        <v>200</v>
      </c>
      <c r="J741" s="497">
        <v>17.9</v>
      </c>
      <c r="K741" s="497"/>
    </row>
    <row r="742" s="457" customFormat="1" ht="20.25" spans="1:14">
      <c r="A742" s="494">
        <v>45484</v>
      </c>
      <c r="B742" s="457" t="s">
        <v>161</v>
      </c>
      <c r="C742" s="495">
        <v>45483</v>
      </c>
      <c r="D742" s="463"/>
      <c r="E742" s="463"/>
      <c r="F742" s="496" t="s">
        <v>86</v>
      </c>
      <c r="G742" s="463">
        <v>1</v>
      </c>
      <c r="H742" s="432">
        <v>70</v>
      </c>
      <c r="I742" s="463">
        <f t="shared" si="79"/>
        <v>70</v>
      </c>
      <c r="J742" s="497">
        <v>14.1</v>
      </c>
      <c r="K742" s="497"/>
    </row>
    <row r="743" s="457" customFormat="1" ht="20.25" spans="1:14">
      <c r="A743" s="494">
        <v>45484</v>
      </c>
      <c r="B743" s="457" t="s">
        <v>161</v>
      </c>
      <c r="C743" s="495">
        <v>45483</v>
      </c>
      <c r="D743" s="463"/>
      <c r="E743" s="463"/>
      <c r="F743" s="496" t="s">
        <v>87</v>
      </c>
      <c r="G743" s="463">
        <v>1</v>
      </c>
      <c r="H743" s="432">
        <v>380</v>
      </c>
      <c r="I743" s="463">
        <f t="shared" si="79"/>
        <v>380</v>
      </c>
      <c r="J743" s="497">
        <v>11.4</v>
      </c>
      <c r="K743" s="497"/>
    </row>
    <row r="744" s="457" customFormat="1" ht="20.25" spans="1:14">
      <c r="A744" s="494">
        <v>45484</v>
      </c>
      <c r="B744" s="457" t="s">
        <v>161</v>
      </c>
      <c r="C744" s="495">
        <v>45483</v>
      </c>
      <c r="D744" s="463"/>
      <c r="E744" s="463"/>
      <c r="F744" s="496" t="s">
        <v>115</v>
      </c>
      <c r="G744" s="463">
        <v>1</v>
      </c>
      <c r="H744" s="432">
        <v>125</v>
      </c>
      <c r="I744" s="463">
        <f t="shared" si="79"/>
        <v>125</v>
      </c>
      <c r="J744" s="497">
        <v>14.72</v>
      </c>
      <c r="K744" s="497"/>
      <c r="L744" s="457" t="s">
        <v>313</v>
      </c>
    </row>
    <row r="745" s="457" customFormat="1" ht="20.25" spans="1:14">
      <c r="A745" s="494">
        <v>45484</v>
      </c>
      <c r="B745" s="457" t="s">
        <v>161</v>
      </c>
      <c r="C745" s="495">
        <v>45483</v>
      </c>
      <c r="D745" s="463"/>
      <c r="E745" s="463"/>
      <c r="F745" s="496">
        <v>808</v>
      </c>
      <c r="G745" s="463">
        <v>1</v>
      </c>
      <c r="H745" s="432">
        <v>25</v>
      </c>
      <c r="I745" s="463">
        <f t="shared" si="79"/>
        <v>25</v>
      </c>
      <c r="J745" s="497">
        <v>11.2</v>
      </c>
      <c r="K745" s="497">
        <f t="shared" ref="K745:K751" si="80">I745*J745</f>
        <v>280</v>
      </c>
      <c r="L745" s="537" t="s">
        <v>116</v>
      </c>
      <c r="M745" s="537" t="s">
        <v>314</v>
      </c>
    </row>
    <row r="746" s="457" customFormat="1" ht="20.25" spans="1:14">
      <c r="A746" s="494">
        <v>45484</v>
      </c>
      <c r="B746" s="457" t="s">
        <v>161</v>
      </c>
      <c r="C746" s="495">
        <v>45483</v>
      </c>
      <c r="D746" s="463"/>
      <c r="E746" s="463"/>
      <c r="F746" s="499" t="s">
        <v>17</v>
      </c>
      <c r="G746" s="501">
        <v>1</v>
      </c>
      <c r="H746" s="500">
        <f>SUM(H740:H745)</f>
        <v>1000</v>
      </c>
      <c r="I746" s="501">
        <f t="shared" si="79"/>
        <v>1000</v>
      </c>
      <c r="J746" s="502">
        <v>1</v>
      </c>
      <c r="K746" s="497">
        <f t="shared" si="80"/>
        <v>1000</v>
      </c>
      <c r="L746" s="457">
        <f>SUM(K740:K746)</f>
        <v>1280</v>
      </c>
    </row>
    <row r="747" s="456" customFormat="1" ht="20.25" spans="1:14">
      <c r="A747" s="488">
        <v>45484</v>
      </c>
      <c r="B747" s="456" t="s">
        <v>302</v>
      </c>
      <c r="C747" s="528">
        <v>45484</v>
      </c>
      <c r="D747" s="528"/>
      <c r="E747" s="529"/>
      <c r="F747" s="493" t="s">
        <v>303</v>
      </c>
      <c r="G747" s="491">
        <v>1</v>
      </c>
      <c r="H747" s="431">
        <v>150</v>
      </c>
      <c r="I747" s="491">
        <f t="shared" ref="I747:I771" si="81">G747*H747</f>
        <v>150</v>
      </c>
      <c r="J747" s="492">
        <v>13.5</v>
      </c>
      <c r="K747" s="492"/>
    </row>
    <row r="748" s="456" customFormat="1" ht="20.25" spans="1:14">
      <c r="A748" s="488">
        <v>45484</v>
      </c>
      <c r="B748" s="456" t="s">
        <v>302</v>
      </c>
      <c r="C748" s="528">
        <v>45484</v>
      </c>
      <c r="D748" s="528"/>
      <c r="E748" s="529"/>
      <c r="F748" s="493" t="s">
        <v>129</v>
      </c>
      <c r="G748" s="491">
        <v>1</v>
      </c>
      <c r="H748" s="431">
        <v>120</v>
      </c>
      <c r="I748" s="491">
        <f t="shared" si="81"/>
        <v>120</v>
      </c>
      <c r="J748" s="492">
        <v>23.5</v>
      </c>
      <c r="K748" s="492"/>
    </row>
    <row r="749" s="456" customFormat="1" ht="20.25" spans="1:14">
      <c r="A749" s="488">
        <v>45484</v>
      </c>
      <c r="B749" s="456" t="s">
        <v>302</v>
      </c>
      <c r="C749" s="528">
        <v>45484</v>
      </c>
      <c r="D749" s="528"/>
      <c r="E749" s="529"/>
      <c r="F749" s="493" t="s">
        <v>208</v>
      </c>
      <c r="G749" s="491">
        <v>1</v>
      </c>
      <c r="H749" s="431">
        <v>30</v>
      </c>
      <c r="I749" s="491">
        <f t="shared" si="81"/>
        <v>30</v>
      </c>
      <c r="J749" s="492">
        <v>17</v>
      </c>
      <c r="K749" s="497">
        <f>I749*J749</f>
        <v>510</v>
      </c>
    </row>
    <row r="750" s="456" customFormat="1" ht="20.25" spans="1:14">
      <c r="A750" s="488">
        <v>45484</v>
      </c>
      <c r="B750" s="456" t="s">
        <v>302</v>
      </c>
      <c r="C750" s="528">
        <v>45484</v>
      </c>
      <c r="D750" s="528"/>
      <c r="E750" s="529"/>
      <c r="F750" s="493">
        <v>808</v>
      </c>
      <c r="G750" s="491">
        <v>1</v>
      </c>
      <c r="H750" s="431">
        <v>100</v>
      </c>
      <c r="I750" s="491">
        <f t="shared" si="81"/>
        <v>100</v>
      </c>
      <c r="J750" s="492">
        <v>11.2</v>
      </c>
      <c r="K750" s="497">
        <f t="shared" si="80"/>
        <v>1120</v>
      </c>
    </row>
    <row r="751" s="456" customFormat="1" ht="20.25" spans="1:14">
      <c r="A751" s="488">
        <v>45484</v>
      </c>
      <c r="B751" s="456" t="s">
        <v>302</v>
      </c>
      <c r="C751" s="528">
        <v>45484</v>
      </c>
      <c r="D751" s="528"/>
      <c r="E751" s="529"/>
      <c r="F751" s="493" t="s">
        <v>132</v>
      </c>
      <c r="G751" s="491">
        <v>1</v>
      </c>
      <c r="H751" s="431">
        <v>200</v>
      </c>
      <c r="I751" s="491">
        <f t="shared" si="81"/>
        <v>200</v>
      </c>
      <c r="J751" s="492">
        <v>3.6</v>
      </c>
      <c r="K751" s="497">
        <f t="shared" si="80"/>
        <v>720</v>
      </c>
    </row>
    <row r="752" s="456" customFormat="1" ht="20.25" spans="1:14">
      <c r="A752" s="488">
        <v>45484</v>
      </c>
      <c r="B752" s="456" t="s">
        <v>302</v>
      </c>
      <c r="C752" s="528">
        <v>45484</v>
      </c>
      <c r="D752" s="528"/>
      <c r="E752" s="529"/>
      <c r="F752" s="493" t="s">
        <v>86</v>
      </c>
      <c r="G752" s="491">
        <v>1</v>
      </c>
      <c r="H752" s="431">
        <v>140</v>
      </c>
      <c r="I752" s="491">
        <f t="shared" si="81"/>
        <v>140</v>
      </c>
      <c r="J752" s="492">
        <v>14.1</v>
      </c>
      <c r="K752" s="492"/>
      <c r="L752" s="536"/>
      <c r="M752" s="536"/>
      <c r="N752" s="536"/>
    </row>
    <row r="753" s="456" customFormat="1" ht="20.25" spans="1:14">
      <c r="A753" s="488">
        <v>45484</v>
      </c>
      <c r="B753" s="456" t="s">
        <v>302</v>
      </c>
      <c r="C753" s="528">
        <v>45484</v>
      </c>
      <c r="D753" s="528"/>
      <c r="E753" s="529"/>
      <c r="F753" s="493" t="s">
        <v>87</v>
      </c>
      <c r="G753" s="491">
        <v>1</v>
      </c>
      <c r="H753" s="431">
        <v>260</v>
      </c>
      <c r="I753" s="491">
        <f t="shared" si="81"/>
        <v>260</v>
      </c>
      <c r="J753" s="492">
        <v>11.4</v>
      </c>
      <c r="K753" s="492"/>
      <c r="L753" s="536"/>
      <c r="M753" s="536" t="s">
        <v>126</v>
      </c>
      <c r="N753" s="536"/>
    </row>
    <row r="754" s="456" customFormat="1" ht="20.25" spans="1:14">
      <c r="A754" s="488">
        <v>45484</v>
      </c>
      <c r="B754" s="456" t="s">
        <v>302</v>
      </c>
      <c r="C754" s="528">
        <v>45484</v>
      </c>
      <c r="D754" s="528"/>
      <c r="E754" s="529"/>
      <c r="F754" s="498" t="s">
        <v>373</v>
      </c>
      <c r="G754" s="491">
        <v>1</v>
      </c>
      <c r="H754" s="431">
        <v>3</v>
      </c>
      <c r="I754" s="491">
        <f t="shared" si="81"/>
        <v>3</v>
      </c>
      <c r="J754" s="492"/>
      <c r="K754" s="492"/>
      <c r="L754" s="536"/>
      <c r="M754" s="536"/>
      <c r="N754" s="536"/>
    </row>
    <row r="755" s="456" customFormat="1" ht="20.25" spans="1:14">
      <c r="A755" s="488">
        <v>45484</v>
      </c>
      <c r="B755" s="456" t="s">
        <v>302</v>
      </c>
      <c r="C755" s="528">
        <v>45484</v>
      </c>
      <c r="D755" s="528"/>
      <c r="E755" s="529"/>
      <c r="F755" s="499" t="s">
        <v>304</v>
      </c>
      <c r="G755" s="501">
        <v>1</v>
      </c>
      <c r="H755" s="500">
        <f>SUM(H747:H754)</f>
        <v>1003</v>
      </c>
      <c r="I755" s="501">
        <f t="shared" si="81"/>
        <v>1003</v>
      </c>
      <c r="J755" s="502">
        <v>1</v>
      </c>
      <c r="K755" s="497">
        <f>I755*J755</f>
        <v>1003</v>
      </c>
      <c r="L755" s="536">
        <f>SUM(K747:K755)</f>
        <v>3353</v>
      </c>
      <c r="M755" s="536"/>
      <c r="N755" s="536"/>
    </row>
    <row r="756" s="457" customFormat="1" ht="20.25" spans="1:14">
      <c r="A756" s="494">
        <v>45485</v>
      </c>
      <c r="B756" s="457" t="s">
        <v>269</v>
      </c>
      <c r="C756" s="495">
        <v>45485</v>
      </c>
      <c r="D756" s="463"/>
      <c r="E756" s="463"/>
      <c r="F756" s="496" t="s">
        <v>97</v>
      </c>
      <c r="G756" s="463">
        <v>2</v>
      </c>
      <c r="H756" s="432">
        <v>200</v>
      </c>
      <c r="I756" s="463">
        <f t="shared" si="81"/>
        <v>400</v>
      </c>
      <c r="J756" s="497"/>
      <c r="K756" s="497"/>
      <c r="L756" s="537"/>
    </row>
    <row r="757" s="457" customFormat="1" ht="20.25" spans="1:14">
      <c r="A757" s="494">
        <v>45485</v>
      </c>
      <c r="B757" s="457" t="s">
        <v>269</v>
      </c>
      <c r="C757" s="495">
        <v>45485</v>
      </c>
      <c r="D757" s="463"/>
      <c r="E757" s="463"/>
      <c r="F757" s="496" t="s">
        <v>125</v>
      </c>
      <c r="G757" s="463">
        <v>2</v>
      </c>
      <c r="H757" s="432">
        <v>720</v>
      </c>
      <c r="I757" s="463">
        <f t="shared" si="81"/>
        <v>1440</v>
      </c>
      <c r="J757" s="497">
        <v>6.4</v>
      </c>
      <c r="K757" s="497">
        <f>I757*J757</f>
        <v>9216</v>
      </c>
      <c r="L757" s="537"/>
    </row>
    <row r="758" s="457" customFormat="1" ht="20.25" spans="1:14">
      <c r="A758" s="494">
        <v>45485</v>
      </c>
      <c r="B758" s="457" t="s">
        <v>269</v>
      </c>
      <c r="C758" s="495">
        <v>45485</v>
      </c>
      <c r="D758" s="463"/>
      <c r="E758" s="463"/>
      <c r="F758" s="496" t="s">
        <v>152</v>
      </c>
      <c r="G758" s="463">
        <v>2</v>
      </c>
      <c r="H758" s="432">
        <v>360</v>
      </c>
      <c r="I758" s="463">
        <f t="shared" si="81"/>
        <v>720</v>
      </c>
      <c r="J758" s="497">
        <v>8.6</v>
      </c>
      <c r="K758" s="497">
        <f>I758*J758</f>
        <v>6192</v>
      </c>
      <c r="L758" s="537"/>
    </row>
    <row r="759" s="457" customFormat="1" ht="20.25" spans="1:14">
      <c r="A759" s="494">
        <v>45485</v>
      </c>
      <c r="B759" s="457" t="s">
        <v>269</v>
      </c>
      <c r="C759" s="495">
        <v>45485</v>
      </c>
      <c r="D759" s="463"/>
      <c r="E759" s="463"/>
      <c r="F759" s="496" t="s">
        <v>68</v>
      </c>
      <c r="G759" s="501">
        <v>2</v>
      </c>
      <c r="H759" s="500">
        <f>SUM(H756:H758)</f>
        <v>1280</v>
      </c>
      <c r="I759" s="501">
        <f t="shared" si="81"/>
        <v>2560</v>
      </c>
      <c r="J759" s="502">
        <v>0.8</v>
      </c>
      <c r="K759" s="502">
        <f>I759*J759</f>
        <v>2048</v>
      </c>
      <c r="L759" s="537">
        <f>SUM(K756:K759)</f>
        <v>17456</v>
      </c>
    </row>
    <row r="760" s="456" customFormat="1" ht="20.25" spans="1:14">
      <c r="A760" s="488">
        <v>45420</v>
      </c>
      <c r="B760" s="456" t="s">
        <v>270</v>
      </c>
      <c r="C760" s="490">
        <v>45485</v>
      </c>
      <c r="D760" s="491"/>
      <c r="E760" s="491"/>
      <c r="F760" s="493" t="s">
        <v>42</v>
      </c>
      <c r="G760" s="491">
        <v>1</v>
      </c>
      <c r="H760" s="431">
        <v>100</v>
      </c>
      <c r="I760" s="491">
        <f t="shared" si="81"/>
        <v>100</v>
      </c>
      <c r="J760" s="492"/>
      <c r="K760" s="492"/>
    </row>
    <row r="761" s="456" customFormat="1" ht="20.25" spans="1:14">
      <c r="A761" s="488">
        <v>45420</v>
      </c>
      <c r="B761" s="456" t="s">
        <v>270</v>
      </c>
      <c r="C761" s="490">
        <v>45485</v>
      </c>
      <c r="D761" s="491"/>
      <c r="E761" s="491"/>
      <c r="F761" s="493" t="s">
        <v>207</v>
      </c>
      <c r="G761" s="491">
        <v>1</v>
      </c>
      <c r="H761" s="431">
        <v>100</v>
      </c>
      <c r="I761" s="491">
        <f t="shared" si="81"/>
        <v>100</v>
      </c>
      <c r="J761" s="492"/>
      <c r="K761" s="492"/>
    </row>
    <row r="762" s="456" customFormat="1" ht="20.25" spans="1:14">
      <c r="A762" s="488">
        <v>45420</v>
      </c>
      <c r="B762" s="456" t="s">
        <v>270</v>
      </c>
      <c r="C762" s="490">
        <v>45485</v>
      </c>
      <c r="D762" s="491"/>
      <c r="E762" s="491"/>
      <c r="F762" s="493" t="s">
        <v>242</v>
      </c>
      <c r="G762" s="491">
        <v>1</v>
      </c>
      <c r="H762" s="431">
        <v>100</v>
      </c>
      <c r="I762" s="491">
        <f t="shared" si="81"/>
        <v>100</v>
      </c>
      <c r="J762" s="492"/>
      <c r="K762" s="492"/>
    </row>
    <row r="763" s="456" customFormat="1" ht="20.25" spans="1:14">
      <c r="A763" s="488">
        <v>45420</v>
      </c>
      <c r="B763" s="456" t="s">
        <v>270</v>
      </c>
      <c r="C763" s="490">
        <v>45485</v>
      </c>
      <c r="D763" s="491"/>
      <c r="E763" s="491"/>
      <c r="F763" s="493" t="s">
        <v>86</v>
      </c>
      <c r="G763" s="491">
        <v>1</v>
      </c>
      <c r="H763" s="431">
        <v>136</v>
      </c>
      <c r="I763" s="491">
        <f t="shared" si="81"/>
        <v>136</v>
      </c>
      <c r="J763" s="492"/>
      <c r="K763" s="492"/>
      <c r="L763" s="536"/>
      <c r="M763" s="536"/>
      <c r="N763" s="536"/>
    </row>
    <row r="764" s="456" customFormat="1" ht="20.25" spans="1:14">
      <c r="A764" s="488">
        <v>45420</v>
      </c>
      <c r="B764" s="456" t="s">
        <v>270</v>
      </c>
      <c r="C764" s="490">
        <v>45485</v>
      </c>
      <c r="D764" s="491"/>
      <c r="E764" s="491"/>
      <c r="F764" s="493" t="s">
        <v>87</v>
      </c>
      <c r="G764" s="491">
        <v>1</v>
      </c>
      <c r="H764" s="431">
        <v>260</v>
      </c>
      <c r="I764" s="491">
        <f t="shared" si="81"/>
        <v>260</v>
      </c>
      <c r="J764" s="492"/>
      <c r="K764" s="492"/>
      <c r="L764" s="536"/>
      <c r="M764" s="536"/>
      <c r="N764" s="536"/>
    </row>
    <row r="765" s="456" customFormat="1" ht="20.25" spans="1:14">
      <c r="A765" s="488">
        <v>45420</v>
      </c>
      <c r="B765" s="456" t="s">
        <v>270</v>
      </c>
      <c r="C765" s="490">
        <v>45485</v>
      </c>
      <c r="D765" s="491"/>
      <c r="E765" s="491"/>
      <c r="F765" s="493" t="s">
        <v>208</v>
      </c>
      <c r="G765" s="491">
        <v>1</v>
      </c>
      <c r="H765" s="431">
        <v>25</v>
      </c>
      <c r="I765" s="491">
        <f t="shared" si="81"/>
        <v>25</v>
      </c>
      <c r="J765" s="492">
        <v>17</v>
      </c>
      <c r="K765" s="492">
        <f>I765*J765</f>
        <v>425</v>
      </c>
      <c r="L765" s="536"/>
      <c r="M765" s="536"/>
      <c r="N765" s="536"/>
    </row>
    <row r="766" s="456" customFormat="1" ht="20.25" spans="1:14">
      <c r="A766" s="488">
        <v>45420</v>
      </c>
      <c r="B766" s="456" t="s">
        <v>270</v>
      </c>
      <c r="C766" s="490">
        <v>45485</v>
      </c>
      <c r="D766" s="491"/>
      <c r="E766" s="491"/>
      <c r="F766" s="493" t="s">
        <v>132</v>
      </c>
      <c r="G766" s="491">
        <v>1</v>
      </c>
      <c r="H766" s="431">
        <v>279</v>
      </c>
      <c r="I766" s="491">
        <f t="shared" si="81"/>
        <v>279</v>
      </c>
      <c r="J766" s="492">
        <v>3.6</v>
      </c>
      <c r="K766" s="492">
        <f t="shared" ref="K766:K774" si="82">I766*J766</f>
        <v>1004.4</v>
      </c>
      <c r="L766" s="536"/>
      <c r="M766" s="536"/>
      <c r="N766" s="536"/>
    </row>
    <row r="767" s="456" customFormat="1" ht="20.25" spans="1:14">
      <c r="A767" s="488">
        <v>45420</v>
      </c>
      <c r="B767" s="456" t="s">
        <v>270</v>
      </c>
      <c r="C767" s="490">
        <v>45485</v>
      </c>
      <c r="D767" s="491"/>
      <c r="E767" s="491"/>
      <c r="F767" s="493" t="s">
        <v>137</v>
      </c>
      <c r="G767" s="491">
        <v>1</v>
      </c>
      <c r="H767" s="431">
        <v>50</v>
      </c>
      <c r="I767" s="491">
        <f t="shared" si="81"/>
        <v>50</v>
      </c>
      <c r="J767" s="492">
        <v>0.9</v>
      </c>
      <c r="K767" s="492">
        <f t="shared" si="82"/>
        <v>45</v>
      </c>
      <c r="L767" s="536" t="s">
        <v>210</v>
      </c>
      <c r="M767" s="536" t="s">
        <v>116</v>
      </c>
      <c r="N767" s="536"/>
    </row>
    <row r="768" s="456" customFormat="1" ht="20.25" spans="1:14">
      <c r="A768" s="488">
        <v>45420</v>
      </c>
      <c r="B768" s="456" t="s">
        <v>270</v>
      </c>
      <c r="C768" s="490">
        <v>45485</v>
      </c>
      <c r="D768" s="491"/>
      <c r="E768" s="491"/>
      <c r="F768" s="493" t="s">
        <v>211</v>
      </c>
      <c r="G768" s="491">
        <v>1</v>
      </c>
      <c r="H768" s="431">
        <v>3</v>
      </c>
      <c r="I768" s="491">
        <f t="shared" si="81"/>
        <v>3</v>
      </c>
      <c r="J768" s="492"/>
      <c r="K768" s="492"/>
      <c r="L768" s="536"/>
      <c r="M768" s="536"/>
      <c r="N768" s="536"/>
    </row>
    <row r="769" s="456" customFormat="1" ht="20.25" spans="1:14">
      <c r="A769" s="488">
        <v>45420</v>
      </c>
      <c r="B769" s="456" t="s">
        <v>270</v>
      </c>
      <c r="C769" s="490">
        <v>45485</v>
      </c>
      <c r="D769" s="491"/>
      <c r="E769" s="491"/>
      <c r="F769" s="499" t="s">
        <v>212</v>
      </c>
      <c r="G769" s="491">
        <v>1</v>
      </c>
      <c r="H769" s="500">
        <f>SUM(H760:H768)</f>
        <v>1053</v>
      </c>
      <c r="I769" s="501">
        <f t="shared" si="81"/>
        <v>1053</v>
      </c>
      <c r="J769" s="502">
        <v>1</v>
      </c>
      <c r="K769" s="502">
        <f t="shared" si="82"/>
        <v>1053</v>
      </c>
      <c r="L769" s="536">
        <f>SUM(K760:K769)</f>
        <v>2527.4</v>
      </c>
      <c r="M769" s="536"/>
      <c r="N769" s="536"/>
    </row>
    <row r="770" s="457" customFormat="1" ht="20.25" spans="1:14">
      <c r="A770" s="494">
        <v>45490</v>
      </c>
      <c r="B770" s="457" t="s">
        <v>309</v>
      </c>
      <c r="C770" s="495">
        <v>45486</v>
      </c>
      <c r="D770" s="463"/>
      <c r="E770" s="463"/>
      <c r="F770" s="522" t="s">
        <v>237</v>
      </c>
      <c r="G770" s="523">
        <v>5</v>
      </c>
      <c r="H770" s="432">
        <v>18</v>
      </c>
      <c r="I770" s="463">
        <f t="shared" si="81"/>
        <v>90</v>
      </c>
      <c r="J770" s="497">
        <v>15</v>
      </c>
      <c r="K770" s="497">
        <f t="shared" si="82"/>
        <v>1350</v>
      </c>
      <c r="L770" s="537"/>
      <c r="M770" s="442" t="s">
        <v>31</v>
      </c>
    </row>
    <row r="771" s="457" customFormat="1" ht="20.25" spans="1:14">
      <c r="A771" s="494">
        <v>45490</v>
      </c>
      <c r="B771" s="457" t="s">
        <v>309</v>
      </c>
      <c r="C771" s="495">
        <v>45486</v>
      </c>
      <c r="D771" s="463"/>
      <c r="E771" s="463"/>
      <c r="F771" s="522" t="s">
        <v>237</v>
      </c>
      <c r="G771" s="523">
        <v>1</v>
      </c>
      <c r="H771" s="432">
        <v>15</v>
      </c>
      <c r="I771" s="463">
        <f t="shared" si="81"/>
        <v>15</v>
      </c>
      <c r="J771" s="497">
        <v>15</v>
      </c>
      <c r="K771" s="497">
        <f t="shared" si="82"/>
        <v>225</v>
      </c>
      <c r="L771" s="537"/>
      <c r="M771" s="442" t="s">
        <v>31</v>
      </c>
    </row>
    <row r="772" s="457" customFormat="1" ht="20.25" spans="1:14">
      <c r="A772" s="494">
        <v>45490</v>
      </c>
      <c r="B772" s="457" t="s">
        <v>309</v>
      </c>
      <c r="C772" s="495">
        <v>45486</v>
      </c>
      <c r="D772" s="463"/>
      <c r="E772" s="463"/>
      <c r="F772" s="522" t="s">
        <v>284</v>
      </c>
      <c r="G772" s="523">
        <v>3</v>
      </c>
      <c r="H772" s="432">
        <v>10</v>
      </c>
      <c r="I772" s="463">
        <f t="shared" ref="I772:I775" si="83">G772*H772</f>
        <v>30</v>
      </c>
      <c r="J772" s="497">
        <v>15.5</v>
      </c>
      <c r="K772" s="497">
        <f t="shared" si="82"/>
        <v>465</v>
      </c>
      <c r="L772" s="537" t="s">
        <v>31</v>
      </c>
      <c r="M772" s="496"/>
    </row>
    <row r="773" s="457" customFormat="1" ht="20.25" spans="1:14">
      <c r="A773" s="494">
        <v>45490</v>
      </c>
      <c r="B773" s="457" t="s">
        <v>309</v>
      </c>
      <c r="C773" s="495">
        <v>45486</v>
      </c>
      <c r="D773" s="463"/>
      <c r="E773" s="463"/>
      <c r="F773" s="522" t="s">
        <v>284</v>
      </c>
      <c r="G773" s="523">
        <v>10</v>
      </c>
      <c r="H773" s="432">
        <v>4</v>
      </c>
      <c r="I773" s="463">
        <f t="shared" si="83"/>
        <v>40</v>
      </c>
      <c r="J773" s="497">
        <v>15.5</v>
      </c>
      <c r="K773" s="497">
        <f t="shared" si="82"/>
        <v>620</v>
      </c>
      <c r="L773" s="537" t="s">
        <v>31</v>
      </c>
      <c r="M773" s="442"/>
    </row>
    <row r="774" s="457" customFormat="1" ht="20.25" spans="1:14">
      <c r="A774" s="494">
        <v>45490</v>
      </c>
      <c r="B774" s="457" t="s">
        <v>309</v>
      </c>
      <c r="C774" s="495">
        <v>45486</v>
      </c>
      <c r="D774" s="463"/>
      <c r="E774" s="463"/>
      <c r="F774" s="522" t="s">
        <v>285</v>
      </c>
      <c r="G774" s="523">
        <v>10</v>
      </c>
      <c r="H774" s="432">
        <v>1</v>
      </c>
      <c r="I774" s="463">
        <f t="shared" si="83"/>
        <v>10</v>
      </c>
      <c r="J774" s="497">
        <v>5.5</v>
      </c>
      <c r="K774" s="497">
        <f t="shared" si="82"/>
        <v>55</v>
      </c>
      <c r="L774" s="537">
        <f>SUM(K770:K774)</f>
        <v>2715</v>
      </c>
      <c r="M774" s="442"/>
    </row>
    <row r="775" s="456" customFormat="1" ht="20.25" spans="1:14">
      <c r="A775" s="488">
        <v>45490</v>
      </c>
      <c r="B775" s="456" t="s">
        <v>312</v>
      </c>
      <c r="C775" s="490">
        <v>45486</v>
      </c>
      <c r="D775" s="491"/>
      <c r="E775" s="491"/>
      <c r="F775" s="493" t="s">
        <v>374</v>
      </c>
      <c r="G775" s="491">
        <v>1</v>
      </c>
      <c r="H775" s="431">
        <v>3</v>
      </c>
      <c r="I775" s="491">
        <f t="shared" si="83"/>
        <v>3</v>
      </c>
      <c r="J775" s="492"/>
      <c r="K775" s="492"/>
      <c r="L775" s="536"/>
      <c r="M775" s="489"/>
    </row>
    <row r="776" s="456" customFormat="1" ht="20.25" spans="1:14">
      <c r="A776" s="488">
        <v>45490</v>
      </c>
      <c r="B776" s="456" t="s">
        <v>312</v>
      </c>
      <c r="C776" s="490">
        <v>45486</v>
      </c>
      <c r="D776" s="491"/>
      <c r="E776" s="491"/>
      <c r="F776" s="493" t="s">
        <v>375</v>
      </c>
      <c r="G776" s="491">
        <v>1</v>
      </c>
      <c r="H776" s="431">
        <v>0.02</v>
      </c>
      <c r="I776" s="491">
        <f t="shared" ref="I776:I783" si="84">G776*H776</f>
        <v>0.02</v>
      </c>
      <c r="J776" s="492"/>
      <c r="K776" s="492"/>
      <c r="L776" s="536"/>
      <c r="M776" s="489"/>
    </row>
    <row r="777" s="456" customFormat="1" ht="20.25" spans="1:14">
      <c r="A777" s="488">
        <v>45490</v>
      </c>
      <c r="B777" s="456" t="s">
        <v>312</v>
      </c>
      <c r="C777" s="490">
        <v>45486</v>
      </c>
      <c r="D777" s="491"/>
      <c r="E777" s="491"/>
      <c r="F777" s="493" t="s">
        <v>376</v>
      </c>
      <c r="G777" s="491">
        <v>1</v>
      </c>
      <c r="H777" s="431">
        <v>0.2</v>
      </c>
      <c r="I777" s="491">
        <f t="shared" si="84"/>
        <v>0.2</v>
      </c>
      <c r="J777" s="492"/>
      <c r="K777" s="492"/>
      <c r="L777" s="536"/>
      <c r="M777" s="489"/>
    </row>
    <row r="778" s="456" customFormat="1" ht="20.25" spans="1:14">
      <c r="A778" s="488">
        <v>45490</v>
      </c>
      <c r="B778" s="456" t="s">
        <v>312</v>
      </c>
      <c r="C778" s="490">
        <v>45486</v>
      </c>
      <c r="D778" s="491"/>
      <c r="E778" s="491"/>
      <c r="F778" s="493" t="s">
        <v>377</v>
      </c>
      <c r="G778" s="491">
        <v>1</v>
      </c>
      <c r="H778" s="431">
        <v>0.2</v>
      </c>
      <c r="I778" s="491">
        <f t="shared" si="84"/>
        <v>0.2</v>
      </c>
      <c r="J778" s="492"/>
      <c r="K778" s="492"/>
      <c r="L778" s="536"/>
      <c r="M778" s="489"/>
    </row>
    <row r="779" s="456" customFormat="1" ht="20.25" spans="1:14">
      <c r="A779" s="488">
        <v>45490</v>
      </c>
      <c r="B779" s="456" t="s">
        <v>312</v>
      </c>
      <c r="C779" s="490">
        <v>45486</v>
      </c>
      <c r="D779" s="491"/>
      <c r="E779" s="491"/>
      <c r="F779" s="493" t="s">
        <v>378</v>
      </c>
      <c r="G779" s="491">
        <v>1</v>
      </c>
      <c r="H779" s="431">
        <v>0.56</v>
      </c>
      <c r="I779" s="491">
        <f t="shared" si="84"/>
        <v>0.56</v>
      </c>
      <c r="J779" s="492"/>
      <c r="K779" s="492"/>
      <c r="L779" s="536"/>
      <c r="M779" s="489"/>
    </row>
    <row r="780" s="456" customFormat="1" ht="20.25" spans="1:14">
      <c r="A780" s="488">
        <v>45490</v>
      </c>
      <c r="B780" s="456" t="s">
        <v>312</v>
      </c>
      <c r="C780" s="490">
        <v>45486</v>
      </c>
      <c r="D780" s="491"/>
      <c r="E780" s="491"/>
      <c r="F780" s="493" t="s">
        <v>379</v>
      </c>
      <c r="G780" s="491">
        <v>1</v>
      </c>
      <c r="H780" s="431">
        <v>1.8</v>
      </c>
      <c r="I780" s="491">
        <f t="shared" si="84"/>
        <v>1.8</v>
      </c>
      <c r="J780" s="492"/>
      <c r="K780" s="492"/>
      <c r="L780" s="536"/>
      <c r="M780" s="489"/>
    </row>
    <row r="781" s="456" customFormat="1" ht="20.25" spans="1:14">
      <c r="A781" s="488">
        <v>45490</v>
      </c>
      <c r="B781" s="456" t="s">
        <v>312</v>
      </c>
      <c r="C781" s="490">
        <v>45486</v>
      </c>
      <c r="D781" s="491"/>
      <c r="E781" s="491"/>
      <c r="F781" s="493" t="s">
        <v>82</v>
      </c>
      <c r="G781" s="491">
        <v>1</v>
      </c>
      <c r="H781" s="431">
        <v>3</v>
      </c>
      <c r="I781" s="491">
        <f t="shared" si="84"/>
        <v>3</v>
      </c>
      <c r="J781" s="492">
        <v>8.6</v>
      </c>
      <c r="K781" s="497">
        <f>I781*J781</f>
        <v>25.8</v>
      </c>
      <c r="L781" s="536"/>
      <c r="M781" s="489"/>
    </row>
    <row r="782" s="456" customFormat="1" ht="20.25" spans="1:14">
      <c r="A782" s="488">
        <v>45490</v>
      </c>
      <c r="B782" s="456" t="s">
        <v>312</v>
      </c>
      <c r="C782" s="490">
        <v>45486</v>
      </c>
      <c r="D782" s="491"/>
      <c r="E782" s="491"/>
      <c r="F782" s="493" t="s">
        <v>380</v>
      </c>
      <c r="G782" s="491">
        <v>1</v>
      </c>
      <c r="H782" s="431">
        <v>1.22</v>
      </c>
      <c r="I782" s="491">
        <f t="shared" si="84"/>
        <v>1.22</v>
      </c>
      <c r="J782" s="492"/>
      <c r="K782" s="492"/>
      <c r="L782" s="536"/>
      <c r="M782" s="489"/>
    </row>
    <row r="783" s="457" customFormat="1" ht="20.25" spans="1:14">
      <c r="A783" s="488">
        <v>45490</v>
      </c>
      <c r="B783" s="456" t="s">
        <v>312</v>
      </c>
      <c r="C783" s="490">
        <v>45486</v>
      </c>
      <c r="D783" s="491"/>
      <c r="E783" s="491"/>
      <c r="F783" s="499" t="s">
        <v>381</v>
      </c>
      <c r="G783" s="501">
        <v>1</v>
      </c>
      <c r="H783" s="500">
        <f>SUM(H775:H782)</f>
        <v>10</v>
      </c>
      <c r="I783" s="501">
        <f t="shared" si="84"/>
        <v>10</v>
      </c>
      <c r="J783" s="502"/>
      <c r="K783" s="502"/>
      <c r="L783" s="537">
        <f>SUM(K775:K783)</f>
        <v>25.8</v>
      </c>
      <c r="M783" s="442"/>
    </row>
    <row r="784" s="457" customFormat="1" ht="20.25" spans="1:14">
      <c r="A784" s="494">
        <v>45490</v>
      </c>
      <c r="B784" s="457" t="s">
        <v>192</v>
      </c>
      <c r="C784" s="495">
        <v>45486</v>
      </c>
      <c r="D784" s="463"/>
      <c r="E784" s="463"/>
      <c r="F784" s="496" t="s">
        <v>16</v>
      </c>
      <c r="G784" s="463">
        <v>1</v>
      </c>
      <c r="H784" s="432">
        <v>100</v>
      </c>
      <c r="I784" s="463">
        <f t="shared" ref="I784:I838" si="85">G784*H784</f>
        <v>100</v>
      </c>
      <c r="J784" s="497"/>
      <c r="K784" s="497"/>
      <c r="L784" s="537"/>
      <c r="M784" s="442"/>
    </row>
    <row r="785" s="457" customFormat="1" ht="20.25" spans="1:14">
      <c r="A785" s="494">
        <v>45490</v>
      </c>
      <c r="B785" s="457" t="s">
        <v>192</v>
      </c>
      <c r="C785" s="495">
        <v>45486</v>
      </c>
      <c r="D785" s="463"/>
      <c r="E785" s="463"/>
      <c r="F785" s="496" t="s">
        <v>345</v>
      </c>
      <c r="G785" s="463">
        <v>1</v>
      </c>
      <c r="H785" s="432">
        <v>100</v>
      </c>
      <c r="I785" s="463">
        <f t="shared" si="85"/>
        <v>100</v>
      </c>
      <c r="J785" s="497"/>
      <c r="K785" s="497"/>
      <c r="L785" s="537"/>
      <c r="M785" s="442"/>
    </row>
    <row r="786" s="457" customFormat="1" ht="20.25" spans="1:14">
      <c r="A786" s="494">
        <v>45490</v>
      </c>
      <c r="B786" s="457" t="s">
        <v>192</v>
      </c>
      <c r="C786" s="495">
        <v>45486</v>
      </c>
      <c r="D786" s="463"/>
      <c r="E786" s="463"/>
      <c r="F786" s="496" t="s">
        <v>149</v>
      </c>
      <c r="G786" s="463">
        <v>1</v>
      </c>
      <c r="H786" s="432">
        <v>55</v>
      </c>
      <c r="I786" s="463">
        <f t="shared" si="85"/>
        <v>55</v>
      </c>
      <c r="J786" s="497"/>
      <c r="K786" s="497"/>
      <c r="L786" s="537"/>
      <c r="M786" s="442"/>
    </row>
    <row r="787" s="457" customFormat="1" ht="20.25" spans="1:14">
      <c r="A787" s="494">
        <v>45490</v>
      </c>
      <c r="B787" s="457" t="s">
        <v>192</v>
      </c>
      <c r="C787" s="495">
        <v>45486</v>
      </c>
      <c r="D787" s="463"/>
      <c r="E787" s="463"/>
      <c r="F787" s="496" t="s">
        <v>298</v>
      </c>
      <c r="G787" s="463">
        <v>1</v>
      </c>
      <c r="H787" s="432">
        <v>130</v>
      </c>
      <c r="I787" s="463">
        <f t="shared" si="85"/>
        <v>130</v>
      </c>
      <c r="J787" s="497"/>
      <c r="K787" s="497"/>
      <c r="L787" s="537"/>
      <c r="M787" s="442"/>
    </row>
    <row r="788" s="457" customFormat="1" ht="20.25" spans="1:14">
      <c r="A788" s="494">
        <v>45490</v>
      </c>
      <c r="B788" s="457" t="s">
        <v>192</v>
      </c>
      <c r="C788" s="495">
        <v>45486</v>
      </c>
      <c r="D788" s="463"/>
      <c r="E788" s="463"/>
      <c r="F788" s="496">
        <v>808</v>
      </c>
      <c r="G788" s="463">
        <v>1</v>
      </c>
      <c r="H788" s="432">
        <v>27.5</v>
      </c>
      <c r="I788" s="463">
        <f t="shared" si="85"/>
        <v>27.5</v>
      </c>
      <c r="J788" s="497">
        <v>11.2</v>
      </c>
      <c r="K788" s="497">
        <f t="shared" ref="K788:K790" si="86">I788*J788</f>
        <v>308</v>
      </c>
      <c r="L788" s="537" t="s">
        <v>126</v>
      </c>
      <c r="M788" s="442"/>
    </row>
    <row r="789" s="457" customFormat="1" ht="20.25" spans="1:14">
      <c r="A789" s="494">
        <v>45490</v>
      </c>
      <c r="B789" s="457" t="s">
        <v>192</v>
      </c>
      <c r="C789" s="495">
        <v>45486</v>
      </c>
      <c r="D789" s="463"/>
      <c r="E789" s="463"/>
      <c r="F789" s="496" t="s">
        <v>240</v>
      </c>
      <c r="G789" s="463">
        <v>1</v>
      </c>
      <c r="H789" s="432">
        <v>87.5</v>
      </c>
      <c r="I789" s="463">
        <f t="shared" si="85"/>
        <v>87.5</v>
      </c>
      <c r="J789" s="497"/>
      <c r="K789" s="497"/>
      <c r="L789" s="537"/>
      <c r="M789" s="442"/>
    </row>
    <row r="790" s="457" customFormat="1" ht="20.25" spans="1:14">
      <c r="A790" s="494">
        <v>45490</v>
      </c>
      <c r="B790" s="457" t="s">
        <v>192</v>
      </c>
      <c r="C790" s="495">
        <v>45486</v>
      </c>
      <c r="D790" s="463"/>
      <c r="E790" s="463"/>
      <c r="F790" s="499" t="s">
        <v>382</v>
      </c>
      <c r="G790" s="501">
        <v>1</v>
      </c>
      <c r="H790" s="500">
        <f>SUM(H784:H789)</f>
        <v>500</v>
      </c>
      <c r="I790" s="501">
        <f t="shared" si="85"/>
        <v>500</v>
      </c>
      <c r="J790" s="502">
        <v>1</v>
      </c>
      <c r="K790" s="502">
        <f t="shared" si="86"/>
        <v>500</v>
      </c>
      <c r="L790" s="537"/>
      <c r="M790" s="442"/>
    </row>
    <row r="791" s="457" customFormat="1" ht="20.25" spans="1:14">
      <c r="A791" s="494">
        <v>45490</v>
      </c>
      <c r="B791" s="457" t="s">
        <v>192</v>
      </c>
      <c r="C791" s="495">
        <v>45488</v>
      </c>
      <c r="D791" s="463"/>
      <c r="E791" s="463"/>
      <c r="F791" s="498" t="s">
        <v>383</v>
      </c>
      <c r="G791" s="463">
        <v>1</v>
      </c>
      <c r="H791" s="432">
        <v>54</v>
      </c>
      <c r="I791" s="463">
        <f t="shared" si="85"/>
        <v>54</v>
      </c>
      <c r="J791" s="497"/>
      <c r="K791" s="497"/>
      <c r="L791" s="537"/>
      <c r="M791" s="442"/>
    </row>
    <row r="792" s="457" customFormat="1" ht="20.25" spans="1:14">
      <c r="A792" s="494">
        <v>45490</v>
      </c>
      <c r="B792" s="457" t="s">
        <v>192</v>
      </c>
      <c r="C792" s="495">
        <v>45488</v>
      </c>
      <c r="D792" s="463"/>
      <c r="E792" s="463"/>
      <c r="F792" s="498" t="s">
        <v>112</v>
      </c>
      <c r="G792" s="463">
        <v>1</v>
      </c>
      <c r="H792" s="432">
        <v>3</v>
      </c>
      <c r="I792" s="463">
        <f t="shared" si="85"/>
        <v>3</v>
      </c>
      <c r="J792" s="497">
        <v>12.5</v>
      </c>
      <c r="K792" s="497">
        <f t="shared" ref="K792:K797" si="87">I792*J792</f>
        <v>37.5</v>
      </c>
      <c r="L792" s="537">
        <f>SUM(K784:K792)</f>
        <v>845.5</v>
      </c>
      <c r="M792" s="442"/>
    </row>
    <row r="793" s="456" customFormat="1" ht="20.25" spans="1:14">
      <c r="A793" s="488">
        <v>45492</v>
      </c>
      <c r="B793" s="456" t="s">
        <v>384</v>
      </c>
      <c r="C793" s="528">
        <v>45491</v>
      </c>
      <c r="D793" s="528"/>
      <c r="E793" s="529"/>
      <c r="F793" s="493" t="s">
        <v>303</v>
      </c>
      <c r="G793" s="491">
        <v>1</v>
      </c>
      <c r="H793" s="431">
        <v>150</v>
      </c>
      <c r="I793" s="491">
        <f t="shared" si="85"/>
        <v>150</v>
      </c>
      <c r="J793" s="492"/>
      <c r="K793" s="492"/>
    </row>
    <row r="794" s="456" customFormat="1" ht="20.25" spans="1:14">
      <c r="A794" s="488">
        <v>45492</v>
      </c>
      <c r="B794" s="456" t="s">
        <v>384</v>
      </c>
      <c r="C794" s="528">
        <v>45491</v>
      </c>
      <c r="D794" s="528"/>
      <c r="E794" s="529"/>
      <c r="F794" s="493" t="s">
        <v>129</v>
      </c>
      <c r="G794" s="491">
        <v>1</v>
      </c>
      <c r="H794" s="431">
        <v>120</v>
      </c>
      <c r="I794" s="491">
        <f t="shared" si="85"/>
        <v>120</v>
      </c>
      <c r="J794" s="492"/>
      <c r="K794" s="492"/>
    </row>
    <row r="795" s="456" customFormat="1" ht="20.25" spans="1:14">
      <c r="A795" s="488">
        <v>45492</v>
      </c>
      <c r="B795" s="456" t="s">
        <v>384</v>
      </c>
      <c r="C795" s="528">
        <v>45491</v>
      </c>
      <c r="D795" s="528"/>
      <c r="E795" s="529"/>
      <c r="F795" s="493" t="s">
        <v>208</v>
      </c>
      <c r="G795" s="491">
        <v>1</v>
      </c>
      <c r="H795" s="431">
        <v>30</v>
      </c>
      <c r="I795" s="491">
        <f t="shared" si="85"/>
        <v>30</v>
      </c>
      <c r="J795" s="492">
        <v>17</v>
      </c>
      <c r="K795" s="497">
        <f t="shared" si="87"/>
        <v>510</v>
      </c>
    </row>
    <row r="796" s="456" customFormat="1" ht="20.25" spans="1:14">
      <c r="A796" s="488">
        <v>45492</v>
      </c>
      <c r="B796" s="456" t="s">
        <v>384</v>
      </c>
      <c r="C796" s="528">
        <v>45491</v>
      </c>
      <c r="D796" s="528"/>
      <c r="E796" s="529"/>
      <c r="F796" s="493">
        <v>808</v>
      </c>
      <c r="G796" s="491">
        <v>1</v>
      </c>
      <c r="H796" s="431">
        <v>100</v>
      </c>
      <c r="I796" s="491">
        <f t="shared" si="85"/>
        <v>100</v>
      </c>
      <c r="J796" s="492">
        <v>11.2</v>
      </c>
      <c r="K796" s="497">
        <f t="shared" si="87"/>
        <v>1120</v>
      </c>
    </row>
    <row r="797" s="456" customFormat="1" ht="20.25" spans="1:14">
      <c r="A797" s="488">
        <v>45492</v>
      </c>
      <c r="B797" s="456" t="s">
        <v>384</v>
      </c>
      <c r="C797" s="528">
        <v>45491</v>
      </c>
      <c r="D797" s="528"/>
      <c r="E797" s="529"/>
      <c r="F797" s="493" t="s">
        <v>132</v>
      </c>
      <c r="G797" s="491">
        <v>1</v>
      </c>
      <c r="H797" s="431">
        <v>200</v>
      </c>
      <c r="I797" s="491">
        <f t="shared" si="85"/>
        <v>200</v>
      </c>
      <c r="J797" s="492">
        <v>3.6</v>
      </c>
      <c r="K797" s="497">
        <f t="shared" si="87"/>
        <v>720</v>
      </c>
    </row>
    <row r="798" s="456" customFormat="1" ht="20.25" spans="1:14">
      <c r="A798" s="488">
        <v>45492</v>
      </c>
      <c r="B798" s="456" t="s">
        <v>384</v>
      </c>
      <c r="C798" s="528">
        <v>45491</v>
      </c>
      <c r="D798" s="528"/>
      <c r="E798" s="529"/>
      <c r="F798" s="493" t="s">
        <v>86</v>
      </c>
      <c r="G798" s="491">
        <v>1</v>
      </c>
      <c r="H798" s="431">
        <v>140</v>
      </c>
      <c r="I798" s="491">
        <f t="shared" si="85"/>
        <v>140</v>
      </c>
      <c r="J798" s="492"/>
      <c r="K798" s="492"/>
      <c r="L798" s="536"/>
      <c r="M798" s="536"/>
      <c r="N798" s="536"/>
    </row>
    <row r="799" s="456" customFormat="1" ht="20.25" spans="1:14">
      <c r="A799" s="488">
        <v>45492</v>
      </c>
      <c r="B799" s="456" t="s">
        <v>384</v>
      </c>
      <c r="C799" s="528">
        <v>45491</v>
      </c>
      <c r="D799" s="528"/>
      <c r="E799" s="529"/>
      <c r="F799" s="493" t="s">
        <v>87</v>
      </c>
      <c r="G799" s="491">
        <v>1</v>
      </c>
      <c r="H799" s="431">
        <v>260</v>
      </c>
      <c r="I799" s="491">
        <f t="shared" si="85"/>
        <v>260</v>
      </c>
      <c r="J799" s="492"/>
      <c r="K799" s="492"/>
      <c r="L799" s="536"/>
      <c r="M799" s="536" t="s">
        <v>126</v>
      </c>
      <c r="N799" s="536"/>
    </row>
    <row r="800" s="456" customFormat="1" ht="20.25" spans="1:14">
      <c r="A800" s="488">
        <v>45492</v>
      </c>
      <c r="B800" s="456" t="s">
        <v>384</v>
      </c>
      <c r="C800" s="528">
        <v>45491</v>
      </c>
      <c r="D800" s="528"/>
      <c r="E800" s="529"/>
      <c r="F800" s="498" t="s">
        <v>373</v>
      </c>
      <c r="G800" s="491">
        <v>1</v>
      </c>
      <c r="H800" s="431">
        <v>3</v>
      </c>
      <c r="I800" s="491">
        <f t="shared" si="85"/>
        <v>3</v>
      </c>
      <c r="J800" s="492"/>
      <c r="K800" s="492"/>
      <c r="L800" s="536"/>
      <c r="M800" s="536"/>
      <c r="N800" s="536"/>
    </row>
    <row r="801" s="456" customFormat="1" ht="20.25" spans="1:15">
      <c r="A801" s="488">
        <v>45492</v>
      </c>
      <c r="B801" s="456" t="s">
        <v>384</v>
      </c>
      <c r="C801" s="528">
        <v>45491</v>
      </c>
      <c r="D801" s="528"/>
      <c r="E801" s="529"/>
      <c r="F801" s="499" t="s">
        <v>304</v>
      </c>
      <c r="G801" s="501">
        <v>1</v>
      </c>
      <c r="H801" s="500">
        <f>SUM(H793:H800)</f>
        <v>1003</v>
      </c>
      <c r="I801" s="501">
        <f t="shared" si="85"/>
        <v>1003</v>
      </c>
      <c r="J801" s="502">
        <v>1</v>
      </c>
      <c r="K801" s="502">
        <f>I801*J801</f>
        <v>1003</v>
      </c>
      <c r="L801" s="536">
        <f>SUM(K793:K801)</f>
        <v>3353</v>
      </c>
      <c r="M801" s="536"/>
      <c r="N801" s="536"/>
    </row>
    <row r="802" s="457" customFormat="1" ht="20.25" spans="1:15">
      <c r="A802" s="494">
        <v>45492</v>
      </c>
      <c r="B802" s="457" t="s">
        <v>198</v>
      </c>
      <c r="C802" s="504">
        <v>45492</v>
      </c>
      <c r="D802" s="504"/>
      <c r="E802" s="505"/>
      <c r="F802" s="496" t="s">
        <v>251</v>
      </c>
      <c r="G802" s="463">
        <v>1</v>
      </c>
      <c r="H802" s="432">
        <v>200</v>
      </c>
      <c r="I802" s="463">
        <f t="shared" si="85"/>
        <v>200</v>
      </c>
      <c r="J802" s="497"/>
      <c r="K802" s="497"/>
    </row>
    <row r="803" s="457" customFormat="1" ht="20.25" spans="1:15">
      <c r="A803" s="494">
        <v>45492</v>
      </c>
      <c r="B803" s="457" t="s">
        <v>198</v>
      </c>
      <c r="C803" s="504">
        <v>45492</v>
      </c>
      <c r="D803" s="504"/>
      <c r="E803" s="505"/>
      <c r="F803" s="496" t="s">
        <v>129</v>
      </c>
      <c r="G803" s="463">
        <v>1</v>
      </c>
      <c r="H803" s="432">
        <v>150</v>
      </c>
      <c r="I803" s="463">
        <f t="shared" si="85"/>
        <v>150</v>
      </c>
      <c r="J803" s="497"/>
      <c r="K803" s="497"/>
    </row>
    <row r="804" s="457" customFormat="1" ht="20.25" spans="1:15">
      <c r="A804" s="494">
        <v>45492</v>
      </c>
      <c r="B804" s="457" t="s">
        <v>198</v>
      </c>
      <c r="C804" s="504">
        <v>45492</v>
      </c>
      <c r="D804" s="504"/>
      <c r="E804" s="505"/>
      <c r="F804" s="496">
        <v>808</v>
      </c>
      <c r="G804" s="463">
        <v>1</v>
      </c>
      <c r="H804" s="432">
        <v>200</v>
      </c>
      <c r="I804" s="463">
        <f t="shared" si="85"/>
        <v>200</v>
      </c>
      <c r="J804" s="497">
        <v>11.2</v>
      </c>
      <c r="K804" s="497">
        <f>I804*J804</f>
        <v>2240</v>
      </c>
    </row>
    <row r="805" s="457" customFormat="1" ht="20.25" spans="1:15">
      <c r="A805" s="494">
        <v>45492</v>
      </c>
      <c r="B805" s="457" t="s">
        <v>198</v>
      </c>
      <c r="C805" s="504">
        <v>45492</v>
      </c>
      <c r="D805" s="504"/>
      <c r="E805" s="505"/>
      <c r="F805" s="496" t="s">
        <v>86</v>
      </c>
      <c r="G805" s="463">
        <v>1</v>
      </c>
      <c r="H805" s="432">
        <v>70</v>
      </c>
      <c r="I805" s="463">
        <f t="shared" si="85"/>
        <v>70</v>
      </c>
      <c r="J805" s="497"/>
      <c r="K805" s="497"/>
      <c r="L805" s="537"/>
      <c r="M805" s="537"/>
      <c r="N805" s="537"/>
    </row>
    <row r="806" s="457" customFormat="1" ht="20.25" spans="1:15">
      <c r="A806" s="494">
        <v>45492</v>
      </c>
      <c r="B806" s="457" t="s">
        <v>198</v>
      </c>
      <c r="C806" s="504">
        <v>45492</v>
      </c>
      <c r="D806" s="504"/>
      <c r="E806" s="505"/>
      <c r="F806" s="496" t="s">
        <v>87</v>
      </c>
      <c r="G806" s="463">
        <v>1</v>
      </c>
      <c r="H806" s="432">
        <v>380</v>
      </c>
      <c r="I806" s="463">
        <f t="shared" si="85"/>
        <v>380</v>
      </c>
      <c r="J806" s="497"/>
      <c r="K806" s="497"/>
      <c r="L806" s="537"/>
      <c r="M806" s="537" t="s">
        <v>126</v>
      </c>
      <c r="N806" s="537"/>
    </row>
    <row r="807" s="457" customFormat="1" ht="20.25" spans="1:15">
      <c r="A807" s="494">
        <v>45492</v>
      </c>
      <c r="B807" s="457" t="s">
        <v>198</v>
      </c>
      <c r="C807" s="504">
        <v>45492</v>
      </c>
      <c r="D807" s="504"/>
      <c r="E807" s="505"/>
      <c r="F807" s="496" t="s">
        <v>130</v>
      </c>
      <c r="G807" s="463">
        <v>1</v>
      </c>
      <c r="H807" s="500">
        <f>SUM(H802:H806)</f>
        <v>1000</v>
      </c>
      <c r="I807" s="501">
        <f t="shared" si="85"/>
        <v>1000</v>
      </c>
      <c r="J807" s="502">
        <v>1</v>
      </c>
      <c r="K807" s="502">
        <f>I807*J807</f>
        <v>1000</v>
      </c>
      <c r="L807" s="537">
        <f>SUM(K802:K807)</f>
        <v>3240</v>
      </c>
      <c r="M807" s="537"/>
      <c r="N807" s="537"/>
    </row>
    <row r="808" s="456" customFormat="1" ht="20.25" spans="1:15">
      <c r="A808" s="488">
        <v>45493</v>
      </c>
      <c r="B808" s="608" t="s">
        <v>385</v>
      </c>
      <c r="C808" s="490">
        <v>45493</v>
      </c>
      <c r="D808" s="491"/>
      <c r="E808" s="491"/>
      <c r="F808" s="493" t="s">
        <v>16</v>
      </c>
      <c r="G808" s="491">
        <v>1</v>
      </c>
      <c r="H808" s="431">
        <v>8</v>
      </c>
      <c r="I808" s="491">
        <f t="shared" si="85"/>
        <v>8</v>
      </c>
      <c r="J808" s="492"/>
      <c r="K808" s="492"/>
      <c r="L808" s="536"/>
      <c r="M808" s="536"/>
      <c r="N808" s="536"/>
    </row>
    <row r="809" s="456" customFormat="1" ht="20.25" spans="1:15">
      <c r="A809" s="488">
        <v>45493</v>
      </c>
      <c r="B809" s="608" t="s">
        <v>385</v>
      </c>
      <c r="C809" s="490">
        <v>45493</v>
      </c>
      <c r="D809" s="491"/>
      <c r="E809" s="491"/>
      <c r="F809" s="493" t="s">
        <v>386</v>
      </c>
      <c r="G809" s="491">
        <v>1</v>
      </c>
      <c r="H809" s="431">
        <v>20</v>
      </c>
      <c r="I809" s="491">
        <f t="shared" si="85"/>
        <v>20</v>
      </c>
      <c r="J809" s="492">
        <v>17</v>
      </c>
      <c r="K809" s="492">
        <f>I809*J809</f>
        <v>340</v>
      </c>
      <c r="L809" s="536"/>
      <c r="M809" s="536"/>
      <c r="N809" s="536"/>
    </row>
    <row r="810" s="456" customFormat="1" ht="20.25" spans="1:15">
      <c r="A810" s="488">
        <v>45493</v>
      </c>
      <c r="B810" s="608" t="s">
        <v>385</v>
      </c>
      <c r="C810" s="490">
        <v>45493</v>
      </c>
      <c r="D810" s="491"/>
      <c r="E810" s="491"/>
      <c r="F810" s="493" t="s">
        <v>152</v>
      </c>
      <c r="G810" s="491">
        <v>1</v>
      </c>
      <c r="H810" s="431">
        <v>68</v>
      </c>
      <c r="I810" s="491">
        <f t="shared" si="85"/>
        <v>68</v>
      </c>
      <c r="J810" s="492">
        <v>8.6</v>
      </c>
      <c r="K810" s="492">
        <f t="shared" ref="K810:K819" si="88">I810*J810</f>
        <v>584.8</v>
      </c>
      <c r="L810" s="536" t="s">
        <v>387</v>
      </c>
      <c r="M810" s="536"/>
      <c r="N810" s="536"/>
    </row>
    <row r="811" s="456" customFormat="1" ht="20.25" spans="1:15">
      <c r="A811" s="488">
        <v>45493</v>
      </c>
      <c r="B811" s="608" t="s">
        <v>385</v>
      </c>
      <c r="C811" s="490">
        <v>45493</v>
      </c>
      <c r="D811" s="491"/>
      <c r="E811" s="491"/>
      <c r="F811" s="493" t="s">
        <v>125</v>
      </c>
      <c r="G811" s="491">
        <v>1</v>
      </c>
      <c r="H811" s="431">
        <v>88</v>
      </c>
      <c r="I811" s="491">
        <f t="shared" si="85"/>
        <v>88</v>
      </c>
      <c r="J811" s="492">
        <v>6.4</v>
      </c>
      <c r="K811" s="492">
        <f t="shared" si="88"/>
        <v>563.2</v>
      </c>
      <c r="L811" s="536"/>
      <c r="M811" s="536"/>
      <c r="N811" s="536"/>
    </row>
    <row r="812" s="456" customFormat="1" ht="20.25" spans="1:15">
      <c r="A812" s="488">
        <v>45493</v>
      </c>
      <c r="B812" s="608" t="s">
        <v>385</v>
      </c>
      <c r="C812" s="490">
        <v>45493</v>
      </c>
      <c r="D812" s="491"/>
      <c r="E812" s="491"/>
      <c r="F812" s="493" t="s">
        <v>388</v>
      </c>
      <c r="G812" s="491">
        <v>1</v>
      </c>
      <c r="H812" s="431">
        <v>180</v>
      </c>
      <c r="I812" s="491">
        <f t="shared" si="85"/>
        <v>180</v>
      </c>
      <c r="J812" s="492"/>
      <c r="K812" s="492"/>
      <c r="L812" s="536"/>
      <c r="M812" s="536"/>
      <c r="N812" s="536"/>
    </row>
    <row r="813" s="456" customFormat="1" ht="20.25" spans="1:15">
      <c r="A813" s="488">
        <v>45493</v>
      </c>
      <c r="B813" s="608" t="s">
        <v>385</v>
      </c>
      <c r="C813" s="490">
        <v>45493</v>
      </c>
      <c r="D813" s="491"/>
      <c r="E813" s="491"/>
      <c r="F813" s="493" t="s">
        <v>389</v>
      </c>
      <c r="G813" s="501">
        <v>1</v>
      </c>
      <c r="H813" s="500">
        <f>SUM(H808:H812)</f>
        <v>364</v>
      </c>
      <c r="I813" s="501">
        <f t="shared" si="85"/>
        <v>364</v>
      </c>
      <c r="J813" s="502">
        <v>1</v>
      </c>
      <c r="K813" s="502">
        <f t="shared" si="88"/>
        <v>364</v>
      </c>
      <c r="L813" s="536">
        <f>SUM(K808:K813)</f>
        <v>1852</v>
      </c>
      <c r="M813" s="536"/>
      <c r="N813" s="536"/>
    </row>
    <row r="814" s="457" customFormat="1" ht="20.25" spans="1:15">
      <c r="A814" s="494">
        <v>45495</v>
      </c>
      <c r="B814" s="607" t="s">
        <v>334</v>
      </c>
      <c r="C814" s="495">
        <v>45495</v>
      </c>
      <c r="D814" s="463"/>
      <c r="E814" s="463"/>
      <c r="F814" s="496" t="s">
        <v>256</v>
      </c>
      <c r="G814" s="463">
        <v>1</v>
      </c>
      <c r="H814" s="432">
        <v>100</v>
      </c>
      <c r="I814" s="463">
        <f t="shared" si="85"/>
        <v>100</v>
      </c>
      <c r="J814" s="497"/>
      <c r="K814" s="497"/>
      <c r="L814" s="537"/>
      <c r="M814" s="537"/>
      <c r="N814" s="537"/>
      <c r="O814" s="456"/>
    </row>
    <row r="815" s="457" customFormat="1" ht="20.25" spans="1:15">
      <c r="A815" s="494">
        <v>45495</v>
      </c>
      <c r="B815" s="607" t="s">
        <v>334</v>
      </c>
      <c r="C815" s="495">
        <v>45495</v>
      </c>
      <c r="D815" s="463"/>
      <c r="E815" s="463"/>
      <c r="F815" s="496">
        <v>808</v>
      </c>
      <c r="G815" s="463">
        <v>1</v>
      </c>
      <c r="H815" s="432">
        <v>80</v>
      </c>
      <c r="I815" s="463">
        <f t="shared" si="85"/>
        <v>80</v>
      </c>
      <c r="J815" s="497">
        <v>11.2</v>
      </c>
      <c r="K815" s="497">
        <f t="shared" si="88"/>
        <v>896</v>
      </c>
      <c r="L815" s="537"/>
      <c r="M815" s="537"/>
      <c r="N815" s="537"/>
      <c r="O815" s="456"/>
    </row>
    <row r="816" s="457" customFormat="1" ht="20.25" spans="1:15">
      <c r="A816" s="494">
        <v>45495</v>
      </c>
      <c r="B816" s="607" t="s">
        <v>334</v>
      </c>
      <c r="C816" s="495">
        <v>45495</v>
      </c>
      <c r="D816" s="463"/>
      <c r="E816" s="463"/>
      <c r="F816" s="496" t="s">
        <v>125</v>
      </c>
      <c r="G816" s="463">
        <v>1</v>
      </c>
      <c r="H816" s="432">
        <v>110</v>
      </c>
      <c r="I816" s="463">
        <f t="shared" si="85"/>
        <v>110</v>
      </c>
      <c r="J816" s="497">
        <v>6.4</v>
      </c>
      <c r="K816" s="497">
        <f t="shared" si="88"/>
        <v>704</v>
      </c>
      <c r="L816" s="537"/>
      <c r="M816" s="537"/>
      <c r="N816" s="537"/>
      <c r="O816" s="456"/>
    </row>
    <row r="817" s="457" customFormat="1" ht="20.25" spans="1:17">
      <c r="A817" s="494">
        <v>45495</v>
      </c>
      <c r="B817" s="607" t="s">
        <v>334</v>
      </c>
      <c r="C817" s="495">
        <v>45495</v>
      </c>
      <c r="D817" s="463"/>
      <c r="E817" s="463"/>
      <c r="F817" s="496" t="s">
        <v>152</v>
      </c>
      <c r="G817" s="463">
        <v>1</v>
      </c>
      <c r="H817" s="432">
        <v>40</v>
      </c>
      <c r="I817" s="463">
        <f t="shared" si="85"/>
        <v>40</v>
      </c>
      <c r="J817" s="497">
        <v>8.6</v>
      </c>
      <c r="K817" s="497">
        <f t="shared" si="88"/>
        <v>344</v>
      </c>
      <c r="L817" s="606" t="s">
        <v>307</v>
      </c>
      <c r="M817" s="537"/>
      <c r="N817" s="537"/>
      <c r="O817" s="456"/>
    </row>
    <row r="818" s="457" customFormat="1" ht="20.25" spans="1:17">
      <c r="A818" s="494">
        <v>45495</v>
      </c>
      <c r="B818" s="607" t="s">
        <v>334</v>
      </c>
      <c r="C818" s="495">
        <v>45495</v>
      </c>
      <c r="D818" s="463"/>
      <c r="E818" s="463"/>
      <c r="F818" s="496" t="s">
        <v>132</v>
      </c>
      <c r="G818" s="463">
        <v>1</v>
      </c>
      <c r="H818" s="432">
        <v>60</v>
      </c>
      <c r="I818" s="463">
        <f t="shared" si="85"/>
        <v>60</v>
      </c>
      <c r="J818" s="497">
        <v>3.6</v>
      </c>
      <c r="K818" s="497">
        <f t="shared" si="88"/>
        <v>216</v>
      </c>
      <c r="L818" s="537" t="s">
        <v>126</v>
      </c>
      <c r="M818" s="537"/>
      <c r="N818" s="537"/>
      <c r="O818" s="456"/>
    </row>
    <row r="819" s="457" customFormat="1" ht="20.25" spans="1:17">
      <c r="A819" s="494">
        <v>45495</v>
      </c>
      <c r="B819" s="607" t="s">
        <v>334</v>
      </c>
      <c r="C819" s="495">
        <v>45495</v>
      </c>
      <c r="D819" s="463"/>
      <c r="E819" s="463"/>
      <c r="F819" s="496" t="s">
        <v>191</v>
      </c>
      <c r="G819" s="463">
        <v>1</v>
      </c>
      <c r="H819" s="432">
        <v>22</v>
      </c>
      <c r="I819" s="463">
        <f t="shared" si="85"/>
        <v>22</v>
      </c>
      <c r="J819" s="497">
        <v>17</v>
      </c>
      <c r="K819" s="497">
        <f t="shared" si="88"/>
        <v>374</v>
      </c>
      <c r="L819" s="499" t="s">
        <v>308</v>
      </c>
      <c r="M819" s="537"/>
      <c r="N819" s="537"/>
      <c r="O819" s="456"/>
    </row>
    <row r="820" s="457" customFormat="1" ht="20.25" spans="1:17">
      <c r="A820" s="494">
        <v>45495</v>
      </c>
      <c r="B820" s="607" t="s">
        <v>334</v>
      </c>
      <c r="C820" s="495">
        <v>45495</v>
      </c>
      <c r="D820" s="463"/>
      <c r="E820" s="463"/>
      <c r="F820" s="496" t="s">
        <v>129</v>
      </c>
      <c r="G820" s="463">
        <v>1</v>
      </c>
      <c r="H820" s="432">
        <v>60</v>
      </c>
      <c r="I820" s="463">
        <f t="shared" si="85"/>
        <v>60</v>
      </c>
      <c r="J820" s="497"/>
      <c r="K820" s="497"/>
      <c r="L820" s="537"/>
      <c r="M820" s="537"/>
      <c r="N820" s="537"/>
      <c r="O820" s="456"/>
    </row>
    <row r="821" s="457" customFormat="1" ht="20.25" spans="1:17">
      <c r="A821" s="494">
        <v>45495</v>
      </c>
      <c r="B821" s="607" t="s">
        <v>334</v>
      </c>
      <c r="C821" s="495">
        <v>45495</v>
      </c>
      <c r="D821" s="463"/>
      <c r="E821" s="463"/>
      <c r="F821" s="496" t="s">
        <v>257</v>
      </c>
      <c r="G821" s="463">
        <v>1</v>
      </c>
      <c r="H821" s="500">
        <f>SUM(H814:H820)</f>
        <v>472</v>
      </c>
      <c r="I821" s="501">
        <f t="shared" si="85"/>
        <v>472</v>
      </c>
      <c r="J821" s="502">
        <v>1</v>
      </c>
      <c r="K821" s="502">
        <f t="shared" ref="K821:K828" si="89">I821*J821</f>
        <v>472</v>
      </c>
      <c r="L821" s="537"/>
      <c r="M821" s="537">
        <f>SUM(K814:K821)</f>
        <v>3006</v>
      </c>
      <c r="N821" s="537"/>
      <c r="O821" s="456"/>
    </row>
    <row r="822" s="456" customFormat="1" ht="20.25" spans="1:17">
      <c r="A822" s="488">
        <v>45503</v>
      </c>
      <c r="B822" s="456" t="s">
        <v>390</v>
      </c>
      <c r="C822" s="490">
        <v>45500</v>
      </c>
      <c r="D822" s="491"/>
      <c r="E822" s="491"/>
      <c r="F822" s="493" t="s">
        <v>391</v>
      </c>
      <c r="G822" s="491">
        <v>1</v>
      </c>
      <c r="H822" s="431">
        <v>2</v>
      </c>
      <c r="I822" s="491">
        <f t="shared" si="85"/>
        <v>2</v>
      </c>
      <c r="J822" s="492">
        <v>11.5</v>
      </c>
      <c r="K822" s="492">
        <f t="shared" si="89"/>
        <v>23</v>
      </c>
      <c r="L822" s="536"/>
      <c r="M822" s="536"/>
      <c r="N822" s="536"/>
    </row>
    <row r="823" s="456" customFormat="1" ht="20.25" spans="1:17">
      <c r="A823" s="488">
        <v>45503</v>
      </c>
      <c r="B823" s="456" t="s">
        <v>390</v>
      </c>
      <c r="C823" s="490">
        <v>45500</v>
      </c>
      <c r="D823" s="491"/>
      <c r="E823" s="491"/>
      <c r="F823" s="493" t="s">
        <v>392</v>
      </c>
      <c r="G823" s="491">
        <v>1</v>
      </c>
      <c r="H823" s="431">
        <v>2</v>
      </c>
      <c r="I823" s="491">
        <f t="shared" si="85"/>
        <v>2</v>
      </c>
      <c r="J823" s="492">
        <v>10.5</v>
      </c>
      <c r="K823" s="492">
        <f t="shared" si="89"/>
        <v>21</v>
      </c>
      <c r="L823" s="536"/>
      <c r="M823" s="536"/>
      <c r="N823" s="536"/>
    </row>
    <row r="824" s="456" customFormat="1" ht="20.25" spans="1:17">
      <c r="A824" s="488">
        <v>45503</v>
      </c>
      <c r="B824" s="456" t="s">
        <v>390</v>
      </c>
      <c r="C824" s="490">
        <v>45500</v>
      </c>
      <c r="D824" s="491"/>
      <c r="E824" s="491"/>
      <c r="F824" s="493" t="s">
        <v>351</v>
      </c>
      <c r="G824" s="491">
        <v>2</v>
      </c>
      <c r="H824" s="431">
        <v>1</v>
      </c>
      <c r="I824" s="491">
        <f t="shared" si="85"/>
        <v>2</v>
      </c>
      <c r="J824" s="492">
        <v>5.5</v>
      </c>
      <c r="K824" s="492">
        <f t="shared" si="89"/>
        <v>11</v>
      </c>
      <c r="L824" s="536">
        <f>SUM(K822:K824)</f>
        <v>55</v>
      </c>
      <c r="M824" s="536"/>
      <c r="N824" s="536"/>
    </row>
    <row r="825" s="457" customFormat="1" ht="20.25" spans="1:17">
      <c r="A825" s="494">
        <v>45504</v>
      </c>
      <c r="B825" s="457" t="s">
        <v>393</v>
      </c>
      <c r="C825" s="495">
        <v>45503</v>
      </c>
      <c r="D825" s="463"/>
      <c r="E825" s="463"/>
      <c r="F825" s="496" t="s">
        <v>16</v>
      </c>
      <c r="G825" s="463">
        <v>1</v>
      </c>
      <c r="H825" s="432">
        <v>1.8</v>
      </c>
      <c r="I825" s="463">
        <f t="shared" si="85"/>
        <v>1.8</v>
      </c>
      <c r="J825" s="497"/>
      <c r="K825" s="497"/>
      <c r="L825" s="537"/>
      <c r="M825" s="537"/>
      <c r="N825" s="537"/>
    </row>
    <row r="826" s="457" customFormat="1" ht="20.25" spans="1:17">
      <c r="A826" s="494">
        <v>45504</v>
      </c>
      <c r="B826" s="457" t="s">
        <v>393</v>
      </c>
      <c r="C826" s="495">
        <v>45503</v>
      </c>
      <c r="D826" s="463"/>
      <c r="E826" s="463"/>
      <c r="F826" s="496" t="s">
        <v>386</v>
      </c>
      <c r="G826" s="463">
        <v>1</v>
      </c>
      <c r="H826" s="432">
        <v>4.4</v>
      </c>
      <c r="I826" s="463">
        <f t="shared" si="85"/>
        <v>4.4</v>
      </c>
      <c r="J826" s="497">
        <v>17</v>
      </c>
      <c r="K826" s="497">
        <f t="shared" ref="K826:K831" si="90">I826*J826</f>
        <v>74.8</v>
      </c>
      <c r="L826" s="537"/>
      <c r="M826" s="537"/>
      <c r="N826" s="537"/>
    </row>
    <row r="827" s="457" customFormat="1" ht="20.25" spans="1:17">
      <c r="A827" s="494">
        <v>45504</v>
      </c>
      <c r="B827" s="457" t="s">
        <v>393</v>
      </c>
      <c r="C827" s="495">
        <v>45503</v>
      </c>
      <c r="D827" s="463"/>
      <c r="E827" s="463"/>
      <c r="F827" s="496" t="s">
        <v>152</v>
      </c>
      <c r="G827" s="463">
        <v>1</v>
      </c>
      <c r="H827" s="432">
        <v>15</v>
      </c>
      <c r="I827" s="463">
        <f t="shared" si="85"/>
        <v>15</v>
      </c>
      <c r="J827" s="497">
        <v>8.6</v>
      </c>
      <c r="K827" s="497">
        <f t="shared" si="90"/>
        <v>129</v>
      </c>
      <c r="L827" s="537" t="s">
        <v>387</v>
      </c>
      <c r="M827" s="537"/>
      <c r="N827" s="537"/>
    </row>
    <row r="828" s="457" customFormat="1" ht="20.25" spans="1:17">
      <c r="A828" s="494">
        <v>45504</v>
      </c>
      <c r="B828" s="457" t="s">
        <v>393</v>
      </c>
      <c r="C828" s="495">
        <v>45503</v>
      </c>
      <c r="D828" s="463"/>
      <c r="E828" s="463"/>
      <c r="F828" s="496" t="s">
        <v>125</v>
      </c>
      <c r="G828" s="463">
        <v>1</v>
      </c>
      <c r="H828" s="432">
        <v>15</v>
      </c>
      <c r="I828" s="463">
        <f t="shared" si="85"/>
        <v>15</v>
      </c>
      <c r="J828" s="497">
        <v>6.4</v>
      </c>
      <c r="K828" s="497">
        <f t="shared" si="90"/>
        <v>96</v>
      </c>
      <c r="L828" s="537"/>
      <c r="M828" s="537"/>
      <c r="N828" s="537"/>
    </row>
    <row r="829" s="457" customFormat="1" ht="20.25" spans="1:17">
      <c r="A829" s="494">
        <v>45504</v>
      </c>
      <c r="B829" s="457" t="s">
        <v>393</v>
      </c>
      <c r="C829" s="495">
        <v>45503</v>
      </c>
      <c r="D829" s="463"/>
      <c r="E829" s="463"/>
      <c r="F829" s="496" t="s">
        <v>389</v>
      </c>
      <c r="G829" s="463">
        <v>1</v>
      </c>
      <c r="H829" s="432">
        <f>SUM(H825:H828)</f>
        <v>36.2</v>
      </c>
      <c r="I829" s="463">
        <f t="shared" si="85"/>
        <v>36.2</v>
      </c>
      <c r="J829" s="497">
        <v>1</v>
      </c>
      <c r="K829" s="497">
        <f t="shared" si="90"/>
        <v>36.2</v>
      </c>
      <c r="L829" s="537"/>
      <c r="M829" s="537"/>
      <c r="N829" s="537"/>
    </row>
    <row r="830" s="457" customFormat="1" ht="20.25" spans="1:17">
      <c r="A830" s="494">
        <v>45504</v>
      </c>
      <c r="B830" s="457" t="s">
        <v>393</v>
      </c>
      <c r="C830" s="495">
        <v>45503</v>
      </c>
      <c r="D830" s="463"/>
      <c r="E830" s="463"/>
      <c r="F830" s="496" t="s">
        <v>112</v>
      </c>
      <c r="G830" s="463">
        <v>1</v>
      </c>
      <c r="H830" s="432">
        <v>2</v>
      </c>
      <c r="I830" s="463">
        <f t="shared" si="85"/>
        <v>2</v>
      </c>
      <c r="J830" s="497">
        <v>12.5</v>
      </c>
      <c r="K830" s="497">
        <f t="shared" si="90"/>
        <v>25</v>
      </c>
      <c r="L830" s="537">
        <f>SUM(K825:K830)</f>
        <v>361</v>
      </c>
      <c r="M830" s="442"/>
    </row>
    <row r="831" s="456" customFormat="1" ht="20.25" spans="1:17">
      <c r="A831" s="488"/>
      <c r="B831" s="457"/>
      <c r="C831" s="490"/>
      <c r="D831" s="491"/>
      <c r="E831" s="491"/>
      <c r="F831" s="493"/>
      <c r="G831" s="491"/>
      <c r="H831" s="431"/>
      <c r="I831" s="491"/>
      <c r="J831" s="492"/>
      <c r="K831" s="492"/>
      <c r="L831" s="536"/>
      <c r="M831" s="489"/>
    </row>
    <row r="832" s="454" customFormat="1" ht="21" customHeight="1" spans="1:17">
      <c r="A832" s="601" t="s">
        <v>394</v>
      </c>
      <c r="B832" s="481"/>
      <c r="C832" s="481"/>
      <c r="D832" s="481"/>
      <c r="E832" s="481"/>
      <c r="F832" s="481"/>
      <c r="G832" s="481"/>
      <c r="H832" s="481"/>
      <c r="I832" s="481"/>
      <c r="J832" s="632" t="s">
        <v>28</v>
      </c>
      <c r="K832" s="595">
        <f>SUM(K835:K894)</f>
        <v>24126.8</v>
      </c>
      <c r="L832" s="454" t="s">
        <v>29</v>
      </c>
      <c r="M832" s="601">
        <f>'24材料明细'!AQ156</f>
        <v>14891.3</v>
      </c>
      <c r="N832" s="593" t="s">
        <v>30</v>
      </c>
      <c r="O832" s="601">
        <f>K842+K849+K859+K867+K871+K879+K886+K893</f>
        <v>8469</v>
      </c>
      <c r="P832" s="481" t="s">
        <v>31</v>
      </c>
      <c r="Q832" s="601"/>
    </row>
    <row r="833" s="454" customFormat="1" ht="18" customHeight="1" spans="1:15">
      <c r="A833" s="601"/>
      <c r="B833" s="481"/>
      <c r="C833" s="481"/>
      <c r="D833" s="481"/>
      <c r="E833" s="481"/>
      <c r="F833" s="481"/>
      <c r="G833" s="481"/>
      <c r="H833" s="481"/>
      <c r="I833" s="481"/>
      <c r="J833" s="481" t="s">
        <v>32</v>
      </c>
      <c r="K833" s="481">
        <f>(H840+H845+H848+H852)/1000</f>
        <v>0.775</v>
      </c>
      <c r="L833" s="454" t="s">
        <v>33</v>
      </c>
      <c r="M833" s="601">
        <f>K835+K843+K850+K860+K894</f>
        <v>766.5</v>
      </c>
      <c r="N833" s="634" t="s">
        <v>34</v>
      </c>
      <c r="O833" s="595">
        <f>M832+M833+O832+Q832</f>
        <v>24126.8</v>
      </c>
    </row>
    <row r="834" s="455" customFormat="1" ht="15" customHeight="1" spans="1:15">
      <c r="A834" s="604" t="s">
        <v>35</v>
      </c>
      <c r="B834" s="605" t="s">
        <v>36</v>
      </c>
      <c r="C834" s="486" t="s">
        <v>37</v>
      </c>
      <c r="D834" s="486"/>
      <c r="E834" s="486"/>
      <c r="F834" s="486" t="s">
        <v>38</v>
      </c>
      <c r="G834" s="486" t="s">
        <v>4</v>
      </c>
      <c r="H834" s="486" t="s">
        <v>5</v>
      </c>
      <c r="I834" s="486" t="s">
        <v>6</v>
      </c>
      <c r="J834" s="486" t="s">
        <v>7</v>
      </c>
      <c r="K834" s="486" t="s">
        <v>8</v>
      </c>
      <c r="L834" s="486" t="s">
        <v>39</v>
      </c>
      <c r="M834" s="486" t="s">
        <v>40</v>
      </c>
      <c r="N834" s="487"/>
      <c r="O834" s="487"/>
    </row>
    <row r="835" s="456" customFormat="1" ht="20.25" spans="1:15">
      <c r="A835" s="488">
        <v>45511</v>
      </c>
      <c r="B835" s="456" t="s">
        <v>395</v>
      </c>
      <c r="C835" s="490">
        <v>45509</v>
      </c>
      <c r="D835" s="491"/>
      <c r="E835" s="491"/>
      <c r="F835" s="493" t="s">
        <v>396</v>
      </c>
      <c r="G835" s="491">
        <v>30</v>
      </c>
      <c r="H835" s="431">
        <v>1</v>
      </c>
      <c r="I835" s="491">
        <f t="shared" ref="I835:I885" si="91">G835*H835</f>
        <v>30</v>
      </c>
      <c r="J835" s="492">
        <v>12.5</v>
      </c>
      <c r="K835" s="492">
        <f>I835*J835</f>
        <v>375</v>
      </c>
      <c r="L835" s="536"/>
      <c r="M835" s="489"/>
    </row>
    <row r="836" s="457" customFormat="1" ht="20.25" spans="1:15">
      <c r="A836" s="494">
        <v>45514</v>
      </c>
      <c r="B836" s="457" t="s">
        <v>255</v>
      </c>
      <c r="C836" s="495">
        <v>45512</v>
      </c>
      <c r="D836" s="463"/>
      <c r="E836" s="463"/>
      <c r="F836" s="496" t="s">
        <v>251</v>
      </c>
      <c r="G836" s="463">
        <v>1</v>
      </c>
      <c r="H836" s="432">
        <v>200</v>
      </c>
      <c r="I836" s="463">
        <f t="shared" si="91"/>
        <v>200</v>
      </c>
      <c r="J836" s="497">
        <v>13.5</v>
      </c>
      <c r="K836" s="497"/>
    </row>
    <row r="837" s="457" customFormat="1" ht="20.25" spans="1:15">
      <c r="A837" s="494">
        <v>45514</v>
      </c>
      <c r="B837" s="457" t="s">
        <v>255</v>
      </c>
      <c r="C837" s="495">
        <v>45512</v>
      </c>
      <c r="D837" s="463"/>
      <c r="E837" s="463"/>
      <c r="F837" s="496" t="s">
        <v>13</v>
      </c>
      <c r="G837" s="463">
        <v>1</v>
      </c>
      <c r="H837" s="432">
        <v>200</v>
      </c>
      <c r="I837" s="463">
        <f t="shared" si="91"/>
        <v>200</v>
      </c>
      <c r="J837" s="497">
        <v>17.9</v>
      </c>
      <c r="K837" s="497"/>
    </row>
    <row r="838" s="457" customFormat="1" ht="20.25" spans="1:15">
      <c r="A838" s="494">
        <v>45514</v>
      </c>
      <c r="B838" s="457" t="s">
        <v>255</v>
      </c>
      <c r="C838" s="495">
        <v>45512</v>
      </c>
      <c r="D838" s="463"/>
      <c r="E838" s="463"/>
      <c r="F838" s="496" t="s">
        <v>86</v>
      </c>
      <c r="G838" s="463">
        <v>1</v>
      </c>
      <c r="H838" s="432">
        <v>70</v>
      </c>
      <c r="I838" s="463">
        <f t="shared" si="91"/>
        <v>70</v>
      </c>
      <c r="J838" s="497">
        <v>14.1</v>
      </c>
      <c r="K838" s="497"/>
    </row>
    <row r="839" s="457" customFormat="1" ht="20.25" spans="1:15">
      <c r="A839" s="494">
        <v>45514</v>
      </c>
      <c r="B839" s="457" t="s">
        <v>255</v>
      </c>
      <c r="C839" s="495">
        <v>45512</v>
      </c>
      <c r="D839" s="463"/>
      <c r="E839" s="463"/>
      <c r="F839" s="496" t="s">
        <v>87</v>
      </c>
      <c r="G839" s="463">
        <v>1</v>
      </c>
      <c r="H839" s="432">
        <v>380</v>
      </c>
      <c r="I839" s="463">
        <f t="shared" si="91"/>
        <v>380</v>
      </c>
      <c r="J839" s="497">
        <v>11.4</v>
      </c>
      <c r="K839" s="497"/>
    </row>
    <row r="840" s="457" customFormat="1" ht="20.25" spans="1:15">
      <c r="A840" s="494">
        <v>45514</v>
      </c>
      <c r="B840" s="457" t="s">
        <v>255</v>
      </c>
      <c r="C840" s="495">
        <v>45512</v>
      </c>
      <c r="D840" s="463"/>
      <c r="E840" s="463"/>
      <c r="F840" s="496" t="s">
        <v>115</v>
      </c>
      <c r="G840" s="463">
        <v>1</v>
      </c>
      <c r="H840" s="432">
        <v>125</v>
      </c>
      <c r="I840" s="463">
        <f t="shared" si="91"/>
        <v>125</v>
      </c>
      <c r="J840" s="497">
        <v>14.72</v>
      </c>
      <c r="K840" s="497"/>
      <c r="L840" s="457" t="s">
        <v>313</v>
      </c>
    </row>
    <row r="841" s="457" customFormat="1" ht="20.25" spans="1:15">
      <c r="A841" s="494">
        <v>45514</v>
      </c>
      <c r="B841" s="457" t="s">
        <v>255</v>
      </c>
      <c r="C841" s="495">
        <v>45512</v>
      </c>
      <c r="D841" s="463"/>
      <c r="E841" s="463"/>
      <c r="F841" s="496">
        <v>808</v>
      </c>
      <c r="G841" s="463">
        <v>1</v>
      </c>
      <c r="H841" s="432">
        <v>25</v>
      </c>
      <c r="I841" s="463">
        <f t="shared" si="91"/>
        <v>25</v>
      </c>
      <c r="J841" s="497">
        <v>11.2</v>
      </c>
      <c r="K841" s="497">
        <f t="shared" ref="K841:K846" si="92">I841*J841</f>
        <v>280</v>
      </c>
      <c r="L841" s="537" t="s">
        <v>116</v>
      </c>
      <c r="M841" s="537" t="s">
        <v>314</v>
      </c>
    </row>
    <row r="842" s="457" customFormat="1" ht="20.25" spans="1:15">
      <c r="A842" s="494">
        <v>45514</v>
      </c>
      <c r="B842" s="457" t="s">
        <v>255</v>
      </c>
      <c r="C842" s="495">
        <v>45512</v>
      </c>
      <c r="D842" s="463"/>
      <c r="E842" s="463"/>
      <c r="F842" s="499" t="s">
        <v>17</v>
      </c>
      <c r="G842" s="501">
        <v>1</v>
      </c>
      <c r="H842" s="500">
        <f>SUM(H836:H841)</f>
        <v>1000</v>
      </c>
      <c r="I842" s="501">
        <f t="shared" si="91"/>
        <v>1000</v>
      </c>
      <c r="J842" s="502">
        <v>1</v>
      </c>
      <c r="K842" s="502">
        <f t="shared" si="92"/>
        <v>1000</v>
      </c>
      <c r="L842" s="457">
        <f>SUM(K836:K842)</f>
        <v>1280</v>
      </c>
    </row>
    <row r="843" s="457" customFormat="1" ht="20.25" spans="1:15">
      <c r="A843" s="494">
        <v>45514</v>
      </c>
      <c r="B843" s="457" t="s">
        <v>255</v>
      </c>
      <c r="C843" s="495">
        <v>45512</v>
      </c>
      <c r="D843" s="463"/>
      <c r="E843" s="463"/>
      <c r="F843" s="496" t="s">
        <v>397</v>
      </c>
      <c r="G843" s="463">
        <v>10</v>
      </c>
      <c r="H843" s="432">
        <v>1</v>
      </c>
      <c r="I843" s="463">
        <f t="shared" si="91"/>
        <v>10</v>
      </c>
      <c r="J843" s="497">
        <v>12.5</v>
      </c>
      <c r="K843" s="497">
        <f t="shared" si="92"/>
        <v>125</v>
      </c>
      <c r="L843" s="323" t="s">
        <v>398</v>
      </c>
    </row>
    <row r="844" s="456" customFormat="1" ht="20.25" spans="1:15">
      <c r="A844" s="488">
        <v>45514</v>
      </c>
      <c r="B844" s="456" t="s">
        <v>52</v>
      </c>
      <c r="C844" s="528">
        <v>45512</v>
      </c>
      <c r="D844" s="528"/>
      <c r="E844" s="529"/>
      <c r="F844" s="493" t="s">
        <v>251</v>
      </c>
      <c r="G844" s="491">
        <v>1</v>
      </c>
      <c r="H844" s="431">
        <v>200</v>
      </c>
      <c r="I844" s="491">
        <f t="shared" si="91"/>
        <v>200</v>
      </c>
      <c r="J844" s="492"/>
      <c r="K844" s="492"/>
    </row>
    <row r="845" s="456" customFormat="1" ht="20.25" spans="1:15">
      <c r="A845" s="488">
        <v>45514</v>
      </c>
      <c r="B845" s="456" t="s">
        <v>52</v>
      </c>
      <c r="C845" s="528">
        <v>45512</v>
      </c>
      <c r="D845" s="528"/>
      <c r="E845" s="529"/>
      <c r="F845" s="493" t="s">
        <v>129</v>
      </c>
      <c r="G845" s="491">
        <v>1</v>
      </c>
      <c r="H845" s="431">
        <v>150</v>
      </c>
      <c r="I845" s="491">
        <f t="shared" si="91"/>
        <v>150</v>
      </c>
      <c r="J845" s="492"/>
      <c r="K845" s="492"/>
    </row>
    <row r="846" s="456" customFormat="1" ht="20.25" spans="1:15">
      <c r="A846" s="488">
        <v>45514</v>
      </c>
      <c r="B846" s="456" t="s">
        <v>52</v>
      </c>
      <c r="C846" s="528">
        <v>45512</v>
      </c>
      <c r="D846" s="528"/>
      <c r="E846" s="529"/>
      <c r="F846" s="493">
        <v>808</v>
      </c>
      <c r="G846" s="491">
        <v>1</v>
      </c>
      <c r="H846" s="431">
        <v>200</v>
      </c>
      <c r="I846" s="491">
        <f t="shared" si="91"/>
        <v>200</v>
      </c>
      <c r="J846" s="492">
        <v>11.2</v>
      </c>
      <c r="K846" s="492">
        <f t="shared" si="92"/>
        <v>2240</v>
      </c>
    </row>
    <row r="847" s="456" customFormat="1" ht="20.25" spans="1:15">
      <c r="A847" s="488">
        <v>45514</v>
      </c>
      <c r="B847" s="456" t="s">
        <v>52</v>
      </c>
      <c r="C847" s="528">
        <v>45512</v>
      </c>
      <c r="D847" s="528"/>
      <c r="E847" s="529"/>
      <c r="F847" s="493" t="s">
        <v>86</v>
      </c>
      <c r="G847" s="491">
        <v>1</v>
      </c>
      <c r="H847" s="431">
        <v>70</v>
      </c>
      <c r="I847" s="491">
        <f t="shared" si="91"/>
        <v>70</v>
      </c>
      <c r="J847" s="492"/>
      <c r="K847" s="492"/>
      <c r="L847" s="536"/>
      <c r="M847" s="536"/>
      <c r="N847" s="536"/>
    </row>
    <row r="848" s="456" customFormat="1" ht="20.25" spans="1:15">
      <c r="A848" s="488">
        <v>45514</v>
      </c>
      <c r="B848" s="456" t="s">
        <v>52</v>
      </c>
      <c r="C848" s="528">
        <v>45512</v>
      </c>
      <c r="D848" s="528"/>
      <c r="E848" s="529"/>
      <c r="F848" s="493" t="s">
        <v>87</v>
      </c>
      <c r="G848" s="491">
        <v>1</v>
      </c>
      <c r="H848" s="431">
        <v>380</v>
      </c>
      <c r="I848" s="491">
        <f t="shared" si="91"/>
        <v>380</v>
      </c>
      <c r="J848" s="492"/>
      <c r="K848" s="492"/>
      <c r="L848" s="536"/>
      <c r="M848" s="536" t="s">
        <v>126</v>
      </c>
      <c r="N848" s="536"/>
    </row>
    <row r="849" s="456" customFormat="1" ht="20.25" spans="1:14">
      <c r="A849" s="488">
        <v>45514</v>
      </c>
      <c r="B849" s="456" t="s">
        <v>52</v>
      </c>
      <c r="C849" s="528">
        <v>45512</v>
      </c>
      <c r="D849" s="528"/>
      <c r="E849" s="529"/>
      <c r="F849" s="493" t="s">
        <v>130</v>
      </c>
      <c r="G849" s="491">
        <v>1</v>
      </c>
      <c r="H849" s="431">
        <f>SUM(H844:H848)</f>
        <v>1000</v>
      </c>
      <c r="I849" s="491">
        <f t="shared" si="91"/>
        <v>1000</v>
      </c>
      <c r="J849" s="492">
        <v>1</v>
      </c>
      <c r="K849" s="492">
        <f t="shared" ref="K849:K855" si="93">I849*J849</f>
        <v>1000</v>
      </c>
      <c r="L849" s="536">
        <f>SUM(K844:K849)</f>
        <v>3240</v>
      </c>
      <c r="M849" s="536"/>
      <c r="N849" s="606" t="s">
        <v>399</v>
      </c>
    </row>
    <row r="850" s="456" customFormat="1" ht="20.25" spans="1:14">
      <c r="A850" s="488">
        <v>45514</v>
      </c>
      <c r="B850" s="456" t="s">
        <v>52</v>
      </c>
      <c r="C850" s="528">
        <v>45512</v>
      </c>
      <c r="D850" s="528"/>
      <c r="E850" s="529"/>
      <c r="F850" s="493" t="s">
        <v>397</v>
      </c>
      <c r="G850" s="491">
        <v>10</v>
      </c>
      <c r="H850" s="431">
        <v>1</v>
      </c>
      <c r="I850" s="491">
        <f t="shared" si="91"/>
        <v>10</v>
      </c>
      <c r="J850" s="492">
        <v>12.5</v>
      </c>
      <c r="K850" s="492">
        <f t="shared" si="93"/>
        <v>125</v>
      </c>
      <c r="L850" s="7" t="s">
        <v>398</v>
      </c>
    </row>
    <row r="851" s="457" customFormat="1" ht="20.25" spans="1:14">
      <c r="A851" s="494">
        <v>45513</v>
      </c>
      <c r="B851" s="457" t="s">
        <v>57</v>
      </c>
      <c r="C851" s="504">
        <v>45513</v>
      </c>
      <c r="D851" s="504"/>
      <c r="E851" s="505"/>
      <c r="F851" s="496" t="s">
        <v>303</v>
      </c>
      <c r="G851" s="463">
        <v>1</v>
      </c>
      <c r="H851" s="432">
        <v>150</v>
      </c>
      <c r="I851" s="463">
        <f t="shared" si="91"/>
        <v>150</v>
      </c>
      <c r="J851" s="497"/>
      <c r="K851" s="497"/>
    </row>
    <row r="852" s="457" customFormat="1" ht="20.25" spans="1:14">
      <c r="A852" s="494">
        <v>45513</v>
      </c>
      <c r="B852" s="457" t="s">
        <v>57</v>
      </c>
      <c r="C852" s="504">
        <v>45513</v>
      </c>
      <c r="D852" s="504"/>
      <c r="E852" s="505"/>
      <c r="F852" s="496" t="s">
        <v>129</v>
      </c>
      <c r="G852" s="463">
        <v>1</v>
      </c>
      <c r="H852" s="432">
        <v>120</v>
      </c>
      <c r="I852" s="463">
        <f t="shared" si="91"/>
        <v>120</v>
      </c>
      <c r="J852" s="497"/>
      <c r="K852" s="497"/>
    </row>
    <row r="853" s="457" customFormat="1" ht="20.25" spans="1:14">
      <c r="A853" s="494">
        <v>45513</v>
      </c>
      <c r="B853" s="457" t="s">
        <v>57</v>
      </c>
      <c r="C853" s="504">
        <v>45513</v>
      </c>
      <c r="D853" s="504"/>
      <c r="E853" s="505"/>
      <c r="F853" s="496" t="s">
        <v>208</v>
      </c>
      <c r="G853" s="463">
        <v>1</v>
      </c>
      <c r="H853" s="432">
        <v>30</v>
      </c>
      <c r="I853" s="463">
        <f t="shared" si="91"/>
        <v>30</v>
      </c>
      <c r="J853" s="497">
        <v>17</v>
      </c>
      <c r="K853" s="497">
        <f t="shared" si="93"/>
        <v>510</v>
      </c>
    </row>
    <row r="854" s="457" customFormat="1" ht="20.25" spans="1:14">
      <c r="A854" s="494">
        <v>45513</v>
      </c>
      <c r="B854" s="457" t="s">
        <v>57</v>
      </c>
      <c r="C854" s="504">
        <v>45513</v>
      </c>
      <c r="D854" s="504"/>
      <c r="E854" s="505"/>
      <c r="F854" s="496">
        <v>808</v>
      </c>
      <c r="G854" s="463">
        <v>1</v>
      </c>
      <c r="H854" s="432">
        <v>100</v>
      </c>
      <c r="I854" s="463">
        <f t="shared" si="91"/>
        <v>100</v>
      </c>
      <c r="J854" s="497">
        <v>11.2</v>
      </c>
      <c r="K854" s="497">
        <f t="shared" si="93"/>
        <v>1120</v>
      </c>
    </row>
    <row r="855" s="457" customFormat="1" ht="20.25" spans="1:14">
      <c r="A855" s="494">
        <v>45513</v>
      </c>
      <c r="B855" s="457" t="s">
        <v>57</v>
      </c>
      <c r="C855" s="504">
        <v>45513</v>
      </c>
      <c r="D855" s="504"/>
      <c r="E855" s="505"/>
      <c r="F855" s="496" t="s">
        <v>132</v>
      </c>
      <c r="G855" s="463">
        <v>1</v>
      </c>
      <c r="H855" s="432">
        <v>200</v>
      </c>
      <c r="I855" s="463">
        <f t="shared" si="91"/>
        <v>200</v>
      </c>
      <c r="J855" s="497">
        <v>3.6</v>
      </c>
      <c r="K855" s="497">
        <f t="shared" si="93"/>
        <v>720</v>
      </c>
    </row>
    <row r="856" s="457" customFormat="1" ht="20.25" spans="1:14">
      <c r="A856" s="494">
        <v>45513</v>
      </c>
      <c r="B856" s="457" t="s">
        <v>57</v>
      </c>
      <c r="C856" s="504">
        <v>45513</v>
      </c>
      <c r="D856" s="504"/>
      <c r="E856" s="505"/>
      <c r="F856" s="496" t="s">
        <v>86</v>
      </c>
      <c r="G856" s="463">
        <v>1</v>
      </c>
      <c r="H856" s="432">
        <v>140</v>
      </c>
      <c r="I856" s="463">
        <f t="shared" si="91"/>
        <v>140</v>
      </c>
      <c r="J856" s="497"/>
      <c r="K856" s="497"/>
      <c r="L856" s="537"/>
      <c r="M856" s="606" t="s">
        <v>400</v>
      </c>
      <c r="N856" s="537"/>
    </row>
    <row r="857" s="457" customFormat="1" ht="20.25" spans="1:14">
      <c r="A857" s="494">
        <v>45513</v>
      </c>
      <c r="B857" s="457" t="s">
        <v>57</v>
      </c>
      <c r="C857" s="504">
        <v>45513</v>
      </c>
      <c r="D857" s="504"/>
      <c r="E857" s="505"/>
      <c r="F857" s="496" t="s">
        <v>87</v>
      </c>
      <c r="G857" s="463">
        <v>1</v>
      </c>
      <c r="H857" s="432">
        <v>260</v>
      </c>
      <c r="I857" s="463">
        <f t="shared" si="91"/>
        <v>260</v>
      </c>
      <c r="J857" s="497"/>
      <c r="K857" s="497"/>
      <c r="L857" s="537"/>
      <c r="M857" s="537" t="s">
        <v>126</v>
      </c>
      <c r="N857" s="537"/>
    </row>
    <row r="858" s="457" customFormat="1" ht="20.25" spans="1:14">
      <c r="A858" s="494">
        <v>45513</v>
      </c>
      <c r="B858" s="457" t="s">
        <v>57</v>
      </c>
      <c r="C858" s="504">
        <v>45513</v>
      </c>
      <c r="D858" s="504"/>
      <c r="E858" s="505"/>
      <c r="F858" s="496" t="s">
        <v>373</v>
      </c>
      <c r="G858" s="463">
        <v>1</v>
      </c>
      <c r="H858" s="432">
        <v>3</v>
      </c>
      <c r="I858" s="463">
        <f t="shared" si="91"/>
        <v>3</v>
      </c>
      <c r="J858" s="497"/>
      <c r="K858" s="497"/>
      <c r="L858" s="537"/>
      <c r="M858" s="537"/>
      <c r="N858" s="537"/>
    </row>
    <row r="859" s="457" customFormat="1" ht="20.25" spans="1:14">
      <c r="A859" s="494">
        <v>45513</v>
      </c>
      <c r="B859" s="457" t="s">
        <v>57</v>
      </c>
      <c r="C859" s="504">
        <v>45513</v>
      </c>
      <c r="D859" s="504"/>
      <c r="E859" s="505"/>
      <c r="F859" s="496" t="s">
        <v>304</v>
      </c>
      <c r="G859" s="463">
        <v>1</v>
      </c>
      <c r="H859" s="432">
        <f>SUM(H851:H858)</f>
        <v>1003</v>
      </c>
      <c r="I859" s="463">
        <f t="shared" si="91"/>
        <v>1003</v>
      </c>
      <c r="J859" s="497">
        <v>1</v>
      </c>
      <c r="K859" s="497">
        <f>I859*J859</f>
        <v>1003</v>
      </c>
      <c r="L859" s="537">
        <f>SUM(K851:K860)</f>
        <v>3478</v>
      </c>
      <c r="M859" s="537"/>
      <c r="N859" s="537"/>
    </row>
    <row r="860" s="457" customFormat="1" ht="20.25" spans="1:14">
      <c r="A860" s="494">
        <v>45513</v>
      </c>
      <c r="B860" s="457" t="s">
        <v>57</v>
      </c>
      <c r="C860" s="504">
        <v>45513</v>
      </c>
      <c r="D860" s="504"/>
      <c r="E860" s="505"/>
      <c r="F860" s="496" t="s">
        <v>397</v>
      </c>
      <c r="G860" s="463">
        <v>10</v>
      </c>
      <c r="H860" s="432">
        <v>1</v>
      </c>
      <c r="I860" s="463">
        <f t="shared" si="91"/>
        <v>10</v>
      </c>
      <c r="J860" s="497">
        <v>12.5</v>
      </c>
      <c r="K860" s="497">
        <f>I860*J860</f>
        <v>125</v>
      </c>
      <c r="L860" s="5" t="s">
        <v>398</v>
      </c>
    </row>
    <row r="861" s="456" customFormat="1" ht="20.25" spans="1:14">
      <c r="A861" s="488">
        <v>45514</v>
      </c>
      <c r="B861" s="456" t="s">
        <v>64</v>
      </c>
      <c r="C861" s="490">
        <v>45514</v>
      </c>
      <c r="D861" s="491"/>
      <c r="E861" s="491"/>
      <c r="F861" s="493" t="s">
        <v>328</v>
      </c>
      <c r="G861" s="491">
        <v>1</v>
      </c>
      <c r="H861" s="491">
        <v>70</v>
      </c>
      <c r="I861" s="491">
        <f t="shared" si="91"/>
        <v>70</v>
      </c>
      <c r="J861" s="492"/>
      <c r="K861" s="492"/>
    </row>
    <row r="862" s="456" customFormat="1" ht="20.25" spans="1:14">
      <c r="A862" s="488">
        <v>45514</v>
      </c>
      <c r="B862" s="456" t="s">
        <v>64</v>
      </c>
      <c r="C862" s="490">
        <v>45514</v>
      </c>
      <c r="D862" s="491"/>
      <c r="E862" s="491"/>
      <c r="F862" s="493" t="s">
        <v>352</v>
      </c>
      <c r="G862" s="491">
        <v>1</v>
      </c>
      <c r="H862" s="491">
        <v>75</v>
      </c>
      <c r="I862" s="491">
        <f t="shared" si="91"/>
        <v>75</v>
      </c>
      <c r="J862" s="492"/>
      <c r="K862" s="492"/>
    </row>
    <row r="863" s="456" customFormat="1" ht="20.25" spans="1:14">
      <c r="A863" s="488">
        <v>45514</v>
      </c>
      <c r="B863" s="456" t="s">
        <v>64</v>
      </c>
      <c r="C863" s="490">
        <v>45514</v>
      </c>
      <c r="D863" s="491"/>
      <c r="E863" s="491"/>
      <c r="F863" s="493" t="s">
        <v>86</v>
      </c>
      <c r="G863" s="491">
        <v>1</v>
      </c>
      <c r="H863" s="491">
        <v>70</v>
      </c>
      <c r="I863" s="491">
        <f t="shared" si="91"/>
        <v>70</v>
      </c>
      <c r="J863" s="492"/>
      <c r="K863" s="492"/>
      <c r="M863" s="459" t="s">
        <v>401</v>
      </c>
    </row>
    <row r="864" s="456" customFormat="1" ht="20.25" spans="1:14">
      <c r="A864" s="488">
        <v>45514</v>
      </c>
      <c r="B864" s="456" t="s">
        <v>64</v>
      </c>
      <c r="C864" s="490">
        <v>45514</v>
      </c>
      <c r="D864" s="491"/>
      <c r="E864" s="491"/>
      <c r="F864" s="493" t="s">
        <v>87</v>
      </c>
      <c r="G864" s="491">
        <v>1</v>
      </c>
      <c r="H864" s="491">
        <v>160</v>
      </c>
      <c r="I864" s="491">
        <f t="shared" si="91"/>
        <v>160</v>
      </c>
      <c r="J864" s="492"/>
      <c r="K864" s="492"/>
    </row>
    <row r="865" s="456" customFormat="1" ht="20.25" spans="1:13">
      <c r="A865" s="488">
        <v>45514</v>
      </c>
      <c r="B865" s="456" t="s">
        <v>64</v>
      </c>
      <c r="C865" s="490">
        <v>45514</v>
      </c>
      <c r="D865" s="491"/>
      <c r="E865" s="491"/>
      <c r="F865" s="493">
        <v>808</v>
      </c>
      <c r="G865" s="491">
        <v>1</v>
      </c>
      <c r="H865" s="491">
        <v>75</v>
      </c>
      <c r="I865" s="491">
        <f t="shared" si="91"/>
        <v>75</v>
      </c>
      <c r="J865" s="492">
        <v>11.2</v>
      </c>
      <c r="K865" s="492">
        <f t="shared" ref="K865:K871" si="94">I865*J865</f>
        <v>840</v>
      </c>
      <c r="L865" s="456" t="s">
        <v>354</v>
      </c>
    </row>
    <row r="866" s="456" customFormat="1" ht="20.25" spans="1:13">
      <c r="A866" s="488">
        <v>45514</v>
      </c>
      <c r="B866" s="456" t="s">
        <v>64</v>
      </c>
      <c r="C866" s="490">
        <v>45514</v>
      </c>
      <c r="D866" s="491"/>
      <c r="E866" s="491"/>
      <c r="F866" s="493" t="s">
        <v>115</v>
      </c>
      <c r="G866" s="491">
        <v>1</v>
      </c>
      <c r="H866" s="491">
        <v>50</v>
      </c>
      <c r="I866" s="491">
        <f t="shared" si="91"/>
        <v>50</v>
      </c>
      <c r="J866" s="492"/>
      <c r="K866" s="492"/>
      <c r="L866" s="4"/>
    </row>
    <row r="867" s="456" customFormat="1" ht="20.25" spans="1:13">
      <c r="A867" s="488">
        <v>45514</v>
      </c>
      <c r="B867" s="456" t="s">
        <v>64</v>
      </c>
      <c r="C867" s="490">
        <v>45514</v>
      </c>
      <c r="D867" s="491"/>
      <c r="E867" s="491"/>
      <c r="F867" s="499" t="s">
        <v>355</v>
      </c>
      <c r="G867" s="501">
        <v>1</v>
      </c>
      <c r="H867" s="500">
        <f>SUM(H861:H866)</f>
        <v>500</v>
      </c>
      <c r="I867" s="501">
        <f t="shared" si="91"/>
        <v>500</v>
      </c>
      <c r="J867" s="502">
        <v>1</v>
      </c>
      <c r="K867" s="502">
        <f t="shared" si="94"/>
        <v>500</v>
      </c>
      <c r="L867" s="456">
        <f>SUM(K861:K867)</f>
        <v>1340</v>
      </c>
    </row>
    <row r="868" s="457" customFormat="1" ht="20.25" spans="1:13">
      <c r="A868" s="494">
        <v>45528</v>
      </c>
      <c r="B868" s="457" t="s">
        <v>107</v>
      </c>
      <c r="C868" s="495">
        <v>45528</v>
      </c>
      <c r="D868" s="463"/>
      <c r="E868" s="463"/>
      <c r="F868" s="496" t="s">
        <v>65</v>
      </c>
      <c r="G868" s="463">
        <v>1</v>
      </c>
      <c r="H868" s="432">
        <v>375</v>
      </c>
      <c r="I868" s="463">
        <f t="shared" si="91"/>
        <v>375</v>
      </c>
      <c r="J868" s="497"/>
      <c r="K868" s="497"/>
      <c r="L868" s="537"/>
    </row>
    <row r="869" s="457" customFormat="1" ht="20.25" spans="1:13">
      <c r="A869" s="494">
        <v>45528</v>
      </c>
      <c r="B869" s="457" t="s">
        <v>107</v>
      </c>
      <c r="C869" s="495">
        <v>45528</v>
      </c>
      <c r="D869" s="463"/>
      <c r="E869" s="463"/>
      <c r="F869" s="496" t="s">
        <v>125</v>
      </c>
      <c r="G869" s="463">
        <v>1</v>
      </c>
      <c r="H869" s="432">
        <v>720</v>
      </c>
      <c r="I869" s="463">
        <f t="shared" si="91"/>
        <v>720</v>
      </c>
      <c r="J869" s="497">
        <v>6.4</v>
      </c>
      <c r="K869" s="497">
        <f t="shared" si="94"/>
        <v>4608</v>
      </c>
      <c r="L869" s="537" t="s">
        <v>402</v>
      </c>
    </row>
    <row r="870" s="457" customFormat="1" ht="20.25" spans="1:13">
      <c r="A870" s="494">
        <v>45528</v>
      </c>
      <c r="B870" s="457" t="s">
        <v>107</v>
      </c>
      <c r="C870" s="495">
        <v>45528</v>
      </c>
      <c r="D870" s="463"/>
      <c r="E870" s="463"/>
      <c r="F870" s="496" t="s">
        <v>152</v>
      </c>
      <c r="G870" s="463">
        <v>1</v>
      </c>
      <c r="H870" s="432">
        <v>180</v>
      </c>
      <c r="I870" s="463">
        <f t="shared" si="91"/>
        <v>180</v>
      </c>
      <c r="J870" s="497">
        <v>8.3</v>
      </c>
      <c r="K870" s="497">
        <f t="shared" si="94"/>
        <v>1494</v>
      </c>
      <c r="L870" s="537"/>
    </row>
    <row r="871" s="457" customFormat="1" ht="20.25" spans="1:13">
      <c r="A871" s="494">
        <v>45528</v>
      </c>
      <c r="B871" s="457" t="s">
        <v>107</v>
      </c>
      <c r="C871" s="495">
        <v>45528</v>
      </c>
      <c r="D871" s="463"/>
      <c r="E871" s="463"/>
      <c r="F871" s="499" t="s">
        <v>66</v>
      </c>
      <c r="G871" s="501">
        <v>1</v>
      </c>
      <c r="H871" s="500">
        <f>SUM(H868:H870)</f>
        <v>1275</v>
      </c>
      <c r="I871" s="501">
        <f t="shared" si="91"/>
        <v>1275</v>
      </c>
      <c r="J871" s="502">
        <v>0.8</v>
      </c>
      <c r="K871" s="502">
        <f t="shared" si="94"/>
        <v>1020</v>
      </c>
      <c r="L871" s="537">
        <f>SUM(K868:K871)</f>
        <v>7122</v>
      </c>
    </row>
    <row r="872" s="457" customFormat="1" ht="20.25" spans="1:13">
      <c r="A872" s="494"/>
      <c r="C872" s="495"/>
      <c r="D872" s="463"/>
      <c r="E872" s="463"/>
      <c r="F872" s="498" t="s">
        <v>403</v>
      </c>
      <c r="G872" s="501"/>
      <c r="H872" s="500"/>
      <c r="I872" s="501"/>
      <c r="J872" s="502"/>
      <c r="K872" s="502"/>
      <c r="L872" s="537"/>
    </row>
    <row r="873" s="456" customFormat="1" ht="20.25" spans="1:13">
      <c r="A873" s="488">
        <v>45533</v>
      </c>
      <c r="B873" s="456" t="s">
        <v>404</v>
      </c>
      <c r="C873" s="490">
        <v>45533</v>
      </c>
      <c r="D873" s="491"/>
      <c r="E873" s="491"/>
      <c r="F873" s="493" t="s">
        <v>16</v>
      </c>
      <c r="G873" s="491">
        <v>1</v>
      </c>
      <c r="H873" s="431">
        <v>64</v>
      </c>
      <c r="I873" s="491">
        <f t="shared" ref="I873:I900" si="95">G873*H873</f>
        <v>64</v>
      </c>
      <c r="J873" s="492"/>
      <c r="K873" s="492"/>
    </row>
    <row r="874" s="456" customFormat="1" ht="20.25" spans="1:13">
      <c r="A874" s="488">
        <v>45533</v>
      </c>
      <c r="B874" s="456" t="s">
        <v>404</v>
      </c>
      <c r="C874" s="490">
        <v>45533</v>
      </c>
      <c r="D874" s="491"/>
      <c r="E874" s="491"/>
      <c r="F874" s="493" t="s">
        <v>405</v>
      </c>
      <c r="G874" s="491">
        <v>1</v>
      </c>
      <c r="H874" s="431">
        <v>6</v>
      </c>
      <c r="I874" s="491">
        <f t="shared" si="95"/>
        <v>6</v>
      </c>
      <c r="J874" s="492"/>
      <c r="K874" s="492"/>
    </row>
    <row r="875" s="456" customFormat="1" ht="20.25" spans="1:13">
      <c r="A875" s="488">
        <v>45533</v>
      </c>
      <c r="B875" s="456" t="s">
        <v>404</v>
      </c>
      <c r="C875" s="490">
        <v>45533</v>
      </c>
      <c r="D875" s="491"/>
      <c r="E875" s="491"/>
      <c r="F875" s="493" t="s">
        <v>92</v>
      </c>
      <c r="G875" s="491">
        <v>1</v>
      </c>
      <c r="H875" s="431">
        <v>3.6</v>
      </c>
      <c r="I875" s="491">
        <f t="shared" si="95"/>
        <v>3.6</v>
      </c>
      <c r="J875" s="492"/>
      <c r="K875" s="492"/>
    </row>
    <row r="876" s="456" customFormat="1" ht="20.25" spans="1:13">
      <c r="A876" s="488">
        <v>45533</v>
      </c>
      <c r="B876" s="456" t="s">
        <v>404</v>
      </c>
      <c r="C876" s="490">
        <v>45533</v>
      </c>
      <c r="D876" s="491"/>
      <c r="E876" s="491"/>
      <c r="F876" s="493" t="s">
        <v>93</v>
      </c>
      <c r="G876" s="491">
        <v>1</v>
      </c>
      <c r="H876" s="431">
        <v>200</v>
      </c>
      <c r="I876" s="491">
        <f t="shared" si="95"/>
        <v>200</v>
      </c>
      <c r="J876" s="492"/>
      <c r="K876" s="492"/>
    </row>
    <row r="877" s="456" customFormat="1" ht="20.25" spans="1:13">
      <c r="A877" s="488">
        <v>45533</v>
      </c>
      <c r="B877" s="456" t="s">
        <v>404</v>
      </c>
      <c r="C877" s="490">
        <v>45533</v>
      </c>
      <c r="D877" s="491"/>
      <c r="E877" s="491"/>
      <c r="F877" s="493" t="s">
        <v>406</v>
      </c>
      <c r="G877" s="491">
        <v>1</v>
      </c>
      <c r="H877" s="431">
        <v>40</v>
      </c>
      <c r="I877" s="491">
        <f t="shared" si="95"/>
        <v>40</v>
      </c>
      <c r="J877" s="492">
        <v>10.7</v>
      </c>
      <c r="K877" s="492">
        <f t="shared" ref="K876:K879" si="96">I877*J877</f>
        <v>428</v>
      </c>
      <c r="M877" s="456" t="s">
        <v>407</v>
      </c>
    </row>
    <row r="878" s="456" customFormat="1" ht="20.25" spans="1:13">
      <c r="A878" s="488">
        <v>45533</v>
      </c>
      <c r="B878" s="456" t="s">
        <v>404</v>
      </c>
      <c r="C878" s="490">
        <v>45533</v>
      </c>
      <c r="D878" s="491"/>
      <c r="E878" s="491"/>
      <c r="F878" s="493" t="s">
        <v>125</v>
      </c>
      <c r="G878" s="491">
        <v>1</v>
      </c>
      <c r="H878" s="431">
        <v>65</v>
      </c>
      <c r="I878" s="491">
        <f t="shared" si="95"/>
        <v>65</v>
      </c>
      <c r="J878" s="492">
        <v>6.2</v>
      </c>
      <c r="K878" s="492">
        <f t="shared" si="96"/>
        <v>403</v>
      </c>
    </row>
    <row r="879" s="456" customFormat="1" ht="20.25" spans="1:13">
      <c r="A879" s="488">
        <v>45533</v>
      </c>
      <c r="B879" s="456" t="s">
        <v>404</v>
      </c>
      <c r="C879" s="490">
        <v>45533</v>
      </c>
      <c r="D879" s="491"/>
      <c r="E879" s="491"/>
      <c r="F879" s="499" t="s">
        <v>95</v>
      </c>
      <c r="G879" s="501">
        <v>1</v>
      </c>
      <c r="H879" s="500">
        <f>SUM(H873:H878)</f>
        <v>378.6</v>
      </c>
      <c r="I879" s="501">
        <f t="shared" si="95"/>
        <v>378.6</v>
      </c>
      <c r="J879" s="502">
        <v>5</v>
      </c>
      <c r="K879" s="502">
        <f t="shared" si="96"/>
        <v>1893</v>
      </c>
      <c r="L879" s="456">
        <f>SUM(K876:K879)</f>
        <v>2724</v>
      </c>
    </row>
    <row r="880" s="457" customFormat="1" ht="20.25" spans="1:13">
      <c r="A880" s="494">
        <v>45535</v>
      </c>
      <c r="B880" s="457" t="s">
        <v>408</v>
      </c>
      <c r="C880" s="495">
        <v>45535</v>
      </c>
      <c r="D880" s="463"/>
      <c r="E880" s="463"/>
      <c r="F880" s="496" t="s">
        <v>16</v>
      </c>
      <c r="G880" s="463">
        <v>1</v>
      </c>
      <c r="H880" s="432">
        <v>35</v>
      </c>
      <c r="I880" s="463">
        <f t="shared" si="95"/>
        <v>35</v>
      </c>
      <c r="J880" s="497"/>
      <c r="K880" s="497"/>
      <c r="L880" s="457" t="s">
        <v>409</v>
      </c>
    </row>
    <row r="881" s="457" customFormat="1" ht="20.25" spans="1:17">
      <c r="A881" s="494">
        <v>45535</v>
      </c>
      <c r="B881" s="457" t="s">
        <v>408</v>
      </c>
      <c r="C881" s="495">
        <v>45535</v>
      </c>
      <c r="D881" s="463"/>
      <c r="E881" s="463"/>
      <c r="F881" s="496" t="s">
        <v>405</v>
      </c>
      <c r="G881" s="463">
        <v>1</v>
      </c>
      <c r="H881" s="432">
        <v>1.5</v>
      </c>
      <c r="I881" s="463">
        <f t="shared" si="95"/>
        <v>1.5</v>
      </c>
      <c r="J881" s="497"/>
      <c r="K881" s="497"/>
    </row>
    <row r="882" s="457" customFormat="1" ht="20.25" spans="1:17">
      <c r="A882" s="494">
        <v>45535</v>
      </c>
      <c r="B882" s="457" t="s">
        <v>408</v>
      </c>
      <c r="C882" s="495">
        <v>45535</v>
      </c>
      <c r="D882" s="463"/>
      <c r="E882" s="463"/>
      <c r="F882" s="496" t="s">
        <v>92</v>
      </c>
      <c r="G882" s="463">
        <v>1</v>
      </c>
      <c r="H882" s="432">
        <v>1.8</v>
      </c>
      <c r="I882" s="463">
        <f t="shared" si="95"/>
        <v>1.8</v>
      </c>
      <c r="J882" s="497"/>
      <c r="K882" s="497"/>
    </row>
    <row r="883" s="457" customFormat="1" ht="20.25" spans="1:17">
      <c r="A883" s="494">
        <v>45535</v>
      </c>
      <c r="B883" s="457" t="s">
        <v>408</v>
      </c>
      <c r="C883" s="495">
        <v>45535</v>
      </c>
      <c r="D883" s="463"/>
      <c r="E883" s="463"/>
      <c r="F883" s="496" t="s">
        <v>410</v>
      </c>
      <c r="G883" s="463">
        <v>1</v>
      </c>
      <c r="H883" s="432">
        <v>25</v>
      </c>
      <c r="I883" s="463">
        <f t="shared" si="95"/>
        <v>25</v>
      </c>
      <c r="J883" s="497"/>
      <c r="K883" s="497"/>
    </row>
    <row r="884" s="457" customFormat="1" ht="20.25" spans="1:17">
      <c r="A884" s="494">
        <v>45535</v>
      </c>
      <c r="B884" s="457" t="s">
        <v>408</v>
      </c>
      <c r="C884" s="495">
        <v>45535</v>
      </c>
      <c r="D884" s="463"/>
      <c r="E884" s="463"/>
      <c r="F884" s="496" t="s">
        <v>406</v>
      </c>
      <c r="G884" s="463">
        <v>1</v>
      </c>
      <c r="H884" s="432">
        <v>64</v>
      </c>
      <c r="I884" s="463">
        <f t="shared" si="95"/>
        <v>64</v>
      </c>
      <c r="J884" s="497">
        <v>10.7</v>
      </c>
      <c r="K884" s="497">
        <f t="shared" ref="K884:K886" si="97">I884*J884</f>
        <v>684.8</v>
      </c>
      <c r="M884" s="457" t="s">
        <v>411</v>
      </c>
    </row>
    <row r="885" s="457" customFormat="1" ht="20.25" spans="1:17">
      <c r="A885" s="494">
        <v>45535</v>
      </c>
      <c r="B885" s="457" t="s">
        <v>408</v>
      </c>
      <c r="C885" s="495">
        <v>45535</v>
      </c>
      <c r="D885" s="463"/>
      <c r="E885" s="463"/>
      <c r="F885" s="496" t="s">
        <v>125</v>
      </c>
      <c r="G885" s="463">
        <v>1</v>
      </c>
      <c r="H885" s="432">
        <v>63</v>
      </c>
      <c r="I885" s="463">
        <f t="shared" si="95"/>
        <v>63</v>
      </c>
      <c r="J885" s="497">
        <v>6.2</v>
      </c>
      <c r="K885" s="497">
        <f t="shared" si="97"/>
        <v>390.6</v>
      </c>
    </row>
    <row r="886" s="457" customFormat="1" ht="20.25" spans="1:17">
      <c r="A886" s="494">
        <v>45535</v>
      </c>
      <c r="B886" s="457" t="s">
        <v>408</v>
      </c>
      <c r="C886" s="495">
        <v>45535</v>
      </c>
      <c r="D886" s="463"/>
      <c r="E886" s="463"/>
      <c r="F886" s="499" t="s">
        <v>412</v>
      </c>
      <c r="G886" s="501">
        <v>1</v>
      </c>
      <c r="H886" s="500">
        <f>SUM(H880:H885)</f>
        <v>190.3</v>
      </c>
      <c r="I886" s="501">
        <f t="shared" si="95"/>
        <v>190.3</v>
      </c>
      <c r="J886" s="502">
        <v>5</v>
      </c>
      <c r="K886" s="502">
        <f t="shared" si="97"/>
        <v>951.5</v>
      </c>
      <c r="L886" s="457">
        <f>SUM(K883:K886)</f>
        <v>2026.9</v>
      </c>
    </row>
    <row r="887" s="456" customFormat="1" ht="20.25" spans="1:17">
      <c r="A887" s="488">
        <v>45535</v>
      </c>
      <c r="B887" s="456" t="s">
        <v>390</v>
      </c>
      <c r="C887" s="490" t="s">
        <v>413</v>
      </c>
      <c r="D887" s="491"/>
      <c r="E887" s="491"/>
      <c r="F887" s="493" t="s">
        <v>16</v>
      </c>
      <c r="G887" s="491">
        <v>1</v>
      </c>
      <c r="H887" s="431">
        <v>50</v>
      </c>
      <c r="I887" s="491">
        <f t="shared" si="95"/>
        <v>50</v>
      </c>
      <c r="J887" s="492"/>
      <c r="K887" s="492"/>
      <c r="L887" s="456" t="s">
        <v>409</v>
      </c>
    </row>
    <row r="888" s="456" customFormat="1" ht="20.25" spans="1:17">
      <c r="A888" s="488">
        <v>45535</v>
      </c>
      <c r="B888" s="456" t="s">
        <v>390</v>
      </c>
      <c r="C888" s="490" t="s">
        <v>413</v>
      </c>
      <c r="D888" s="491"/>
      <c r="E888" s="491"/>
      <c r="F888" s="493" t="s">
        <v>405</v>
      </c>
      <c r="G888" s="491">
        <v>1</v>
      </c>
      <c r="H888" s="431">
        <v>1.5</v>
      </c>
      <c r="I888" s="491">
        <f t="shared" si="95"/>
        <v>1.5</v>
      </c>
      <c r="J888" s="492"/>
      <c r="K888" s="492"/>
    </row>
    <row r="889" s="456" customFormat="1" ht="20.25" spans="1:17">
      <c r="A889" s="488">
        <v>45535</v>
      </c>
      <c r="B889" s="456" t="s">
        <v>390</v>
      </c>
      <c r="C889" s="490" t="s">
        <v>413</v>
      </c>
      <c r="D889" s="491"/>
      <c r="E889" s="491"/>
      <c r="F889" s="493" t="s">
        <v>92</v>
      </c>
      <c r="G889" s="491">
        <v>1</v>
      </c>
      <c r="H889" s="431">
        <v>1.8</v>
      </c>
      <c r="I889" s="491">
        <f t="shared" si="95"/>
        <v>1.8</v>
      </c>
      <c r="J889" s="492"/>
      <c r="K889" s="492"/>
    </row>
    <row r="890" s="456" customFormat="1" ht="20.25" spans="1:17">
      <c r="A890" s="488">
        <v>45535</v>
      </c>
      <c r="B890" s="456" t="s">
        <v>390</v>
      </c>
      <c r="C890" s="490" t="s">
        <v>413</v>
      </c>
      <c r="D890" s="491"/>
      <c r="E890" s="491"/>
      <c r="F890" s="493" t="s">
        <v>99</v>
      </c>
      <c r="G890" s="491">
        <v>1</v>
      </c>
      <c r="H890" s="431">
        <v>25</v>
      </c>
      <c r="I890" s="491">
        <f t="shared" si="95"/>
        <v>25</v>
      </c>
      <c r="J890" s="492"/>
      <c r="K890" s="492"/>
    </row>
    <row r="891" s="456" customFormat="1" ht="20.25" spans="1:17">
      <c r="A891" s="488">
        <v>45535</v>
      </c>
      <c r="B891" s="456" t="s">
        <v>390</v>
      </c>
      <c r="C891" s="490" t="s">
        <v>413</v>
      </c>
      <c r="D891" s="491"/>
      <c r="E891" s="491"/>
      <c r="F891" s="493" t="s">
        <v>406</v>
      </c>
      <c r="G891" s="491">
        <v>1</v>
      </c>
      <c r="H891" s="431">
        <v>65</v>
      </c>
      <c r="I891" s="491">
        <f t="shared" si="95"/>
        <v>65</v>
      </c>
      <c r="J891" s="492">
        <v>10.7</v>
      </c>
      <c r="K891" s="492">
        <f t="shared" ref="K891:K894" si="98">I891*J891</f>
        <v>695.5</v>
      </c>
      <c r="M891" s="456" t="s">
        <v>414</v>
      </c>
    </row>
    <row r="892" s="456" customFormat="1" ht="20.25" spans="1:17">
      <c r="A892" s="488">
        <v>45535</v>
      </c>
      <c r="B892" s="456" t="s">
        <v>390</v>
      </c>
      <c r="C892" s="490" t="s">
        <v>413</v>
      </c>
      <c r="D892" s="491"/>
      <c r="E892" s="491"/>
      <c r="F892" s="493" t="s">
        <v>125</v>
      </c>
      <c r="G892" s="491">
        <v>1</v>
      </c>
      <c r="H892" s="431">
        <v>77</v>
      </c>
      <c r="I892" s="491">
        <f t="shared" si="95"/>
        <v>77</v>
      </c>
      <c r="J892" s="492">
        <v>6.2</v>
      </c>
      <c r="K892" s="492">
        <f t="shared" si="98"/>
        <v>477.4</v>
      </c>
    </row>
    <row r="893" s="456" customFormat="1" ht="20.25" spans="1:17">
      <c r="A893" s="488">
        <v>45535</v>
      </c>
      <c r="B893" s="456" t="s">
        <v>390</v>
      </c>
      <c r="C893" s="490" t="s">
        <v>413</v>
      </c>
      <c r="D893" s="491"/>
      <c r="E893" s="491"/>
      <c r="F893" s="493" t="s">
        <v>415</v>
      </c>
      <c r="G893" s="491">
        <v>1</v>
      </c>
      <c r="H893" s="431">
        <f>SUM(H887:H892)</f>
        <v>220.3</v>
      </c>
      <c r="I893" s="491">
        <f t="shared" si="95"/>
        <v>220.3</v>
      </c>
      <c r="J893" s="492">
        <v>5</v>
      </c>
      <c r="K893" s="492">
        <f t="shared" si="98"/>
        <v>1101.5</v>
      </c>
    </row>
    <row r="894" s="456" customFormat="1" ht="20.25" spans="1:17">
      <c r="A894" s="488">
        <v>45535</v>
      </c>
      <c r="B894" s="456" t="s">
        <v>390</v>
      </c>
      <c r="C894" s="490" t="s">
        <v>413</v>
      </c>
      <c r="D894" s="491"/>
      <c r="E894" s="491"/>
      <c r="F894" s="493" t="s">
        <v>416</v>
      </c>
      <c r="G894" s="491">
        <v>3</v>
      </c>
      <c r="H894" s="431">
        <v>1</v>
      </c>
      <c r="I894" s="491">
        <f t="shared" si="95"/>
        <v>3</v>
      </c>
      <c r="J894" s="492">
        <v>5.5</v>
      </c>
      <c r="K894" s="492">
        <f t="shared" si="98"/>
        <v>16.5</v>
      </c>
      <c r="L894" s="456">
        <f>SUM(K887:K894)</f>
        <v>2290.9</v>
      </c>
    </row>
    <row r="895" s="456" customFormat="1" ht="20.25" spans="1:17">
      <c r="A895" s="587" t="s">
        <v>417</v>
      </c>
      <c r="B895" s="587"/>
      <c r="C895" s="587"/>
      <c r="D895" s="587"/>
      <c r="E895" s="587"/>
      <c r="F895" s="587"/>
      <c r="G895" s="587"/>
      <c r="H895" s="431"/>
      <c r="I895" s="491"/>
      <c r="J895" s="492"/>
      <c r="K895" s="492"/>
    </row>
    <row r="896" s="454" customFormat="1" ht="33" customHeight="1" spans="1:17">
      <c r="A896" s="601" t="s">
        <v>418</v>
      </c>
      <c r="B896" s="481"/>
      <c r="C896" s="481"/>
      <c r="D896" s="481"/>
      <c r="E896" s="481"/>
      <c r="F896" s="481"/>
      <c r="G896" s="481"/>
      <c r="H896" s="481"/>
      <c r="I896" s="481"/>
      <c r="J896" s="632" t="s">
        <v>28</v>
      </c>
      <c r="K896" s="595">
        <f>SUM(K899:K989)</f>
        <v>45074.35</v>
      </c>
      <c r="L896" s="454" t="s">
        <v>29</v>
      </c>
      <c r="M896" s="601">
        <f>'24材料明细'!AQ134</f>
        <v>29329.4</v>
      </c>
      <c r="N896" s="593" t="s">
        <v>30</v>
      </c>
      <c r="O896" s="601">
        <f>K905+K910+K916+K922+K926+K935+K942+K950+K960+K970+K981+K989</f>
        <v>15349.95</v>
      </c>
      <c r="P896" s="481" t="s">
        <v>31</v>
      </c>
      <c r="Q896" s="601">
        <f>K927+K928+K961</f>
        <v>309</v>
      </c>
    </row>
    <row r="897" s="454" customFormat="1" ht="18" customHeight="1" spans="1:15">
      <c r="A897" s="601"/>
      <c r="B897" s="481"/>
      <c r="C897" s="481"/>
      <c r="D897" s="481"/>
      <c r="E897" s="481"/>
      <c r="F897" s="481"/>
      <c r="G897" s="481"/>
      <c r="H897" s="481"/>
      <c r="I897" s="481"/>
      <c r="J897" s="481" t="s">
        <v>32</v>
      </c>
      <c r="K897" s="481">
        <f>(H905+H911+H914+H918)/1000</f>
        <v>0.9237</v>
      </c>
      <c r="L897" s="454" t="s">
        <v>33</v>
      </c>
      <c r="M897" s="601">
        <f>K906+K943+K962+K963+K971</f>
        <v>86</v>
      </c>
      <c r="N897" s="634" t="s">
        <v>34</v>
      </c>
      <c r="O897" s="595">
        <f>M896+M897+O896+Q896</f>
        <v>45074.35</v>
      </c>
    </row>
    <row r="898" s="455" customFormat="1" ht="15" customHeight="1" spans="1:15">
      <c r="A898" s="604" t="s">
        <v>35</v>
      </c>
      <c r="B898" s="605" t="s">
        <v>36</v>
      </c>
      <c r="C898" s="486" t="s">
        <v>37</v>
      </c>
      <c r="D898" s="486"/>
      <c r="E898" s="486"/>
      <c r="F898" s="486" t="s">
        <v>38</v>
      </c>
      <c r="G898" s="486" t="s">
        <v>4</v>
      </c>
      <c r="H898" s="486" t="s">
        <v>5</v>
      </c>
      <c r="I898" s="486" t="s">
        <v>6</v>
      </c>
      <c r="J898" s="486" t="s">
        <v>7</v>
      </c>
      <c r="K898" s="486" t="s">
        <v>8</v>
      </c>
      <c r="L898" s="486" t="s">
        <v>39</v>
      </c>
      <c r="M898" s="486" t="s">
        <v>40</v>
      </c>
      <c r="N898" s="487"/>
      <c r="O898" s="487"/>
    </row>
    <row r="899" s="457" customFormat="1" ht="20.25" spans="1:15">
      <c r="A899" s="494">
        <v>45545</v>
      </c>
      <c r="B899" s="457" t="s">
        <v>419</v>
      </c>
      <c r="C899" s="495">
        <v>45538</v>
      </c>
      <c r="D899" s="463"/>
      <c r="E899" s="463"/>
      <c r="F899" s="496" t="s">
        <v>176</v>
      </c>
      <c r="G899" s="463">
        <v>1</v>
      </c>
      <c r="H899" s="432">
        <v>40</v>
      </c>
      <c r="I899" s="463">
        <f t="shared" ref="I899:I909" si="99">G899*H899</f>
        <v>40</v>
      </c>
      <c r="J899" s="497"/>
      <c r="K899" s="497"/>
    </row>
    <row r="900" s="457" customFormat="1" ht="20.25" spans="1:15">
      <c r="A900" s="494">
        <v>45545</v>
      </c>
      <c r="B900" s="457" t="s">
        <v>419</v>
      </c>
      <c r="C900" s="495">
        <v>45538</v>
      </c>
      <c r="D900" s="463"/>
      <c r="E900" s="463"/>
      <c r="F900" s="496" t="s">
        <v>420</v>
      </c>
      <c r="G900" s="463">
        <v>1</v>
      </c>
      <c r="H900" s="432">
        <v>3</v>
      </c>
      <c r="I900" s="463">
        <f t="shared" si="99"/>
        <v>3</v>
      </c>
      <c r="J900" s="497"/>
      <c r="K900" s="497"/>
      <c r="L900" s="537"/>
      <c r="M900" s="537"/>
      <c r="N900" s="537"/>
    </row>
    <row r="901" s="457" customFormat="1" ht="20.25" spans="1:15">
      <c r="A901" s="494">
        <v>45545</v>
      </c>
      <c r="B901" s="457" t="s">
        <v>419</v>
      </c>
      <c r="C901" s="495">
        <v>45538</v>
      </c>
      <c r="D901" s="463"/>
      <c r="E901" s="463"/>
      <c r="F901" s="496" t="s">
        <v>171</v>
      </c>
      <c r="G901" s="463">
        <v>1</v>
      </c>
      <c r="H901" s="432">
        <v>20</v>
      </c>
      <c r="I901" s="463">
        <f t="shared" si="99"/>
        <v>20</v>
      </c>
      <c r="J901" s="497"/>
      <c r="K901" s="497"/>
      <c r="L901" s="537"/>
      <c r="M901" s="537"/>
      <c r="N901" s="537"/>
    </row>
    <row r="902" s="457" customFormat="1" ht="20.25" spans="1:15">
      <c r="A902" s="494">
        <v>45545</v>
      </c>
      <c r="B902" s="457" t="s">
        <v>419</v>
      </c>
      <c r="C902" s="495">
        <v>45538</v>
      </c>
      <c r="D902" s="463"/>
      <c r="E902" s="463"/>
      <c r="F902" s="496" t="s">
        <v>177</v>
      </c>
      <c r="G902" s="463">
        <v>1</v>
      </c>
      <c r="H902" s="432">
        <v>83</v>
      </c>
      <c r="I902" s="463">
        <f t="shared" si="99"/>
        <v>83</v>
      </c>
      <c r="J902" s="497">
        <v>10.7</v>
      </c>
      <c r="K902" s="497">
        <f>I902*J902</f>
        <v>888.1</v>
      </c>
      <c r="L902" s="537"/>
      <c r="M902" s="537"/>
      <c r="N902" s="537"/>
    </row>
    <row r="903" s="457" customFormat="1" ht="20.25" spans="1:15">
      <c r="A903" s="494">
        <v>45545</v>
      </c>
      <c r="B903" s="457" t="s">
        <v>419</v>
      </c>
      <c r="C903" s="495">
        <v>45538</v>
      </c>
      <c r="D903" s="463"/>
      <c r="E903" s="463"/>
      <c r="F903" s="496" t="s">
        <v>92</v>
      </c>
      <c r="G903" s="463">
        <v>1</v>
      </c>
      <c r="H903" s="432">
        <v>1.7</v>
      </c>
      <c r="I903" s="463">
        <f t="shared" si="99"/>
        <v>1.7</v>
      </c>
      <c r="J903" s="497"/>
      <c r="K903" s="497"/>
      <c r="L903" s="537"/>
      <c r="M903" s="537"/>
      <c r="N903" s="537"/>
    </row>
    <row r="904" s="457" customFormat="1" ht="20.25" spans="1:15">
      <c r="A904" s="494">
        <v>45545</v>
      </c>
      <c r="B904" s="457" t="s">
        <v>419</v>
      </c>
      <c r="C904" s="495">
        <v>45538</v>
      </c>
      <c r="D904" s="463"/>
      <c r="E904" s="463"/>
      <c r="F904" s="496" t="s">
        <v>125</v>
      </c>
      <c r="G904" s="463">
        <v>1</v>
      </c>
      <c r="H904" s="432">
        <v>76</v>
      </c>
      <c r="I904" s="463">
        <f t="shared" si="99"/>
        <v>76</v>
      </c>
      <c r="J904" s="497">
        <v>6.2</v>
      </c>
      <c r="K904" s="497">
        <f>I904*J904</f>
        <v>471.2</v>
      </c>
      <c r="L904" s="537"/>
      <c r="M904" s="537" t="s">
        <v>421</v>
      </c>
      <c r="N904" s="537"/>
    </row>
    <row r="905" s="457" customFormat="1" ht="20.25" spans="1:15">
      <c r="A905" s="494">
        <v>45545</v>
      </c>
      <c r="B905" s="457" t="s">
        <v>419</v>
      </c>
      <c r="C905" s="495">
        <v>45538</v>
      </c>
      <c r="D905" s="463"/>
      <c r="E905" s="463"/>
      <c r="F905" s="499" t="s">
        <v>179</v>
      </c>
      <c r="G905" s="501">
        <v>1</v>
      </c>
      <c r="H905" s="500">
        <f>SUM(H899:H904)</f>
        <v>223.7</v>
      </c>
      <c r="I905" s="501">
        <f t="shared" si="99"/>
        <v>223.7</v>
      </c>
      <c r="J905" s="502">
        <v>7.5</v>
      </c>
      <c r="K905" s="502">
        <f>I905*J905</f>
        <v>1677.75</v>
      </c>
      <c r="L905" s="537"/>
      <c r="M905" s="537"/>
      <c r="N905" s="537"/>
    </row>
    <row r="906" s="457" customFormat="1" ht="20.25" spans="1:15">
      <c r="A906" s="494">
        <v>45545</v>
      </c>
      <c r="B906" s="457" t="s">
        <v>419</v>
      </c>
      <c r="C906" s="495">
        <v>45538</v>
      </c>
      <c r="D906" s="463"/>
      <c r="E906" s="463"/>
      <c r="F906" s="496" t="s">
        <v>416</v>
      </c>
      <c r="G906" s="463">
        <v>1</v>
      </c>
      <c r="H906" s="432">
        <v>1</v>
      </c>
      <c r="I906" s="463">
        <f t="shared" si="99"/>
        <v>1</v>
      </c>
      <c r="J906" s="497">
        <v>5.5</v>
      </c>
      <c r="K906" s="497">
        <f>I906*J906</f>
        <v>5.5</v>
      </c>
      <c r="L906" s="457">
        <f>SUM(K899:K906)</f>
        <v>3042.55</v>
      </c>
    </row>
    <row r="907" s="456" customFormat="1" ht="20.25" spans="1:15">
      <c r="A907" s="488">
        <v>45545</v>
      </c>
      <c r="B907" s="456" t="s">
        <v>422</v>
      </c>
      <c r="C907" s="490">
        <v>45545</v>
      </c>
      <c r="D907" s="491"/>
      <c r="E907" s="491"/>
      <c r="F907" s="493" t="s">
        <v>97</v>
      </c>
      <c r="G907" s="491">
        <v>1</v>
      </c>
      <c r="H907" s="431">
        <v>200</v>
      </c>
      <c r="I907" s="491">
        <f t="shared" ref="I907:I928" si="100">G907*H907</f>
        <v>200</v>
      </c>
      <c r="J907" s="492"/>
      <c r="K907" s="492"/>
      <c r="L907" s="536"/>
    </row>
    <row r="908" s="456" customFormat="1" ht="20.25" spans="1:15">
      <c r="A908" s="488">
        <v>45545</v>
      </c>
      <c r="B908" s="456" t="s">
        <v>422</v>
      </c>
      <c r="C908" s="490">
        <v>45545</v>
      </c>
      <c r="D908" s="491"/>
      <c r="E908" s="491"/>
      <c r="F908" s="493" t="s">
        <v>125</v>
      </c>
      <c r="G908" s="491">
        <v>1</v>
      </c>
      <c r="H908" s="431">
        <v>720</v>
      </c>
      <c r="I908" s="491">
        <f t="shared" si="100"/>
        <v>720</v>
      </c>
      <c r="J908" s="492">
        <v>6.2</v>
      </c>
      <c r="K908" s="492">
        <f t="shared" ref="K908:K912" si="101">I908*J908</f>
        <v>4464</v>
      </c>
      <c r="L908" s="536"/>
    </row>
    <row r="909" s="456" customFormat="1" ht="20.25" spans="1:15">
      <c r="A909" s="488">
        <v>45545</v>
      </c>
      <c r="B909" s="456" t="s">
        <v>422</v>
      </c>
      <c r="C909" s="490">
        <v>45545</v>
      </c>
      <c r="D909" s="491"/>
      <c r="E909" s="491"/>
      <c r="F909" s="493" t="s">
        <v>152</v>
      </c>
      <c r="G909" s="491">
        <v>1</v>
      </c>
      <c r="H909" s="431">
        <v>360</v>
      </c>
      <c r="I909" s="491">
        <f t="shared" si="100"/>
        <v>360</v>
      </c>
      <c r="J909" s="492">
        <v>8.3</v>
      </c>
      <c r="K909" s="492">
        <f t="shared" si="101"/>
        <v>2988</v>
      </c>
      <c r="L909" s="536"/>
    </row>
    <row r="910" s="456" customFormat="1" ht="20.25" spans="1:15">
      <c r="A910" s="488">
        <v>45545</v>
      </c>
      <c r="B910" s="456" t="s">
        <v>422</v>
      </c>
      <c r="C910" s="490">
        <v>45545</v>
      </c>
      <c r="D910" s="491"/>
      <c r="E910" s="491"/>
      <c r="F910" s="499" t="s">
        <v>68</v>
      </c>
      <c r="G910" s="501">
        <v>1</v>
      </c>
      <c r="H910" s="500">
        <f>SUM(H907:H909)</f>
        <v>1280</v>
      </c>
      <c r="I910" s="501">
        <f t="shared" si="100"/>
        <v>1280</v>
      </c>
      <c r="J910" s="502">
        <v>0.8</v>
      </c>
      <c r="K910" s="502">
        <f t="shared" si="101"/>
        <v>1024</v>
      </c>
      <c r="L910" s="536">
        <f>SUM(K907:K910)</f>
        <v>8476</v>
      </c>
    </row>
    <row r="911" s="457" customFormat="1" ht="20.25" spans="1:15">
      <c r="A911" s="494">
        <v>45545</v>
      </c>
      <c r="B911" s="457" t="s">
        <v>423</v>
      </c>
      <c r="C911" s="495" t="s">
        <v>424</v>
      </c>
      <c r="D911" s="463"/>
      <c r="E911" s="463"/>
      <c r="F911" s="496" t="s">
        <v>176</v>
      </c>
      <c r="G911" s="463">
        <v>1</v>
      </c>
      <c r="H911" s="432">
        <v>200</v>
      </c>
      <c r="I911" s="463">
        <f t="shared" si="100"/>
        <v>200</v>
      </c>
      <c r="J911" s="497"/>
      <c r="K911" s="497"/>
    </row>
    <row r="912" s="457" customFormat="1" ht="20.25" spans="1:15">
      <c r="A912" s="494">
        <v>45545</v>
      </c>
      <c r="B912" s="457" t="s">
        <v>423</v>
      </c>
      <c r="C912" s="495" t="s">
        <v>424</v>
      </c>
      <c r="D912" s="463"/>
      <c r="E912" s="463"/>
      <c r="F912" s="496" t="s">
        <v>170</v>
      </c>
      <c r="G912" s="463">
        <v>1</v>
      </c>
      <c r="H912" s="432">
        <v>25</v>
      </c>
      <c r="I912" s="463">
        <f t="shared" si="100"/>
        <v>25</v>
      </c>
      <c r="J912" s="497">
        <v>75</v>
      </c>
      <c r="K912" s="497">
        <f t="shared" si="101"/>
        <v>1875</v>
      </c>
      <c r="L912" s="537"/>
      <c r="M912" s="537"/>
      <c r="N912" s="537"/>
    </row>
    <row r="913" s="457" customFormat="1" ht="20.25" spans="1:16">
      <c r="A913" s="494">
        <v>45545</v>
      </c>
      <c r="B913" s="457" t="s">
        <v>423</v>
      </c>
      <c r="C913" s="495" t="s">
        <v>424</v>
      </c>
      <c r="D913" s="463"/>
      <c r="E913" s="463"/>
      <c r="F913" s="496" t="s">
        <v>171</v>
      </c>
      <c r="G913" s="463">
        <v>1</v>
      </c>
      <c r="H913" s="432">
        <v>100</v>
      </c>
      <c r="I913" s="463">
        <f t="shared" si="100"/>
        <v>100</v>
      </c>
      <c r="J913" s="497"/>
      <c r="K913" s="497"/>
      <c r="L913" s="537"/>
      <c r="M913" s="537"/>
      <c r="N913" s="537"/>
    </row>
    <row r="914" s="457" customFormat="1" ht="20.25" spans="1:16">
      <c r="A914" s="494">
        <v>45545</v>
      </c>
      <c r="B914" s="457" t="s">
        <v>423</v>
      </c>
      <c r="C914" s="495" t="s">
        <v>424</v>
      </c>
      <c r="D914" s="463"/>
      <c r="E914" s="463"/>
      <c r="F914" s="496" t="s">
        <v>177</v>
      </c>
      <c r="G914" s="463">
        <v>1</v>
      </c>
      <c r="H914" s="432">
        <v>300</v>
      </c>
      <c r="I914" s="463">
        <f t="shared" si="100"/>
        <v>300</v>
      </c>
      <c r="J914" s="497">
        <v>10.7</v>
      </c>
      <c r="K914" s="497">
        <f t="shared" ref="K914:K916" si="102">I914*J914</f>
        <v>3210</v>
      </c>
      <c r="L914" s="537" t="s">
        <v>425</v>
      </c>
      <c r="M914" s="537"/>
      <c r="N914" s="537"/>
    </row>
    <row r="915" s="457" customFormat="1" ht="20.25" spans="1:16">
      <c r="A915" s="494">
        <v>45545</v>
      </c>
      <c r="B915" s="457" t="s">
        <v>423</v>
      </c>
      <c r="C915" s="495" t="s">
        <v>424</v>
      </c>
      <c r="D915" s="463"/>
      <c r="E915" s="463"/>
      <c r="F915" s="496" t="s">
        <v>125</v>
      </c>
      <c r="G915" s="463">
        <v>1</v>
      </c>
      <c r="H915" s="432">
        <v>125</v>
      </c>
      <c r="I915" s="463">
        <f t="shared" si="100"/>
        <v>125</v>
      </c>
      <c r="J915" s="497">
        <v>6.2</v>
      </c>
      <c r="K915" s="497">
        <f t="shared" si="102"/>
        <v>775</v>
      </c>
      <c r="L915" s="537"/>
      <c r="M915" s="537" t="s">
        <v>426</v>
      </c>
      <c r="N915" s="537"/>
    </row>
    <row r="916" s="457" customFormat="1" ht="20.25" spans="1:16">
      <c r="A916" s="494">
        <v>45545</v>
      </c>
      <c r="B916" s="457" t="s">
        <v>423</v>
      </c>
      <c r="C916" s="495" t="s">
        <v>424</v>
      </c>
      <c r="D916" s="463"/>
      <c r="E916" s="463"/>
      <c r="F916" s="499" t="s">
        <v>179</v>
      </c>
      <c r="G916" s="501">
        <v>1</v>
      </c>
      <c r="H916" s="500">
        <f>SUM(H911:H915)</f>
        <v>750</v>
      </c>
      <c r="I916" s="501">
        <f t="shared" si="100"/>
        <v>750</v>
      </c>
      <c r="J916" s="502">
        <v>7.5</v>
      </c>
      <c r="K916" s="502">
        <f t="shared" si="102"/>
        <v>5625</v>
      </c>
      <c r="L916" s="537">
        <f>SUM(K911:K916)</f>
        <v>11485</v>
      </c>
      <c r="M916" s="537"/>
      <c r="N916" s="537"/>
    </row>
    <row r="917" s="456" customFormat="1" ht="20.25" spans="1:16">
      <c r="A917" s="488">
        <v>45546</v>
      </c>
      <c r="B917" s="456" t="s">
        <v>427</v>
      </c>
      <c r="C917" s="490" t="s">
        <v>428</v>
      </c>
      <c r="D917" s="491"/>
      <c r="E917" s="491"/>
      <c r="F917" s="493" t="s">
        <v>16</v>
      </c>
      <c r="G917" s="491">
        <v>2</v>
      </c>
      <c r="H917" s="431">
        <v>150</v>
      </c>
      <c r="I917" s="491">
        <f t="shared" si="100"/>
        <v>300</v>
      </c>
      <c r="J917" s="492"/>
      <c r="K917" s="492"/>
    </row>
    <row r="918" s="456" customFormat="1" ht="20.25" spans="1:16">
      <c r="A918" s="488">
        <v>45546</v>
      </c>
      <c r="B918" s="456" t="s">
        <v>427</v>
      </c>
      <c r="C918" s="490" t="s">
        <v>428</v>
      </c>
      <c r="D918" s="491"/>
      <c r="E918" s="491"/>
      <c r="F918" s="493" t="s">
        <v>86</v>
      </c>
      <c r="G918" s="491">
        <v>2</v>
      </c>
      <c r="H918" s="431">
        <v>200</v>
      </c>
      <c r="I918" s="491">
        <f t="shared" si="100"/>
        <v>400</v>
      </c>
      <c r="J918" s="492"/>
      <c r="K918" s="492"/>
    </row>
    <row r="919" s="456" customFormat="1" ht="20.25" spans="1:16">
      <c r="A919" s="488">
        <v>45546</v>
      </c>
      <c r="B919" s="456" t="s">
        <v>427</v>
      </c>
      <c r="C919" s="490" t="s">
        <v>428</v>
      </c>
      <c r="D919" s="491"/>
      <c r="E919" s="491"/>
      <c r="F919" s="493" t="s">
        <v>87</v>
      </c>
      <c r="G919" s="491">
        <v>2</v>
      </c>
      <c r="H919" s="431">
        <v>450</v>
      </c>
      <c r="I919" s="491">
        <f t="shared" si="100"/>
        <v>900</v>
      </c>
      <c r="J919" s="492"/>
      <c r="K919" s="492"/>
      <c r="M919" s="606" t="s">
        <v>325</v>
      </c>
      <c r="N919" s="537" t="s">
        <v>326</v>
      </c>
    </row>
    <row r="920" s="456" customFormat="1" ht="20.25" spans="1:16">
      <c r="A920" s="488">
        <v>45546</v>
      </c>
      <c r="B920" s="456" t="s">
        <v>427</v>
      </c>
      <c r="C920" s="490" t="s">
        <v>428</v>
      </c>
      <c r="D920" s="491"/>
      <c r="E920" s="491"/>
      <c r="F920" s="493" t="s">
        <v>177</v>
      </c>
      <c r="G920" s="491">
        <v>2</v>
      </c>
      <c r="H920" s="431">
        <v>50</v>
      </c>
      <c r="I920" s="491">
        <f t="shared" si="100"/>
        <v>100</v>
      </c>
      <c r="J920" s="492">
        <v>10.7</v>
      </c>
      <c r="K920" s="492">
        <f t="shared" ref="K920:K928" si="103">I920*J920</f>
        <v>1070</v>
      </c>
      <c r="M920" s="456" t="s">
        <v>182</v>
      </c>
    </row>
    <row r="921" s="456" customFormat="1" ht="20.25" spans="1:16">
      <c r="A921" s="488">
        <v>45546</v>
      </c>
      <c r="B921" s="456" t="s">
        <v>427</v>
      </c>
      <c r="C921" s="490" t="s">
        <v>428</v>
      </c>
      <c r="D921" s="491"/>
      <c r="E921" s="491"/>
      <c r="F921" s="493" t="s">
        <v>183</v>
      </c>
      <c r="G921" s="491">
        <v>2</v>
      </c>
      <c r="H921" s="431">
        <v>150</v>
      </c>
      <c r="I921" s="491">
        <f t="shared" si="100"/>
        <v>300</v>
      </c>
      <c r="J921" s="492"/>
      <c r="K921" s="492"/>
      <c r="M921" s="456" t="s">
        <v>184</v>
      </c>
      <c r="N921" s="456" t="s">
        <v>185</v>
      </c>
    </row>
    <row r="922" s="456" customFormat="1" ht="20.25" spans="1:16">
      <c r="A922" s="488">
        <v>45546</v>
      </c>
      <c r="B922" s="456" t="s">
        <v>427</v>
      </c>
      <c r="C922" s="490" t="s">
        <v>428</v>
      </c>
      <c r="D922" s="491"/>
      <c r="E922" s="491"/>
      <c r="F922" s="499" t="s">
        <v>186</v>
      </c>
      <c r="G922" s="501">
        <v>2</v>
      </c>
      <c r="H922" s="500">
        <f>SUM(H917:H921)</f>
        <v>1000</v>
      </c>
      <c r="I922" s="501">
        <f t="shared" si="100"/>
        <v>2000</v>
      </c>
      <c r="J922" s="502">
        <v>1</v>
      </c>
      <c r="K922" s="492">
        <f t="shared" si="103"/>
        <v>2000</v>
      </c>
      <c r="L922" s="456">
        <f>SUM(K917:K922)</f>
        <v>3070</v>
      </c>
    </row>
    <row r="923" s="571" customFormat="1" ht="20.25" spans="1:16">
      <c r="A923" s="563">
        <v>45546</v>
      </c>
      <c r="B923" s="571" t="s">
        <v>369</v>
      </c>
      <c r="C923" s="565">
        <v>45546</v>
      </c>
      <c r="D923" s="566"/>
      <c r="E923" s="566"/>
      <c r="F923" s="570" t="s">
        <v>97</v>
      </c>
      <c r="G923" s="566">
        <v>1</v>
      </c>
      <c r="H923" s="567">
        <v>200</v>
      </c>
      <c r="I923" s="566">
        <f t="shared" si="100"/>
        <v>200</v>
      </c>
      <c r="J923" s="568"/>
      <c r="K923" s="568"/>
      <c r="L923" s="645"/>
    </row>
    <row r="924" s="571" customFormat="1" ht="20.25" spans="1:16">
      <c r="A924" s="563">
        <v>45546</v>
      </c>
      <c r="B924" s="571" t="s">
        <v>369</v>
      </c>
      <c r="C924" s="565">
        <v>45546</v>
      </c>
      <c r="D924" s="566"/>
      <c r="E924" s="566"/>
      <c r="F924" s="570" t="s">
        <v>125</v>
      </c>
      <c r="G924" s="566">
        <v>1</v>
      </c>
      <c r="H924" s="567">
        <v>720</v>
      </c>
      <c r="I924" s="566">
        <f t="shared" si="100"/>
        <v>720</v>
      </c>
      <c r="J924" s="568">
        <v>6.2</v>
      </c>
      <c r="K924" s="568">
        <f t="shared" si="103"/>
        <v>4464</v>
      </c>
      <c r="L924" s="645"/>
    </row>
    <row r="925" s="571" customFormat="1" ht="20.25" spans="1:16">
      <c r="A925" s="563">
        <v>45546</v>
      </c>
      <c r="B925" s="571" t="s">
        <v>369</v>
      </c>
      <c r="C925" s="565">
        <v>45546</v>
      </c>
      <c r="D925" s="566"/>
      <c r="E925" s="566"/>
      <c r="F925" s="570" t="s">
        <v>152</v>
      </c>
      <c r="G925" s="566">
        <v>1</v>
      </c>
      <c r="H925" s="567">
        <v>360</v>
      </c>
      <c r="I925" s="566">
        <f t="shared" si="100"/>
        <v>360</v>
      </c>
      <c r="J925" s="568">
        <v>8.3</v>
      </c>
      <c r="K925" s="568">
        <f t="shared" si="103"/>
        <v>2988</v>
      </c>
      <c r="L925" s="645"/>
    </row>
    <row r="926" s="571" customFormat="1" ht="20.25" spans="1:16">
      <c r="A926" s="563">
        <v>45546</v>
      </c>
      <c r="B926" s="571" t="s">
        <v>369</v>
      </c>
      <c r="C926" s="565">
        <v>45546</v>
      </c>
      <c r="D926" s="566"/>
      <c r="E926" s="566"/>
      <c r="F926" s="499" t="s">
        <v>68</v>
      </c>
      <c r="G926" s="501">
        <v>1</v>
      </c>
      <c r="H926" s="500">
        <f>SUM(H923:H925)</f>
        <v>1280</v>
      </c>
      <c r="I926" s="501">
        <f t="shared" si="100"/>
        <v>1280</v>
      </c>
      <c r="J926" s="502">
        <v>0.8</v>
      </c>
      <c r="K926" s="502">
        <f t="shared" si="103"/>
        <v>1024</v>
      </c>
      <c r="L926" s="645">
        <f>SUM(K923:K926)</f>
        <v>8476</v>
      </c>
    </row>
    <row r="927" s="456" customFormat="1" ht="20.25" spans="1:16">
      <c r="A927" s="488">
        <v>45555</v>
      </c>
      <c r="B927" s="456" t="s">
        <v>91</v>
      </c>
      <c r="C927" s="490">
        <v>45547</v>
      </c>
      <c r="D927" s="491"/>
      <c r="E927" s="491"/>
      <c r="F927" s="493" t="s">
        <v>429</v>
      </c>
      <c r="G927" s="491">
        <v>1</v>
      </c>
      <c r="H927" s="431">
        <v>10</v>
      </c>
      <c r="I927" s="491">
        <f t="shared" si="100"/>
        <v>10</v>
      </c>
      <c r="J927" s="492">
        <v>15.5</v>
      </c>
      <c r="K927" s="492">
        <f t="shared" si="103"/>
        <v>155</v>
      </c>
      <c r="L927" s="536" t="s">
        <v>430</v>
      </c>
      <c r="M927" s="489"/>
    </row>
    <row r="928" s="456" customFormat="1" ht="20.25" spans="1:16">
      <c r="A928" s="488">
        <v>45555</v>
      </c>
      <c r="B928" s="456" t="s">
        <v>91</v>
      </c>
      <c r="C928" s="490">
        <v>45548</v>
      </c>
      <c r="D928" s="491"/>
      <c r="E928" s="491"/>
      <c r="F928" s="456" t="s">
        <v>431</v>
      </c>
      <c r="G928" s="489">
        <v>1</v>
      </c>
      <c r="H928" s="489">
        <v>5</v>
      </c>
      <c r="I928" s="491">
        <f t="shared" si="100"/>
        <v>5</v>
      </c>
      <c r="J928" s="492">
        <v>18</v>
      </c>
      <c r="K928" s="492">
        <f t="shared" si="103"/>
        <v>90</v>
      </c>
      <c r="L928" s="646" t="s">
        <v>432</v>
      </c>
      <c r="O928" s="456" t="s">
        <v>433</v>
      </c>
      <c r="P928" s="456" t="s">
        <v>434</v>
      </c>
    </row>
    <row r="929" s="457" customFormat="1" ht="20.25" spans="1:14">
      <c r="A929" s="494">
        <v>45555</v>
      </c>
      <c r="B929" s="457" t="s">
        <v>96</v>
      </c>
      <c r="C929" s="495">
        <v>45554</v>
      </c>
      <c r="D929" s="463"/>
      <c r="E929" s="463"/>
      <c r="F929" s="457" t="s">
        <v>16</v>
      </c>
      <c r="G929" s="442">
        <v>1</v>
      </c>
      <c r="H929" s="442">
        <v>70</v>
      </c>
      <c r="I929" s="520">
        <f t="shared" ref="I929:I940" si="104">G929*H929</f>
        <v>70</v>
      </c>
      <c r="J929" s="497"/>
      <c r="K929" s="497"/>
      <c r="L929" s="647"/>
    </row>
    <row r="930" s="457" customFormat="1" ht="20.25" spans="1:14">
      <c r="A930" s="494">
        <v>45555</v>
      </c>
      <c r="B930" s="457" t="s">
        <v>96</v>
      </c>
      <c r="C930" s="495">
        <v>45554</v>
      </c>
      <c r="D930" s="463"/>
      <c r="E930" s="463"/>
      <c r="F930" s="457" t="s">
        <v>86</v>
      </c>
      <c r="G930" s="442">
        <v>1</v>
      </c>
      <c r="H930" s="442">
        <v>70</v>
      </c>
      <c r="I930" s="520">
        <f t="shared" si="104"/>
        <v>70</v>
      </c>
      <c r="J930" s="497"/>
      <c r="K930" s="497"/>
      <c r="L930" s="647"/>
    </row>
    <row r="931" s="457" customFormat="1" ht="20.25" spans="1:14">
      <c r="A931" s="494">
        <v>45555</v>
      </c>
      <c r="B931" s="457" t="s">
        <v>96</v>
      </c>
      <c r="C931" s="495">
        <v>45554</v>
      </c>
      <c r="D931" s="463"/>
      <c r="E931" s="463"/>
      <c r="F931" s="457" t="s">
        <v>87</v>
      </c>
      <c r="G931" s="442">
        <v>1</v>
      </c>
      <c r="H931" s="442">
        <v>160</v>
      </c>
      <c r="I931" s="520">
        <f t="shared" si="104"/>
        <v>160</v>
      </c>
      <c r="J931" s="497"/>
      <c r="K931" s="497"/>
      <c r="L931" s="647"/>
    </row>
    <row r="932" s="457" customFormat="1" ht="20.25" spans="1:14">
      <c r="A932" s="494">
        <v>45555</v>
      </c>
      <c r="B932" s="457" t="s">
        <v>96</v>
      </c>
      <c r="C932" s="495">
        <v>45554</v>
      </c>
      <c r="D932" s="463"/>
      <c r="E932" s="463"/>
      <c r="F932" s="457" t="s">
        <v>352</v>
      </c>
      <c r="G932" s="442">
        <v>1</v>
      </c>
      <c r="H932" s="442">
        <v>75</v>
      </c>
      <c r="I932" s="520">
        <f t="shared" si="104"/>
        <v>75</v>
      </c>
      <c r="J932" s="497"/>
      <c r="K932" s="497"/>
      <c r="L932" s="647" t="s">
        <v>116</v>
      </c>
    </row>
    <row r="933" s="457" customFormat="1" ht="20.25" spans="1:14">
      <c r="A933" s="494">
        <v>45555</v>
      </c>
      <c r="B933" s="457" t="s">
        <v>96</v>
      </c>
      <c r="C933" s="495">
        <v>45554</v>
      </c>
      <c r="D933" s="463"/>
      <c r="E933" s="463"/>
      <c r="F933" s="457" t="s">
        <v>115</v>
      </c>
      <c r="G933" s="442">
        <v>1</v>
      </c>
      <c r="H933" s="442">
        <v>50</v>
      </c>
      <c r="I933" s="520">
        <f t="shared" si="104"/>
        <v>50</v>
      </c>
      <c r="J933" s="497"/>
      <c r="K933" s="497"/>
      <c r="L933" s="647"/>
    </row>
    <row r="934" s="457" customFormat="1" ht="20.25" spans="1:14">
      <c r="A934" s="494">
        <v>45555</v>
      </c>
      <c r="B934" s="457" t="s">
        <v>96</v>
      </c>
      <c r="C934" s="495">
        <v>45554</v>
      </c>
      <c r="D934" s="463"/>
      <c r="E934" s="463"/>
      <c r="F934" s="496">
        <v>808</v>
      </c>
      <c r="G934" s="442">
        <v>1</v>
      </c>
      <c r="H934" s="442">
        <v>75</v>
      </c>
      <c r="I934" s="520">
        <f t="shared" si="104"/>
        <v>75</v>
      </c>
      <c r="J934" s="497">
        <v>10.7</v>
      </c>
      <c r="K934" s="515">
        <f>I934*J934</f>
        <v>802.5</v>
      </c>
      <c r="L934" s="647"/>
    </row>
    <row r="935" s="459" customFormat="1" ht="20.25" spans="1:14">
      <c r="A935" s="494">
        <v>45555</v>
      </c>
      <c r="B935" s="457" t="s">
        <v>96</v>
      </c>
      <c r="C935" s="495">
        <v>45554</v>
      </c>
      <c r="D935" s="463"/>
      <c r="E935" s="463"/>
      <c r="F935" s="464" t="s">
        <v>435</v>
      </c>
      <c r="G935" s="535">
        <v>1</v>
      </c>
      <c r="H935" s="535">
        <f>SUM(H929:H934)</f>
        <v>500</v>
      </c>
      <c r="I935" s="501">
        <f t="shared" si="104"/>
        <v>500</v>
      </c>
      <c r="J935" s="502">
        <v>1</v>
      </c>
      <c r="K935" s="502">
        <f t="shared" ref="K935:K940" si="105">I935*J935</f>
        <v>500</v>
      </c>
      <c r="L935" s="459">
        <f>SUM(K929:K935)</f>
        <v>1302.5</v>
      </c>
    </row>
    <row r="936" s="456" customFormat="1" ht="20.25" spans="1:14">
      <c r="A936" s="488">
        <v>45556</v>
      </c>
      <c r="B936" s="456" t="s">
        <v>205</v>
      </c>
      <c r="C936" s="490">
        <v>45556</v>
      </c>
      <c r="D936" s="491"/>
      <c r="E936" s="491"/>
      <c r="F936" s="493" t="s">
        <v>16</v>
      </c>
      <c r="G936" s="491">
        <v>1</v>
      </c>
      <c r="H936" s="431">
        <v>75</v>
      </c>
      <c r="I936" s="491">
        <f t="shared" si="104"/>
        <v>75</v>
      </c>
      <c r="J936" s="492"/>
      <c r="K936" s="492"/>
      <c r="L936" s="536"/>
      <c r="M936" s="536"/>
      <c r="N936" s="536"/>
    </row>
    <row r="937" s="456" customFormat="1" ht="20.25" spans="1:14">
      <c r="A937" s="488">
        <v>45556</v>
      </c>
      <c r="B937" s="456" t="s">
        <v>205</v>
      </c>
      <c r="C937" s="490">
        <v>45556</v>
      </c>
      <c r="D937" s="491"/>
      <c r="E937" s="491"/>
      <c r="F937" s="493" t="s">
        <v>300</v>
      </c>
      <c r="G937" s="491">
        <v>1</v>
      </c>
      <c r="H937" s="431">
        <v>75</v>
      </c>
      <c r="I937" s="491">
        <f t="shared" si="104"/>
        <v>75</v>
      </c>
      <c r="J937" s="492"/>
      <c r="K937" s="492"/>
      <c r="L937" s="536"/>
      <c r="M937" s="536"/>
      <c r="N937" s="536"/>
    </row>
    <row r="938" s="456" customFormat="1" ht="20.25" spans="1:14">
      <c r="A938" s="488">
        <v>45556</v>
      </c>
      <c r="B938" s="456" t="s">
        <v>205</v>
      </c>
      <c r="C938" s="490">
        <v>45556</v>
      </c>
      <c r="D938" s="491"/>
      <c r="E938" s="491"/>
      <c r="F938" s="493" t="s">
        <v>298</v>
      </c>
      <c r="G938" s="491">
        <v>1</v>
      </c>
      <c r="H938" s="431">
        <v>190</v>
      </c>
      <c r="I938" s="491">
        <f t="shared" ref="I938:I951" si="106">G938*H938</f>
        <v>190</v>
      </c>
      <c r="J938" s="492"/>
      <c r="K938" s="492"/>
      <c r="L938" s="536"/>
      <c r="M938" s="536"/>
      <c r="N938" s="536"/>
    </row>
    <row r="939" s="456" customFormat="1" ht="20.25" spans="1:14">
      <c r="A939" s="488">
        <v>45556</v>
      </c>
      <c r="B939" s="456" t="s">
        <v>205</v>
      </c>
      <c r="C939" s="490">
        <v>45556</v>
      </c>
      <c r="D939" s="491"/>
      <c r="E939" s="491"/>
      <c r="F939" s="493">
        <v>808</v>
      </c>
      <c r="G939" s="491">
        <v>1</v>
      </c>
      <c r="H939" s="431">
        <v>50</v>
      </c>
      <c r="I939" s="491">
        <f t="shared" si="106"/>
        <v>50</v>
      </c>
      <c r="J939" s="492">
        <v>10.7</v>
      </c>
      <c r="K939" s="492">
        <f t="shared" si="105"/>
        <v>535</v>
      </c>
      <c r="L939" s="536" t="s">
        <v>436</v>
      </c>
      <c r="M939" s="536"/>
      <c r="N939" s="536"/>
    </row>
    <row r="940" s="456" customFormat="1" ht="20.25" spans="1:14">
      <c r="A940" s="488">
        <v>45556</v>
      </c>
      <c r="B940" s="456" t="s">
        <v>205</v>
      </c>
      <c r="C940" s="490">
        <v>45556</v>
      </c>
      <c r="D940" s="491"/>
      <c r="E940" s="491"/>
      <c r="F940" s="493" t="s">
        <v>125</v>
      </c>
      <c r="G940" s="491">
        <v>1</v>
      </c>
      <c r="H940" s="431">
        <v>35</v>
      </c>
      <c r="I940" s="491">
        <f t="shared" si="106"/>
        <v>35</v>
      </c>
      <c r="J940" s="492">
        <v>6.2</v>
      </c>
      <c r="K940" s="492">
        <f t="shared" si="105"/>
        <v>217</v>
      </c>
      <c r="L940" s="536"/>
      <c r="M940" s="536"/>
      <c r="N940" s="536"/>
    </row>
    <row r="941" s="456" customFormat="1" ht="20.25" spans="1:14">
      <c r="A941" s="488">
        <v>45556</v>
      </c>
      <c r="B941" s="456" t="s">
        <v>205</v>
      </c>
      <c r="C941" s="490">
        <v>45556</v>
      </c>
      <c r="D941" s="491"/>
      <c r="E941" s="491"/>
      <c r="F941" s="493" t="s">
        <v>240</v>
      </c>
      <c r="G941" s="491">
        <v>1</v>
      </c>
      <c r="H941" s="431">
        <v>75</v>
      </c>
      <c r="I941" s="491">
        <f t="shared" si="106"/>
        <v>75</v>
      </c>
      <c r="J941" s="492"/>
      <c r="K941" s="492"/>
      <c r="L941" s="536"/>
      <c r="M941" s="536"/>
      <c r="N941" s="536"/>
    </row>
    <row r="942" s="456" customFormat="1" ht="20.25" spans="1:14">
      <c r="A942" s="488">
        <v>45556</v>
      </c>
      <c r="B942" s="456" t="s">
        <v>205</v>
      </c>
      <c r="C942" s="490">
        <v>45556</v>
      </c>
      <c r="D942" s="491"/>
      <c r="E942" s="491"/>
      <c r="F942" s="499" t="s">
        <v>301</v>
      </c>
      <c r="G942" s="501">
        <v>1</v>
      </c>
      <c r="H942" s="500">
        <f>SUM(H936:H941)</f>
        <v>500</v>
      </c>
      <c r="I942" s="501">
        <f t="shared" si="106"/>
        <v>500</v>
      </c>
      <c r="J942" s="502">
        <v>1</v>
      </c>
      <c r="K942" s="502">
        <f>I942*J942</f>
        <v>500</v>
      </c>
      <c r="L942" s="536"/>
      <c r="M942" s="536"/>
      <c r="N942" s="536"/>
    </row>
    <row r="943" s="456" customFormat="1" ht="20.25" spans="1:14">
      <c r="A943" s="488">
        <v>45556</v>
      </c>
      <c r="B943" s="456" t="s">
        <v>205</v>
      </c>
      <c r="C943" s="490">
        <v>45556</v>
      </c>
      <c r="D943" s="491"/>
      <c r="E943" s="491"/>
      <c r="F943" s="493" t="s">
        <v>437</v>
      </c>
      <c r="G943" s="491">
        <v>5</v>
      </c>
      <c r="H943" s="431">
        <v>1</v>
      </c>
      <c r="I943" s="491">
        <f t="shared" si="106"/>
        <v>5</v>
      </c>
      <c r="J943" s="492">
        <v>12.5</v>
      </c>
      <c r="K943" s="492">
        <f>I943*J943</f>
        <v>62.5</v>
      </c>
      <c r="L943" s="536">
        <f>SUM(K936:K943)</f>
        <v>1314.5</v>
      </c>
      <c r="M943" s="536"/>
      <c r="N943" s="536"/>
    </row>
    <row r="944" s="457" customFormat="1" ht="20.25" spans="1:14">
      <c r="A944" s="494">
        <v>45556</v>
      </c>
      <c r="B944" s="457" t="s">
        <v>206</v>
      </c>
      <c r="C944" s="495">
        <v>45556</v>
      </c>
      <c r="D944" s="463"/>
      <c r="E944" s="463"/>
      <c r="F944" s="496" t="s">
        <v>16</v>
      </c>
      <c r="G944" s="463">
        <v>1</v>
      </c>
      <c r="H944" s="432">
        <v>15</v>
      </c>
      <c r="I944" s="463">
        <f t="shared" si="106"/>
        <v>15</v>
      </c>
      <c r="J944" s="497"/>
      <c r="K944" s="497"/>
      <c r="L944" s="537"/>
      <c r="M944" s="537"/>
      <c r="N944" s="537"/>
    </row>
    <row r="945" s="457" customFormat="1" ht="20.25" spans="1:14">
      <c r="A945" s="494">
        <v>45556</v>
      </c>
      <c r="B945" s="457" t="s">
        <v>206</v>
      </c>
      <c r="C945" s="495">
        <v>45556</v>
      </c>
      <c r="D945" s="463"/>
      <c r="E945" s="463"/>
      <c r="F945" s="496" t="s">
        <v>438</v>
      </c>
      <c r="G945" s="463">
        <v>1</v>
      </c>
      <c r="H945" s="432">
        <v>15</v>
      </c>
      <c r="I945" s="463">
        <f t="shared" si="106"/>
        <v>15</v>
      </c>
      <c r="J945" s="497"/>
      <c r="K945" s="497"/>
      <c r="L945" s="537"/>
      <c r="M945" s="537"/>
      <c r="N945" s="537"/>
    </row>
    <row r="946" s="457" customFormat="1" ht="20.25" spans="1:14">
      <c r="A946" s="494">
        <v>45556</v>
      </c>
      <c r="B946" s="457" t="s">
        <v>206</v>
      </c>
      <c r="C946" s="495">
        <v>45556</v>
      </c>
      <c r="D946" s="463"/>
      <c r="E946" s="463"/>
      <c r="F946" s="496" t="s">
        <v>86</v>
      </c>
      <c r="G946" s="463">
        <v>1</v>
      </c>
      <c r="H946" s="432">
        <v>14</v>
      </c>
      <c r="I946" s="463">
        <f t="shared" si="106"/>
        <v>14</v>
      </c>
      <c r="J946" s="497"/>
      <c r="K946" s="497"/>
      <c r="L946" s="537"/>
      <c r="M946" s="537"/>
      <c r="N946" s="537"/>
    </row>
    <row r="947" s="457" customFormat="1" ht="20.25" spans="1:14">
      <c r="A947" s="494">
        <v>45556</v>
      </c>
      <c r="B947" s="457" t="s">
        <v>206</v>
      </c>
      <c r="C947" s="495">
        <v>45556</v>
      </c>
      <c r="D947" s="463"/>
      <c r="E947" s="463"/>
      <c r="F947" s="496" t="s">
        <v>298</v>
      </c>
      <c r="G947" s="463">
        <v>1</v>
      </c>
      <c r="H947" s="432">
        <v>33</v>
      </c>
      <c r="I947" s="463">
        <f t="shared" si="106"/>
        <v>33</v>
      </c>
      <c r="J947" s="497"/>
      <c r="K947" s="497"/>
      <c r="L947" s="537"/>
      <c r="M947" s="537"/>
      <c r="N947" s="537"/>
    </row>
    <row r="948" s="457" customFormat="1" ht="20.25" spans="1:14">
      <c r="A948" s="494">
        <v>45556</v>
      </c>
      <c r="B948" s="457" t="s">
        <v>206</v>
      </c>
      <c r="C948" s="495">
        <v>45556</v>
      </c>
      <c r="D948" s="463"/>
      <c r="E948" s="463"/>
      <c r="F948" s="496">
        <v>808</v>
      </c>
      <c r="G948" s="463">
        <v>1</v>
      </c>
      <c r="H948" s="432">
        <v>16</v>
      </c>
      <c r="I948" s="463">
        <f t="shared" si="106"/>
        <v>16</v>
      </c>
      <c r="J948" s="497">
        <v>10.7</v>
      </c>
      <c r="K948" s="497">
        <f>I948*J948</f>
        <v>171.2</v>
      </c>
      <c r="L948" s="537" t="s">
        <v>439</v>
      </c>
      <c r="M948" s="537"/>
      <c r="N948" s="537"/>
    </row>
    <row r="949" s="457" customFormat="1" ht="20.25" spans="1:14">
      <c r="A949" s="494">
        <v>45556</v>
      </c>
      <c r="B949" s="457" t="s">
        <v>206</v>
      </c>
      <c r="C949" s="495">
        <v>45556</v>
      </c>
      <c r="D949" s="463"/>
      <c r="E949" s="463"/>
      <c r="F949" s="496" t="s">
        <v>240</v>
      </c>
      <c r="G949" s="463">
        <v>1</v>
      </c>
      <c r="H949" s="432">
        <v>10</v>
      </c>
      <c r="I949" s="463">
        <f t="shared" si="106"/>
        <v>10</v>
      </c>
      <c r="J949" s="497"/>
      <c r="K949" s="497"/>
      <c r="L949" s="537"/>
      <c r="M949" s="537"/>
      <c r="N949" s="537"/>
    </row>
    <row r="950" s="457" customFormat="1" ht="20.25" spans="1:14">
      <c r="A950" s="494">
        <v>45556</v>
      </c>
      <c r="B950" s="457" t="s">
        <v>206</v>
      </c>
      <c r="C950" s="495">
        <v>45556</v>
      </c>
      <c r="D950" s="463"/>
      <c r="E950" s="463"/>
      <c r="F950" s="496" t="s">
        <v>440</v>
      </c>
      <c r="G950" s="463">
        <v>1</v>
      </c>
      <c r="H950" s="432">
        <f>SUM(H944:H949)</f>
        <v>103</v>
      </c>
      <c r="I950" s="463">
        <f t="shared" si="106"/>
        <v>103</v>
      </c>
      <c r="J950" s="497">
        <v>1</v>
      </c>
      <c r="K950" s="497">
        <f>I950*J950</f>
        <v>103</v>
      </c>
      <c r="L950" s="537">
        <f>SUM(K944:K950)</f>
        <v>274.2</v>
      </c>
      <c r="M950" s="537"/>
      <c r="N950" s="537"/>
    </row>
    <row r="951" s="456" customFormat="1" ht="20.25" spans="1:14">
      <c r="A951" s="488">
        <v>45559</v>
      </c>
      <c r="B951" s="456" t="s">
        <v>121</v>
      </c>
      <c r="C951" s="490">
        <v>45559</v>
      </c>
      <c r="D951" s="491"/>
      <c r="E951" s="491"/>
      <c r="F951" s="493" t="s">
        <v>122</v>
      </c>
      <c r="G951" s="491">
        <v>1</v>
      </c>
      <c r="H951" s="431">
        <v>61</v>
      </c>
      <c r="I951" s="491">
        <f t="shared" ref="I951:I956" si="107">G951*H951</f>
        <v>61</v>
      </c>
      <c r="J951" s="492"/>
      <c r="K951" s="492"/>
      <c r="L951" s="536"/>
      <c r="M951" s="536"/>
      <c r="N951" s="536"/>
    </row>
    <row r="952" s="456" customFormat="1" ht="20.25" spans="1:14">
      <c r="A952" s="488">
        <v>45559</v>
      </c>
      <c r="B952" s="456" t="s">
        <v>121</v>
      </c>
      <c r="C952" s="490">
        <v>45559</v>
      </c>
      <c r="D952" s="491"/>
      <c r="E952" s="491"/>
      <c r="F952" s="493" t="s">
        <v>16</v>
      </c>
      <c r="G952" s="491">
        <v>1</v>
      </c>
      <c r="H952" s="431">
        <v>12</v>
      </c>
      <c r="I952" s="491">
        <f t="shared" si="107"/>
        <v>12</v>
      </c>
      <c r="J952" s="492"/>
      <c r="K952" s="492"/>
      <c r="L952" s="536"/>
      <c r="M952" s="536"/>
      <c r="N952" s="536"/>
    </row>
    <row r="953" s="456" customFormat="1" ht="20.25" spans="1:14">
      <c r="A953" s="488">
        <v>45559</v>
      </c>
      <c r="B953" s="456" t="s">
        <v>121</v>
      </c>
      <c r="C953" s="490">
        <v>45559</v>
      </c>
      <c r="D953" s="491"/>
      <c r="E953" s="491"/>
      <c r="F953" s="493" t="s">
        <v>124</v>
      </c>
      <c r="G953" s="491">
        <v>1</v>
      </c>
      <c r="H953" s="431">
        <v>60</v>
      </c>
      <c r="I953" s="491">
        <f t="shared" si="107"/>
        <v>60</v>
      </c>
      <c r="J953" s="492"/>
      <c r="K953" s="492"/>
      <c r="L953" s="536"/>
      <c r="M953" s="536"/>
      <c r="N953" s="536"/>
    </row>
    <row r="954" s="456" customFormat="1" ht="20.25" spans="1:14">
      <c r="A954" s="488">
        <v>45559</v>
      </c>
      <c r="B954" s="456" t="s">
        <v>121</v>
      </c>
      <c r="C954" s="490">
        <v>45559</v>
      </c>
      <c r="D954" s="491"/>
      <c r="E954" s="491"/>
      <c r="F954" s="493" t="s">
        <v>86</v>
      </c>
      <c r="G954" s="491">
        <v>1</v>
      </c>
      <c r="H954" s="431">
        <v>28</v>
      </c>
      <c r="I954" s="491">
        <f t="shared" si="107"/>
        <v>28</v>
      </c>
      <c r="J954" s="492"/>
      <c r="K954" s="492"/>
      <c r="L954" s="536"/>
      <c r="M954" s="536"/>
      <c r="N954" s="536"/>
    </row>
    <row r="955" s="456" customFormat="1" ht="20.25" spans="1:14">
      <c r="A955" s="488">
        <v>45559</v>
      </c>
      <c r="B955" s="456" t="s">
        <v>121</v>
      </c>
      <c r="C955" s="490">
        <v>45559</v>
      </c>
      <c r="D955" s="491"/>
      <c r="E955" s="491"/>
      <c r="F955" s="493" t="s">
        <v>87</v>
      </c>
      <c r="G955" s="491">
        <v>1</v>
      </c>
      <c r="H955" s="431">
        <v>100</v>
      </c>
      <c r="I955" s="491">
        <f t="shared" si="107"/>
        <v>100</v>
      </c>
      <c r="J955" s="492"/>
      <c r="K955" s="492"/>
      <c r="L955" s="536"/>
      <c r="M955" s="536"/>
      <c r="N955" s="536"/>
    </row>
    <row r="956" s="456" customFormat="1" ht="20.25" spans="1:14">
      <c r="A956" s="488">
        <v>45559</v>
      </c>
      <c r="B956" s="456" t="s">
        <v>121</v>
      </c>
      <c r="C956" s="490">
        <v>45559</v>
      </c>
      <c r="D956" s="491"/>
      <c r="E956" s="491"/>
      <c r="F956" s="496" t="s">
        <v>373</v>
      </c>
      <c r="G956" s="491">
        <v>1</v>
      </c>
      <c r="H956" s="431">
        <v>1</v>
      </c>
      <c r="I956" s="491">
        <f t="shared" si="107"/>
        <v>1</v>
      </c>
      <c r="J956" s="492"/>
      <c r="K956" s="492"/>
      <c r="L956" s="536"/>
      <c r="M956" s="536"/>
      <c r="N956" s="536"/>
    </row>
    <row r="957" s="456" customFormat="1" ht="20.25" spans="1:14">
      <c r="A957" s="488">
        <v>45559</v>
      </c>
      <c r="B957" s="456" t="s">
        <v>121</v>
      </c>
      <c r="C957" s="490">
        <v>45559</v>
      </c>
      <c r="D957" s="491"/>
      <c r="E957" s="491"/>
      <c r="F957" s="493" t="s">
        <v>214</v>
      </c>
      <c r="G957" s="491">
        <v>1</v>
      </c>
      <c r="H957" s="431">
        <v>3.2</v>
      </c>
      <c r="I957" s="491">
        <f t="shared" ref="I957:I963" si="108">G957*H957</f>
        <v>3.2</v>
      </c>
      <c r="J957" s="492">
        <v>17</v>
      </c>
      <c r="K957" s="492">
        <f t="shared" ref="K957:K963" si="109">I957*J957</f>
        <v>54.4</v>
      </c>
      <c r="L957" s="536"/>
      <c r="M957" s="536"/>
      <c r="N957" s="536"/>
    </row>
    <row r="958" s="456" customFormat="1" ht="20.25" spans="1:14">
      <c r="A958" s="488">
        <v>45559</v>
      </c>
      <c r="B958" s="456" t="s">
        <v>121</v>
      </c>
      <c r="C958" s="490">
        <v>45559</v>
      </c>
      <c r="D958" s="491"/>
      <c r="E958" s="491"/>
      <c r="F958" s="493">
        <v>808</v>
      </c>
      <c r="G958" s="491">
        <v>1</v>
      </c>
      <c r="H958" s="431">
        <v>60</v>
      </c>
      <c r="I958" s="491">
        <f t="shared" si="108"/>
        <v>60</v>
      </c>
      <c r="J958" s="492">
        <v>10.7</v>
      </c>
      <c r="K958" s="492">
        <f t="shared" si="109"/>
        <v>642</v>
      </c>
      <c r="L958" s="536"/>
      <c r="M958" s="536" t="s">
        <v>215</v>
      </c>
      <c r="N958" s="536"/>
    </row>
    <row r="959" s="456" customFormat="1" ht="20.25" spans="1:14">
      <c r="A959" s="488">
        <v>45559</v>
      </c>
      <c r="B959" s="456" t="s">
        <v>121</v>
      </c>
      <c r="C959" s="490">
        <v>45559</v>
      </c>
      <c r="D959" s="491"/>
      <c r="E959" s="491"/>
      <c r="F959" s="496" t="s">
        <v>125</v>
      </c>
      <c r="G959" s="491">
        <v>1</v>
      </c>
      <c r="H959" s="431">
        <v>77</v>
      </c>
      <c r="I959" s="491">
        <f t="shared" si="108"/>
        <v>77</v>
      </c>
      <c r="J959" s="492">
        <v>6.2</v>
      </c>
      <c r="K959" s="492">
        <f t="shared" si="109"/>
        <v>477.4</v>
      </c>
      <c r="L959" s="536"/>
      <c r="M959" s="536"/>
      <c r="N959" s="536"/>
    </row>
    <row r="960" s="456" customFormat="1" ht="20.25" spans="1:14">
      <c r="A960" s="488">
        <v>45559</v>
      </c>
      <c r="B960" s="456" t="s">
        <v>121</v>
      </c>
      <c r="C960" s="490">
        <v>45559</v>
      </c>
      <c r="D960" s="491"/>
      <c r="E960" s="491"/>
      <c r="F960" s="493" t="s">
        <v>78</v>
      </c>
      <c r="G960" s="491">
        <v>1</v>
      </c>
      <c r="H960" s="431">
        <f>SUM(H951:H959)</f>
        <v>402.2</v>
      </c>
      <c r="I960" s="491">
        <f t="shared" si="108"/>
        <v>402.2</v>
      </c>
      <c r="J960" s="492">
        <v>1</v>
      </c>
      <c r="K960" s="492">
        <f t="shared" si="109"/>
        <v>402.2</v>
      </c>
      <c r="L960" s="536">
        <f>SUM(K951:K960)</f>
        <v>1576</v>
      </c>
      <c r="M960" s="536"/>
      <c r="N960" s="536"/>
    </row>
    <row r="961" s="457" customFormat="1" ht="20.25" spans="1:15">
      <c r="A961" s="494">
        <v>45559</v>
      </c>
      <c r="B961" s="457" t="s">
        <v>128</v>
      </c>
      <c r="C961" s="495">
        <v>45559</v>
      </c>
      <c r="D961" s="463"/>
      <c r="E961" s="463"/>
      <c r="F961" s="496" t="s">
        <v>441</v>
      </c>
      <c r="G961" s="463">
        <v>1</v>
      </c>
      <c r="H961" s="432">
        <v>1.6</v>
      </c>
      <c r="I961" s="463">
        <f t="shared" si="108"/>
        <v>1.6</v>
      </c>
      <c r="J961" s="497">
        <v>40</v>
      </c>
      <c r="K961" s="497">
        <f t="shared" si="109"/>
        <v>64</v>
      </c>
      <c r="L961" s="537"/>
      <c r="M961" s="537"/>
      <c r="N961" s="537"/>
    </row>
    <row r="962" s="457" customFormat="1" ht="20.25" spans="1:15">
      <c r="A962" s="494">
        <v>45559</v>
      </c>
      <c r="B962" s="457" t="s">
        <v>128</v>
      </c>
      <c r="C962" s="495">
        <v>45559</v>
      </c>
      <c r="D962" s="463"/>
      <c r="E962" s="463"/>
      <c r="F962" s="496" t="s">
        <v>442</v>
      </c>
      <c r="G962" s="463">
        <v>1</v>
      </c>
      <c r="H962" s="432">
        <v>1</v>
      </c>
      <c r="I962" s="463">
        <f t="shared" si="108"/>
        <v>1</v>
      </c>
      <c r="J962" s="497">
        <v>5.5</v>
      </c>
      <c r="K962" s="497">
        <f t="shared" si="109"/>
        <v>5.5</v>
      </c>
      <c r="L962" s="537"/>
      <c r="M962" s="537"/>
      <c r="N962" s="537"/>
    </row>
    <row r="963" s="457" customFormat="1" ht="20.25" spans="1:15">
      <c r="A963" s="494">
        <v>45559</v>
      </c>
      <c r="B963" s="457" t="s">
        <v>128</v>
      </c>
      <c r="C963" s="495">
        <v>45559</v>
      </c>
      <c r="D963" s="463"/>
      <c r="E963" s="463"/>
      <c r="F963" s="496" t="s">
        <v>443</v>
      </c>
      <c r="G963" s="463">
        <v>1</v>
      </c>
      <c r="H963" s="432">
        <v>1</v>
      </c>
      <c r="I963" s="463">
        <f t="shared" si="108"/>
        <v>1</v>
      </c>
      <c r="J963" s="497">
        <v>5.5</v>
      </c>
      <c r="K963" s="497">
        <f t="shared" si="109"/>
        <v>5.5</v>
      </c>
      <c r="L963" s="537">
        <f>SUM(K961:K963)</f>
        <v>75</v>
      </c>
      <c r="M963" s="537"/>
      <c r="N963" s="537"/>
    </row>
    <row r="964" s="456" customFormat="1" ht="20.25" spans="1:15">
      <c r="A964" s="488">
        <v>45562</v>
      </c>
      <c r="B964" s="456" t="s">
        <v>224</v>
      </c>
      <c r="C964" s="490">
        <v>45561</v>
      </c>
      <c r="D964" s="491"/>
      <c r="E964" s="491"/>
      <c r="F964" s="493" t="s">
        <v>328</v>
      </c>
      <c r="G964" s="491">
        <v>1</v>
      </c>
      <c r="H964" s="431">
        <v>35</v>
      </c>
      <c r="I964" s="491">
        <f t="shared" ref="I964:I981" si="110">G964*H964</f>
        <v>35</v>
      </c>
      <c r="J964" s="492"/>
      <c r="K964" s="492"/>
      <c r="L964" s="536"/>
      <c r="M964" s="536"/>
      <c r="N964" s="536"/>
    </row>
    <row r="965" s="456" customFormat="1" ht="20.25" spans="1:15">
      <c r="A965" s="488">
        <v>45562</v>
      </c>
      <c r="B965" s="456" t="s">
        <v>224</v>
      </c>
      <c r="C965" s="490">
        <v>45561</v>
      </c>
      <c r="D965" s="491"/>
      <c r="E965" s="491"/>
      <c r="F965" s="493" t="s">
        <v>444</v>
      </c>
      <c r="G965" s="491">
        <v>1</v>
      </c>
      <c r="H965" s="431">
        <v>1.5</v>
      </c>
      <c r="I965" s="491">
        <f t="shared" si="110"/>
        <v>1.5</v>
      </c>
      <c r="J965" s="492"/>
      <c r="K965" s="492"/>
      <c r="L965" s="536"/>
      <c r="M965" s="536"/>
      <c r="N965" s="536"/>
    </row>
    <row r="966" s="456" customFormat="1" ht="20.25" spans="1:15">
      <c r="A966" s="488">
        <v>45562</v>
      </c>
      <c r="B966" s="456" t="s">
        <v>224</v>
      </c>
      <c r="C966" s="490">
        <v>45561</v>
      </c>
      <c r="D966" s="491"/>
      <c r="E966" s="491"/>
      <c r="F966" s="493" t="s">
        <v>92</v>
      </c>
      <c r="G966" s="491">
        <v>1</v>
      </c>
      <c r="H966" s="431">
        <v>1.8</v>
      </c>
      <c r="I966" s="491">
        <f t="shared" si="110"/>
        <v>1.8</v>
      </c>
      <c r="J966" s="492"/>
      <c r="K966" s="492"/>
      <c r="L966" s="536"/>
      <c r="M966" s="536"/>
      <c r="N966" s="536"/>
    </row>
    <row r="967" s="456" customFormat="1" ht="20.25" spans="1:15">
      <c r="A967" s="488">
        <v>45562</v>
      </c>
      <c r="B967" s="456" t="s">
        <v>224</v>
      </c>
      <c r="C967" s="490">
        <v>45561</v>
      </c>
      <c r="D967" s="491"/>
      <c r="E967" s="491"/>
      <c r="F967" s="493" t="s">
        <v>445</v>
      </c>
      <c r="G967" s="491">
        <v>1</v>
      </c>
      <c r="H967" s="431">
        <v>25</v>
      </c>
      <c r="I967" s="491">
        <f t="shared" si="110"/>
        <v>25</v>
      </c>
      <c r="J967" s="492"/>
      <c r="K967" s="492"/>
      <c r="L967" s="536"/>
      <c r="M967" s="536"/>
      <c r="N967" s="536"/>
    </row>
    <row r="968" s="456" customFormat="1" ht="20.25" spans="1:15">
      <c r="A968" s="488">
        <v>45562</v>
      </c>
      <c r="B968" s="456" t="s">
        <v>224</v>
      </c>
      <c r="C968" s="490">
        <v>45561</v>
      </c>
      <c r="D968" s="491"/>
      <c r="E968" s="491"/>
      <c r="F968" s="493" t="s">
        <v>406</v>
      </c>
      <c r="G968" s="491">
        <v>1</v>
      </c>
      <c r="H968" s="431">
        <v>64</v>
      </c>
      <c r="I968" s="491">
        <f t="shared" si="110"/>
        <v>64</v>
      </c>
      <c r="J968" s="492">
        <v>10.7</v>
      </c>
      <c r="K968" s="492">
        <f t="shared" ref="K964:K971" si="111">I968*J968</f>
        <v>684.8</v>
      </c>
      <c r="L968" s="536"/>
      <c r="M968" s="536" t="s">
        <v>446</v>
      </c>
      <c r="N968" s="536" t="s">
        <v>447</v>
      </c>
    </row>
    <row r="969" s="456" customFormat="1" ht="20.25" spans="1:15">
      <c r="A969" s="488">
        <v>45562</v>
      </c>
      <c r="B969" s="456" t="s">
        <v>224</v>
      </c>
      <c r="C969" s="490">
        <v>45561</v>
      </c>
      <c r="D969" s="491"/>
      <c r="E969" s="491"/>
      <c r="F969" s="493" t="s">
        <v>125</v>
      </c>
      <c r="G969" s="491">
        <v>1</v>
      </c>
      <c r="H969" s="431">
        <v>101</v>
      </c>
      <c r="I969" s="491">
        <f t="shared" si="110"/>
        <v>101</v>
      </c>
      <c r="J969" s="492">
        <v>6.2</v>
      </c>
      <c r="K969" s="492">
        <f t="shared" si="111"/>
        <v>626.2</v>
      </c>
      <c r="L969" s="536"/>
      <c r="M969" s="536"/>
      <c r="N969" s="536"/>
    </row>
    <row r="970" s="456" customFormat="1" ht="20.25" spans="1:15">
      <c r="A970" s="488">
        <v>45562</v>
      </c>
      <c r="B970" s="456" t="s">
        <v>224</v>
      </c>
      <c r="C970" s="490">
        <v>45561</v>
      </c>
      <c r="D970" s="491"/>
      <c r="E970" s="491"/>
      <c r="F970" s="493" t="s">
        <v>448</v>
      </c>
      <c r="G970" s="491">
        <v>1</v>
      </c>
      <c r="H970" s="431">
        <f>SUM(H964:H969)</f>
        <v>228.3</v>
      </c>
      <c r="I970" s="491">
        <f t="shared" si="110"/>
        <v>228.3</v>
      </c>
      <c r="J970" s="492">
        <v>5</v>
      </c>
      <c r="K970" s="492">
        <f t="shared" si="111"/>
        <v>1141.5</v>
      </c>
      <c r="L970" s="536"/>
      <c r="M970" s="536"/>
      <c r="N970" s="536"/>
    </row>
    <row r="971" s="456" customFormat="1" ht="20.25" spans="1:15">
      <c r="A971" s="488">
        <v>45562</v>
      </c>
      <c r="B971" s="456" t="s">
        <v>224</v>
      </c>
      <c r="C971" s="542">
        <v>45562</v>
      </c>
      <c r="D971" s="523"/>
      <c r="E971" s="523"/>
      <c r="F971" s="522" t="s">
        <v>449</v>
      </c>
      <c r="G971" s="491">
        <v>1</v>
      </c>
      <c r="H971" s="431">
        <v>1</v>
      </c>
      <c r="I971" s="491">
        <f t="shared" si="110"/>
        <v>1</v>
      </c>
      <c r="J971" s="492">
        <v>7</v>
      </c>
      <c r="K971" s="492">
        <f t="shared" si="111"/>
        <v>7</v>
      </c>
      <c r="L971" s="536">
        <f>SUM(K964:K971)</f>
        <v>2459.5</v>
      </c>
      <c r="M971" s="536"/>
      <c r="N971" s="536"/>
    </row>
    <row r="972" s="457" customFormat="1" ht="20.25" spans="1:15">
      <c r="A972" s="494">
        <v>45563</v>
      </c>
      <c r="B972" s="457" t="s">
        <v>229</v>
      </c>
      <c r="C972" s="495">
        <v>45563</v>
      </c>
      <c r="D972" s="463"/>
      <c r="E972" s="463"/>
      <c r="F972" s="496" t="s">
        <v>42</v>
      </c>
      <c r="G972" s="463">
        <v>1</v>
      </c>
      <c r="H972" s="432">
        <v>100</v>
      </c>
      <c r="I972" s="463">
        <f t="shared" si="110"/>
        <v>100</v>
      </c>
      <c r="J972" s="497"/>
      <c r="K972" s="497"/>
      <c r="O972" s="456"/>
    </row>
    <row r="973" s="457" customFormat="1" ht="20.25" spans="1:15">
      <c r="A973" s="494">
        <v>45563</v>
      </c>
      <c r="B973" s="457" t="s">
        <v>229</v>
      </c>
      <c r="C973" s="495">
        <v>45563</v>
      </c>
      <c r="D973" s="463"/>
      <c r="E973" s="463"/>
      <c r="F973" s="496" t="s">
        <v>207</v>
      </c>
      <c r="G973" s="463">
        <v>1</v>
      </c>
      <c r="H973" s="432">
        <v>100</v>
      </c>
      <c r="I973" s="463">
        <f t="shared" si="110"/>
        <v>100</v>
      </c>
      <c r="J973" s="497"/>
      <c r="K973" s="497"/>
      <c r="O973" s="456"/>
    </row>
    <row r="974" s="457" customFormat="1" ht="20.25" spans="1:15">
      <c r="A974" s="494">
        <v>45563</v>
      </c>
      <c r="B974" s="457" t="s">
        <v>229</v>
      </c>
      <c r="C974" s="495">
        <v>45563</v>
      </c>
      <c r="D974" s="463"/>
      <c r="E974" s="463"/>
      <c r="F974" s="496" t="s">
        <v>242</v>
      </c>
      <c r="G974" s="463">
        <v>1</v>
      </c>
      <c r="H974" s="432">
        <v>100</v>
      </c>
      <c r="I974" s="463">
        <f t="shared" si="110"/>
        <v>100</v>
      </c>
      <c r="J974" s="497"/>
      <c r="K974" s="497"/>
      <c r="O974" s="456"/>
    </row>
    <row r="975" s="457" customFormat="1" ht="20.25" spans="1:15">
      <c r="A975" s="494">
        <v>45563</v>
      </c>
      <c r="B975" s="457" t="s">
        <v>229</v>
      </c>
      <c r="C975" s="495">
        <v>45563</v>
      </c>
      <c r="D975" s="463"/>
      <c r="E975" s="463"/>
      <c r="F975" s="496" t="s">
        <v>86</v>
      </c>
      <c r="G975" s="463">
        <v>1</v>
      </c>
      <c r="H975" s="432">
        <v>136</v>
      </c>
      <c r="I975" s="463">
        <f t="shared" si="110"/>
        <v>136</v>
      </c>
      <c r="J975" s="497"/>
      <c r="K975" s="497"/>
      <c r="L975" s="537"/>
      <c r="M975" s="537"/>
      <c r="N975" s="537"/>
      <c r="O975" s="456"/>
    </row>
    <row r="976" s="457" customFormat="1" ht="20.25" spans="1:15">
      <c r="A976" s="494">
        <v>45563</v>
      </c>
      <c r="B976" s="457" t="s">
        <v>229</v>
      </c>
      <c r="C976" s="495">
        <v>45563</v>
      </c>
      <c r="D976" s="463"/>
      <c r="E976" s="463"/>
      <c r="F976" s="496" t="s">
        <v>87</v>
      </c>
      <c r="G976" s="463">
        <v>1</v>
      </c>
      <c r="H976" s="432">
        <v>260</v>
      </c>
      <c r="I976" s="463">
        <f t="shared" si="110"/>
        <v>260</v>
      </c>
      <c r="J976" s="497"/>
      <c r="K976" s="497"/>
      <c r="L976" s="537"/>
      <c r="M976" s="537"/>
      <c r="N976" s="537"/>
      <c r="O976" s="456"/>
    </row>
    <row r="977" s="457" customFormat="1" ht="20.25" spans="1:17">
      <c r="A977" s="494">
        <v>45563</v>
      </c>
      <c r="B977" s="457" t="s">
        <v>229</v>
      </c>
      <c r="C977" s="495">
        <v>45563</v>
      </c>
      <c r="D977" s="463"/>
      <c r="E977" s="463"/>
      <c r="F977" s="496" t="s">
        <v>208</v>
      </c>
      <c r="G977" s="463">
        <v>1</v>
      </c>
      <c r="H977" s="432">
        <v>25</v>
      </c>
      <c r="I977" s="463">
        <f t="shared" si="110"/>
        <v>25</v>
      </c>
      <c r="J977" s="497">
        <v>17</v>
      </c>
      <c r="K977" s="497">
        <f t="shared" ref="K977:K979" si="112">I977*J977</f>
        <v>425</v>
      </c>
      <c r="L977" s="537"/>
      <c r="M977" s="537"/>
      <c r="N977" s="537"/>
      <c r="O977" s="456"/>
    </row>
    <row r="978" s="457" customFormat="1" ht="20.25" spans="1:17">
      <c r="A978" s="494">
        <v>45563</v>
      </c>
      <c r="B978" s="457" t="s">
        <v>229</v>
      </c>
      <c r="C978" s="495">
        <v>45563</v>
      </c>
      <c r="D978" s="463"/>
      <c r="E978" s="463"/>
      <c r="F978" s="496" t="s">
        <v>132</v>
      </c>
      <c r="G978" s="463">
        <v>1</v>
      </c>
      <c r="H978" s="432">
        <v>279</v>
      </c>
      <c r="I978" s="463">
        <f t="shared" si="110"/>
        <v>279</v>
      </c>
      <c r="J978" s="497">
        <v>3.6</v>
      </c>
      <c r="K978" s="497">
        <f t="shared" si="112"/>
        <v>1004.4</v>
      </c>
      <c r="L978" s="537"/>
      <c r="M978" s="537"/>
      <c r="N978" s="537"/>
      <c r="O978" s="456"/>
    </row>
    <row r="979" s="457" customFormat="1" ht="20.25" spans="1:17">
      <c r="A979" s="494">
        <v>45563</v>
      </c>
      <c r="B979" s="457" t="s">
        <v>229</v>
      </c>
      <c r="C979" s="495">
        <v>45563</v>
      </c>
      <c r="D979" s="463"/>
      <c r="E979" s="463"/>
      <c r="F979" s="496" t="s">
        <v>137</v>
      </c>
      <c r="G979" s="463">
        <v>1</v>
      </c>
      <c r="H979" s="432">
        <v>50</v>
      </c>
      <c r="I979" s="463">
        <f t="shared" si="110"/>
        <v>50</v>
      </c>
      <c r="J979" s="497">
        <v>0.9</v>
      </c>
      <c r="K979" s="497">
        <f t="shared" si="112"/>
        <v>45</v>
      </c>
      <c r="L979" s="537" t="s">
        <v>116</v>
      </c>
      <c r="M979" s="537"/>
      <c r="N979" s="537"/>
      <c r="O979" s="456"/>
    </row>
    <row r="980" s="457" customFormat="1" ht="20.25" spans="1:17">
      <c r="A980" s="494">
        <v>45563</v>
      </c>
      <c r="B980" s="457" t="s">
        <v>229</v>
      </c>
      <c r="C980" s="495">
        <v>45563</v>
      </c>
      <c r="D980" s="463"/>
      <c r="E980" s="463"/>
      <c r="F980" s="496" t="s">
        <v>211</v>
      </c>
      <c r="G980" s="463">
        <v>1</v>
      </c>
      <c r="H980" s="432">
        <v>2.5</v>
      </c>
      <c r="I980" s="463">
        <f t="shared" si="110"/>
        <v>2.5</v>
      </c>
      <c r="J980" s="497"/>
      <c r="K980" s="497"/>
      <c r="L980" s="537"/>
      <c r="M980" s="537"/>
      <c r="N980" s="537"/>
      <c r="O980" s="456"/>
    </row>
    <row r="981" s="457" customFormat="1" ht="20.25" spans="1:17">
      <c r="A981" s="494">
        <v>45563</v>
      </c>
      <c r="B981" s="457" t="s">
        <v>229</v>
      </c>
      <c r="C981" s="495">
        <v>45563</v>
      </c>
      <c r="D981" s="463"/>
      <c r="E981" s="463"/>
      <c r="F981" s="499" t="s">
        <v>212</v>
      </c>
      <c r="G981" s="501">
        <v>1</v>
      </c>
      <c r="H981" s="500">
        <f>SUM(H972:H980)</f>
        <v>1052.5</v>
      </c>
      <c r="I981" s="501">
        <f t="shared" si="110"/>
        <v>1052.5</v>
      </c>
      <c r="J981" s="502">
        <v>1</v>
      </c>
      <c r="K981" s="502">
        <f>I981*J981</f>
        <v>1052.5</v>
      </c>
      <c r="L981" s="636">
        <f>SUM(K972:K981)</f>
        <v>2526.9</v>
      </c>
      <c r="M981" s="537"/>
      <c r="N981" s="537"/>
      <c r="O981" s="456"/>
    </row>
    <row r="982" s="456" customFormat="1" ht="20.25" spans="1:17">
      <c r="A982" s="488"/>
      <c r="C982" s="490"/>
      <c r="D982" s="491"/>
      <c r="E982" s="491"/>
      <c r="F982" s="493" t="s">
        <v>450</v>
      </c>
      <c r="G982" s="491"/>
      <c r="H982" s="431"/>
      <c r="I982" s="491"/>
      <c r="J982" s="492"/>
      <c r="K982" s="492"/>
      <c r="L982" s="536"/>
      <c r="M982" s="536"/>
      <c r="N982" s="536"/>
    </row>
    <row r="983" s="457" customFormat="1" ht="20.25" spans="1:17">
      <c r="A983" s="494">
        <v>45565</v>
      </c>
      <c r="B983" s="457" t="s">
        <v>451</v>
      </c>
      <c r="C983" s="495">
        <v>45564</v>
      </c>
      <c r="D983" s="463"/>
      <c r="E983" s="463"/>
      <c r="F983" s="496" t="s">
        <v>16</v>
      </c>
      <c r="G983" s="463">
        <v>1</v>
      </c>
      <c r="H983" s="432">
        <v>45</v>
      </c>
      <c r="I983" s="463">
        <f t="shared" ref="I983:I989" si="113">G983*H983</f>
        <v>45</v>
      </c>
      <c r="J983" s="497"/>
      <c r="K983" s="497"/>
      <c r="O983" s="456"/>
    </row>
    <row r="984" s="457" customFormat="1" ht="20.25" spans="1:17">
      <c r="A984" s="494">
        <v>45565</v>
      </c>
      <c r="B984" s="457" t="s">
        <v>451</v>
      </c>
      <c r="C984" s="495">
        <v>45564</v>
      </c>
      <c r="D984" s="463"/>
      <c r="E984" s="463"/>
      <c r="F984" s="496" t="s">
        <v>452</v>
      </c>
      <c r="G984" s="463">
        <v>1</v>
      </c>
      <c r="H984" s="432">
        <v>45</v>
      </c>
      <c r="I984" s="463">
        <f t="shared" si="113"/>
        <v>45</v>
      </c>
      <c r="J984" s="497"/>
      <c r="K984" s="497"/>
      <c r="O984" s="456"/>
    </row>
    <row r="985" s="457" customFormat="1" ht="20.25" spans="1:17">
      <c r="A985" s="494">
        <v>45565</v>
      </c>
      <c r="B985" s="457" t="s">
        <v>451</v>
      </c>
      <c r="C985" s="495">
        <v>45564</v>
      </c>
      <c r="D985" s="463"/>
      <c r="E985" s="463"/>
      <c r="F985" s="496" t="s">
        <v>87</v>
      </c>
      <c r="G985" s="463">
        <v>1</v>
      </c>
      <c r="H985" s="432">
        <v>114</v>
      </c>
      <c r="I985" s="463">
        <f t="shared" si="113"/>
        <v>114</v>
      </c>
      <c r="J985" s="497"/>
      <c r="K985" s="497"/>
      <c r="L985" s="537"/>
      <c r="M985" s="537"/>
      <c r="N985" s="537"/>
      <c r="O985" s="456"/>
    </row>
    <row r="986" s="457" customFormat="1" ht="20.25" spans="1:17">
      <c r="A986" s="494">
        <v>45565</v>
      </c>
      <c r="B986" s="457" t="s">
        <v>451</v>
      </c>
      <c r="C986" s="495">
        <v>45564</v>
      </c>
      <c r="D986" s="463"/>
      <c r="E986" s="463"/>
      <c r="F986" s="496" t="s">
        <v>406</v>
      </c>
      <c r="G986" s="463">
        <v>1</v>
      </c>
      <c r="H986" s="432">
        <v>30</v>
      </c>
      <c r="I986" s="463">
        <f t="shared" si="113"/>
        <v>30</v>
      </c>
      <c r="J986" s="497">
        <v>10.7</v>
      </c>
      <c r="K986" s="497">
        <f t="shared" ref="K986:K988" si="114">I986*J986</f>
        <v>321</v>
      </c>
      <c r="L986" s="537"/>
      <c r="M986" s="537"/>
      <c r="N986" s="537"/>
      <c r="O986" s="456"/>
    </row>
    <row r="987" s="457" customFormat="1" ht="20.25" spans="1:17">
      <c r="A987" s="494">
        <v>45565</v>
      </c>
      <c r="B987" s="457" t="s">
        <v>451</v>
      </c>
      <c r="C987" s="495">
        <v>45564</v>
      </c>
      <c r="D987" s="463"/>
      <c r="E987" s="463"/>
      <c r="F987" s="496" t="s">
        <v>125</v>
      </c>
      <c r="G987" s="463">
        <v>1</v>
      </c>
      <c r="H987" s="432">
        <v>21</v>
      </c>
      <c r="I987" s="463">
        <f t="shared" si="113"/>
        <v>21</v>
      </c>
      <c r="J987" s="497">
        <v>6.2</v>
      </c>
      <c r="K987" s="497">
        <f t="shared" si="114"/>
        <v>130.2</v>
      </c>
      <c r="L987" s="537"/>
      <c r="M987" s="537"/>
      <c r="N987" s="537"/>
      <c r="O987" s="456"/>
    </row>
    <row r="988" s="457" customFormat="1" ht="20.25" spans="1:17">
      <c r="A988" s="494">
        <v>45565</v>
      </c>
      <c r="B988" s="457" t="s">
        <v>451</v>
      </c>
      <c r="C988" s="495">
        <v>45564</v>
      </c>
      <c r="D988" s="463"/>
      <c r="E988" s="463"/>
      <c r="F988" s="496" t="s">
        <v>115</v>
      </c>
      <c r="G988" s="463">
        <v>1</v>
      </c>
      <c r="H988" s="432">
        <v>45</v>
      </c>
      <c r="I988" s="463">
        <f t="shared" si="113"/>
        <v>45</v>
      </c>
      <c r="J988" s="497"/>
      <c r="K988" s="497"/>
      <c r="L988" s="537" t="s">
        <v>126</v>
      </c>
      <c r="M988" s="537"/>
      <c r="N988" s="537"/>
      <c r="O988" s="456"/>
    </row>
    <row r="989" s="457" customFormat="1" ht="20.25" spans="1:17">
      <c r="A989" s="494">
        <v>45565</v>
      </c>
      <c r="B989" s="457" t="s">
        <v>451</v>
      </c>
      <c r="C989" s="495">
        <v>45564</v>
      </c>
      <c r="D989" s="463"/>
      <c r="E989" s="463"/>
      <c r="F989" s="499" t="s">
        <v>453</v>
      </c>
      <c r="G989" s="501">
        <v>1</v>
      </c>
      <c r="H989" s="500">
        <f>SUM(H983:H988)</f>
        <v>300</v>
      </c>
      <c r="I989" s="501">
        <f t="shared" si="113"/>
        <v>300</v>
      </c>
      <c r="J989" s="502">
        <v>1</v>
      </c>
      <c r="K989" s="502">
        <f>I989*J989</f>
        <v>300</v>
      </c>
      <c r="L989" s="636">
        <f>SUM(K983:K989)</f>
        <v>751.2</v>
      </c>
      <c r="M989" s="537"/>
      <c r="N989" s="537"/>
      <c r="O989" s="456"/>
    </row>
    <row r="990" s="454" customFormat="1" ht="33" customHeight="1" spans="1:17">
      <c r="A990" s="601" t="s">
        <v>454</v>
      </c>
      <c r="B990" s="481"/>
      <c r="C990" s="481"/>
      <c r="D990" s="481"/>
      <c r="E990" s="481"/>
      <c r="F990" s="481"/>
      <c r="G990" s="481"/>
      <c r="H990" s="481"/>
      <c r="I990" s="481"/>
      <c r="J990" s="632" t="s">
        <v>28</v>
      </c>
      <c r="K990" s="595">
        <f>SUM(K993:K1175)</f>
        <v>97451.95</v>
      </c>
      <c r="L990" s="454" t="s">
        <v>29</v>
      </c>
      <c r="M990" s="601">
        <f>'24材料明细'!AQ90</f>
        <v>67294.7</v>
      </c>
      <c r="N990" s="593" t="s">
        <v>30</v>
      </c>
      <c r="O990" s="601">
        <f>K1001+K1007+K1012+K1019+K1023+K1030+K1038+K1044+K1053+K1059+K1068+K1074+K1081+K1088+K1095+K1104+K1108+K1115+K1119+K1123+K1130+K1134+K1141+K1151+K1158+K1167+K1175</f>
        <v>27372.75</v>
      </c>
      <c r="P990" s="481" t="s">
        <v>31</v>
      </c>
      <c r="Q990" s="601">
        <f>M1092+L1144</f>
        <v>2686.5</v>
      </c>
    </row>
    <row r="991" s="454" customFormat="1" ht="18" customHeight="1" spans="1:17">
      <c r="A991" s="601"/>
      <c r="B991" s="481"/>
      <c r="C991" s="481"/>
      <c r="D991" s="481"/>
      <c r="E991" s="481"/>
      <c r="F991" s="481"/>
      <c r="G991" s="481"/>
      <c r="H991" s="481"/>
      <c r="I991" s="481"/>
      <c r="J991" s="481" t="s">
        <v>32</v>
      </c>
      <c r="K991" s="481">
        <f>(H997+H1003+H1006+H1010)/1000</f>
        <v>0.2235</v>
      </c>
      <c r="L991" s="454" t="s">
        <v>33</v>
      </c>
      <c r="M991" s="601">
        <f>K1031+K1092+K1144</f>
        <v>98</v>
      </c>
      <c r="N991" s="634" t="s">
        <v>34</v>
      </c>
      <c r="O991" s="595">
        <f>M990+M991+O990+Q990</f>
        <v>97451.95</v>
      </c>
    </row>
    <row r="992" s="455" customFormat="1" ht="15" customHeight="1" spans="1:17">
      <c r="A992" s="604" t="s">
        <v>35</v>
      </c>
      <c r="B992" s="605" t="s">
        <v>36</v>
      </c>
      <c r="C992" s="486" t="s">
        <v>37</v>
      </c>
      <c r="D992" s="486"/>
      <c r="E992" s="486"/>
      <c r="F992" s="486" t="s">
        <v>38</v>
      </c>
      <c r="G992" s="486" t="s">
        <v>4</v>
      </c>
      <c r="H992" s="486" t="s">
        <v>5</v>
      </c>
      <c r="I992" s="486" t="s">
        <v>6</v>
      </c>
      <c r="J992" s="486" t="s">
        <v>7</v>
      </c>
      <c r="K992" s="486" t="s">
        <v>8</v>
      </c>
      <c r="L992" s="486" t="s">
        <v>39</v>
      </c>
      <c r="M992" s="486" t="s">
        <v>40</v>
      </c>
      <c r="N992" s="487"/>
      <c r="O992" s="487"/>
    </row>
    <row r="993" s="456" customFormat="1" ht="20.25" spans="1:15">
      <c r="A993" s="488">
        <v>45572</v>
      </c>
      <c r="B993" s="456" t="s">
        <v>151</v>
      </c>
      <c r="C993" s="490">
        <v>45572</v>
      </c>
      <c r="D993" s="491"/>
      <c r="E993" s="491"/>
      <c r="F993" s="493" t="s">
        <v>16</v>
      </c>
      <c r="G993" s="491">
        <v>1</v>
      </c>
      <c r="H993" s="431">
        <v>50</v>
      </c>
      <c r="I993" s="491">
        <f t="shared" ref="I993:I1024" si="115">G993*H993</f>
        <v>50</v>
      </c>
      <c r="J993" s="492"/>
      <c r="K993" s="492"/>
    </row>
    <row r="994" s="456" customFormat="1" ht="20.25" spans="1:15">
      <c r="A994" s="488">
        <v>45572</v>
      </c>
      <c r="B994" s="456" t="s">
        <v>151</v>
      </c>
      <c r="C994" s="490">
        <v>45572</v>
      </c>
      <c r="D994" s="491"/>
      <c r="E994" s="491"/>
      <c r="F994" s="493" t="s">
        <v>136</v>
      </c>
      <c r="G994" s="491">
        <v>1</v>
      </c>
      <c r="H994" s="431">
        <v>75</v>
      </c>
      <c r="I994" s="491">
        <f t="shared" si="115"/>
        <v>75</v>
      </c>
      <c r="J994" s="492"/>
      <c r="K994" s="492"/>
    </row>
    <row r="995" s="456" customFormat="1" ht="20.25" spans="1:15">
      <c r="A995" s="488">
        <v>45572</v>
      </c>
      <c r="B995" s="456" t="s">
        <v>151</v>
      </c>
      <c r="C995" s="490">
        <v>45572</v>
      </c>
      <c r="D995" s="491"/>
      <c r="E995" s="491"/>
      <c r="F995" s="493" t="s">
        <v>92</v>
      </c>
      <c r="G995" s="491">
        <v>1</v>
      </c>
      <c r="H995" s="431">
        <v>2</v>
      </c>
      <c r="I995" s="491">
        <f t="shared" si="115"/>
        <v>2</v>
      </c>
      <c r="J995" s="492"/>
      <c r="K995" s="492"/>
    </row>
    <row r="996" s="456" customFormat="1" ht="20.25" spans="1:15">
      <c r="A996" s="488">
        <v>45572</v>
      </c>
      <c r="B996" s="456" t="s">
        <v>455</v>
      </c>
      <c r="C996" s="490">
        <v>45572</v>
      </c>
      <c r="D996" s="491"/>
      <c r="E996" s="491"/>
      <c r="F996" s="493" t="s">
        <v>132</v>
      </c>
      <c r="G996" s="491">
        <v>1</v>
      </c>
      <c r="H996" s="431">
        <v>160</v>
      </c>
      <c r="I996" s="491">
        <f t="shared" si="115"/>
        <v>160</v>
      </c>
      <c r="J996" s="492">
        <v>3.7</v>
      </c>
      <c r="K996" s="492">
        <f>I996*J996</f>
        <v>592</v>
      </c>
    </row>
    <row r="997" s="456" customFormat="1" ht="20.25" spans="1:15">
      <c r="A997" s="488">
        <v>45572</v>
      </c>
      <c r="B997" s="456" t="s">
        <v>455</v>
      </c>
      <c r="C997" s="490">
        <v>45572</v>
      </c>
      <c r="D997" s="491"/>
      <c r="E997" s="491"/>
      <c r="F997" s="493" t="s">
        <v>86</v>
      </c>
      <c r="G997" s="491">
        <v>1</v>
      </c>
      <c r="H997" s="431">
        <v>70</v>
      </c>
      <c r="I997" s="491">
        <f t="shared" si="115"/>
        <v>70</v>
      </c>
      <c r="J997" s="492"/>
      <c r="K997" s="492"/>
      <c r="L997" s="536"/>
      <c r="M997" s="536"/>
      <c r="N997" s="536"/>
    </row>
    <row r="998" s="456" customFormat="1" ht="20.25" spans="1:15">
      <c r="A998" s="488">
        <v>45572</v>
      </c>
      <c r="B998" s="456" t="s">
        <v>455</v>
      </c>
      <c r="C998" s="490">
        <v>45572</v>
      </c>
      <c r="D998" s="491"/>
      <c r="E998" s="491"/>
      <c r="F998" s="493" t="s">
        <v>87</v>
      </c>
      <c r="G998" s="491">
        <v>1</v>
      </c>
      <c r="H998" s="431">
        <v>130</v>
      </c>
      <c r="I998" s="491">
        <f t="shared" si="115"/>
        <v>130</v>
      </c>
      <c r="J998" s="492"/>
      <c r="K998" s="492"/>
      <c r="L998" s="536"/>
      <c r="M998" s="536"/>
      <c r="N998" s="536"/>
    </row>
    <row r="999" s="456" customFormat="1" ht="20.25" spans="1:15">
      <c r="A999" s="488">
        <v>45572</v>
      </c>
      <c r="B999" s="456" t="s">
        <v>455</v>
      </c>
      <c r="C999" s="490">
        <v>45572</v>
      </c>
      <c r="D999" s="491"/>
      <c r="E999" s="491"/>
      <c r="F999" s="493" t="s">
        <v>214</v>
      </c>
      <c r="G999" s="491">
        <v>1</v>
      </c>
      <c r="H999" s="431">
        <v>15</v>
      </c>
      <c r="I999" s="491">
        <f t="shared" si="115"/>
        <v>15</v>
      </c>
      <c r="J999" s="492">
        <v>17</v>
      </c>
      <c r="K999" s="492">
        <f>I999*J999</f>
        <v>255</v>
      </c>
      <c r="L999" s="536"/>
      <c r="M999" s="536"/>
      <c r="N999" s="536"/>
    </row>
    <row r="1000" s="456" customFormat="1" ht="20.25" spans="1:15">
      <c r="A1000" s="488">
        <v>45572</v>
      </c>
      <c r="B1000" s="456" t="s">
        <v>455</v>
      </c>
      <c r="C1000" s="490">
        <v>45572</v>
      </c>
      <c r="D1000" s="491"/>
      <c r="E1000" s="491"/>
      <c r="F1000" s="493" t="s">
        <v>137</v>
      </c>
      <c r="G1000" s="491">
        <v>1</v>
      </c>
      <c r="H1000" s="431">
        <v>50</v>
      </c>
      <c r="I1000" s="491">
        <f t="shared" si="115"/>
        <v>50</v>
      </c>
      <c r="J1000" s="492">
        <v>0.9</v>
      </c>
      <c r="K1000" s="492">
        <f t="shared" ref="K1000:K1007" si="116">I1000*J1000</f>
        <v>45</v>
      </c>
      <c r="L1000" s="536" t="s">
        <v>116</v>
      </c>
      <c r="M1000" s="536"/>
      <c r="N1000" s="536"/>
    </row>
    <row r="1001" s="456" customFormat="1" ht="20.25" spans="1:15">
      <c r="A1001" s="488">
        <v>45572</v>
      </c>
      <c r="B1001" s="456" t="s">
        <v>455</v>
      </c>
      <c r="C1001" s="490">
        <v>45572</v>
      </c>
      <c r="D1001" s="491"/>
      <c r="E1001" s="491"/>
      <c r="F1001" s="493" t="s">
        <v>138</v>
      </c>
      <c r="G1001" s="491">
        <v>1</v>
      </c>
      <c r="H1001" s="500">
        <f>SUM(H993:H1000)</f>
        <v>552</v>
      </c>
      <c r="I1001" s="501">
        <f t="shared" si="115"/>
        <v>552</v>
      </c>
      <c r="J1001" s="502">
        <v>1</v>
      </c>
      <c r="K1001" s="502">
        <f t="shared" si="116"/>
        <v>552</v>
      </c>
      <c r="L1001" s="536">
        <f>SUM(K993:K1001)</f>
        <v>1444</v>
      </c>
      <c r="M1001" s="536"/>
      <c r="N1001" s="536"/>
    </row>
    <row r="1002" s="457" customFormat="1" ht="20.25" spans="1:15">
      <c r="A1002" s="494">
        <v>45573</v>
      </c>
      <c r="B1002" s="457" t="s">
        <v>153</v>
      </c>
      <c r="C1002" s="495">
        <v>45573</v>
      </c>
      <c r="D1002" s="463"/>
      <c r="E1002" s="463"/>
      <c r="F1002" s="496" t="s">
        <v>16</v>
      </c>
      <c r="G1002" s="463">
        <v>2</v>
      </c>
      <c r="H1002" s="432">
        <v>48</v>
      </c>
      <c r="I1002" s="463">
        <f t="shared" si="115"/>
        <v>96</v>
      </c>
      <c r="J1002" s="497"/>
      <c r="K1002" s="497"/>
      <c r="O1002" s="456"/>
    </row>
    <row r="1003" s="457" customFormat="1" ht="20.25" spans="1:15">
      <c r="A1003" s="494">
        <v>45573</v>
      </c>
      <c r="B1003" s="457" t="s">
        <v>153</v>
      </c>
      <c r="C1003" s="495">
        <v>45573</v>
      </c>
      <c r="D1003" s="463"/>
      <c r="E1003" s="463"/>
      <c r="F1003" s="496" t="s">
        <v>444</v>
      </c>
      <c r="G1003" s="463">
        <v>2</v>
      </c>
      <c r="H1003" s="432">
        <v>4.5</v>
      </c>
      <c r="I1003" s="463">
        <f t="shared" si="115"/>
        <v>9</v>
      </c>
      <c r="J1003" s="497"/>
      <c r="K1003" s="497"/>
      <c r="O1003" s="456"/>
    </row>
    <row r="1004" s="457" customFormat="1" ht="20.25" spans="1:15">
      <c r="A1004" s="494">
        <v>45573</v>
      </c>
      <c r="B1004" s="457" t="s">
        <v>153</v>
      </c>
      <c r="C1004" s="495">
        <v>45573</v>
      </c>
      <c r="D1004" s="463"/>
      <c r="E1004" s="463"/>
      <c r="F1004" s="496">
        <v>996</v>
      </c>
      <c r="G1004" s="463">
        <v>2</v>
      </c>
      <c r="H1004" s="432">
        <v>150</v>
      </c>
      <c r="I1004" s="463">
        <f t="shared" si="115"/>
        <v>300</v>
      </c>
      <c r="J1004" s="497"/>
      <c r="K1004" s="497"/>
      <c r="L1004" s="537"/>
      <c r="M1004" s="537"/>
      <c r="N1004" s="537"/>
      <c r="O1004" s="456"/>
    </row>
    <row r="1005" s="457" customFormat="1" ht="20.25" spans="1:15">
      <c r="A1005" s="494">
        <v>45573</v>
      </c>
      <c r="B1005" s="457" t="s">
        <v>153</v>
      </c>
      <c r="C1005" s="495">
        <v>45573</v>
      </c>
      <c r="D1005" s="463"/>
      <c r="E1005" s="463"/>
      <c r="F1005" s="496" t="s">
        <v>12</v>
      </c>
      <c r="G1005" s="463">
        <v>2</v>
      </c>
      <c r="H1005" s="432">
        <v>30</v>
      </c>
      <c r="I1005" s="463">
        <f t="shared" si="115"/>
        <v>60</v>
      </c>
      <c r="J1005" s="497">
        <v>7.7</v>
      </c>
      <c r="K1005" s="497">
        <f t="shared" si="116"/>
        <v>462</v>
      </c>
      <c r="L1005" s="537"/>
      <c r="M1005" s="537"/>
      <c r="N1005" s="537"/>
      <c r="O1005" s="456"/>
    </row>
    <row r="1006" s="457" customFormat="1" ht="20.25" spans="1:15">
      <c r="A1006" s="494">
        <v>45573</v>
      </c>
      <c r="B1006" s="457" t="s">
        <v>153</v>
      </c>
      <c r="C1006" s="495">
        <v>45573</v>
      </c>
      <c r="D1006" s="463"/>
      <c r="E1006" s="463"/>
      <c r="F1006" s="496" t="s">
        <v>152</v>
      </c>
      <c r="G1006" s="463">
        <v>2</v>
      </c>
      <c r="H1006" s="432">
        <v>30</v>
      </c>
      <c r="I1006" s="463">
        <f t="shared" si="115"/>
        <v>60</v>
      </c>
      <c r="J1006" s="497">
        <v>7.8</v>
      </c>
      <c r="K1006" s="497">
        <f t="shared" si="116"/>
        <v>468</v>
      </c>
      <c r="L1006" s="537"/>
      <c r="M1006" s="537"/>
      <c r="N1006" s="537"/>
      <c r="O1006" s="456"/>
    </row>
    <row r="1007" s="457" customFormat="1" ht="20.25" spans="1:15">
      <c r="A1007" s="494">
        <v>45573</v>
      </c>
      <c r="B1007" s="457" t="s">
        <v>153</v>
      </c>
      <c r="C1007" s="495">
        <v>45573</v>
      </c>
      <c r="D1007" s="463"/>
      <c r="E1007" s="463"/>
      <c r="F1007" s="499" t="s">
        <v>456</v>
      </c>
      <c r="G1007" s="463">
        <v>2</v>
      </c>
      <c r="H1007" s="500">
        <f>SUM(H1002:H1006)</f>
        <v>262.5</v>
      </c>
      <c r="I1007" s="501">
        <f t="shared" si="115"/>
        <v>525</v>
      </c>
      <c r="J1007" s="502">
        <v>3</v>
      </c>
      <c r="K1007" s="502">
        <f t="shared" si="116"/>
        <v>1575</v>
      </c>
      <c r="L1007" s="636">
        <f>SUM(K1002:K1007)</f>
        <v>2505</v>
      </c>
      <c r="M1007" s="537"/>
      <c r="N1007" s="537"/>
      <c r="O1007" s="456"/>
    </row>
    <row r="1008" s="456" customFormat="1" ht="20.25" spans="1:15">
      <c r="A1008" s="488">
        <v>45576</v>
      </c>
      <c r="B1008" s="608" t="s">
        <v>64</v>
      </c>
      <c r="C1008" s="490">
        <v>45575</v>
      </c>
      <c r="D1008" s="491"/>
      <c r="E1008" s="491"/>
      <c r="F1008" s="493" t="s">
        <v>42</v>
      </c>
      <c r="G1008" s="491">
        <v>1</v>
      </c>
      <c r="H1008" s="431">
        <v>210</v>
      </c>
      <c r="I1008" s="491">
        <f t="shared" si="115"/>
        <v>210</v>
      </c>
      <c r="J1008" s="492"/>
      <c r="K1008" s="492"/>
    </row>
    <row r="1009" s="456" customFormat="1" ht="20.25" spans="1:14">
      <c r="A1009" s="488">
        <v>45576</v>
      </c>
      <c r="B1009" s="608" t="s">
        <v>64</v>
      </c>
      <c r="C1009" s="490">
        <v>45575</v>
      </c>
      <c r="D1009" s="491"/>
      <c r="E1009" s="491"/>
      <c r="F1009" s="493" t="s">
        <v>43</v>
      </c>
      <c r="G1009" s="491">
        <v>1</v>
      </c>
      <c r="H1009" s="431">
        <v>147</v>
      </c>
      <c r="I1009" s="491">
        <f t="shared" si="115"/>
        <v>147</v>
      </c>
      <c r="J1009" s="492">
        <v>10.7</v>
      </c>
      <c r="K1009" s="492">
        <f>I1009*J1009</f>
        <v>1572.9</v>
      </c>
    </row>
    <row r="1010" s="456" customFormat="1" ht="20.25" spans="1:14">
      <c r="A1010" s="488">
        <v>45576</v>
      </c>
      <c r="B1010" s="608" t="s">
        <v>64</v>
      </c>
      <c r="C1010" s="490">
        <v>45575</v>
      </c>
      <c r="D1010" s="491"/>
      <c r="E1010" s="491"/>
      <c r="F1010" s="493" t="s">
        <v>86</v>
      </c>
      <c r="G1010" s="491">
        <v>1</v>
      </c>
      <c r="H1010" s="431">
        <v>119</v>
      </c>
      <c r="I1010" s="491">
        <f t="shared" si="115"/>
        <v>119</v>
      </c>
      <c r="J1010" s="492"/>
      <c r="K1010" s="492"/>
      <c r="L1010" s="536" t="s">
        <v>126</v>
      </c>
      <c r="M1010" s="536"/>
      <c r="N1010" s="536"/>
    </row>
    <row r="1011" s="456" customFormat="1" ht="20.25" spans="1:14">
      <c r="A1011" s="488">
        <v>45576</v>
      </c>
      <c r="B1011" s="608" t="s">
        <v>64</v>
      </c>
      <c r="C1011" s="490">
        <v>45575</v>
      </c>
      <c r="D1011" s="491"/>
      <c r="E1011" s="491"/>
      <c r="F1011" s="493" t="s">
        <v>87</v>
      </c>
      <c r="G1011" s="491">
        <v>1</v>
      </c>
      <c r="H1011" s="431">
        <v>224</v>
      </c>
      <c r="I1011" s="491">
        <f t="shared" si="115"/>
        <v>224</v>
      </c>
      <c r="J1011" s="492"/>
      <c r="K1011" s="492"/>
      <c r="L1011" s="536"/>
      <c r="M1011" s="536" t="s">
        <v>51</v>
      </c>
      <c r="N1011" s="536"/>
    </row>
    <row r="1012" s="456" customFormat="1" ht="20.25" spans="1:14">
      <c r="A1012" s="488">
        <v>45576</v>
      </c>
      <c r="B1012" s="608" t="s">
        <v>64</v>
      </c>
      <c r="C1012" s="490">
        <v>45575</v>
      </c>
      <c r="D1012" s="491"/>
      <c r="E1012" s="491"/>
      <c r="F1012" s="499" t="s">
        <v>47</v>
      </c>
      <c r="G1012" s="491">
        <v>1</v>
      </c>
      <c r="H1012" s="500">
        <f>SUM(H1008:H1011)</f>
        <v>700</v>
      </c>
      <c r="I1012" s="501">
        <f t="shared" si="115"/>
        <v>700</v>
      </c>
      <c r="J1012" s="502">
        <v>1</v>
      </c>
      <c r="K1012" s="502">
        <f>I1012*J1012</f>
        <v>700</v>
      </c>
      <c r="L1012" s="536">
        <f>SUM(K1008:K1012)</f>
        <v>2272.9</v>
      </c>
      <c r="M1012" s="536"/>
      <c r="N1012" s="536"/>
    </row>
    <row r="1013" s="457" customFormat="1" ht="20.25" spans="1:14">
      <c r="A1013" s="494">
        <v>45576</v>
      </c>
      <c r="B1013" s="607" t="s">
        <v>69</v>
      </c>
      <c r="C1013" s="495">
        <v>45576</v>
      </c>
      <c r="D1013" s="463"/>
      <c r="E1013" s="463"/>
      <c r="F1013" s="457" t="s">
        <v>16</v>
      </c>
      <c r="G1013" s="442">
        <v>1</v>
      </c>
      <c r="H1013" s="442">
        <v>70</v>
      </c>
      <c r="I1013" s="463">
        <f t="shared" si="115"/>
        <v>70</v>
      </c>
      <c r="J1013" s="497"/>
      <c r="K1013" s="497"/>
      <c r="L1013" s="647"/>
    </row>
    <row r="1014" s="457" customFormat="1" ht="20.25" spans="1:14">
      <c r="A1014" s="494">
        <v>45576</v>
      </c>
      <c r="B1014" s="607" t="s">
        <v>69</v>
      </c>
      <c r="C1014" s="495">
        <v>45576</v>
      </c>
      <c r="D1014" s="463"/>
      <c r="E1014" s="463"/>
      <c r="F1014" s="457" t="s">
        <v>86</v>
      </c>
      <c r="G1014" s="442">
        <v>1</v>
      </c>
      <c r="H1014" s="442">
        <v>70</v>
      </c>
      <c r="I1014" s="463">
        <f t="shared" si="115"/>
        <v>70</v>
      </c>
      <c r="J1014" s="497"/>
      <c r="K1014" s="497"/>
      <c r="L1014" s="647"/>
    </row>
    <row r="1015" s="457" customFormat="1" ht="20.25" spans="1:14">
      <c r="A1015" s="494">
        <v>45576</v>
      </c>
      <c r="B1015" s="607" t="s">
        <v>69</v>
      </c>
      <c r="C1015" s="495">
        <v>45576</v>
      </c>
      <c r="D1015" s="463"/>
      <c r="E1015" s="463"/>
      <c r="F1015" s="457" t="s">
        <v>87</v>
      </c>
      <c r="G1015" s="442">
        <v>1</v>
      </c>
      <c r="H1015" s="442">
        <v>200</v>
      </c>
      <c r="I1015" s="463">
        <f t="shared" si="115"/>
        <v>200</v>
      </c>
      <c r="J1015" s="497"/>
      <c r="K1015" s="497"/>
      <c r="L1015" s="647"/>
    </row>
    <row r="1016" s="457" customFormat="1" ht="20.25" spans="1:14">
      <c r="A1016" s="494">
        <v>45576</v>
      </c>
      <c r="B1016" s="607" t="s">
        <v>69</v>
      </c>
      <c r="C1016" s="495">
        <v>45576</v>
      </c>
      <c r="D1016" s="463"/>
      <c r="E1016" s="463"/>
      <c r="F1016" s="457" t="s">
        <v>352</v>
      </c>
      <c r="G1016" s="442">
        <v>1</v>
      </c>
      <c r="H1016" s="442">
        <v>75</v>
      </c>
      <c r="I1016" s="463">
        <f t="shared" si="115"/>
        <v>75</v>
      </c>
      <c r="J1016" s="497"/>
      <c r="K1016" s="497"/>
      <c r="L1016" s="648" t="s">
        <v>116</v>
      </c>
    </row>
    <row r="1017" s="457" customFormat="1" ht="20.25" spans="1:14">
      <c r="A1017" s="494">
        <v>45576</v>
      </c>
      <c r="B1017" s="607" t="s">
        <v>69</v>
      </c>
      <c r="C1017" s="495">
        <v>45576</v>
      </c>
      <c r="D1017" s="463"/>
      <c r="E1017" s="463"/>
      <c r="F1017" s="457" t="s">
        <v>115</v>
      </c>
      <c r="G1017" s="442">
        <v>1</v>
      </c>
      <c r="H1017" s="442">
        <v>50</v>
      </c>
      <c r="I1017" s="463">
        <f t="shared" si="115"/>
        <v>50</v>
      </c>
      <c r="J1017" s="497"/>
      <c r="K1017" s="497"/>
      <c r="L1017" s="647"/>
    </row>
    <row r="1018" s="457" customFormat="1" ht="20.25" spans="1:14">
      <c r="A1018" s="494">
        <v>45576</v>
      </c>
      <c r="B1018" s="607" t="s">
        <v>69</v>
      </c>
      <c r="C1018" s="495">
        <v>45576</v>
      </c>
      <c r="D1018" s="463"/>
      <c r="E1018" s="463"/>
      <c r="F1018" s="496">
        <v>808</v>
      </c>
      <c r="G1018" s="442">
        <v>1</v>
      </c>
      <c r="H1018" s="442">
        <v>35</v>
      </c>
      <c r="I1018" s="463">
        <f t="shared" si="115"/>
        <v>35</v>
      </c>
      <c r="J1018" s="497">
        <v>10.7</v>
      </c>
      <c r="K1018" s="497">
        <f>I1018*J1018</f>
        <v>374.5</v>
      </c>
      <c r="L1018" s="647"/>
    </row>
    <row r="1019" s="459" customFormat="1" ht="20.25" spans="1:14">
      <c r="A1019" s="494">
        <v>45576</v>
      </c>
      <c r="B1019" s="607" t="s">
        <v>69</v>
      </c>
      <c r="C1019" s="495">
        <v>45576</v>
      </c>
      <c r="D1019" s="463"/>
      <c r="E1019" s="463"/>
      <c r="F1019" s="464" t="s">
        <v>435</v>
      </c>
      <c r="G1019" s="535">
        <v>1</v>
      </c>
      <c r="H1019" s="535">
        <f>SUM(H1013:H1018)</f>
        <v>500</v>
      </c>
      <c r="I1019" s="501">
        <f t="shared" si="115"/>
        <v>500</v>
      </c>
      <c r="J1019" s="502">
        <v>1</v>
      </c>
      <c r="K1019" s="502">
        <f>I1019*J1019</f>
        <v>500</v>
      </c>
      <c r="L1019" s="459">
        <f>SUM(K1013:K1019)</f>
        <v>874.5</v>
      </c>
    </row>
    <row r="1020" s="456" customFormat="1" ht="20.25" spans="1:14">
      <c r="A1020" s="488">
        <v>45576</v>
      </c>
      <c r="B1020" s="608" t="s">
        <v>457</v>
      </c>
      <c r="C1020" s="490">
        <v>45576</v>
      </c>
      <c r="D1020" s="491"/>
      <c r="E1020" s="491"/>
      <c r="F1020" s="493" t="s">
        <v>97</v>
      </c>
      <c r="G1020" s="491">
        <v>1</v>
      </c>
      <c r="H1020" s="431">
        <v>200</v>
      </c>
      <c r="I1020" s="491">
        <f t="shared" si="115"/>
        <v>200</v>
      </c>
      <c r="J1020" s="492">
        <v>28</v>
      </c>
      <c r="K1020" s="492"/>
      <c r="L1020" s="536"/>
    </row>
    <row r="1021" s="456" customFormat="1" ht="20.25" spans="1:14">
      <c r="A1021" s="488">
        <v>45576</v>
      </c>
      <c r="B1021" s="608" t="s">
        <v>457</v>
      </c>
      <c r="C1021" s="490">
        <v>45576</v>
      </c>
      <c r="D1021" s="491"/>
      <c r="E1021" s="491"/>
      <c r="F1021" s="493" t="s">
        <v>125</v>
      </c>
      <c r="G1021" s="491">
        <v>1</v>
      </c>
      <c r="H1021" s="431">
        <v>720</v>
      </c>
      <c r="I1021" s="491">
        <f t="shared" si="115"/>
        <v>720</v>
      </c>
      <c r="J1021" s="492">
        <v>6.2</v>
      </c>
      <c r="K1021" s="492">
        <f>I1021*J1021</f>
        <v>4464</v>
      </c>
      <c r="L1021" s="536"/>
    </row>
    <row r="1022" s="456" customFormat="1" ht="20.25" spans="1:14">
      <c r="A1022" s="488">
        <v>45576</v>
      </c>
      <c r="B1022" s="608" t="s">
        <v>457</v>
      </c>
      <c r="C1022" s="490">
        <v>45576</v>
      </c>
      <c r="D1022" s="491"/>
      <c r="E1022" s="491"/>
      <c r="F1022" s="493" t="s">
        <v>458</v>
      </c>
      <c r="G1022" s="491">
        <v>1</v>
      </c>
      <c r="H1022" s="431">
        <v>360</v>
      </c>
      <c r="I1022" s="491">
        <f t="shared" ref="I1022:I1030" si="117">G1022*H1022</f>
        <v>360</v>
      </c>
      <c r="J1022" s="492">
        <v>7.8</v>
      </c>
      <c r="K1022" s="492">
        <f t="shared" ref="K1022:K1028" si="118">I1022*J1022</f>
        <v>2808</v>
      </c>
      <c r="L1022" s="536"/>
    </row>
    <row r="1023" s="456" customFormat="1" ht="20.25" spans="1:14">
      <c r="A1023" s="488">
        <v>45576</v>
      </c>
      <c r="B1023" s="608" t="s">
        <v>457</v>
      </c>
      <c r="C1023" s="490">
        <v>45576</v>
      </c>
      <c r="D1023" s="491"/>
      <c r="E1023" s="491"/>
      <c r="F1023" s="493" t="s">
        <v>68</v>
      </c>
      <c r="G1023" s="501">
        <v>1</v>
      </c>
      <c r="H1023" s="500">
        <f>SUM(H1020:H1022)</f>
        <v>1280</v>
      </c>
      <c r="I1023" s="501">
        <f t="shared" si="117"/>
        <v>1280</v>
      </c>
      <c r="J1023" s="502">
        <v>0.8</v>
      </c>
      <c r="K1023" s="502">
        <f t="shared" si="118"/>
        <v>1024</v>
      </c>
      <c r="L1023" s="636">
        <f>SUM(K1020:K1023)</f>
        <v>8296</v>
      </c>
    </row>
    <row r="1024" s="457" customFormat="1" ht="20.25" spans="1:14">
      <c r="A1024" s="494">
        <v>45576</v>
      </c>
      <c r="B1024" s="607" t="s">
        <v>459</v>
      </c>
      <c r="C1024" s="495">
        <v>45576</v>
      </c>
      <c r="D1024" s="463"/>
      <c r="E1024" s="463"/>
      <c r="F1024" s="496" t="s">
        <v>16</v>
      </c>
      <c r="G1024" s="463">
        <v>1</v>
      </c>
      <c r="H1024" s="432">
        <v>75</v>
      </c>
      <c r="I1024" s="463">
        <f t="shared" si="117"/>
        <v>75</v>
      </c>
      <c r="J1024" s="497"/>
      <c r="K1024" s="497"/>
      <c r="L1024" s="537"/>
      <c r="M1024" s="537"/>
      <c r="N1024" s="537"/>
    </row>
    <row r="1025" s="457" customFormat="1" ht="20.25" spans="1:14">
      <c r="A1025" s="494">
        <v>45576</v>
      </c>
      <c r="B1025" s="607" t="s">
        <v>459</v>
      </c>
      <c r="C1025" s="495">
        <v>45576</v>
      </c>
      <c r="D1025" s="463"/>
      <c r="E1025" s="463"/>
      <c r="F1025" s="496" t="s">
        <v>300</v>
      </c>
      <c r="G1025" s="463">
        <v>1</v>
      </c>
      <c r="H1025" s="432">
        <v>75</v>
      </c>
      <c r="I1025" s="463">
        <f t="shared" si="117"/>
        <v>75</v>
      </c>
      <c r="J1025" s="497"/>
      <c r="K1025" s="497"/>
      <c r="L1025" s="537"/>
      <c r="M1025" s="537"/>
      <c r="N1025" s="537"/>
    </row>
    <row r="1026" s="457" customFormat="1" ht="20.25" spans="1:14">
      <c r="A1026" s="494">
        <v>45576</v>
      </c>
      <c r="B1026" s="607" t="s">
        <v>459</v>
      </c>
      <c r="C1026" s="495">
        <v>45576</v>
      </c>
      <c r="D1026" s="463"/>
      <c r="E1026" s="463"/>
      <c r="F1026" s="496" t="s">
        <v>298</v>
      </c>
      <c r="G1026" s="463">
        <v>1</v>
      </c>
      <c r="H1026" s="432">
        <v>190</v>
      </c>
      <c r="I1026" s="463">
        <f t="shared" si="117"/>
        <v>190</v>
      </c>
      <c r="J1026" s="497"/>
      <c r="K1026" s="497"/>
      <c r="L1026" s="537"/>
      <c r="M1026" s="537"/>
      <c r="N1026" s="537"/>
    </row>
    <row r="1027" s="457" customFormat="1" ht="20.25" spans="1:14">
      <c r="A1027" s="494">
        <v>45576</v>
      </c>
      <c r="B1027" s="607" t="s">
        <v>459</v>
      </c>
      <c r="C1027" s="495">
        <v>45576</v>
      </c>
      <c r="D1027" s="463"/>
      <c r="E1027" s="463"/>
      <c r="F1027" s="496">
        <v>808</v>
      </c>
      <c r="G1027" s="463">
        <v>1</v>
      </c>
      <c r="H1027" s="432">
        <v>50</v>
      </c>
      <c r="I1027" s="463">
        <f t="shared" si="117"/>
        <v>50</v>
      </c>
      <c r="J1027" s="497">
        <v>10.7</v>
      </c>
      <c r="K1027" s="497">
        <f t="shared" si="118"/>
        <v>535</v>
      </c>
      <c r="L1027" s="537" t="s">
        <v>436</v>
      </c>
      <c r="M1027" s="537"/>
      <c r="N1027" s="537"/>
    </row>
    <row r="1028" s="457" customFormat="1" ht="20.25" spans="1:14">
      <c r="A1028" s="494">
        <v>45576</v>
      </c>
      <c r="B1028" s="607" t="s">
        <v>459</v>
      </c>
      <c r="C1028" s="495">
        <v>45576</v>
      </c>
      <c r="D1028" s="463"/>
      <c r="E1028" s="463"/>
      <c r="F1028" s="496" t="s">
        <v>125</v>
      </c>
      <c r="G1028" s="463">
        <v>1</v>
      </c>
      <c r="H1028" s="432">
        <v>35</v>
      </c>
      <c r="I1028" s="463">
        <f t="shared" si="117"/>
        <v>35</v>
      </c>
      <c r="J1028" s="497">
        <v>6.2</v>
      </c>
      <c r="K1028" s="497">
        <f t="shared" si="118"/>
        <v>217</v>
      </c>
      <c r="L1028" s="537"/>
      <c r="M1028" s="537"/>
      <c r="N1028" s="537"/>
    </row>
    <row r="1029" s="457" customFormat="1" ht="20.25" spans="1:14">
      <c r="A1029" s="494">
        <v>45576</v>
      </c>
      <c r="B1029" s="607" t="s">
        <v>459</v>
      </c>
      <c r="C1029" s="495">
        <v>45576</v>
      </c>
      <c r="D1029" s="463"/>
      <c r="E1029" s="463"/>
      <c r="F1029" s="496" t="s">
        <v>240</v>
      </c>
      <c r="G1029" s="463">
        <v>1</v>
      </c>
      <c r="H1029" s="432">
        <v>75</v>
      </c>
      <c r="I1029" s="463">
        <f t="shared" si="117"/>
        <v>75</v>
      </c>
      <c r="J1029" s="497"/>
      <c r="K1029" s="497"/>
      <c r="L1029" s="537"/>
      <c r="M1029" s="537"/>
      <c r="N1029" s="537"/>
    </row>
    <row r="1030" s="457" customFormat="1" ht="20.25" spans="1:14">
      <c r="A1030" s="494">
        <v>45576</v>
      </c>
      <c r="B1030" s="607" t="s">
        <v>459</v>
      </c>
      <c r="C1030" s="495">
        <v>45576</v>
      </c>
      <c r="D1030" s="463"/>
      <c r="E1030" s="463"/>
      <c r="F1030" s="496" t="s">
        <v>301</v>
      </c>
      <c r="G1030" s="501">
        <v>1</v>
      </c>
      <c r="H1030" s="500">
        <f>SUM(H1024:H1029)</f>
        <v>500</v>
      </c>
      <c r="I1030" s="501">
        <f t="shared" si="117"/>
        <v>500</v>
      </c>
      <c r="J1030" s="502">
        <v>1</v>
      </c>
      <c r="K1030" s="502">
        <f>I1030*J1030</f>
        <v>500</v>
      </c>
      <c r="L1030" s="537">
        <f>SUM(K1024:K1030)</f>
        <v>1252</v>
      </c>
      <c r="M1030" s="537"/>
      <c r="N1030" s="537"/>
    </row>
    <row r="1031" s="456" customFormat="1" ht="20.25" spans="1:14">
      <c r="A1031" s="488">
        <v>45577</v>
      </c>
      <c r="B1031" s="608" t="s">
        <v>422</v>
      </c>
      <c r="C1031" s="490">
        <v>45577</v>
      </c>
      <c r="D1031" s="491"/>
      <c r="E1031" s="491"/>
      <c r="F1031" s="493" t="s">
        <v>460</v>
      </c>
      <c r="G1031" s="491">
        <v>3</v>
      </c>
      <c r="H1031" s="431">
        <v>1</v>
      </c>
      <c r="I1031" s="491">
        <f t="shared" ref="I1031:I1038" si="119">G1031*H1031</f>
        <v>3</v>
      </c>
      <c r="J1031" s="492">
        <v>12.5</v>
      </c>
      <c r="K1031" s="492">
        <f t="shared" ref="K1031:K1038" si="120">I1031*J1031</f>
        <v>37.5</v>
      </c>
      <c r="L1031" s="536"/>
      <c r="M1031" s="536"/>
      <c r="N1031" s="536"/>
    </row>
    <row r="1032" s="456" customFormat="1" ht="20.25" spans="1:14">
      <c r="A1032" s="488">
        <v>45577</v>
      </c>
      <c r="B1032" s="608" t="s">
        <v>422</v>
      </c>
      <c r="C1032" s="490">
        <v>45577</v>
      </c>
      <c r="D1032" s="491"/>
      <c r="E1032" s="491"/>
      <c r="F1032" s="493" t="s">
        <v>260</v>
      </c>
      <c r="G1032" s="491">
        <v>1</v>
      </c>
      <c r="H1032" s="431">
        <v>560</v>
      </c>
      <c r="I1032" s="491">
        <f t="shared" si="119"/>
        <v>560</v>
      </c>
      <c r="J1032" s="492"/>
      <c r="K1032" s="492"/>
    </row>
    <row r="1033" s="456" customFormat="1" ht="20.25" spans="1:14">
      <c r="A1033" s="488">
        <v>45577</v>
      </c>
      <c r="B1033" s="608" t="s">
        <v>422</v>
      </c>
      <c r="C1033" s="490">
        <v>45577</v>
      </c>
      <c r="D1033" s="491"/>
      <c r="E1033" s="491"/>
      <c r="F1033" s="493" t="s">
        <v>211</v>
      </c>
      <c r="G1033" s="491">
        <v>1</v>
      </c>
      <c r="H1033" s="431">
        <v>2.5</v>
      </c>
      <c r="I1033" s="491">
        <f t="shared" si="119"/>
        <v>2.5</v>
      </c>
      <c r="J1033" s="492"/>
      <c r="K1033" s="492"/>
    </row>
    <row r="1034" s="456" customFormat="1" ht="20.25" spans="1:14">
      <c r="A1034" s="488">
        <v>45577</v>
      </c>
      <c r="B1034" s="608" t="s">
        <v>422</v>
      </c>
      <c r="C1034" s="490">
        <v>45577</v>
      </c>
      <c r="D1034" s="491"/>
      <c r="E1034" s="491"/>
      <c r="F1034" s="493" t="s">
        <v>214</v>
      </c>
      <c r="G1034" s="491">
        <v>1</v>
      </c>
      <c r="H1034" s="431">
        <v>17</v>
      </c>
      <c r="I1034" s="491">
        <f t="shared" si="119"/>
        <v>17</v>
      </c>
      <c r="J1034" s="492">
        <v>17</v>
      </c>
      <c r="K1034" s="492">
        <f t="shared" si="120"/>
        <v>289</v>
      </c>
      <c r="L1034" s="536"/>
      <c r="M1034" s="536"/>
      <c r="N1034" s="536"/>
    </row>
    <row r="1035" s="456" customFormat="1" ht="20.25" spans="1:14">
      <c r="A1035" s="488">
        <v>45577</v>
      </c>
      <c r="B1035" s="608" t="s">
        <v>422</v>
      </c>
      <c r="C1035" s="490">
        <v>45577</v>
      </c>
      <c r="D1035" s="491"/>
      <c r="E1035" s="491"/>
      <c r="F1035" s="493" t="s">
        <v>137</v>
      </c>
      <c r="G1035" s="491">
        <v>1</v>
      </c>
      <c r="H1035" s="431">
        <v>56</v>
      </c>
      <c r="I1035" s="491">
        <f t="shared" si="119"/>
        <v>56</v>
      </c>
      <c r="J1035" s="492">
        <v>0.9</v>
      </c>
      <c r="K1035" s="492">
        <f t="shared" si="120"/>
        <v>50.4</v>
      </c>
      <c r="L1035" s="536"/>
      <c r="M1035" s="536"/>
      <c r="N1035" s="536"/>
    </row>
    <row r="1036" s="456" customFormat="1" ht="20.25" spans="1:14">
      <c r="A1036" s="488">
        <v>45577</v>
      </c>
      <c r="B1036" s="608" t="s">
        <v>422</v>
      </c>
      <c r="C1036" s="490">
        <v>45577</v>
      </c>
      <c r="D1036" s="491"/>
      <c r="E1036" s="491"/>
      <c r="F1036" s="493" t="s">
        <v>132</v>
      </c>
      <c r="G1036" s="491">
        <v>1</v>
      </c>
      <c r="H1036" s="431">
        <v>3</v>
      </c>
      <c r="I1036" s="491">
        <f t="shared" si="119"/>
        <v>3</v>
      </c>
      <c r="J1036" s="492">
        <v>3.7</v>
      </c>
      <c r="K1036" s="492">
        <f t="shared" si="120"/>
        <v>11.1</v>
      </c>
      <c r="L1036" s="536" t="s">
        <v>116</v>
      </c>
      <c r="M1036" s="536"/>
      <c r="N1036" s="536"/>
    </row>
    <row r="1037" s="456" customFormat="1" ht="20.25" spans="1:14">
      <c r="A1037" s="488">
        <v>45577</v>
      </c>
      <c r="B1037" s="608" t="s">
        <v>422</v>
      </c>
      <c r="C1037" s="490">
        <v>45577</v>
      </c>
      <c r="D1037" s="491"/>
      <c r="E1037" s="491"/>
      <c r="F1037" s="493" t="s">
        <v>125</v>
      </c>
      <c r="G1037" s="491">
        <v>1</v>
      </c>
      <c r="H1037" s="431">
        <v>2</v>
      </c>
      <c r="I1037" s="491">
        <f t="shared" si="119"/>
        <v>2</v>
      </c>
      <c r="J1037" s="492">
        <v>6.2</v>
      </c>
      <c r="K1037" s="492">
        <f t="shared" si="120"/>
        <v>12.4</v>
      </c>
    </row>
    <row r="1038" s="456" customFormat="1" ht="20.25" spans="1:14">
      <c r="A1038" s="488">
        <v>45577</v>
      </c>
      <c r="B1038" s="608" t="s">
        <v>422</v>
      </c>
      <c r="C1038" s="490">
        <v>45577</v>
      </c>
      <c r="D1038" s="491"/>
      <c r="E1038" s="491"/>
      <c r="F1038" s="493" t="s">
        <v>261</v>
      </c>
      <c r="G1038" s="491">
        <v>1</v>
      </c>
      <c r="H1038" s="500">
        <f>SUM(H1032:H1037)</f>
        <v>640.5</v>
      </c>
      <c r="I1038" s="501">
        <f t="shared" si="119"/>
        <v>640.5</v>
      </c>
      <c r="J1038" s="502">
        <v>1</v>
      </c>
      <c r="K1038" s="502">
        <f t="shared" si="120"/>
        <v>640.5</v>
      </c>
      <c r="L1038" s="536">
        <f>SUM(K1031:K1038)</f>
        <v>1040.9</v>
      </c>
      <c r="M1038" s="536" t="s">
        <v>118</v>
      </c>
      <c r="N1038" s="536"/>
    </row>
    <row r="1039" s="457" customFormat="1" ht="20.25" spans="1:14">
      <c r="A1039" s="494">
        <v>45577</v>
      </c>
      <c r="B1039" s="607" t="s">
        <v>423</v>
      </c>
      <c r="C1039" s="504">
        <v>45577</v>
      </c>
      <c r="D1039" s="504"/>
      <c r="E1039" s="505"/>
      <c r="F1039" s="496" t="s">
        <v>251</v>
      </c>
      <c r="G1039" s="463">
        <v>2</v>
      </c>
      <c r="H1039" s="432">
        <v>200</v>
      </c>
      <c r="I1039" s="463">
        <f t="shared" ref="I1039:I1080" si="121">G1039*H1039</f>
        <v>400</v>
      </c>
      <c r="J1039" s="497"/>
      <c r="K1039" s="497"/>
    </row>
    <row r="1040" s="457" customFormat="1" ht="20.25" spans="1:14">
      <c r="A1040" s="494">
        <v>45577</v>
      </c>
      <c r="B1040" s="607" t="s">
        <v>423</v>
      </c>
      <c r="C1040" s="504">
        <v>45577</v>
      </c>
      <c r="D1040" s="504"/>
      <c r="E1040" s="505"/>
      <c r="F1040" s="496" t="s">
        <v>129</v>
      </c>
      <c r="G1040" s="463">
        <v>2</v>
      </c>
      <c r="H1040" s="432">
        <v>150</v>
      </c>
      <c r="I1040" s="463">
        <f t="shared" si="121"/>
        <v>300</v>
      </c>
      <c r="J1040" s="497"/>
      <c r="K1040" s="497"/>
    </row>
    <row r="1041" s="457" customFormat="1" ht="20.25" spans="1:14">
      <c r="A1041" s="494">
        <v>45577</v>
      </c>
      <c r="B1041" s="607" t="s">
        <v>423</v>
      </c>
      <c r="C1041" s="504">
        <v>45577</v>
      </c>
      <c r="D1041" s="504"/>
      <c r="E1041" s="505"/>
      <c r="F1041" s="496">
        <v>808</v>
      </c>
      <c r="G1041" s="463">
        <v>2</v>
      </c>
      <c r="H1041" s="432">
        <v>200</v>
      </c>
      <c r="I1041" s="463">
        <f t="shared" si="121"/>
        <v>400</v>
      </c>
      <c r="J1041" s="497">
        <v>10.6</v>
      </c>
      <c r="K1041" s="497">
        <f>I1041*J1041</f>
        <v>4240</v>
      </c>
    </row>
    <row r="1042" s="457" customFormat="1" ht="20.25" spans="1:14">
      <c r="A1042" s="494">
        <v>45577</v>
      </c>
      <c r="B1042" s="607" t="s">
        <v>423</v>
      </c>
      <c r="C1042" s="504">
        <v>45577</v>
      </c>
      <c r="D1042" s="504"/>
      <c r="E1042" s="505"/>
      <c r="F1042" s="496" t="s">
        <v>86</v>
      </c>
      <c r="G1042" s="463">
        <v>2</v>
      </c>
      <c r="H1042" s="432">
        <v>70</v>
      </c>
      <c r="I1042" s="463">
        <f t="shared" si="121"/>
        <v>140</v>
      </c>
      <c r="J1042" s="497"/>
      <c r="K1042" s="497"/>
      <c r="L1042" s="537"/>
      <c r="M1042" s="537"/>
      <c r="N1042" s="537"/>
    </row>
    <row r="1043" s="457" customFormat="1" ht="20.25" spans="1:14">
      <c r="A1043" s="494">
        <v>45577</v>
      </c>
      <c r="B1043" s="607" t="s">
        <v>423</v>
      </c>
      <c r="C1043" s="504">
        <v>45577</v>
      </c>
      <c r="D1043" s="504"/>
      <c r="E1043" s="505"/>
      <c r="F1043" s="496" t="s">
        <v>87</v>
      </c>
      <c r="G1043" s="463">
        <v>2</v>
      </c>
      <c r="H1043" s="432">
        <v>380</v>
      </c>
      <c r="I1043" s="463">
        <f t="shared" si="121"/>
        <v>760</v>
      </c>
      <c r="J1043" s="497"/>
      <c r="K1043" s="497"/>
      <c r="L1043" s="537"/>
      <c r="M1043" s="537" t="s">
        <v>126</v>
      </c>
      <c r="N1043" s="537"/>
    </row>
    <row r="1044" s="457" customFormat="1" ht="20.25" spans="1:14">
      <c r="A1044" s="494">
        <v>45577</v>
      </c>
      <c r="B1044" s="607" t="s">
        <v>423</v>
      </c>
      <c r="C1044" s="504">
        <v>45577</v>
      </c>
      <c r="D1044" s="504"/>
      <c r="E1044" s="505"/>
      <c r="F1044" s="496" t="s">
        <v>130</v>
      </c>
      <c r="G1044" s="463">
        <v>2</v>
      </c>
      <c r="H1044" s="500">
        <f>SUM(H1039:H1043)</f>
        <v>1000</v>
      </c>
      <c r="I1044" s="501">
        <f t="shared" si="121"/>
        <v>2000</v>
      </c>
      <c r="J1044" s="502">
        <v>1</v>
      </c>
      <c r="K1044" s="502">
        <f t="shared" ref="K1044:K1049" si="122">I1044*J1044</f>
        <v>2000</v>
      </c>
      <c r="L1044" s="537">
        <f>SUM(K1039:K1044)</f>
        <v>6240</v>
      </c>
      <c r="M1044" s="537"/>
      <c r="N1044" s="537" t="s">
        <v>399</v>
      </c>
    </row>
    <row r="1045" s="456" customFormat="1" ht="20.25" spans="1:14">
      <c r="A1045" s="488">
        <v>45579</v>
      </c>
      <c r="B1045" s="608" t="s">
        <v>461</v>
      </c>
      <c r="C1045" s="528">
        <v>45579</v>
      </c>
      <c r="D1045" s="528"/>
      <c r="E1045" s="529"/>
      <c r="F1045" s="493" t="s">
        <v>303</v>
      </c>
      <c r="G1045" s="491">
        <v>1</v>
      </c>
      <c r="H1045" s="431">
        <v>150</v>
      </c>
      <c r="I1045" s="491">
        <f t="shared" si="121"/>
        <v>150</v>
      </c>
      <c r="J1045" s="492"/>
      <c r="K1045" s="492"/>
    </row>
    <row r="1046" s="456" customFormat="1" ht="20.25" spans="1:14">
      <c r="A1046" s="488">
        <v>45579</v>
      </c>
      <c r="B1046" s="608" t="s">
        <v>461</v>
      </c>
      <c r="C1046" s="528">
        <v>45579</v>
      </c>
      <c r="D1046" s="528"/>
      <c r="E1046" s="529"/>
      <c r="F1046" s="493" t="s">
        <v>129</v>
      </c>
      <c r="G1046" s="491">
        <v>1</v>
      </c>
      <c r="H1046" s="431">
        <v>120</v>
      </c>
      <c r="I1046" s="491">
        <f t="shared" si="121"/>
        <v>120</v>
      </c>
      <c r="J1046" s="492"/>
      <c r="K1046" s="492"/>
    </row>
    <row r="1047" s="456" customFormat="1" ht="20.25" spans="1:14">
      <c r="A1047" s="488">
        <v>45579</v>
      </c>
      <c r="B1047" s="608" t="s">
        <v>461</v>
      </c>
      <c r="C1047" s="528">
        <v>45579</v>
      </c>
      <c r="D1047" s="528"/>
      <c r="E1047" s="529"/>
      <c r="F1047" s="493" t="s">
        <v>208</v>
      </c>
      <c r="G1047" s="491">
        <v>1</v>
      </c>
      <c r="H1047" s="431">
        <v>30</v>
      </c>
      <c r="I1047" s="491">
        <f t="shared" si="121"/>
        <v>30</v>
      </c>
      <c r="J1047" s="492">
        <v>17</v>
      </c>
      <c r="K1047" s="497">
        <f t="shared" si="122"/>
        <v>510</v>
      </c>
    </row>
    <row r="1048" s="456" customFormat="1" ht="20.25" spans="1:14">
      <c r="A1048" s="488">
        <v>45579</v>
      </c>
      <c r="B1048" s="608" t="s">
        <v>461</v>
      </c>
      <c r="C1048" s="528">
        <v>45579</v>
      </c>
      <c r="D1048" s="528"/>
      <c r="E1048" s="529"/>
      <c r="F1048" s="493">
        <v>808</v>
      </c>
      <c r="G1048" s="491">
        <v>1</v>
      </c>
      <c r="H1048" s="431">
        <v>100</v>
      </c>
      <c r="I1048" s="491">
        <f t="shared" si="121"/>
        <v>100</v>
      </c>
      <c r="J1048" s="492">
        <v>10.6</v>
      </c>
      <c r="K1048" s="497">
        <f t="shared" si="122"/>
        <v>1060</v>
      </c>
    </row>
    <row r="1049" s="456" customFormat="1" ht="20.25" spans="1:14">
      <c r="A1049" s="488">
        <v>45579</v>
      </c>
      <c r="B1049" s="608" t="s">
        <v>461</v>
      </c>
      <c r="C1049" s="528">
        <v>45579</v>
      </c>
      <c r="D1049" s="528"/>
      <c r="E1049" s="529"/>
      <c r="F1049" s="493" t="s">
        <v>132</v>
      </c>
      <c r="G1049" s="491">
        <v>1</v>
      </c>
      <c r="H1049" s="431">
        <v>200</v>
      </c>
      <c r="I1049" s="491">
        <f t="shared" si="121"/>
        <v>200</v>
      </c>
      <c r="J1049" s="492">
        <v>3.7</v>
      </c>
      <c r="K1049" s="497">
        <f t="shared" si="122"/>
        <v>740</v>
      </c>
    </row>
    <row r="1050" s="456" customFormat="1" ht="20.25" spans="1:14">
      <c r="A1050" s="488">
        <v>45579</v>
      </c>
      <c r="B1050" s="608" t="s">
        <v>461</v>
      </c>
      <c r="C1050" s="528">
        <v>45579</v>
      </c>
      <c r="D1050" s="528"/>
      <c r="E1050" s="529"/>
      <c r="F1050" s="493" t="s">
        <v>86</v>
      </c>
      <c r="G1050" s="491">
        <v>1</v>
      </c>
      <c r="H1050" s="431">
        <v>140</v>
      </c>
      <c r="I1050" s="491">
        <f t="shared" si="121"/>
        <v>140</v>
      </c>
      <c r="J1050" s="492"/>
      <c r="K1050" s="492"/>
      <c r="L1050" s="536"/>
      <c r="M1050" s="536"/>
      <c r="N1050" s="536"/>
    </row>
    <row r="1051" s="456" customFormat="1" ht="20.25" spans="1:14">
      <c r="A1051" s="488">
        <v>45579</v>
      </c>
      <c r="B1051" s="608" t="s">
        <v>461</v>
      </c>
      <c r="C1051" s="528">
        <v>45579</v>
      </c>
      <c r="D1051" s="528"/>
      <c r="E1051" s="529"/>
      <c r="F1051" s="493" t="s">
        <v>87</v>
      </c>
      <c r="G1051" s="491">
        <v>1</v>
      </c>
      <c r="H1051" s="431">
        <v>260</v>
      </c>
      <c r="I1051" s="491">
        <f t="shared" si="121"/>
        <v>260</v>
      </c>
      <c r="J1051" s="492"/>
      <c r="K1051" s="492"/>
      <c r="L1051" s="536"/>
      <c r="M1051" s="536" t="s">
        <v>126</v>
      </c>
      <c r="N1051" s="536"/>
    </row>
    <row r="1052" s="456" customFormat="1" ht="20.25" spans="1:14">
      <c r="A1052" s="488">
        <v>45579</v>
      </c>
      <c r="B1052" s="608" t="s">
        <v>461</v>
      </c>
      <c r="C1052" s="528">
        <v>45579</v>
      </c>
      <c r="D1052" s="528"/>
      <c r="E1052" s="529"/>
      <c r="F1052" s="498" t="s">
        <v>373</v>
      </c>
      <c r="G1052" s="491">
        <v>1</v>
      </c>
      <c r="H1052" s="431">
        <v>3</v>
      </c>
      <c r="I1052" s="491">
        <f t="shared" si="121"/>
        <v>3</v>
      </c>
      <c r="J1052" s="492"/>
      <c r="K1052" s="492"/>
      <c r="L1052" s="536"/>
      <c r="M1052" s="536"/>
      <c r="N1052" s="536"/>
    </row>
    <row r="1053" s="456" customFormat="1" ht="20.25" spans="1:14">
      <c r="A1053" s="488">
        <v>45579</v>
      </c>
      <c r="B1053" s="608" t="s">
        <v>461</v>
      </c>
      <c r="C1053" s="528">
        <v>45579</v>
      </c>
      <c r="D1053" s="528"/>
      <c r="E1053" s="529"/>
      <c r="F1053" s="499" t="s">
        <v>304</v>
      </c>
      <c r="G1053" s="501">
        <v>1</v>
      </c>
      <c r="H1053" s="500">
        <f>SUM(H1045:H1052)</f>
        <v>1003</v>
      </c>
      <c r="I1053" s="501">
        <f t="shared" si="121"/>
        <v>1003</v>
      </c>
      <c r="J1053" s="502">
        <v>1</v>
      </c>
      <c r="K1053" s="502">
        <f>I1053*J1053</f>
        <v>1003</v>
      </c>
      <c r="L1053" s="536">
        <f>SUM(K1045:K1053)</f>
        <v>3313</v>
      </c>
      <c r="M1053" s="536"/>
      <c r="N1053" s="536"/>
    </row>
    <row r="1054" s="457" customFormat="1" ht="20.25" spans="1:14">
      <c r="A1054" s="494">
        <v>45580</v>
      </c>
      <c r="B1054" s="457" t="s">
        <v>302</v>
      </c>
      <c r="C1054" s="504">
        <v>45579</v>
      </c>
      <c r="D1054" s="504"/>
      <c r="E1054" s="505"/>
      <c r="F1054" s="496" t="s">
        <v>462</v>
      </c>
      <c r="G1054" s="463">
        <v>1</v>
      </c>
      <c r="H1054" s="432">
        <v>380</v>
      </c>
      <c r="I1054" s="463">
        <f t="shared" si="121"/>
        <v>380</v>
      </c>
      <c r="J1054" s="497"/>
      <c r="K1054" s="497"/>
    </row>
    <row r="1055" s="457" customFormat="1" ht="20.25" spans="1:14">
      <c r="A1055" s="494">
        <v>45580</v>
      </c>
      <c r="B1055" s="457" t="s">
        <v>302</v>
      </c>
      <c r="C1055" s="504">
        <v>45579</v>
      </c>
      <c r="D1055" s="504"/>
      <c r="E1055" s="505"/>
      <c r="F1055" s="496" t="s">
        <v>133</v>
      </c>
      <c r="G1055" s="463">
        <v>1</v>
      </c>
      <c r="H1055" s="432">
        <v>60</v>
      </c>
      <c r="I1055" s="463">
        <f t="shared" si="121"/>
        <v>60</v>
      </c>
      <c r="J1055" s="497"/>
      <c r="K1055" s="497"/>
    </row>
    <row r="1056" s="457" customFormat="1" ht="20.25" spans="1:14">
      <c r="A1056" s="494">
        <v>45580</v>
      </c>
      <c r="B1056" s="457" t="s">
        <v>302</v>
      </c>
      <c r="C1056" s="504">
        <v>45579</v>
      </c>
      <c r="D1056" s="504"/>
      <c r="E1056" s="505"/>
      <c r="F1056" s="496" t="s">
        <v>132</v>
      </c>
      <c r="G1056" s="463">
        <v>1</v>
      </c>
      <c r="H1056" s="432">
        <v>180</v>
      </c>
      <c r="I1056" s="463">
        <f t="shared" si="121"/>
        <v>180</v>
      </c>
      <c r="J1056" s="497">
        <v>3.7</v>
      </c>
      <c r="K1056" s="497">
        <f>I1056*J1056</f>
        <v>666</v>
      </c>
    </row>
    <row r="1057" s="457" customFormat="1" ht="20.25" spans="1:14">
      <c r="A1057" s="494">
        <v>45580</v>
      </c>
      <c r="B1057" s="457" t="s">
        <v>302</v>
      </c>
      <c r="C1057" s="504">
        <v>45579</v>
      </c>
      <c r="D1057" s="504"/>
      <c r="E1057" s="505"/>
      <c r="F1057" s="496" t="s">
        <v>125</v>
      </c>
      <c r="G1057" s="463">
        <v>1</v>
      </c>
      <c r="H1057" s="432">
        <v>165</v>
      </c>
      <c r="I1057" s="463">
        <f t="shared" si="121"/>
        <v>165</v>
      </c>
      <c r="J1057" s="497">
        <v>6.2</v>
      </c>
      <c r="K1057" s="497">
        <f>I1057*J1057</f>
        <v>1023</v>
      </c>
    </row>
    <row r="1058" s="457" customFormat="1" ht="20.25" spans="1:14">
      <c r="A1058" s="494">
        <v>45580</v>
      </c>
      <c r="B1058" s="457" t="s">
        <v>302</v>
      </c>
      <c r="C1058" s="504">
        <v>45579</v>
      </c>
      <c r="D1058" s="504"/>
      <c r="E1058" s="505"/>
      <c r="F1058" s="496" t="s">
        <v>463</v>
      </c>
      <c r="G1058" s="463">
        <v>1</v>
      </c>
      <c r="H1058" s="432">
        <v>30</v>
      </c>
      <c r="I1058" s="463">
        <f t="shared" si="121"/>
        <v>30</v>
      </c>
      <c r="J1058" s="497"/>
      <c r="K1058" s="497"/>
      <c r="L1058" s="537" t="s">
        <v>126</v>
      </c>
      <c r="M1058" s="457" t="s">
        <v>464</v>
      </c>
    </row>
    <row r="1059" s="457" customFormat="1" ht="20.25" spans="1:14">
      <c r="A1059" s="494">
        <v>45580</v>
      </c>
      <c r="B1059" s="457" t="s">
        <v>302</v>
      </c>
      <c r="C1059" s="504">
        <v>45579</v>
      </c>
      <c r="D1059" s="504"/>
      <c r="E1059" s="505"/>
      <c r="F1059" s="499" t="s">
        <v>465</v>
      </c>
      <c r="G1059" s="501">
        <v>1</v>
      </c>
      <c r="H1059" s="500">
        <f>SUM(H1054:H1058)</f>
        <v>815</v>
      </c>
      <c r="I1059" s="501">
        <f t="shared" si="121"/>
        <v>815</v>
      </c>
      <c r="J1059" s="502">
        <v>1</v>
      </c>
      <c r="K1059" s="502">
        <f>I1059*J1059</f>
        <v>815</v>
      </c>
      <c r="L1059" s="457">
        <f>SUM(K1054:K1059)</f>
        <v>2504</v>
      </c>
    </row>
    <row r="1060" s="456" customFormat="1" ht="20.25" spans="1:14">
      <c r="A1060" s="488">
        <v>45580</v>
      </c>
      <c r="B1060" s="456" t="s">
        <v>305</v>
      </c>
      <c r="C1060" s="528">
        <v>45580</v>
      </c>
      <c r="D1060" s="528"/>
      <c r="E1060" s="529"/>
      <c r="F1060" s="493" t="s">
        <v>303</v>
      </c>
      <c r="G1060" s="491">
        <v>1</v>
      </c>
      <c r="H1060" s="431">
        <v>46</v>
      </c>
      <c r="I1060" s="491">
        <f t="shared" si="121"/>
        <v>46</v>
      </c>
      <c r="J1060" s="492"/>
      <c r="K1060" s="492"/>
    </row>
    <row r="1061" s="456" customFormat="1" ht="20.25" spans="1:14">
      <c r="A1061" s="488">
        <v>45580</v>
      </c>
      <c r="B1061" s="456" t="s">
        <v>305</v>
      </c>
      <c r="C1061" s="528">
        <v>45580</v>
      </c>
      <c r="D1061" s="528"/>
      <c r="E1061" s="529"/>
      <c r="F1061" s="493" t="s">
        <v>207</v>
      </c>
      <c r="G1061" s="491">
        <v>1</v>
      </c>
      <c r="H1061" s="431">
        <v>80</v>
      </c>
      <c r="I1061" s="491">
        <f t="shared" si="121"/>
        <v>80</v>
      </c>
      <c r="J1061" s="492"/>
      <c r="K1061" s="492"/>
    </row>
    <row r="1062" s="456" customFormat="1" ht="20.25" spans="1:14">
      <c r="A1062" s="488">
        <v>45580</v>
      </c>
      <c r="B1062" s="456" t="s">
        <v>305</v>
      </c>
      <c r="C1062" s="528">
        <v>45580</v>
      </c>
      <c r="D1062" s="528"/>
      <c r="E1062" s="529"/>
      <c r="F1062" s="493" t="s">
        <v>208</v>
      </c>
      <c r="G1062" s="491">
        <v>1</v>
      </c>
      <c r="H1062" s="431">
        <v>3</v>
      </c>
      <c r="I1062" s="491">
        <f t="shared" si="121"/>
        <v>3</v>
      </c>
      <c r="J1062" s="492">
        <v>17</v>
      </c>
      <c r="K1062" s="497">
        <f>I1062*J1062</f>
        <v>51</v>
      </c>
    </row>
    <row r="1063" s="456" customFormat="1" ht="20.25" spans="1:14">
      <c r="A1063" s="488">
        <v>45580</v>
      </c>
      <c r="B1063" s="456" t="s">
        <v>305</v>
      </c>
      <c r="C1063" s="528">
        <v>45580</v>
      </c>
      <c r="D1063" s="528"/>
      <c r="E1063" s="529"/>
      <c r="F1063" s="493" t="s">
        <v>466</v>
      </c>
      <c r="G1063" s="491">
        <v>1</v>
      </c>
      <c r="H1063" s="431">
        <v>18</v>
      </c>
      <c r="I1063" s="491">
        <f t="shared" si="121"/>
        <v>18</v>
      </c>
      <c r="J1063" s="492">
        <v>0.9</v>
      </c>
      <c r="K1063" s="497">
        <f>I1063*J1063</f>
        <v>16.2</v>
      </c>
    </row>
    <row r="1064" s="456" customFormat="1" ht="20.25" spans="1:14">
      <c r="A1064" s="488">
        <v>45580</v>
      </c>
      <c r="B1064" s="456" t="s">
        <v>305</v>
      </c>
      <c r="C1064" s="528">
        <v>45580</v>
      </c>
      <c r="D1064" s="528"/>
      <c r="E1064" s="529"/>
      <c r="F1064" s="493" t="s">
        <v>132</v>
      </c>
      <c r="G1064" s="491">
        <v>1</v>
      </c>
      <c r="H1064" s="431">
        <v>95</v>
      </c>
      <c r="I1064" s="491">
        <f t="shared" si="121"/>
        <v>95</v>
      </c>
      <c r="J1064" s="492">
        <v>3.7</v>
      </c>
      <c r="K1064" s="497">
        <f>I1064*J1064</f>
        <v>351.5</v>
      </c>
      <c r="L1064" s="456" t="s">
        <v>467</v>
      </c>
    </row>
    <row r="1065" s="456" customFormat="1" ht="20.25" spans="1:14">
      <c r="A1065" s="488">
        <v>45580</v>
      </c>
      <c r="B1065" s="456" t="s">
        <v>305</v>
      </c>
      <c r="C1065" s="528">
        <v>45580</v>
      </c>
      <c r="D1065" s="528"/>
      <c r="E1065" s="529"/>
      <c r="F1065" s="493" t="s">
        <v>86</v>
      </c>
      <c r="G1065" s="491">
        <v>1</v>
      </c>
      <c r="H1065" s="431">
        <v>47</v>
      </c>
      <c r="I1065" s="491">
        <f t="shared" si="121"/>
        <v>47</v>
      </c>
      <c r="J1065" s="492"/>
      <c r="K1065" s="492"/>
      <c r="L1065" s="606" t="s">
        <v>468</v>
      </c>
      <c r="M1065" s="459"/>
      <c r="N1065" s="536"/>
    </row>
    <row r="1066" s="456" customFormat="1" ht="20.25" spans="1:14">
      <c r="A1066" s="488">
        <v>45580</v>
      </c>
      <c r="B1066" s="456" t="s">
        <v>305</v>
      </c>
      <c r="C1066" s="528">
        <v>45580</v>
      </c>
      <c r="D1066" s="528"/>
      <c r="E1066" s="529"/>
      <c r="F1066" s="493" t="s">
        <v>87</v>
      </c>
      <c r="G1066" s="491">
        <v>1</v>
      </c>
      <c r="H1066" s="431">
        <v>90</v>
      </c>
      <c r="I1066" s="491">
        <f t="shared" si="121"/>
        <v>90</v>
      </c>
      <c r="J1066" s="492"/>
      <c r="K1066" s="492"/>
      <c r="L1066" s="606" t="s">
        <v>469</v>
      </c>
      <c r="M1066" s="606" t="s">
        <v>116</v>
      </c>
      <c r="N1066" s="536"/>
    </row>
    <row r="1067" s="456" customFormat="1" ht="20.25" spans="1:14">
      <c r="A1067" s="488">
        <v>45580</v>
      </c>
      <c r="B1067" s="456" t="s">
        <v>305</v>
      </c>
      <c r="C1067" s="528">
        <v>45580</v>
      </c>
      <c r="D1067" s="528"/>
      <c r="E1067" s="529"/>
      <c r="F1067" s="493" t="s">
        <v>373</v>
      </c>
      <c r="G1067" s="491">
        <v>1</v>
      </c>
      <c r="H1067" s="431">
        <v>1</v>
      </c>
      <c r="I1067" s="491">
        <f t="shared" si="121"/>
        <v>1</v>
      </c>
      <c r="J1067" s="492"/>
      <c r="K1067" s="492"/>
      <c r="L1067" s="536"/>
      <c r="M1067" s="536"/>
      <c r="N1067" s="536"/>
    </row>
    <row r="1068" s="456" customFormat="1" ht="20.25" spans="1:14">
      <c r="A1068" s="488">
        <v>45580</v>
      </c>
      <c r="B1068" s="456" t="s">
        <v>305</v>
      </c>
      <c r="C1068" s="528">
        <v>45580</v>
      </c>
      <c r="D1068" s="528"/>
      <c r="E1068" s="529"/>
      <c r="F1068" s="499" t="s">
        <v>470</v>
      </c>
      <c r="G1068" s="501">
        <v>1</v>
      </c>
      <c r="H1068" s="500">
        <f>SUM(H1060:H1067)</f>
        <v>380</v>
      </c>
      <c r="I1068" s="501">
        <f t="shared" si="121"/>
        <v>380</v>
      </c>
      <c r="J1068" s="502">
        <v>1</v>
      </c>
      <c r="K1068" s="502">
        <f>I1068*J1068</f>
        <v>380</v>
      </c>
      <c r="L1068" s="536">
        <f>SUM(K1060:K1068)</f>
        <v>798.7</v>
      </c>
      <c r="M1068" s="536"/>
      <c r="N1068" s="536"/>
    </row>
    <row r="1069" s="457" customFormat="1" ht="20.25" spans="1:14">
      <c r="A1069" s="494">
        <v>45581</v>
      </c>
      <c r="B1069" s="457" t="s">
        <v>272</v>
      </c>
      <c r="C1069" s="495" t="s">
        <v>471</v>
      </c>
      <c r="D1069" s="463"/>
      <c r="E1069" s="463"/>
      <c r="F1069" s="496" t="s">
        <v>176</v>
      </c>
      <c r="G1069" s="463">
        <v>1</v>
      </c>
      <c r="H1069" s="432">
        <v>200</v>
      </c>
      <c r="I1069" s="463">
        <f t="shared" si="121"/>
        <v>200</v>
      </c>
      <c r="J1069" s="497"/>
      <c r="K1069" s="497"/>
    </row>
    <row r="1070" s="457" customFormat="1" ht="20.25" spans="1:14">
      <c r="A1070" s="494">
        <v>45581</v>
      </c>
      <c r="B1070" s="457" t="s">
        <v>272</v>
      </c>
      <c r="C1070" s="495" t="s">
        <v>471</v>
      </c>
      <c r="D1070" s="463"/>
      <c r="E1070" s="463"/>
      <c r="F1070" s="496" t="s">
        <v>170</v>
      </c>
      <c r="G1070" s="463">
        <v>1</v>
      </c>
      <c r="H1070" s="432">
        <v>25</v>
      </c>
      <c r="I1070" s="463">
        <f t="shared" si="121"/>
        <v>25</v>
      </c>
      <c r="J1070" s="497">
        <v>75</v>
      </c>
      <c r="K1070" s="497">
        <f t="shared" ref="K1068:K1074" si="123">I1070*J1070</f>
        <v>1875</v>
      </c>
      <c r="L1070" s="537"/>
      <c r="M1070" s="537"/>
      <c r="N1070" s="537"/>
    </row>
    <row r="1071" s="457" customFormat="1" ht="20.25" spans="1:14">
      <c r="A1071" s="494">
        <v>45581</v>
      </c>
      <c r="B1071" s="457" t="s">
        <v>272</v>
      </c>
      <c r="C1071" s="495" t="s">
        <v>471</v>
      </c>
      <c r="D1071" s="463"/>
      <c r="E1071" s="463"/>
      <c r="F1071" s="496" t="s">
        <v>171</v>
      </c>
      <c r="G1071" s="463">
        <v>1</v>
      </c>
      <c r="H1071" s="432">
        <v>100</v>
      </c>
      <c r="I1071" s="463">
        <f t="shared" si="121"/>
        <v>100</v>
      </c>
      <c r="J1071" s="497"/>
      <c r="K1071" s="497"/>
      <c r="L1071" s="537"/>
      <c r="M1071" s="537"/>
      <c r="N1071" s="537"/>
    </row>
    <row r="1072" s="457" customFormat="1" ht="20.25" spans="1:14">
      <c r="A1072" s="494">
        <v>45581</v>
      </c>
      <c r="B1072" s="457" t="s">
        <v>272</v>
      </c>
      <c r="C1072" s="495" t="s">
        <v>471</v>
      </c>
      <c r="D1072" s="463"/>
      <c r="E1072" s="463"/>
      <c r="F1072" s="496" t="s">
        <v>406</v>
      </c>
      <c r="G1072" s="463">
        <v>1</v>
      </c>
      <c r="H1072" s="432">
        <v>300</v>
      </c>
      <c r="I1072" s="463">
        <f t="shared" si="121"/>
        <v>300</v>
      </c>
      <c r="J1072" s="497">
        <v>10.6</v>
      </c>
      <c r="K1072" s="497">
        <f t="shared" si="123"/>
        <v>3180</v>
      </c>
      <c r="L1072" s="606" t="s">
        <v>472</v>
      </c>
      <c r="M1072" s="606"/>
      <c r="N1072" s="606"/>
    </row>
    <row r="1073" s="457" customFormat="1" ht="20.25" spans="1:14">
      <c r="A1073" s="494">
        <v>45581</v>
      </c>
      <c r="B1073" s="457" t="s">
        <v>272</v>
      </c>
      <c r="C1073" s="495" t="s">
        <v>471</v>
      </c>
      <c r="D1073" s="463"/>
      <c r="E1073" s="463"/>
      <c r="F1073" s="496" t="s">
        <v>125</v>
      </c>
      <c r="G1073" s="463">
        <v>1</v>
      </c>
      <c r="H1073" s="432">
        <v>125</v>
      </c>
      <c r="I1073" s="463">
        <f t="shared" si="121"/>
        <v>125</v>
      </c>
      <c r="J1073" s="497">
        <v>6.3</v>
      </c>
      <c r="K1073" s="497">
        <f t="shared" si="123"/>
        <v>787.5</v>
      </c>
      <c r="L1073" s="606"/>
      <c r="M1073" s="606" t="s">
        <v>473</v>
      </c>
      <c r="N1073" s="606"/>
    </row>
    <row r="1074" s="457" customFormat="1" ht="20.25" spans="1:14">
      <c r="A1074" s="494">
        <v>45581</v>
      </c>
      <c r="B1074" s="457" t="s">
        <v>272</v>
      </c>
      <c r="C1074" s="495" t="s">
        <v>471</v>
      </c>
      <c r="D1074" s="463"/>
      <c r="E1074" s="463"/>
      <c r="F1074" s="499" t="s">
        <v>179</v>
      </c>
      <c r="G1074" s="501">
        <v>1</v>
      </c>
      <c r="H1074" s="500">
        <f>SUM(H1069:H1073)</f>
        <v>750</v>
      </c>
      <c r="I1074" s="501">
        <f t="shared" si="121"/>
        <v>750</v>
      </c>
      <c r="J1074" s="502">
        <v>7.5</v>
      </c>
      <c r="K1074" s="502">
        <f t="shared" si="123"/>
        <v>5625</v>
      </c>
      <c r="L1074" s="606">
        <f>SUM(K1069:K1074)</f>
        <v>11467.5</v>
      </c>
      <c r="M1074" s="606"/>
      <c r="N1074" s="606"/>
    </row>
    <row r="1075" s="456" customFormat="1" ht="20.25" spans="1:14">
      <c r="A1075" s="488">
        <v>45581</v>
      </c>
      <c r="B1075" s="456" t="s">
        <v>168</v>
      </c>
      <c r="C1075" s="490">
        <v>45580</v>
      </c>
      <c r="D1075" s="491"/>
      <c r="E1075" s="491"/>
      <c r="F1075" s="493" t="s">
        <v>176</v>
      </c>
      <c r="G1075" s="491">
        <v>1</v>
      </c>
      <c r="H1075" s="431">
        <v>18</v>
      </c>
      <c r="I1075" s="491">
        <f t="shared" si="121"/>
        <v>18</v>
      </c>
      <c r="J1075" s="492"/>
      <c r="K1075" s="492"/>
    </row>
    <row r="1076" s="456" customFormat="1" ht="20.25" spans="1:14">
      <c r="A1076" s="488">
        <v>45581</v>
      </c>
      <c r="B1076" s="456" t="s">
        <v>168</v>
      </c>
      <c r="C1076" s="490">
        <v>45580</v>
      </c>
      <c r="D1076" s="491"/>
      <c r="E1076" s="491"/>
      <c r="F1076" s="493" t="s">
        <v>444</v>
      </c>
      <c r="G1076" s="491">
        <v>1</v>
      </c>
      <c r="H1076" s="431">
        <v>0.6</v>
      </c>
      <c r="I1076" s="491">
        <f t="shared" ref="I1076:I1088" si="124">G1076*H1076</f>
        <v>0.6</v>
      </c>
      <c r="J1076" s="492"/>
      <c r="K1076" s="492"/>
      <c r="L1076" s="536"/>
      <c r="M1076" s="536"/>
      <c r="N1076" s="536"/>
    </row>
    <row r="1077" s="456" customFormat="1" ht="20.25" spans="1:14">
      <c r="A1077" s="488">
        <v>45581</v>
      </c>
      <c r="B1077" s="456" t="s">
        <v>168</v>
      </c>
      <c r="C1077" s="490">
        <v>45580</v>
      </c>
      <c r="D1077" s="491"/>
      <c r="E1077" s="491"/>
      <c r="F1077" s="493" t="s">
        <v>211</v>
      </c>
      <c r="G1077" s="491">
        <v>1</v>
      </c>
      <c r="H1077" s="431">
        <v>0.7</v>
      </c>
      <c r="I1077" s="491">
        <f t="shared" si="124"/>
        <v>0.7</v>
      </c>
      <c r="J1077" s="492"/>
      <c r="K1077" s="492"/>
      <c r="L1077" s="536"/>
      <c r="M1077" s="536"/>
      <c r="N1077" s="536"/>
    </row>
    <row r="1078" s="456" customFormat="1" ht="20.25" spans="1:14">
      <c r="A1078" s="488">
        <v>45581</v>
      </c>
      <c r="B1078" s="456" t="s">
        <v>168</v>
      </c>
      <c r="C1078" s="490">
        <v>45580</v>
      </c>
      <c r="D1078" s="491"/>
      <c r="E1078" s="491"/>
      <c r="F1078" s="493" t="s">
        <v>474</v>
      </c>
      <c r="G1078" s="491">
        <v>1</v>
      </c>
      <c r="H1078" s="431">
        <v>10</v>
      </c>
      <c r="I1078" s="491">
        <f t="shared" si="124"/>
        <v>10</v>
      </c>
      <c r="J1078" s="492"/>
      <c r="K1078" s="492"/>
      <c r="L1078" s="536"/>
      <c r="M1078" s="536"/>
      <c r="N1078" s="536"/>
    </row>
    <row r="1079" s="456" customFormat="1" ht="20.25" spans="1:14">
      <c r="A1079" s="488">
        <v>45581</v>
      </c>
      <c r="B1079" s="456" t="s">
        <v>168</v>
      </c>
      <c r="C1079" s="490">
        <v>45580</v>
      </c>
      <c r="D1079" s="491"/>
      <c r="E1079" s="491"/>
      <c r="F1079" s="493" t="s">
        <v>406</v>
      </c>
      <c r="G1079" s="491">
        <v>1</v>
      </c>
      <c r="H1079" s="431">
        <v>16</v>
      </c>
      <c r="I1079" s="491">
        <f t="shared" si="124"/>
        <v>16</v>
      </c>
      <c r="J1079" s="492">
        <v>10.6</v>
      </c>
      <c r="K1079" s="492">
        <f>I1079*J1079</f>
        <v>169.6</v>
      </c>
      <c r="L1079" s="536" t="s">
        <v>472</v>
      </c>
      <c r="M1079" s="536"/>
      <c r="N1079" s="536"/>
    </row>
    <row r="1080" s="456" customFormat="1" ht="20.25" spans="1:14">
      <c r="A1080" s="488">
        <v>45581</v>
      </c>
      <c r="B1080" s="456" t="s">
        <v>168</v>
      </c>
      <c r="C1080" s="490">
        <v>45580</v>
      </c>
      <c r="D1080" s="491"/>
      <c r="E1080" s="491"/>
      <c r="F1080" s="493" t="s">
        <v>125</v>
      </c>
      <c r="G1080" s="491">
        <v>1</v>
      </c>
      <c r="H1080" s="431">
        <v>16</v>
      </c>
      <c r="I1080" s="491">
        <f t="shared" si="124"/>
        <v>16</v>
      </c>
      <c r="J1080" s="492">
        <v>6.3</v>
      </c>
      <c r="K1080" s="492">
        <f>I1080*J1080</f>
        <v>100.8</v>
      </c>
      <c r="L1080" s="536"/>
      <c r="M1080" s="536" t="s">
        <v>473</v>
      </c>
      <c r="N1080" s="536"/>
    </row>
    <row r="1081" s="456" customFormat="1" ht="20.25" spans="1:14">
      <c r="A1081" s="488">
        <v>45581</v>
      </c>
      <c r="B1081" s="456" t="s">
        <v>168</v>
      </c>
      <c r="C1081" s="490">
        <v>45580</v>
      </c>
      <c r="D1081" s="491"/>
      <c r="E1081" s="491"/>
      <c r="F1081" s="493" t="s">
        <v>475</v>
      </c>
      <c r="G1081" s="491">
        <v>1</v>
      </c>
      <c r="H1081" s="500">
        <f>SUM(H1075:H1080)</f>
        <v>61.3</v>
      </c>
      <c r="I1081" s="501">
        <f t="shared" si="124"/>
        <v>61.3</v>
      </c>
      <c r="J1081" s="502">
        <v>7.5</v>
      </c>
      <c r="K1081" s="502">
        <f>I1081*J1081</f>
        <v>459.75</v>
      </c>
      <c r="L1081" s="536">
        <f>SUM(K1075:K1081)</f>
        <v>730.15</v>
      </c>
      <c r="M1081" s="536"/>
      <c r="N1081" s="536"/>
    </row>
    <row r="1082" s="457" customFormat="1" ht="20.25" spans="1:14">
      <c r="A1082" s="494">
        <v>45582</v>
      </c>
      <c r="B1082" s="457" t="s">
        <v>180</v>
      </c>
      <c r="C1082" s="504">
        <v>45582</v>
      </c>
      <c r="D1082" s="504"/>
      <c r="E1082" s="505"/>
      <c r="F1082" s="496" t="s">
        <v>251</v>
      </c>
      <c r="G1082" s="463">
        <v>1</v>
      </c>
      <c r="H1082" s="432">
        <v>128</v>
      </c>
      <c r="I1082" s="463">
        <f t="shared" si="124"/>
        <v>128</v>
      </c>
      <c r="J1082" s="497">
        <v>13.5</v>
      </c>
      <c r="K1082" s="497"/>
    </row>
    <row r="1083" s="457" customFormat="1" ht="20.25" spans="1:14">
      <c r="A1083" s="494">
        <v>45582</v>
      </c>
      <c r="B1083" s="457" t="s">
        <v>180</v>
      </c>
      <c r="C1083" s="504">
        <v>45582</v>
      </c>
      <c r="D1083" s="504"/>
      <c r="E1083" s="505"/>
      <c r="F1083" s="496" t="s">
        <v>13</v>
      </c>
      <c r="G1083" s="463">
        <v>1</v>
      </c>
      <c r="H1083" s="432">
        <v>128</v>
      </c>
      <c r="I1083" s="463">
        <f t="shared" si="124"/>
        <v>128</v>
      </c>
      <c r="J1083" s="497">
        <v>17.9</v>
      </c>
      <c r="K1083" s="497"/>
    </row>
    <row r="1084" s="457" customFormat="1" ht="20.25" spans="1:14">
      <c r="A1084" s="494">
        <v>45582</v>
      </c>
      <c r="B1084" s="457" t="s">
        <v>180</v>
      </c>
      <c r="C1084" s="504">
        <v>45582</v>
      </c>
      <c r="D1084" s="504"/>
      <c r="E1084" s="505"/>
      <c r="F1084" s="496" t="s">
        <v>86</v>
      </c>
      <c r="G1084" s="463">
        <v>1</v>
      </c>
      <c r="H1084" s="432">
        <v>45</v>
      </c>
      <c r="I1084" s="463">
        <f t="shared" si="124"/>
        <v>45</v>
      </c>
      <c r="J1084" s="497">
        <v>14.1</v>
      </c>
      <c r="K1084" s="497"/>
      <c r="L1084" s="459" t="s">
        <v>313</v>
      </c>
      <c r="M1084" s="459"/>
    </row>
    <row r="1085" s="457" customFormat="1" ht="20.25" spans="1:14">
      <c r="A1085" s="494">
        <v>45582</v>
      </c>
      <c r="B1085" s="457" t="s">
        <v>180</v>
      </c>
      <c r="C1085" s="504">
        <v>45582</v>
      </c>
      <c r="D1085" s="504"/>
      <c r="E1085" s="505"/>
      <c r="F1085" s="496" t="s">
        <v>87</v>
      </c>
      <c r="G1085" s="463">
        <v>1</v>
      </c>
      <c r="H1085" s="432">
        <v>243</v>
      </c>
      <c r="I1085" s="463">
        <f t="shared" si="124"/>
        <v>243</v>
      </c>
      <c r="J1085" s="497">
        <v>11.4</v>
      </c>
      <c r="K1085" s="497"/>
      <c r="L1085" s="606" t="s">
        <v>116</v>
      </c>
      <c r="M1085" s="606" t="s">
        <v>314</v>
      </c>
    </row>
    <row r="1086" s="457" customFormat="1" ht="20.25" spans="1:14">
      <c r="A1086" s="494">
        <v>45582</v>
      </c>
      <c r="B1086" s="457" t="s">
        <v>180</v>
      </c>
      <c r="C1086" s="504">
        <v>45582</v>
      </c>
      <c r="D1086" s="504"/>
      <c r="E1086" s="505"/>
      <c r="F1086" s="496" t="s">
        <v>115</v>
      </c>
      <c r="G1086" s="463">
        <v>1</v>
      </c>
      <c r="H1086" s="432">
        <v>80</v>
      </c>
      <c r="I1086" s="463">
        <f t="shared" si="124"/>
        <v>80</v>
      </c>
      <c r="J1086" s="497">
        <v>14.72</v>
      </c>
      <c r="K1086" s="497"/>
    </row>
    <row r="1087" s="457" customFormat="1" ht="20.25" spans="1:14">
      <c r="A1087" s="494">
        <v>45582</v>
      </c>
      <c r="B1087" s="457" t="s">
        <v>180</v>
      </c>
      <c r="C1087" s="504">
        <v>45582</v>
      </c>
      <c r="D1087" s="504"/>
      <c r="E1087" s="505"/>
      <c r="F1087" s="496">
        <v>808</v>
      </c>
      <c r="G1087" s="463">
        <v>1</v>
      </c>
      <c r="H1087" s="432">
        <v>16</v>
      </c>
      <c r="I1087" s="463">
        <f t="shared" si="124"/>
        <v>16</v>
      </c>
      <c r="J1087" s="497">
        <v>10.6</v>
      </c>
      <c r="K1087" s="497">
        <f t="shared" ref="K1087:K1092" si="125">I1087*J1087</f>
        <v>169.6</v>
      </c>
    </row>
    <row r="1088" s="457" customFormat="1" ht="20.25" spans="1:14">
      <c r="A1088" s="494">
        <v>45582</v>
      </c>
      <c r="B1088" s="457" t="s">
        <v>180</v>
      </c>
      <c r="C1088" s="504">
        <v>45582</v>
      </c>
      <c r="D1088" s="504"/>
      <c r="E1088" s="505"/>
      <c r="F1088" s="499" t="s">
        <v>17</v>
      </c>
      <c r="G1088" s="501">
        <v>1</v>
      </c>
      <c r="H1088" s="500">
        <f>SUM(H1082:H1087)</f>
        <v>640</v>
      </c>
      <c r="I1088" s="501">
        <f t="shared" si="124"/>
        <v>640</v>
      </c>
      <c r="J1088" s="502">
        <v>1</v>
      </c>
      <c r="K1088" s="502">
        <f t="shared" si="125"/>
        <v>640</v>
      </c>
      <c r="L1088" s="457">
        <f>SUM(K1082:K1088)</f>
        <v>809.6</v>
      </c>
    </row>
    <row r="1089" s="456" customFormat="1" ht="20.25" spans="1:14">
      <c r="A1089" s="488">
        <v>45584</v>
      </c>
      <c r="B1089" s="456" t="s">
        <v>281</v>
      </c>
      <c r="C1089" s="490">
        <v>45584</v>
      </c>
      <c r="D1089" s="491"/>
      <c r="E1089" s="491"/>
      <c r="F1089" s="522" t="s">
        <v>237</v>
      </c>
      <c r="G1089" s="491">
        <v>6</v>
      </c>
      <c r="H1089" s="431">
        <v>18</v>
      </c>
      <c r="I1089" s="491">
        <f t="shared" ref="I1089:I1092" si="126">G1089*H1089</f>
        <v>108</v>
      </c>
      <c r="J1089" s="492">
        <v>15</v>
      </c>
      <c r="K1089" s="492">
        <f t="shared" si="125"/>
        <v>1620</v>
      </c>
      <c r="L1089" s="536"/>
      <c r="M1089" s="489" t="s">
        <v>31</v>
      </c>
    </row>
    <row r="1090" s="456" customFormat="1" ht="20.25" spans="1:14">
      <c r="A1090" s="488">
        <v>45584</v>
      </c>
      <c r="B1090" s="456" t="s">
        <v>281</v>
      </c>
      <c r="C1090" s="490">
        <v>45584</v>
      </c>
      <c r="D1090" s="491"/>
      <c r="E1090" s="491"/>
      <c r="F1090" s="522" t="s">
        <v>110</v>
      </c>
      <c r="G1090" s="491">
        <v>2</v>
      </c>
      <c r="H1090" s="431">
        <v>10</v>
      </c>
      <c r="I1090" s="491">
        <f t="shared" si="126"/>
        <v>20</v>
      </c>
      <c r="J1090" s="492">
        <v>15.5</v>
      </c>
      <c r="K1090" s="492">
        <f t="shared" si="125"/>
        <v>310</v>
      </c>
      <c r="L1090" s="543" t="s">
        <v>238</v>
      </c>
      <c r="M1090" s="489"/>
    </row>
    <row r="1091" s="456" customFormat="1" ht="20.25" spans="1:14">
      <c r="A1091" s="488">
        <v>45584</v>
      </c>
      <c r="B1091" s="456" t="s">
        <v>281</v>
      </c>
      <c r="C1091" s="490">
        <v>45584</v>
      </c>
      <c r="D1091" s="491"/>
      <c r="E1091" s="491"/>
      <c r="F1091" s="522" t="s">
        <v>110</v>
      </c>
      <c r="G1091" s="491">
        <v>10</v>
      </c>
      <c r="H1091" s="431">
        <v>4</v>
      </c>
      <c r="I1091" s="491">
        <f t="shared" si="126"/>
        <v>40</v>
      </c>
      <c r="J1091" s="492">
        <v>15.5</v>
      </c>
      <c r="K1091" s="492">
        <f t="shared" si="125"/>
        <v>620</v>
      </c>
      <c r="L1091" s="543"/>
      <c r="M1091" s="489"/>
    </row>
    <row r="1092" s="457" customFormat="1" ht="20.25" spans="1:14">
      <c r="A1092" s="488">
        <v>45584</v>
      </c>
      <c r="B1092" s="456" t="s">
        <v>281</v>
      </c>
      <c r="C1092" s="490">
        <v>45584</v>
      </c>
      <c r="D1092" s="491"/>
      <c r="E1092" s="491"/>
      <c r="F1092" s="522" t="s">
        <v>476</v>
      </c>
      <c r="G1092" s="491">
        <v>10</v>
      </c>
      <c r="H1092" s="431">
        <v>1</v>
      </c>
      <c r="I1092" s="491">
        <f t="shared" si="126"/>
        <v>10</v>
      </c>
      <c r="J1092" s="492">
        <v>5.5</v>
      </c>
      <c r="K1092" s="492">
        <f t="shared" si="125"/>
        <v>55</v>
      </c>
      <c r="L1092" s="543" t="s">
        <v>238</v>
      </c>
      <c r="M1092" s="457">
        <f>SUM(K1089:K1091)</f>
        <v>2550</v>
      </c>
    </row>
    <row r="1093" s="457" customFormat="1" ht="20.25" spans="1:14">
      <c r="A1093" s="494">
        <v>45586</v>
      </c>
      <c r="B1093" s="457" t="s">
        <v>187</v>
      </c>
      <c r="C1093" s="504">
        <v>45586</v>
      </c>
      <c r="D1093" s="504"/>
      <c r="E1093" s="505"/>
      <c r="F1093" s="496" t="s">
        <v>477</v>
      </c>
      <c r="G1093" s="463">
        <v>1</v>
      </c>
      <c r="H1093" s="432">
        <v>300</v>
      </c>
      <c r="I1093" s="463">
        <f t="shared" ref="I1093:I1127" si="127">G1093*H1093</f>
        <v>300</v>
      </c>
      <c r="J1093" s="497"/>
      <c r="K1093" s="497"/>
    </row>
    <row r="1094" s="457" customFormat="1" ht="20.25" spans="1:14">
      <c r="A1094" s="494">
        <v>45586</v>
      </c>
      <c r="B1094" s="457" t="s">
        <v>187</v>
      </c>
      <c r="C1094" s="504">
        <v>45586</v>
      </c>
      <c r="D1094" s="504"/>
      <c r="E1094" s="505"/>
      <c r="F1094" s="496">
        <v>808</v>
      </c>
      <c r="G1094" s="463">
        <v>1</v>
      </c>
      <c r="H1094" s="432">
        <v>450</v>
      </c>
      <c r="I1094" s="463">
        <f t="shared" si="127"/>
        <v>450</v>
      </c>
      <c r="J1094" s="497">
        <v>10.6</v>
      </c>
      <c r="K1094" s="497">
        <f t="shared" ref="K1094:K1100" si="128">I1094*J1094</f>
        <v>4770</v>
      </c>
    </row>
    <row r="1095" s="457" customFormat="1" ht="20.25" spans="1:14">
      <c r="A1095" s="494">
        <v>45586</v>
      </c>
      <c r="B1095" s="457" t="s">
        <v>187</v>
      </c>
      <c r="C1095" s="504">
        <v>45586</v>
      </c>
      <c r="D1095" s="504"/>
      <c r="E1095" s="505"/>
      <c r="F1095" s="499" t="s">
        <v>109</v>
      </c>
      <c r="G1095" s="501">
        <v>1</v>
      </c>
      <c r="H1095" s="500">
        <f>SUM(H1093:H1094)</f>
        <v>750</v>
      </c>
      <c r="I1095" s="501">
        <f t="shared" si="127"/>
        <v>750</v>
      </c>
      <c r="J1095" s="502">
        <v>1</v>
      </c>
      <c r="K1095" s="502">
        <f t="shared" si="128"/>
        <v>750</v>
      </c>
      <c r="L1095" s="457">
        <f>SUM(K1094:K1095)</f>
        <v>5520</v>
      </c>
    </row>
    <row r="1096" s="456" customFormat="1" ht="20.25" spans="1:14">
      <c r="A1096" s="488">
        <v>45587</v>
      </c>
      <c r="B1096" s="608" t="s">
        <v>91</v>
      </c>
      <c r="C1096" s="528">
        <v>45587</v>
      </c>
      <c r="D1096" s="528"/>
      <c r="E1096" s="529"/>
      <c r="F1096" s="493" t="s">
        <v>303</v>
      </c>
      <c r="G1096" s="491">
        <v>1</v>
      </c>
      <c r="H1096" s="431">
        <v>150</v>
      </c>
      <c r="I1096" s="491">
        <f t="shared" si="127"/>
        <v>150</v>
      </c>
      <c r="J1096" s="492"/>
      <c r="K1096" s="492"/>
    </row>
    <row r="1097" s="456" customFormat="1" ht="20.25" spans="1:14">
      <c r="A1097" s="488">
        <v>45587</v>
      </c>
      <c r="B1097" s="608" t="s">
        <v>91</v>
      </c>
      <c r="C1097" s="528">
        <v>45587</v>
      </c>
      <c r="D1097" s="528"/>
      <c r="E1097" s="529"/>
      <c r="F1097" s="493" t="s">
        <v>129</v>
      </c>
      <c r="G1097" s="491">
        <v>1</v>
      </c>
      <c r="H1097" s="431">
        <v>120</v>
      </c>
      <c r="I1097" s="491">
        <f t="shared" si="127"/>
        <v>120</v>
      </c>
      <c r="J1097" s="492"/>
      <c r="K1097" s="492"/>
    </row>
    <row r="1098" s="456" customFormat="1" ht="20.25" spans="1:14">
      <c r="A1098" s="488">
        <v>45587</v>
      </c>
      <c r="B1098" s="608" t="s">
        <v>91</v>
      </c>
      <c r="C1098" s="528">
        <v>45587</v>
      </c>
      <c r="D1098" s="528"/>
      <c r="E1098" s="529"/>
      <c r="F1098" s="493" t="s">
        <v>208</v>
      </c>
      <c r="G1098" s="491">
        <v>1</v>
      </c>
      <c r="H1098" s="431">
        <v>30</v>
      </c>
      <c r="I1098" s="491">
        <f t="shared" si="127"/>
        <v>30</v>
      </c>
      <c r="J1098" s="492">
        <v>17</v>
      </c>
      <c r="K1098" s="497">
        <f t="shared" si="128"/>
        <v>510</v>
      </c>
    </row>
    <row r="1099" s="456" customFormat="1" ht="20.25" spans="1:14">
      <c r="A1099" s="488">
        <v>45587</v>
      </c>
      <c r="B1099" s="608" t="s">
        <v>91</v>
      </c>
      <c r="C1099" s="528">
        <v>45587</v>
      </c>
      <c r="D1099" s="528"/>
      <c r="E1099" s="529"/>
      <c r="F1099" s="493">
        <v>808</v>
      </c>
      <c r="G1099" s="491">
        <v>1</v>
      </c>
      <c r="H1099" s="431">
        <v>100</v>
      </c>
      <c r="I1099" s="491">
        <f t="shared" si="127"/>
        <v>100</v>
      </c>
      <c r="J1099" s="492">
        <v>10.6</v>
      </c>
      <c r="K1099" s="497">
        <f t="shared" si="128"/>
        <v>1060</v>
      </c>
    </row>
    <row r="1100" s="456" customFormat="1" ht="20.25" spans="1:14">
      <c r="A1100" s="488">
        <v>45587</v>
      </c>
      <c r="B1100" s="608" t="s">
        <v>91</v>
      </c>
      <c r="C1100" s="528">
        <v>45587</v>
      </c>
      <c r="D1100" s="528"/>
      <c r="E1100" s="529"/>
      <c r="F1100" s="493" t="s">
        <v>132</v>
      </c>
      <c r="G1100" s="491">
        <v>1</v>
      </c>
      <c r="H1100" s="431">
        <v>200</v>
      </c>
      <c r="I1100" s="491">
        <f t="shared" si="127"/>
        <v>200</v>
      </c>
      <c r="J1100" s="492">
        <v>3.7</v>
      </c>
      <c r="K1100" s="497">
        <f t="shared" si="128"/>
        <v>740</v>
      </c>
    </row>
    <row r="1101" s="456" customFormat="1" ht="20.25" spans="1:14">
      <c r="A1101" s="488">
        <v>45587</v>
      </c>
      <c r="B1101" s="608" t="s">
        <v>91</v>
      </c>
      <c r="C1101" s="528">
        <v>45587</v>
      </c>
      <c r="D1101" s="528"/>
      <c r="E1101" s="529"/>
      <c r="F1101" s="493" t="s">
        <v>86</v>
      </c>
      <c r="G1101" s="491">
        <v>1</v>
      </c>
      <c r="H1101" s="431">
        <v>140</v>
      </c>
      <c r="I1101" s="491">
        <f t="shared" si="127"/>
        <v>140</v>
      </c>
      <c r="J1101" s="492"/>
      <c r="K1101" s="492"/>
      <c r="L1101" s="536"/>
      <c r="M1101" s="536"/>
      <c r="N1101" s="536"/>
    </row>
    <row r="1102" s="456" customFormat="1" ht="20.25" spans="1:14">
      <c r="A1102" s="488">
        <v>45587</v>
      </c>
      <c r="B1102" s="608" t="s">
        <v>91</v>
      </c>
      <c r="C1102" s="528">
        <v>45587</v>
      </c>
      <c r="D1102" s="528"/>
      <c r="E1102" s="529"/>
      <c r="F1102" s="493" t="s">
        <v>87</v>
      </c>
      <c r="G1102" s="491">
        <v>1</v>
      </c>
      <c r="H1102" s="431">
        <v>260</v>
      </c>
      <c r="I1102" s="491">
        <f t="shared" si="127"/>
        <v>260</v>
      </c>
      <c r="J1102" s="492"/>
      <c r="K1102" s="492"/>
      <c r="L1102" s="536"/>
      <c r="M1102" s="536" t="s">
        <v>126</v>
      </c>
      <c r="N1102" s="536"/>
    </row>
    <row r="1103" s="456" customFormat="1" ht="20.25" spans="1:14">
      <c r="A1103" s="488">
        <v>45587</v>
      </c>
      <c r="B1103" s="608" t="s">
        <v>91</v>
      </c>
      <c r="C1103" s="528">
        <v>45587</v>
      </c>
      <c r="D1103" s="528"/>
      <c r="E1103" s="529"/>
      <c r="F1103" s="493" t="s">
        <v>373</v>
      </c>
      <c r="G1103" s="491">
        <v>1</v>
      </c>
      <c r="H1103" s="431">
        <v>3</v>
      </c>
      <c r="I1103" s="491">
        <f t="shared" si="127"/>
        <v>3</v>
      </c>
      <c r="J1103" s="492"/>
      <c r="K1103" s="492"/>
      <c r="L1103" s="536"/>
      <c r="M1103" s="536"/>
      <c r="N1103" s="536"/>
    </row>
    <row r="1104" s="456" customFormat="1" ht="20.25" spans="1:14">
      <c r="A1104" s="488">
        <v>45587</v>
      </c>
      <c r="B1104" s="608" t="s">
        <v>91</v>
      </c>
      <c r="C1104" s="528">
        <v>45587</v>
      </c>
      <c r="D1104" s="528"/>
      <c r="E1104" s="529"/>
      <c r="F1104" s="499" t="s">
        <v>304</v>
      </c>
      <c r="G1104" s="501">
        <v>1</v>
      </c>
      <c r="H1104" s="500">
        <f>SUM(H1096:H1103)</f>
        <v>1003</v>
      </c>
      <c r="I1104" s="501">
        <f t="shared" si="127"/>
        <v>1003</v>
      </c>
      <c r="J1104" s="502">
        <v>1</v>
      </c>
      <c r="K1104" s="502">
        <f t="shared" ref="K1104:K1108" si="129">I1104*J1104</f>
        <v>1003</v>
      </c>
      <c r="L1104" s="536">
        <f>SUM(K1096:K1104)</f>
        <v>3313</v>
      </c>
      <c r="M1104" s="536"/>
      <c r="N1104" s="536"/>
    </row>
    <row r="1105" s="457" customFormat="1" ht="20.25" spans="1:13">
      <c r="A1105" s="494">
        <v>45588</v>
      </c>
      <c r="B1105" s="607" t="s">
        <v>98</v>
      </c>
      <c r="C1105" s="495">
        <v>45588</v>
      </c>
      <c r="D1105" s="463"/>
      <c r="E1105" s="463"/>
      <c r="F1105" s="496" t="s">
        <v>97</v>
      </c>
      <c r="G1105" s="463">
        <v>1</v>
      </c>
      <c r="H1105" s="432">
        <v>200</v>
      </c>
      <c r="I1105" s="463">
        <f t="shared" si="127"/>
        <v>200</v>
      </c>
      <c r="J1105" s="497">
        <v>28</v>
      </c>
      <c r="K1105" s="497"/>
      <c r="L1105" s="537"/>
    </row>
    <row r="1106" s="457" customFormat="1" ht="20.25" spans="1:13">
      <c r="A1106" s="494">
        <v>45588</v>
      </c>
      <c r="B1106" s="607" t="s">
        <v>98</v>
      </c>
      <c r="C1106" s="495">
        <v>45588</v>
      </c>
      <c r="D1106" s="463"/>
      <c r="E1106" s="463"/>
      <c r="F1106" s="496" t="s">
        <v>125</v>
      </c>
      <c r="G1106" s="463">
        <v>1</v>
      </c>
      <c r="H1106" s="432">
        <v>720</v>
      </c>
      <c r="I1106" s="463">
        <f t="shared" si="127"/>
        <v>720</v>
      </c>
      <c r="J1106" s="497">
        <v>6.3</v>
      </c>
      <c r="K1106" s="497">
        <f t="shared" si="129"/>
        <v>4536</v>
      </c>
      <c r="L1106" s="537"/>
    </row>
    <row r="1107" s="457" customFormat="1" ht="20.25" spans="1:13">
      <c r="A1107" s="494">
        <v>45588</v>
      </c>
      <c r="B1107" s="607" t="s">
        <v>98</v>
      </c>
      <c r="C1107" s="495">
        <v>45588</v>
      </c>
      <c r="D1107" s="463"/>
      <c r="E1107" s="463"/>
      <c r="F1107" s="496" t="s">
        <v>152</v>
      </c>
      <c r="G1107" s="463">
        <v>1</v>
      </c>
      <c r="H1107" s="432">
        <v>360</v>
      </c>
      <c r="I1107" s="463">
        <f t="shared" si="127"/>
        <v>360</v>
      </c>
      <c r="J1107" s="497">
        <v>7.2</v>
      </c>
      <c r="K1107" s="497">
        <f t="shared" si="129"/>
        <v>2592</v>
      </c>
      <c r="L1107" s="537"/>
    </row>
    <row r="1108" s="457" customFormat="1" ht="20.25" spans="1:13">
      <c r="A1108" s="494">
        <v>45588</v>
      </c>
      <c r="B1108" s="607" t="s">
        <v>98</v>
      </c>
      <c r="C1108" s="495">
        <v>45588</v>
      </c>
      <c r="D1108" s="463"/>
      <c r="E1108" s="463"/>
      <c r="F1108" s="496" t="s">
        <v>68</v>
      </c>
      <c r="G1108" s="501">
        <v>1</v>
      </c>
      <c r="H1108" s="500">
        <f>SUM(H1105:H1107)</f>
        <v>1280</v>
      </c>
      <c r="I1108" s="501">
        <f t="shared" si="127"/>
        <v>1280</v>
      </c>
      <c r="J1108" s="502">
        <v>0.8</v>
      </c>
      <c r="K1108" s="502">
        <f t="shared" si="129"/>
        <v>1024</v>
      </c>
      <c r="L1108" s="537">
        <f>SUM(K1105:K1108)</f>
        <v>8152</v>
      </c>
    </row>
    <row r="1109" s="456" customFormat="1" ht="20.25" spans="1:13">
      <c r="A1109" s="488">
        <v>45589</v>
      </c>
      <c r="B1109" s="456" t="s">
        <v>205</v>
      </c>
      <c r="C1109" s="528">
        <v>45589</v>
      </c>
      <c r="D1109" s="528"/>
      <c r="E1109" s="529"/>
      <c r="F1109" s="493" t="s">
        <v>251</v>
      </c>
      <c r="G1109" s="491">
        <v>1</v>
      </c>
      <c r="H1109" s="431">
        <v>200</v>
      </c>
      <c r="I1109" s="491">
        <f t="shared" si="127"/>
        <v>200</v>
      </c>
      <c r="J1109" s="492"/>
      <c r="K1109" s="492"/>
    </row>
    <row r="1110" s="456" customFormat="1" ht="20.25" spans="1:13">
      <c r="A1110" s="488">
        <v>45589</v>
      </c>
      <c r="B1110" s="456" t="s">
        <v>205</v>
      </c>
      <c r="C1110" s="528">
        <v>45589</v>
      </c>
      <c r="D1110" s="528"/>
      <c r="E1110" s="529"/>
      <c r="F1110" s="493" t="s">
        <v>13</v>
      </c>
      <c r="G1110" s="491">
        <v>1</v>
      </c>
      <c r="H1110" s="431">
        <v>200</v>
      </c>
      <c r="I1110" s="491">
        <f t="shared" si="127"/>
        <v>200</v>
      </c>
      <c r="J1110" s="492"/>
      <c r="K1110" s="492"/>
    </row>
    <row r="1111" s="456" customFormat="1" ht="20.25" spans="1:13">
      <c r="A1111" s="488">
        <v>45589</v>
      </c>
      <c r="B1111" s="456" t="s">
        <v>205</v>
      </c>
      <c r="C1111" s="528">
        <v>45589</v>
      </c>
      <c r="D1111" s="528"/>
      <c r="E1111" s="529"/>
      <c r="F1111" s="493" t="s">
        <v>86</v>
      </c>
      <c r="G1111" s="491">
        <v>1</v>
      </c>
      <c r="H1111" s="431">
        <v>70</v>
      </c>
      <c r="I1111" s="491">
        <f t="shared" si="127"/>
        <v>70</v>
      </c>
      <c r="J1111" s="492"/>
      <c r="K1111" s="492"/>
      <c r="L1111" s="456" t="s">
        <v>313</v>
      </c>
    </row>
    <row r="1112" s="456" customFormat="1" ht="20.25" spans="1:13">
      <c r="A1112" s="488">
        <v>45589</v>
      </c>
      <c r="B1112" s="456" t="s">
        <v>205</v>
      </c>
      <c r="C1112" s="528">
        <v>45589</v>
      </c>
      <c r="D1112" s="528"/>
      <c r="E1112" s="529"/>
      <c r="F1112" s="493" t="s">
        <v>87</v>
      </c>
      <c r="G1112" s="491">
        <v>1</v>
      </c>
      <c r="H1112" s="431">
        <v>380</v>
      </c>
      <c r="I1112" s="491">
        <f t="shared" si="127"/>
        <v>380</v>
      </c>
      <c r="J1112" s="492"/>
      <c r="K1112" s="492"/>
      <c r="L1112" s="536" t="s">
        <v>116</v>
      </c>
      <c r="M1112" s="536" t="s">
        <v>314</v>
      </c>
    </row>
    <row r="1113" s="456" customFormat="1" ht="20.25" spans="1:13">
      <c r="A1113" s="488">
        <v>45589</v>
      </c>
      <c r="B1113" s="456" t="s">
        <v>205</v>
      </c>
      <c r="C1113" s="528">
        <v>45589</v>
      </c>
      <c r="D1113" s="528"/>
      <c r="E1113" s="529"/>
      <c r="F1113" s="493" t="s">
        <v>115</v>
      </c>
      <c r="G1113" s="491">
        <v>1</v>
      </c>
      <c r="H1113" s="431">
        <v>125</v>
      </c>
      <c r="I1113" s="491">
        <f t="shared" si="127"/>
        <v>125</v>
      </c>
      <c r="J1113" s="492"/>
      <c r="K1113" s="492"/>
    </row>
    <row r="1114" s="456" customFormat="1" ht="20.25" spans="1:13">
      <c r="A1114" s="488">
        <v>45589</v>
      </c>
      <c r="B1114" s="456" t="s">
        <v>205</v>
      </c>
      <c r="C1114" s="528">
        <v>45589</v>
      </c>
      <c r="D1114" s="528"/>
      <c r="E1114" s="529"/>
      <c r="F1114" s="493">
        <v>808</v>
      </c>
      <c r="G1114" s="491">
        <v>1</v>
      </c>
      <c r="H1114" s="431">
        <v>25</v>
      </c>
      <c r="I1114" s="491">
        <f t="shared" si="127"/>
        <v>25</v>
      </c>
      <c r="J1114" s="492">
        <v>10.6</v>
      </c>
      <c r="K1114" s="492">
        <f>I1114*J1114</f>
        <v>265</v>
      </c>
    </row>
    <row r="1115" s="456" customFormat="1" ht="20.25" spans="1:13">
      <c r="A1115" s="488">
        <v>45589</v>
      </c>
      <c r="B1115" s="456" t="s">
        <v>205</v>
      </c>
      <c r="C1115" s="528">
        <v>45589</v>
      </c>
      <c r="D1115" s="528"/>
      <c r="E1115" s="529"/>
      <c r="F1115" s="493" t="s">
        <v>17</v>
      </c>
      <c r="G1115" s="491">
        <v>1</v>
      </c>
      <c r="H1115" s="431">
        <f>SUM(H1109:H1114)</f>
        <v>1000</v>
      </c>
      <c r="I1115" s="491">
        <f t="shared" si="127"/>
        <v>1000</v>
      </c>
      <c r="J1115" s="492">
        <v>1</v>
      </c>
      <c r="K1115" s="492">
        <f>I1115*J1115</f>
        <v>1000</v>
      </c>
      <c r="L1115" s="456">
        <f>SUM(K1109:K1115)</f>
        <v>1265</v>
      </c>
    </row>
    <row r="1116" s="457" customFormat="1" ht="20.25" spans="1:13">
      <c r="A1116" s="494">
        <v>45589</v>
      </c>
      <c r="B1116" s="607" t="s">
        <v>107</v>
      </c>
      <c r="C1116" s="495">
        <v>45589</v>
      </c>
      <c r="D1116" s="463"/>
      <c r="E1116" s="463"/>
      <c r="F1116" s="496" t="s">
        <v>478</v>
      </c>
      <c r="G1116" s="463">
        <v>1</v>
      </c>
      <c r="H1116" s="432">
        <v>375</v>
      </c>
      <c r="I1116" s="463">
        <f t="shared" si="127"/>
        <v>375</v>
      </c>
      <c r="J1116" s="497"/>
      <c r="K1116" s="497"/>
      <c r="L1116" s="537"/>
    </row>
    <row r="1117" s="457" customFormat="1" ht="20.25" spans="1:13">
      <c r="A1117" s="494">
        <v>45589</v>
      </c>
      <c r="B1117" s="607" t="s">
        <v>107</v>
      </c>
      <c r="C1117" s="495">
        <v>45589</v>
      </c>
      <c r="D1117" s="463"/>
      <c r="E1117" s="463"/>
      <c r="F1117" s="496" t="s">
        <v>125</v>
      </c>
      <c r="G1117" s="463">
        <v>1</v>
      </c>
      <c r="H1117" s="432">
        <v>720</v>
      </c>
      <c r="I1117" s="463">
        <f t="shared" si="127"/>
        <v>720</v>
      </c>
      <c r="J1117" s="497">
        <v>6.3</v>
      </c>
      <c r="K1117" s="497">
        <f t="shared" ref="K1117:K1119" si="130">I1117*J1117</f>
        <v>4536</v>
      </c>
      <c r="L1117" s="537"/>
    </row>
    <row r="1118" s="457" customFormat="1" ht="20.25" spans="1:13">
      <c r="A1118" s="494">
        <v>45589</v>
      </c>
      <c r="B1118" s="607" t="s">
        <v>107</v>
      </c>
      <c r="C1118" s="495">
        <v>45589</v>
      </c>
      <c r="D1118" s="463"/>
      <c r="E1118" s="463"/>
      <c r="F1118" s="496" t="s">
        <v>152</v>
      </c>
      <c r="G1118" s="463">
        <v>1</v>
      </c>
      <c r="H1118" s="432">
        <v>180</v>
      </c>
      <c r="I1118" s="463">
        <f t="shared" si="127"/>
        <v>180</v>
      </c>
      <c r="J1118" s="497">
        <v>7.2</v>
      </c>
      <c r="K1118" s="497">
        <f t="shared" si="130"/>
        <v>1296</v>
      </c>
      <c r="L1118" s="537"/>
    </row>
    <row r="1119" s="457" customFormat="1" ht="20.25" spans="1:13">
      <c r="A1119" s="494">
        <v>45589</v>
      </c>
      <c r="B1119" s="607" t="s">
        <v>107</v>
      </c>
      <c r="C1119" s="495">
        <v>45589</v>
      </c>
      <c r="D1119" s="463"/>
      <c r="E1119" s="463"/>
      <c r="F1119" s="496" t="s">
        <v>66</v>
      </c>
      <c r="G1119" s="463">
        <v>1</v>
      </c>
      <c r="H1119" s="500">
        <f>SUM(H1116:H1118)</f>
        <v>1275</v>
      </c>
      <c r="I1119" s="501">
        <f t="shared" si="127"/>
        <v>1275</v>
      </c>
      <c r="J1119" s="502">
        <v>0.8</v>
      </c>
      <c r="K1119" s="502">
        <f t="shared" si="130"/>
        <v>1020</v>
      </c>
      <c r="L1119" s="537">
        <f>SUM(K1116:K1119)</f>
        <v>6852</v>
      </c>
    </row>
    <row r="1120" s="456" customFormat="1" ht="20.25" spans="1:13">
      <c r="A1120" s="488">
        <v>45594</v>
      </c>
      <c r="B1120" s="608" t="s">
        <v>356</v>
      </c>
      <c r="C1120" s="490">
        <v>45594</v>
      </c>
      <c r="D1120" s="491"/>
      <c r="E1120" s="491"/>
      <c r="F1120" s="493" t="s">
        <v>479</v>
      </c>
      <c r="G1120" s="491">
        <v>1</v>
      </c>
      <c r="H1120" s="431">
        <v>150</v>
      </c>
      <c r="I1120" s="491">
        <f t="shared" si="127"/>
        <v>150</v>
      </c>
      <c r="J1120" s="492"/>
      <c r="K1120" s="492"/>
      <c r="L1120" s="536"/>
    </row>
    <row r="1121" s="456" customFormat="1" ht="20.25" spans="1:15">
      <c r="A1121" s="488">
        <v>45594</v>
      </c>
      <c r="B1121" s="608" t="s">
        <v>356</v>
      </c>
      <c r="C1121" s="490">
        <v>45594</v>
      </c>
      <c r="D1121" s="491"/>
      <c r="E1121" s="491"/>
      <c r="F1121" s="493" t="s">
        <v>125</v>
      </c>
      <c r="G1121" s="491">
        <v>1</v>
      </c>
      <c r="H1121" s="431">
        <v>720</v>
      </c>
      <c r="I1121" s="491">
        <f t="shared" si="127"/>
        <v>720</v>
      </c>
      <c r="J1121" s="492">
        <v>6.3</v>
      </c>
      <c r="K1121" s="492">
        <f>I1121*J1121</f>
        <v>4536</v>
      </c>
      <c r="L1121" s="536"/>
    </row>
    <row r="1122" s="456" customFormat="1" ht="20.25" spans="1:15">
      <c r="A1122" s="488">
        <v>45594</v>
      </c>
      <c r="B1122" s="608" t="s">
        <v>356</v>
      </c>
      <c r="C1122" s="490">
        <v>45594</v>
      </c>
      <c r="D1122" s="491"/>
      <c r="E1122" s="491"/>
      <c r="F1122" s="493" t="s">
        <v>152</v>
      </c>
      <c r="G1122" s="491">
        <v>1</v>
      </c>
      <c r="H1122" s="431">
        <v>360</v>
      </c>
      <c r="I1122" s="491">
        <f t="shared" si="127"/>
        <v>360</v>
      </c>
      <c r="J1122" s="492">
        <v>7.2</v>
      </c>
      <c r="K1122" s="492">
        <f>I1122*J1122</f>
        <v>2592</v>
      </c>
      <c r="L1122" s="536"/>
    </row>
    <row r="1123" s="456" customFormat="1" ht="20.25" spans="1:15">
      <c r="A1123" s="488">
        <v>45594</v>
      </c>
      <c r="B1123" s="608" t="s">
        <v>356</v>
      </c>
      <c r="C1123" s="490">
        <v>45594</v>
      </c>
      <c r="D1123" s="491"/>
      <c r="E1123" s="491"/>
      <c r="F1123" s="493" t="s">
        <v>480</v>
      </c>
      <c r="G1123" s="491">
        <v>1</v>
      </c>
      <c r="H1123" s="500">
        <f>SUM(H1120:H1122)</f>
        <v>1230</v>
      </c>
      <c r="I1123" s="501">
        <f t="shared" si="127"/>
        <v>1230</v>
      </c>
      <c r="J1123" s="502">
        <v>0.8</v>
      </c>
      <c r="K1123" s="502">
        <f>I1123*J1123</f>
        <v>984</v>
      </c>
      <c r="L1123" s="536">
        <f>SUM(K1120:K1123)</f>
        <v>8112</v>
      </c>
    </row>
    <row r="1124" s="457" customFormat="1" ht="20.25" spans="1:15">
      <c r="A1124" s="494">
        <v>45594</v>
      </c>
      <c r="B1124" s="607" t="s">
        <v>404</v>
      </c>
      <c r="C1124" s="495">
        <v>45594</v>
      </c>
      <c r="D1124" s="463"/>
      <c r="E1124" s="463"/>
      <c r="F1124" s="496" t="s">
        <v>16</v>
      </c>
      <c r="G1124" s="463">
        <v>1</v>
      </c>
      <c r="H1124" s="432">
        <v>32</v>
      </c>
      <c r="I1124" s="463">
        <f t="shared" si="127"/>
        <v>32</v>
      </c>
      <c r="J1124" s="497"/>
      <c r="K1124" s="497"/>
    </row>
    <row r="1125" s="457" customFormat="1" ht="20.25" spans="1:15">
      <c r="A1125" s="494">
        <v>45594</v>
      </c>
      <c r="B1125" s="607" t="s">
        <v>404</v>
      </c>
      <c r="C1125" s="495">
        <v>45594</v>
      </c>
      <c r="D1125" s="463"/>
      <c r="E1125" s="463"/>
      <c r="F1125" s="496" t="s">
        <v>207</v>
      </c>
      <c r="G1125" s="463">
        <v>1</v>
      </c>
      <c r="H1125" s="432">
        <v>64</v>
      </c>
      <c r="I1125" s="463">
        <f t="shared" si="127"/>
        <v>64</v>
      </c>
      <c r="J1125" s="497"/>
      <c r="K1125" s="497"/>
    </row>
    <row r="1126" s="457" customFormat="1" ht="20.25" spans="1:15">
      <c r="A1126" s="494">
        <v>45594</v>
      </c>
      <c r="B1126" s="607" t="s">
        <v>404</v>
      </c>
      <c r="C1126" s="495">
        <v>45594</v>
      </c>
      <c r="D1126" s="463"/>
      <c r="E1126" s="463"/>
      <c r="F1126" s="496" t="s">
        <v>481</v>
      </c>
      <c r="G1126" s="463">
        <v>1</v>
      </c>
      <c r="H1126" s="432">
        <v>126</v>
      </c>
      <c r="I1126" s="463">
        <f t="shared" ref="I1126:I1134" si="131">G1126*H1126</f>
        <v>126</v>
      </c>
      <c r="J1126" s="497"/>
      <c r="K1126" s="497"/>
      <c r="L1126" s="537"/>
      <c r="M1126" s="537"/>
      <c r="N1126" s="537"/>
    </row>
    <row r="1127" s="457" customFormat="1" ht="20.25" spans="1:15">
      <c r="A1127" s="494">
        <v>45594</v>
      </c>
      <c r="B1127" s="607" t="s">
        <v>404</v>
      </c>
      <c r="C1127" s="495">
        <v>45594</v>
      </c>
      <c r="D1127" s="463"/>
      <c r="E1127" s="463"/>
      <c r="F1127" s="496" t="s">
        <v>133</v>
      </c>
      <c r="G1127" s="463">
        <v>1</v>
      </c>
      <c r="H1127" s="432">
        <v>40</v>
      </c>
      <c r="I1127" s="463">
        <f t="shared" si="131"/>
        <v>40</v>
      </c>
      <c r="J1127" s="497"/>
      <c r="K1127" s="497"/>
      <c r="L1127" s="537"/>
      <c r="M1127" s="537"/>
      <c r="N1127" s="537"/>
    </row>
    <row r="1128" s="457" customFormat="1" ht="20.25" spans="1:15">
      <c r="A1128" s="494">
        <v>45594</v>
      </c>
      <c r="B1128" s="607" t="s">
        <v>404</v>
      </c>
      <c r="C1128" s="495">
        <v>45594</v>
      </c>
      <c r="D1128" s="463"/>
      <c r="E1128" s="463"/>
      <c r="F1128" s="496" t="s">
        <v>132</v>
      </c>
      <c r="G1128" s="463">
        <v>1</v>
      </c>
      <c r="H1128" s="432">
        <v>217</v>
      </c>
      <c r="I1128" s="463">
        <f t="shared" si="131"/>
        <v>217</v>
      </c>
      <c r="J1128" s="497">
        <v>3.7</v>
      </c>
      <c r="K1128" s="497">
        <f t="shared" ref="K1128:K1130" si="132">I1128*J1128</f>
        <v>802.9</v>
      </c>
      <c r="L1128" s="537"/>
      <c r="M1128" s="537"/>
      <c r="N1128" s="537"/>
    </row>
    <row r="1129" s="457" customFormat="1" ht="20.25" spans="1:15">
      <c r="A1129" s="494">
        <v>45594</v>
      </c>
      <c r="B1129" s="607" t="s">
        <v>404</v>
      </c>
      <c r="C1129" s="495">
        <v>45594</v>
      </c>
      <c r="D1129" s="463"/>
      <c r="E1129" s="463"/>
      <c r="F1129" s="496" t="s">
        <v>125</v>
      </c>
      <c r="G1129" s="463">
        <v>1</v>
      </c>
      <c r="H1129" s="432">
        <v>128</v>
      </c>
      <c r="I1129" s="463">
        <f t="shared" si="131"/>
        <v>128</v>
      </c>
      <c r="J1129" s="497">
        <v>6.3</v>
      </c>
      <c r="K1129" s="497">
        <f t="shared" si="132"/>
        <v>806.4</v>
      </c>
      <c r="L1129" s="537"/>
      <c r="M1129" s="537" t="s">
        <v>126</v>
      </c>
      <c r="N1129" s="537"/>
    </row>
    <row r="1130" s="457" customFormat="1" ht="20.25" spans="1:15">
      <c r="A1130" s="494">
        <v>45594</v>
      </c>
      <c r="B1130" s="607" t="s">
        <v>404</v>
      </c>
      <c r="C1130" s="495">
        <v>45594</v>
      </c>
      <c r="D1130" s="463"/>
      <c r="E1130" s="463"/>
      <c r="F1130" s="496" t="s">
        <v>262</v>
      </c>
      <c r="G1130" s="463">
        <v>1</v>
      </c>
      <c r="H1130" s="500">
        <f>SUM(H1124:H1129)</f>
        <v>607</v>
      </c>
      <c r="I1130" s="501">
        <f t="shared" si="131"/>
        <v>607</v>
      </c>
      <c r="J1130" s="502">
        <v>1</v>
      </c>
      <c r="K1130" s="502">
        <f t="shared" si="132"/>
        <v>607</v>
      </c>
      <c r="L1130" s="578">
        <f>SUM(K1124:K1130)</f>
        <v>2216.3</v>
      </c>
      <c r="M1130" s="537"/>
      <c r="N1130" s="537"/>
    </row>
    <row r="1131" s="456" customFormat="1" ht="20.25" spans="1:15">
      <c r="A1131" s="488">
        <v>45594</v>
      </c>
      <c r="B1131" s="608" t="s">
        <v>408</v>
      </c>
      <c r="C1131" s="490">
        <v>45594</v>
      </c>
      <c r="D1131" s="491"/>
      <c r="E1131" s="491"/>
      <c r="F1131" s="493" t="s">
        <v>97</v>
      </c>
      <c r="G1131" s="491">
        <v>1</v>
      </c>
      <c r="H1131" s="431">
        <v>150</v>
      </c>
      <c r="I1131" s="491">
        <f t="shared" si="131"/>
        <v>150</v>
      </c>
      <c r="J1131" s="492"/>
      <c r="K1131" s="492"/>
      <c r="L1131" s="536"/>
    </row>
    <row r="1132" s="456" customFormat="1" ht="20.25" spans="1:15">
      <c r="A1132" s="488">
        <v>45594</v>
      </c>
      <c r="B1132" s="608" t="s">
        <v>408</v>
      </c>
      <c r="C1132" s="490">
        <v>45594</v>
      </c>
      <c r="D1132" s="491"/>
      <c r="E1132" s="491"/>
      <c r="F1132" s="493" t="s">
        <v>125</v>
      </c>
      <c r="G1132" s="491">
        <v>1</v>
      </c>
      <c r="H1132" s="431">
        <v>540</v>
      </c>
      <c r="I1132" s="491">
        <f t="shared" si="131"/>
        <v>540</v>
      </c>
      <c r="J1132" s="492">
        <v>6.3</v>
      </c>
      <c r="K1132" s="492">
        <f>I1132*J1132</f>
        <v>3402</v>
      </c>
      <c r="L1132" s="536"/>
    </row>
    <row r="1133" s="456" customFormat="1" ht="20.25" spans="1:15">
      <c r="A1133" s="488">
        <v>45594</v>
      </c>
      <c r="B1133" s="608" t="s">
        <v>408</v>
      </c>
      <c r="C1133" s="490">
        <v>45594</v>
      </c>
      <c r="D1133" s="491"/>
      <c r="E1133" s="491"/>
      <c r="F1133" s="493" t="s">
        <v>152</v>
      </c>
      <c r="G1133" s="491">
        <v>1</v>
      </c>
      <c r="H1133" s="431">
        <v>270</v>
      </c>
      <c r="I1133" s="491">
        <f t="shared" si="131"/>
        <v>270</v>
      </c>
      <c r="J1133" s="492">
        <v>7.2</v>
      </c>
      <c r="K1133" s="492">
        <f>I1133*J1133</f>
        <v>1944</v>
      </c>
      <c r="L1133" s="536"/>
    </row>
    <row r="1134" s="456" customFormat="1" ht="20.25" spans="1:15">
      <c r="A1134" s="488">
        <v>45594</v>
      </c>
      <c r="B1134" s="608" t="s">
        <v>408</v>
      </c>
      <c r="C1134" s="490">
        <v>45594</v>
      </c>
      <c r="D1134" s="491"/>
      <c r="E1134" s="491"/>
      <c r="F1134" s="493" t="s">
        <v>68</v>
      </c>
      <c r="G1134" s="491">
        <v>1</v>
      </c>
      <c r="H1134" s="500">
        <f>SUM(H1131:H1133)</f>
        <v>960</v>
      </c>
      <c r="I1134" s="501">
        <f t="shared" si="131"/>
        <v>960</v>
      </c>
      <c r="J1134" s="502">
        <v>0.8</v>
      </c>
      <c r="K1134" s="502">
        <f>I1134*J1134</f>
        <v>768</v>
      </c>
      <c r="L1134" s="536">
        <f>SUM(K1131:K1134)</f>
        <v>6114</v>
      </c>
    </row>
    <row r="1135" s="459" customFormat="1" ht="20.25" spans="1:15">
      <c r="A1135" s="517"/>
      <c r="B1135" s="649"/>
      <c r="C1135" s="519"/>
      <c r="D1135" s="520"/>
      <c r="E1135" s="520"/>
      <c r="F1135" s="650" t="s">
        <v>482</v>
      </c>
      <c r="G1135" s="520"/>
      <c r="H1135" s="521"/>
      <c r="I1135" s="520"/>
      <c r="J1135" s="515"/>
      <c r="K1135" s="515"/>
      <c r="L1135" s="638"/>
      <c r="M1135" s="606"/>
      <c r="N1135" s="606"/>
    </row>
    <row r="1136" s="457" customFormat="1" ht="20.25" spans="1:15">
      <c r="A1136" s="494">
        <v>45595</v>
      </c>
      <c r="B1136" s="457" t="s">
        <v>483</v>
      </c>
      <c r="C1136" s="495">
        <v>45595</v>
      </c>
      <c r="D1136" s="463"/>
      <c r="E1136" s="463"/>
      <c r="F1136" s="496" t="s">
        <v>16</v>
      </c>
      <c r="G1136" s="463">
        <v>1</v>
      </c>
      <c r="H1136" s="432">
        <v>48</v>
      </c>
      <c r="I1136" s="463">
        <f>G1136*H1136</f>
        <v>48</v>
      </c>
      <c r="J1136" s="497"/>
      <c r="K1136" s="497"/>
      <c r="O1136" s="456"/>
    </row>
    <row r="1137" s="457" customFormat="1" ht="20.25" spans="1:16">
      <c r="A1137" s="494">
        <v>45595</v>
      </c>
      <c r="B1137" s="457" t="s">
        <v>483</v>
      </c>
      <c r="C1137" s="495">
        <v>45595</v>
      </c>
      <c r="D1137" s="463"/>
      <c r="E1137" s="463"/>
      <c r="F1137" s="496" t="s">
        <v>444</v>
      </c>
      <c r="G1137" s="463">
        <v>1</v>
      </c>
      <c r="H1137" s="432">
        <v>4.5</v>
      </c>
      <c r="I1137" s="463">
        <f t="shared" ref="I1137:I1143" si="133">G1137*H1137</f>
        <v>4.5</v>
      </c>
      <c r="J1137" s="497"/>
      <c r="K1137" s="497"/>
      <c r="O1137" s="456"/>
    </row>
    <row r="1138" s="457" customFormat="1" ht="20.25" spans="1:16">
      <c r="A1138" s="494">
        <v>45595</v>
      </c>
      <c r="B1138" s="457" t="s">
        <v>483</v>
      </c>
      <c r="C1138" s="495">
        <v>45595</v>
      </c>
      <c r="D1138" s="463"/>
      <c r="E1138" s="463"/>
      <c r="F1138" s="496">
        <v>996</v>
      </c>
      <c r="G1138" s="463">
        <v>1</v>
      </c>
      <c r="H1138" s="432">
        <v>150</v>
      </c>
      <c r="I1138" s="463">
        <f t="shared" si="133"/>
        <v>150</v>
      </c>
      <c r="J1138" s="497"/>
      <c r="K1138" s="497"/>
      <c r="L1138" s="537"/>
      <c r="M1138" s="537"/>
      <c r="N1138" s="537"/>
      <c r="O1138" s="456"/>
    </row>
    <row r="1139" s="457" customFormat="1" ht="20.25" spans="1:16">
      <c r="A1139" s="494">
        <v>45595</v>
      </c>
      <c r="B1139" s="457" t="s">
        <v>483</v>
      </c>
      <c r="C1139" s="495">
        <v>45595</v>
      </c>
      <c r="D1139" s="463"/>
      <c r="E1139" s="463"/>
      <c r="F1139" s="496" t="s">
        <v>12</v>
      </c>
      <c r="G1139" s="463">
        <v>1</v>
      </c>
      <c r="H1139" s="432">
        <v>30</v>
      </c>
      <c r="I1139" s="463">
        <f t="shared" si="133"/>
        <v>30</v>
      </c>
      <c r="J1139" s="497">
        <v>7.5</v>
      </c>
      <c r="K1139" s="497">
        <f t="shared" ref="K1139:K1144" si="134">I1139*J1139</f>
        <v>225</v>
      </c>
      <c r="L1139" s="537"/>
      <c r="M1139" s="537"/>
      <c r="N1139" s="537"/>
      <c r="O1139" s="456"/>
    </row>
    <row r="1140" s="457" customFormat="1" ht="20.25" spans="1:16">
      <c r="A1140" s="494">
        <v>45595</v>
      </c>
      <c r="B1140" s="457" t="s">
        <v>483</v>
      </c>
      <c r="C1140" s="495">
        <v>45595</v>
      </c>
      <c r="D1140" s="463"/>
      <c r="E1140" s="463"/>
      <c r="F1140" s="496" t="s">
        <v>152</v>
      </c>
      <c r="G1140" s="463">
        <v>1</v>
      </c>
      <c r="H1140" s="432">
        <v>30</v>
      </c>
      <c r="I1140" s="463">
        <f t="shared" si="133"/>
        <v>30</v>
      </c>
      <c r="J1140" s="497">
        <v>7.2</v>
      </c>
      <c r="K1140" s="497">
        <f t="shared" si="134"/>
        <v>216</v>
      </c>
      <c r="L1140" s="537"/>
      <c r="M1140" s="537"/>
      <c r="N1140" s="537"/>
      <c r="O1140" s="456"/>
    </row>
    <row r="1141" s="457" customFormat="1" ht="20.25" spans="1:16">
      <c r="A1141" s="494">
        <v>45595</v>
      </c>
      <c r="B1141" s="457" t="s">
        <v>483</v>
      </c>
      <c r="C1141" s="495">
        <v>45595</v>
      </c>
      <c r="D1141" s="463"/>
      <c r="E1141" s="463"/>
      <c r="F1141" s="499" t="s">
        <v>456</v>
      </c>
      <c r="G1141" s="463">
        <v>1</v>
      </c>
      <c r="H1141" s="500">
        <f>SUM(H1136:H1140)</f>
        <v>262.5</v>
      </c>
      <c r="I1141" s="501">
        <f t="shared" si="133"/>
        <v>262.5</v>
      </c>
      <c r="J1141" s="502">
        <v>3</v>
      </c>
      <c r="K1141" s="502">
        <f t="shared" si="134"/>
        <v>787.5</v>
      </c>
      <c r="L1141" s="636">
        <f>SUM(K1136:K1141)</f>
        <v>1228.5</v>
      </c>
      <c r="M1141" s="537"/>
      <c r="N1141" s="537"/>
      <c r="O1141" s="456"/>
    </row>
    <row r="1142" s="456" customFormat="1" ht="20.25" spans="1:16">
      <c r="A1142" s="488">
        <v>45596</v>
      </c>
      <c r="B1142" s="456" t="s">
        <v>484</v>
      </c>
      <c r="C1142" s="490">
        <v>45596</v>
      </c>
      <c r="D1142" s="491"/>
      <c r="E1142" s="491"/>
      <c r="F1142" s="522" t="s">
        <v>429</v>
      </c>
      <c r="G1142" s="491">
        <v>1</v>
      </c>
      <c r="H1142" s="431">
        <v>3</v>
      </c>
      <c r="I1142" s="491">
        <f t="shared" si="133"/>
        <v>3</v>
      </c>
      <c r="J1142" s="492">
        <v>15.5</v>
      </c>
      <c r="K1142" s="492">
        <f t="shared" si="134"/>
        <v>46.5</v>
      </c>
      <c r="L1142" s="536" t="s">
        <v>430</v>
      </c>
      <c r="M1142" s="489"/>
      <c r="O1142" s="641" t="s">
        <v>485</v>
      </c>
      <c r="P1142" s="641"/>
    </row>
    <row r="1143" s="456" customFormat="1" ht="20.25" spans="1:16">
      <c r="A1143" s="488">
        <v>45596</v>
      </c>
      <c r="B1143" s="456" t="s">
        <v>484</v>
      </c>
      <c r="C1143" s="490">
        <v>45596</v>
      </c>
      <c r="D1143" s="491"/>
      <c r="E1143" s="491"/>
      <c r="F1143" s="461" t="s">
        <v>486</v>
      </c>
      <c r="G1143" s="489">
        <v>1</v>
      </c>
      <c r="H1143" s="489">
        <v>5</v>
      </c>
      <c r="I1143" s="491">
        <f t="shared" si="133"/>
        <v>5</v>
      </c>
      <c r="J1143" s="492">
        <v>18</v>
      </c>
      <c r="K1143" s="492">
        <f t="shared" si="134"/>
        <v>90</v>
      </c>
      <c r="L1143" s="651" t="s">
        <v>487</v>
      </c>
      <c r="O1143" s="641" t="s">
        <v>433</v>
      </c>
      <c r="P1143" s="641" t="s">
        <v>434</v>
      </c>
    </row>
    <row r="1144" s="456" customFormat="1" ht="20.25" spans="1:16">
      <c r="A1144" s="488">
        <v>45596</v>
      </c>
      <c r="B1144" s="456" t="s">
        <v>484</v>
      </c>
      <c r="C1144" s="490">
        <v>45596</v>
      </c>
      <c r="D1144" s="491"/>
      <c r="E1144" s="491"/>
      <c r="F1144" s="522" t="s">
        <v>476</v>
      </c>
      <c r="G1144" s="491">
        <v>1</v>
      </c>
      <c r="H1144" s="431">
        <v>1</v>
      </c>
      <c r="I1144" s="491">
        <v>1</v>
      </c>
      <c r="J1144" s="492">
        <v>5.5</v>
      </c>
      <c r="K1144" s="492">
        <f t="shared" si="134"/>
        <v>5.5</v>
      </c>
      <c r="L1144" s="536">
        <f>SUM(K1142:K1143)</f>
        <v>136.5</v>
      </c>
      <c r="M1144" s="536"/>
      <c r="N1144" s="536"/>
    </row>
    <row r="1145" s="457" customFormat="1" ht="20.25" spans="1:16">
      <c r="A1145" s="494">
        <v>45596</v>
      </c>
      <c r="B1145" s="457" t="s">
        <v>488</v>
      </c>
      <c r="C1145" s="495">
        <v>45596</v>
      </c>
      <c r="D1145" s="463"/>
      <c r="E1145" s="463"/>
      <c r="F1145" s="496" t="s">
        <v>16</v>
      </c>
      <c r="G1145" s="463">
        <v>1</v>
      </c>
      <c r="H1145" s="432">
        <v>75</v>
      </c>
      <c r="I1145" s="463">
        <f t="shared" ref="I1145:I1175" si="135">G1145*H1145</f>
        <v>75</v>
      </c>
      <c r="J1145" s="497"/>
      <c r="K1145" s="497"/>
      <c r="L1145" s="537"/>
      <c r="M1145" s="537"/>
      <c r="N1145" s="537"/>
    </row>
    <row r="1146" s="457" customFormat="1" ht="20.25" spans="1:16">
      <c r="A1146" s="494">
        <v>45596</v>
      </c>
      <c r="B1146" s="457" t="s">
        <v>488</v>
      </c>
      <c r="C1146" s="495">
        <v>45596</v>
      </c>
      <c r="D1146" s="463"/>
      <c r="E1146" s="463"/>
      <c r="F1146" s="496" t="s">
        <v>438</v>
      </c>
      <c r="G1146" s="463">
        <v>1</v>
      </c>
      <c r="H1146" s="432">
        <v>75</v>
      </c>
      <c r="I1146" s="463">
        <f t="shared" si="135"/>
        <v>75</v>
      </c>
      <c r="J1146" s="497"/>
      <c r="K1146" s="497"/>
      <c r="L1146" s="537"/>
      <c r="M1146" s="537"/>
      <c r="N1146" s="537"/>
    </row>
    <row r="1147" s="457" customFormat="1" ht="20.25" spans="1:16">
      <c r="A1147" s="494">
        <v>45596</v>
      </c>
      <c r="B1147" s="457" t="s">
        <v>488</v>
      </c>
      <c r="C1147" s="495">
        <v>45596</v>
      </c>
      <c r="D1147" s="463"/>
      <c r="E1147" s="463"/>
      <c r="F1147" s="496" t="s">
        <v>86</v>
      </c>
      <c r="G1147" s="463">
        <v>1</v>
      </c>
      <c r="H1147" s="432">
        <v>70</v>
      </c>
      <c r="I1147" s="463">
        <f t="shared" si="135"/>
        <v>70</v>
      </c>
      <c r="J1147" s="497"/>
      <c r="K1147" s="497"/>
      <c r="L1147" s="537"/>
      <c r="M1147" s="537"/>
      <c r="N1147" s="537"/>
    </row>
    <row r="1148" s="457" customFormat="1" ht="20.25" spans="1:16">
      <c r="A1148" s="494">
        <v>45596</v>
      </c>
      <c r="B1148" s="457" t="s">
        <v>488</v>
      </c>
      <c r="C1148" s="495">
        <v>45596</v>
      </c>
      <c r="D1148" s="463"/>
      <c r="E1148" s="463"/>
      <c r="F1148" s="496" t="s">
        <v>87</v>
      </c>
      <c r="G1148" s="463">
        <v>1</v>
      </c>
      <c r="H1148" s="432">
        <v>165</v>
      </c>
      <c r="I1148" s="463">
        <f t="shared" si="135"/>
        <v>165</v>
      </c>
      <c r="J1148" s="497"/>
      <c r="K1148" s="497"/>
      <c r="L1148" s="537"/>
      <c r="M1148" s="537"/>
      <c r="N1148" s="537"/>
    </row>
    <row r="1149" s="457" customFormat="1" ht="20.25" spans="1:16">
      <c r="A1149" s="494">
        <v>45596</v>
      </c>
      <c r="B1149" s="457" t="s">
        <v>488</v>
      </c>
      <c r="C1149" s="495">
        <v>45596</v>
      </c>
      <c r="D1149" s="463"/>
      <c r="E1149" s="463"/>
      <c r="F1149" s="496">
        <v>808</v>
      </c>
      <c r="G1149" s="463">
        <v>1</v>
      </c>
      <c r="H1149" s="432">
        <v>80</v>
      </c>
      <c r="I1149" s="463">
        <f t="shared" si="135"/>
        <v>80</v>
      </c>
      <c r="J1149" s="497">
        <v>10.6</v>
      </c>
      <c r="K1149" s="497">
        <f>I1149*J1149</f>
        <v>848</v>
      </c>
      <c r="L1149" s="537" t="s">
        <v>439</v>
      </c>
      <c r="M1149" s="537"/>
      <c r="N1149" s="537"/>
    </row>
    <row r="1150" s="457" customFormat="1" ht="20.25" spans="1:16">
      <c r="A1150" s="494">
        <v>45596</v>
      </c>
      <c r="B1150" s="457" t="s">
        <v>488</v>
      </c>
      <c r="C1150" s="495">
        <v>45596</v>
      </c>
      <c r="D1150" s="463"/>
      <c r="E1150" s="463"/>
      <c r="F1150" s="496" t="s">
        <v>240</v>
      </c>
      <c r="G1150" s="463">
        <v>1</v>
      </c>
      <c r="H1150" s="432">
        <v>50</v>
      </c>
      <c r="I1150" s="463">
        <f t="shared" si="135"/>
        <v>50</v>
      </c>
      <c r="J1150" s="497"/>
      <c r="K1150" s="497"/>
      <c r="L1150" s="537"/>
      <c r="M1150" s="537"/>
      <c r="N1150" s="537"/>
    </row>
    <row r="1151" s="457" customFormat="1" ht="20.25" spans="1:16">
      <c r="A1151" s="494">
        <v>45596</v>
      </c>
      <c r="B1151" s="457" t="s">
        <v>488</v>
      </c>
      <c r="C1151" s="495">
        <v>45596</v>
      </c>
      <c r="D1151" s="463"/>
      <c r="E1151" s="463"/>
      <c r="F1151" s="496" t="s">
        <v>440</v>
      </c>
      <c r="G1151" s="501">
        <v>1</v>
      </c>
      <c r="H1151" s="500">
        <f>SUM(H1145:H1150)</f>
        <v>515</v>
      </c>
      <c r="I1151" s="501">
        <f t="shared" si="135"/>
        <v>515</v>
      </c>
      <c r="J1151" s="502">
        <v>1</v>
      </c>
      <c r="K1151" s="502">
        <f t="shared" ref="K1151:K1156" si="136">I1151*J1151</f>
        <v>515</v>
      </c>
      <c r="L1151" s="537">
        <f>SUM(K1145:K1151)</f>
        <v>1363</v>
      </c>
      <c r="M1151" s="537"/>
      <c r="N1151" s="537"/>
    </row>
    <row r="1152" s="456" customFormat="1" ht="20.25" spans="1:16">
      <c r="A1152" s="488">
        <v>45596</v>
      </c>
      <c r="B1152" s="608" t="s">
        <v>451</v>
      </c>
      <c r="C1152" s="490">
        <v>45596</v>
      </c>
      <c r="D1152" s="491"/>
      <c r="E1152" s="491"/>
      <c r="F1152" s="493" t="s">
        <v>16</v>
      </c>
      <c r="G1152" s="491">
        <v>1</v>
      </c>
      <c r="H1152" s="431">
        <v>75</v>
      </c>
      <c r="I1152" s="491">
        <f t="shared" si="135"/>
        <v>75</v>
      </c>
      <c r="J1152" s="492"/>
      <c r="K1152" s="492"/>
      <c r="L1152" s="536"/>
      <c r="M1152" s="536"/>
      <c r="N1152" s="536"/>
    </row>
    <row r="1153" s="456" customFormat="1" ht="20.25" spans="1:14">
      <c r="A1153" s="488">
        <v>45596</v>
      </c>
      <c r="B1153" s="608" t="s">
        <v>451</v>
      </c>
      <c r="C1153" s="490">
        <v>45596</v>
      </c>
      <c r="D1153" s="491"/>
      <c r="E1153" s="491"/>
      <c r="F1153" s="493" t="s">
        <v>300</v>
      </c>
      <c r="G1153" s="491">
        <v>1</v>
      </c>
      <c r="H1153" s="431">
        <v>75</v>
      </c>
      <c r="I1153" s="491">
        <f t="shared" si="135"/>
        <v>75</v>
      </c>
      <c r="J1153" s="492"/>
      <c r="K1153" s="492"/>
      <c r="L1153" s="536"/>
      <c r="M1153" s="536"/>
      <c r="N1153" s="536"/>
    </row>
    <row r="1154" s="456" customFormat="1" ht="20.25" spans="1:14">
      <c r="A1154" s="488">
        <v>45596</v>
      </c>
      <c r="B1154" s="608" t="s">
        <v>451</v>
      </c>
      <c r="C1154" s="490">
        <v>45596</v>
      </c>
      <c r="D1154" s="491"/>
      <c r="E1154" s="491"/>
      <c r="F1154" s="493" t="s">
        <v>87</v>
      </c>
      <c r="G1154" s="491">
        <v>1</v>
      </c>
      <c r="H1154" s="431">
        <v>190</v>
      </c>
      <c r="I1154" s="491">
        <f t="shared" si="135"/>
        <v>190</v>
      </c>
      <c r="J1154" s="492"/>
      <c r="K1154" s="492"/>
      <c r="L1154" s="536"/>
      <c r="M1154" s="536"/>
      <c r="N1154" s="536"/>
    </row>
    <row r="1155" s="456" customFormat="1" ht="20.25" spans="1:14">
      <c r="A1155" s="488">
        <v>45596</v>
      </c>
      <c r="B1155" s="608" t="s">
        <v>451</v>
      </c>
      <c r="C1155" s="490">
        <v>45596</v>
      </c>
      <c r="D1155" s="491"/>
      <c r="E1155" s="491"/>
      <c r="F1155" s="493">
        <v>808</v>
      </c>
      <c r="G1155" s="491">
        <v>1</v>
      </c>
      <c r="H1155" s="431">
        <v>50</v>
      </c>
      <c r="I1155" s="491">
        <f t="shared" si="135"/>
        <v>50</v>
      </c>
      <c r="J1155" s="492">
        <v>10.6</v>
      </c>
      <c r="K1155" s="492">
        <f t="shared" si="136"/>
        <v>530</v>
      </c>
      <c r="L1155" s="536" t="s">
        <v>436</v>
      </c>
      <c r="M1155" s="536"/>
      <c r="N1155" s="536"/>
    </row>
    <row r="1156" s="456" customFormat="1" ht="20.25" spans="1:14">
      <c r="A1156" s="488">
        <v>45596</v>
      </c>
      <c r="B1156" s="608" t="s">
        <v>451</v>
      </c>
      <c r="C1156" s="490">
        <v>45596</v>
      </c>
      <c r="D1156" s="491"/>
      <c r="E1156" s="491"/>
      <c r="F1156" s="493" t="s">
        <v>125</v>
      </c>
      <c r="G1156" s="491">
        <v>1</v>
      </c>
      <c r="H1156" s="431">
        <v>35</v>
      </c>
      <c r="I1156" s="491">
        <f t="shared" si="135"/>
        <v>35</v>
      </c>
      <c r="J1156" s="492">
        <v>6.3</v>
      </c>
      <c r="K1156" s="492">
        <f t="shared" si="136"/>
        <v>220.5</v>
      </c>
      <c r="L1156" s="536"/>
      <c r="M1156" s="536"/>
      <c r="N1156" s="536"/>
    </row>
    <row r="1157" s="456" customFormat="1" ht="20.25" spans="1:14">
      <c r="A1157" s="488">
        <v>45596</v>
      </c>
      <c r="B1157" s="608" t="s">
        <v>451</v>
      </c>
      <c r="C1157" s="490">
        <v>45596</v>
      </c>
      <c r="D1157" s="491"/>
      <c r="E1157" s="491"/>
      <c r="F1157" s="493" t="s">
        <v>240</v>
      </c>
      <c r="G1157" s="491">
        <v>1</v>
      </c>
      <c r="H1157" s="431">
        <v>75</v>
      </c>
      <c r="I1157" s="491">
        <f t="shared" si="135"/>
        <v>75</v>
      </c>
      <c r="J1157" s="492"/>
      <c r="K1157" s="492"/>
      <c r="L1157" s="536"/>
      <c r="M1157" s="536"/>
      <c r="N1157" s="536"/>
    </row>
    <row r="1158" s="456" customFormat="1" ht="20.25" spans="1:14">
      <c r="A1158" s="488">
        <v>45596</v>
      </c>
      <c r="B1158" s="608" t="s">
        <v>451</v>
      </c>
      <c r="C1158" s="490">
        <v>45596</v>
      </c>
      <c r="D1158" s="491"/>
      <c r="E1158" s="491"/>
      <c r="F1158" s="493" t="s">
        <v>301</v>
      </c>
      <c r="G1158" s="491">
        <v>1</v>
      </c>
      <c r="H1158" s="500">
        <f>SUM(H1152:H1157)</f>
        <v>500</v>
      </c>
      <c r="I1158" s="501">
        <f t="shared" si="135"/>
        <v>500</v>
      </c>
      <c r="J1158" s="502">
        <v>1</v>
      </c>
      <c r="K1158" s="502">
        <f>I1158*J1158</f>
        <v>500</v>
      </c>
      <c r="L1158" s="636">
        <f>SUM(K1152:K1158)</f>
        <v>1250.5</v>
      </c>
      <c r="M1158" s="536"/>
      <c r="N1158" s="536"/>
    </row>
    <row r="1159" s="457" customFormat="1" ht="20.25" spans="1:14">
      <c r="A1159" s="494">
        <v>45596</v>
      </c>
      <c r="B1159" s="607" t="s">
        <v>233</v>
      </c>
      <c r="C1159" s="504">
        <v>45596</v>
      </c>
      <c r="D1159" s="504"/>
      <c r="E1159" s="505"/>
      <c r="F1159" s="496" t="s">
        <v>251</v>
      </c>
      <c r="G1159" s="463">
        <v>1</v>
      </c>
      <c r="H1159" s="432">
        <v>200</v>
      </c>
      <c r="I1159" s="463">
        <f t="shared" si="135"/>
        <v>200</v>
      </c>
      <c r="J1159" s="497"/>
      <c r="K1159" s="497"/>
    </row>
    <row r="1160" s="457" customFormat="1" ht="20.25" spans="1:14">
      <c r="A1160" s="494">
        <v>45596</v>
      </c>
      <c r="B1160" s="607" t="s">
        <v>233</v>
      </c>
      <c r="C1160" s="504">
        <v>45596</v>
      </c>
      <c r="D1160" s="504"/>
      <c r="E1160" s="505"/>
      <c r="F1160" s="496" t="s">
        <v>13</v>
      </c>
      <c r="G1160" s="463">
        <v>1</v>
      </c>
      <c r="H1160" s="432">
        <v>200</v>
      </c>
      <c r="I1160" s="463">
        <f t="shared" si="135"/>
        <v>200</v>
      </c>
      <c r="J1160" s="497"/>
      <c r="K1160" s="497"/>
    </row>
    <row r="1161" s="457" customFormat="1" ht="20.25" spans="1:14">
      <c r="A1161" s="494">
        <v>45596</v>
      </c>
      <c r="B1161" s="607" t="s">
        <v>233</v>
      </c>
      <c r="C1161" s="504">
        <v>45596</v>
      </c>
      <c r="D1161" s="504"/>
      <c r="E1161" s="505"/>
      <c r="F1161" s="498" t="s">
        <v>489</v>
      </c>
      <c r="G1161" s="520">
        <v>1</v>
      </c>
      <c r="H1161" s="521">
        <v>51</v>
      </c>
      <c r="I1161" s="520">
        <f t="shared" si="135"/>
        <v>51</v>
      </c>
      <c r="J1161" s="497"/>
      <c r="K1161" s="497"/>
      <c r="L1161" s="457" t="s">
        <v>313</v>
      </c>
    </row>
    <row r="1162" s="457" customFormat="1" ht="20.25" spans="1:14">
      <c r="A1162" s="494">
        <v>45596</v>
      </c>
      <c r="B1162" s="607" t="s">
        <v>233</v>
      </c>
      <c r="C1162" s="504">
        <v>45596</v>
      </c>
      <c r="D1162" s="504"/>
      <c r="E1162" s="505"/>
      <c r="F1162" s="498" t="s">
        <v>490</v>
      </c>
      <c r="G1162" s="520">
        <v>1</v>
      </c>
      <c r="H1162" s="521">
        <v>214</v>
      </c>
      <c r="I1162" s="520">
        <f t="shared" si="135"/>
        <v>214</v>
      </c>
      <c r="J1162" s="497"/>
      <c r="K1162" s="497"/>
      <c r="L1162" s="537" t="s">
        <v>116</v>
      </c>
      <c r="M1162" s="537" t="s">
        <v>314</v>
      </c>
    </row>
    <row r="1163" s="457" customFormat="1" ht="20.25" spans="1:14">
      <c r="A1163" s="494">
        <v>45596</v>
      </c>
      <c r="B1163" s="607" t="s">
        <v>233</v>
      </c>
      <c r="C1163" s="504">
        <v>45596</v>
      </c>
      <c r="D1163" s="504"/>
      <c r="E1163" s="505"/>
      <c r="F1163" s="496" t="s">
        <v>115</v>
      </c>
      <c r="G1163" s="463">
        <v>1</v>
      </c>
      <c r="H1163" s="432">
        <v>125</v>
      </c>
      <c r="I1163" s="463">
        <f t="shared" si="135"/>
        <v>125</v>
      </c>
      <c r="J1163" s="497"/>
      <c r="K1163" s="497"/>
    </row>
    <row r="1164" s="457" customFormat="1" ht="20.25" spans="1:14">
      <c r="A1164" s="494">
        <v>45596</v>
      </c>
      <c r="B1164" s="607" t="s">
        <v>233</v>
      </c>
      <c r="C1164" s="504">
        <v>45596</v>
      </c>
      <c r="D1164" s="504"/>
      <c r="E1164" s="505"/>
      <c r="F1164" s="496">
        <v>808</v>
      </c>
      <c r="G1164" s="463">
        <v>1</v>
      </c>
      <c r="H1164" s="432">
        <v>25</v>
      </c>
      <c r="I1164" s="463">
        <f t="shared" si="135"/>
        <v>25</v>
      </c>
      <c r="J1164" s="497">
        <v>10.6</v>
      </c>
      <c r="K1164" s="497">
        <f t="shared" ref="K1164:K1167" si="137">I1164*J1164</f>
        <v>265</v>
      </c>
    </row>
    <row r="1165" s="457" customFormat="1" ht="20.25" spans="1:14">
      <c r="A1165" s="494">
        <v>45596</v>
      </c>
      <c r="B1165" s="607" t="s">
        <v>233</v>
      </c>
      <c r="C1165" s="504">
        <v>45596</v>
      </c>
      <c r="D1165" s="504"/>
      <c r="E1165" s="505"/>
      <c r="F1165" s="496" t="s">
        <v>152</v>
      </c>
      <c r="G1165" s="463">
        <v>1</v>
      </c>
      <c r="H1165" s="432">
        <v>107</v>
      </c>
      <c r="I1165" s="463">
        <f t="shared" si="135"/>
        <v>107</v>
      </c>
      <c r="J1165" s="497">
        <v>7.2</v>
      </c>
      <c r="K1165" s="497">
        <f t="shared" si="137"/>
        <v>770.4</v>
      </c>
    </row>
    <row r="1166" s="457" customFormat="1" ht="20.25" spans="1:14">
      <c r="A1166" s="494">
        <v>45596</v>
      </c>
      <c r="B1166" s="607" t="s">
        <v>233</v>
      </c>
      <c r="C1166" s="504">
        <v>45596</v>
      </c>
      <c r="D1166" s="504"/>
      <c r="E1166" s="505"/>
      <c r="F1166" s="496" t="s">
        <v>125</v>
      </c>
      <c r="G1166" s="463">
        <v>1</v>
      </c>
      <c r="H1166" s="432">
        <v>78</v>
      </c>
      <c r="I1166" s="463">
        <f t="shared" si="135"/>
        <v>78</v>
      </c>
      <c r="J1166" s="497">
        <v>6.3</v>
      </c>
      <c r="K1166" s="497">
        <f t="shared" si="137"/>
        <v>491.4</v>
      </c>
    </row>
    <row r="1167" s="457" customFormat="1" ht="20.25" spans="1:14">
      <c r="A1167" s="494">
        <v>45596</v>
      </c>
      <c r="B1167" s="607" t="s">
        <v>233</v>
      </c>
      <c r="C1167" s="504">
        <v>45596</v>
      </c>
      <c r="D1167" s="504"/>
      <c r="E1167" s="505"/>
      <c r="F1167" s="496" t="s">
        <v>17</v>
      </c>
      <c r="G1167" s="463">
        <v>1</v>
      </c>
      <c r="H1167" s="500">
        <f>SUM(H1159:H1166)</f>
        <v>1000</v>
      </c>
      <c r="I1167" s="501">
        <f t="shared" si="135"/>
        <v>1000</v>
      </c>
      <c r="J1167" s="502">
        <v>1</v>
      </c>
      <c r="K1167" s="502">
        <f t="shared" si="137"/>
        <v>1000</v>
      </c>
      <c r="L1167" s="464">
        <f>SUM(K1159:K1167)</f>
        <v>2526.8</v>
      </c>
    </row>
    <row r="1168" s="456" customFormat="1" ht="20.25" spans="1:14">
      <c r="A1168" s="488">
        <v>45596</v>
      </c>
      <c r="B1168" s="608" t="s">
        <v>491</v>
      </c>
      <c r="C1168" s="490">
        <v>45596</v>
      </c>
      <c r="D1168" s="491"/>
      <c r="E1168" s="491"/>
      <c r="F1168" s="493" t="s">
        <v>16</v>
      </c>
      <c r="G1168" s="491">
        <v>1</v>
      </c>
      <c r="H1168" s="431">
        <v>150</v>
      </c>
      <c r="I1168" s="491">
        <f t="shared" si="135"/>
        <v>150</v>
      </c>
      <c r="J1168" s="492">
        <v>13.5</v>
      </c>
      <c r="K1168" s="492"/>
    </row>
    <row r="1169" s="456" customFormat="1" ht="20.25" spans="1:18">
      <c r="A1169" s="488">
        <v>45596</v>
      </c>
      <c r="B1169" s="608" t="s">
        <v>491</v>
      </c>
      <c r="C1169" s="490">
        <v>45596</v>
      </c>
      <c r="D1169" s="491"/>
      <c r="E1169" s="491"/>
      <c r="F1169" s="498" t="s">
        <v>489</v>
      </c>
      <c r="G1169" s="520">
        <v>1</v>
      </c>
      <c r="H1169" s="521">
        <v>147</v>
      </c>
      <c r="I1169" s="491">
        <f t="shared" si="135"/>
        <v>147</v>
      </c>
      <c r="J1169" s="492">
        <v>14.1</v>
      </c>
      <c r="K1169" s="492"/>
    </row>
    <row r="1170" s="456" customFormat="1" ht="20.25" spans="1:18">
      <c r="A1170" s="488">
        <v>45596</v>
      </c>
      <c r="B1170" s="608" t="s">
        <v>491</v>
      </c>
      <c r="C1170" s="490">
        <v>45596</v>
      </c>
      <c r="D1170" s="491"/>
      <c r="E1170" s="491"/>
      <c r="F1170" s="498" t="s">
        <v>490</v>
      </c>
      <c r="G1170" s="520">
        <v>1</v>
      </c>
      <c r="H1170" s="521">
        <v>253</v>
      </c>
      <c r="I1170" s="491">
        <f t="shared" si="135"/>
        <v>253</v>
      </c>
      <c r="J1170" s="492">
        <v>11.4</v>
      </c>
      <c r="K1170" s="492"/>
      <c r="M1170" s="536" t="s">
        <v>325</v>
      </c>
      <c r="N1170" s="536" t="s">
        <v>326</v>
      </c>
    </row>
    <row r="1171" s="456" customFormat="1" ht="20.25" spans="1:18">
      <c r="A1171" s="488">
        <v>45596</v>
      </c>
      <c r="B1171" s="608" t="s">
        <v>491</v>
      </c>
      <c r="C1171" s="490">
        <v>45596</v>
      </c>
      <c r="D1171" s="491"/>
      <c r="E1171" s="491"/>
      <c r="F1171" s="493" t="s">
        <v>177</v>
      </c>
      <c r="G1171" s="491">
        <v>1</v>
      </c>
      <c r="H1171" s="431">
        <v>50</v>
      </c>
      <c r="I1171" s="491">
        <f t="shared" si="135"/>
        <v>50</v>
      </c>
      <c r="J1171" s="492">
        <v>10.6</v>
      </c>
      <c r="K1171" s="492">
        <f>I1171*J1171</f>
        <v>530</v>
      </c>
      <c r="M1171" s="456" t="s">
        <v>182</v>
      </c>
    </row>
    <row r="1172" s="456" customFormat="1" ht="20.25" spans="1:18">
      <c r="A1172" s="488">
        <v>45596</v>
      </c>
      <c r="B1172" s="608" t="s">
        <v>491</v>
      </c>
      <c r="C1172" s="490">
        <v>45596</v>
      </c>
      <c r="D1172" s="491"/>
      <c r="E1172" s="491"/>
      <c r="F1172" s="493" t="s">
        <v>152</v>
      </c>
      <c r="G1172" s="491">
        <v>1</v>
      </c>
      <c r="H1172" s="431">
        <v>154</v>
      </c>
      <c r="I1172" s="491">
        <f t="shared" si="135"/>
        <v>154</v>
      </c>
      <c r="J1172" s="492">
        <v>7.2</v>
      </c>
      <c r="K1172" s="492">
        <f>I1172*J1172</f>
        <v>1108.8</v>
      </c>
    </row>
    <row r="1173" s="456" customFormat="1" ht="20.25" spans="1:18">
      <c r="A1173" s="488">
        <v>45596</v>
      </c>
      <c r="B1173" s="608" t="s">
        <v>491</v>
      </c>
      <c r="C1173" s="490">
        <v>45596</v>
      </c>
      <c r="D1173" s="491"/>
      <c r="E1173" s="491"/>
      <c r="F1173" s="493" t="s">
        <v>125</v>
      </c>
      <c r="G1173" s="491">
        <v>1</v>
      </c>
      <c r="H1173" s="431">
        <v>96</v>
      </c>
      <c r="I1173" s="491">
        <f t="shared" si="135"/>
        <v>96</v>
      </c>
      <c r="J1173" s="492">
        <v>6.3</v>
      </c>
      <c r="K1173" s="492">
        <f>I1173*J1173</f>
        <v>604.8</v>
      </c>
    </row>
    <row r="1174" s="456" customFormat="1" ht="20.25" spans="1:18">
      <c r="A1174" s="488">
        <v>45596</v>
      </c>
      <c r="B1174" s="608" t="s">
        <v>491</v>
      </c>
      <c r="C1174" s="490">
        <v>45596</v>
      </c>
      <c r="D1174" s="491"/>
      <c r="E1174" s="491"/>
      <c r="F1174" s="493" t="s">
        <v>183</v>
      </c>
      <c r="G1174" s="491">
        <v>1</v>
      </c>
      <c r="H1174" s="431">
        <v>150</v>
      </c>
      <c r="I1174" s="491">
        <f t="shared" si="135"/>
        <v>150</v>
      </c>
      <c r="J1174" s="492"/>
      <c r="K1174" s="492"/>
      <c r="M1174" s="456" t="s">
        <v>184</v>
      </c>
      <c r="N1174" s="456" t="s">
        <v>185</v>
      </c>
    </row>
    <row r="1175" s="456" customFormat="1" ht="20.25" spans="1:18">
      <c r="A1175" s="488">
        <v>45596</v>
      </c>
      <c r="B1175" s="608" t="s">
        <v>491</v>
      </c>
      <c r="C1175" s="490">
        <v>45596</v>
      </c>
      <c r="D1175" s="491"/>
      <c r="E1175" s="491"/>
      <c r="F1175" s="493" t="s">
        <v>186</v>
      </c>
      <c r="G1175" s="491">
        <v>1</v>
      </c>
      <c r="H1175" s="500">
        <f>SUM(H1168:H1174)</f>
        <v>1000</v>
      </c>
      <c r="I1175" s="501">
        <f t="shared" si="135"/>
        <v>1000</v>
      </c>
      <c r="J1175" s="502">
        <v>1</v>
      </c>
      <c r="K1175" s="502">
        <f>I1175*J1175</f>
        <v>1000</v>
      </c>
      <c r="L1175" s="464">
        <f>SUM(K1168:K1175)</f>
        <v>3243.6</v>
      </c>
      <c r="R1175" s="456" t="s">
        <v>359</v>
      </c>
    </row>
    <row r="1176" s="454" customFormat="1" ht="33" customHeight="1" spans="1:18">
      <c r="A1176" s="601" t="s">
        <v>492</v>
      </c>
      <c r="B1176" s="481"/>
      <c r="C1176" s="481"/>
      <c r="D1176" s="481"/>
      <c r="E1176" s="481"/>
      <c r="F1176" s="481"/>
      <c r="G1176" s="481"/>
      <c r="H1176" s="481"/>
      <c r="I1176" s="481"/>
      <c r="J1176" s="632" t="s">
        <v>28</v>
      </c>
      <c r="K1176" s="595">
        <f>SUM(K1179:K1318)</f>
        <v>56280.32</v>
      </c>
      <c r="L1176" s="454" t="s">
        <v>29</v>
      </c>
      <c r="M1176" s="601">
        <f>'24材料明细'!AQ51</f>
        <v>33968.92</v>
      </c>
      <c r="N1176" s="593" t="s">
        <v>30</v>
      </c>
      <c r="O1176" s="601">
        <f>K1184+K1193+K1203+K1214+K1224+K1233+K1242+K1249+K1255+K1258+K1267+K1276+K1281+K1289+K1296+K1306+K1309+K1318</f>
        <v>18887.4</v>
      </c>
      <c r="P1176" s="481" t="s">
        <v>31</v>
      </c>
      <c r="Q1176" s="601">
        <f>K1194+K1218+K1219+K1290</f>
        <v>2880</v>
      </c>
    </row>
    <row r="1177" s="454" customFormat="1" ht="18" customHeight="1" spans="1:18">
      <c r="A1177" s="601"/>
      <c r="B1177" s="481"/>
      <c r="C1177" s="481"/>
      <c r="D1177" s="481"/>
      <c r="E1177" s="481"/>
      <c r="F1177" s="481"/>
      <c r="G1177" s="481"/>
      <c r="H1177" s="481"/>
      <c r="I1177" s="481"/>
      <c r="J1177" s="481" t="s">
        <v>32</v>
      </c>
      <c r="K1177" s="481"/>
      <c r="L1177" s="454" t="s">
        <v>33</v>
      </c>
      <c r="M1177" s="601">
        <f>K1195+K1217+K1215+K1216+K1204+K1282+K1297</f>
        <v>544</v>
      </c>
      <c r="N1177" s="634" t="s">
        <v>34</v>
      </c>
      <c r="O1177" s="595">
        <f>M1176+M1177+O1176+Q1176</f>
        <v>56280.32</v>
      </c>
    </row>
    <row r="1178" s="455" customFormat="1" ht="15" customHeight="1" spans="1:18">
      <c r="A1178" s="604" t="s">
        <v>35</v>
      </c>
      <c r="B1178" s="605" t="s">
        <v>36</v>
      </c>
      <c r="C1178" s="486" t="s">
        <v>37</v>
      </c>
      <c r="D1178" s="486"/>
      <c r="E1178" s="486"/>
      <c r="F1178" s="486" t="s">
        <v>38</v>
      </c>
      <c r="G1178" s="486" t="s">
        <v>4</v>
      </c>
      <c r="H1178" s="486" t="s">
        <v>5</v>
      </c>
      <c r="I1178" s="486" t="s">
        <v>6</v>
      </c>
      <c r="J1178" s="486" t="s">
        <v>7</v>
      </c>
      <c r="K1178" s="486" t="s">
        <v>8</v>
      </c>
      <c r="L1178" s="486" t="s">
        <v>39</v>
      </c>
      <c r="M1178" s="486" t="s">
        <v>40</v>
      </c>
      <c r="N1178" s="487"/>
      <c r="O1178" s="487"/>
    </row>
    <row r="1179" s="457" customFormat="1" ht="20.25" spans="1:18">
      <c r="A1179" s="494">
        <v>45597</v>
      </c>
      <c r="B1179" s="457" t="s">
        <v>493</v>
      </c>
      <c r="C1179" s="495">
        <v>45597</v>
      </c>
      <c r="D1179" s="463"/>
      <c r="E1179" s="463"/>
      <c r="F1179" s="496" t="s">
        <v>16</v>
      </c>
      <c r="G1179" s="463">
        <v>1</v>
      </c>
      <c r="H1179" s="432">
        <v>48</v>
      </c>
      <c r="I1179" s="463">
        <f t="shared" ref="I1179:I1185" si="138">G1179*H1179</f>
        <v>48</v>
      </c>
      <c r="J1179" s="497"/>
      <c r="K1179" s="497"/>
      <c r="O1179" s="456"/>
    </row>
    <row r="1180" s="457" customFormat="1" ht="20.25" spans="1:18">
      <c r="A1180" s="494">
        <v>45597</v>
      </c>
      <c r="B1180" s="457" t="s">
        <v>493</v>
      </c>
      <c r="C1180" s="495">
        <v>45597</v>
      </c>
      <c r="D1180" s="463"/>
      <c r="E1180" s="463"/>
      <c r="F1180" s="496" t="s">
        <v>444</v>
      </c>
      <c r="G1180" s="463">
        <v>1</v>
      </c>
      <c r="H1180" s="432">
        <v>4.5</v>
      </c>
      <c r="I1180" s="463">
        <f t="shared" si="138"/>
        <v>4.5</v>
      </c>
      <c r="J1180" s="497"/>
      <c r="K1180" s="497"/>
      <c r="O1180" s="456"/>
    </row>
    <row r="1181" s="457" customFormat="1" ht="20.25" spans="1:18">
      <c r="A1181" s="494">
        <v>45597</v>
      </c>
      <c r="B1181" s="457" t="s">
        <v>493</v>
      </c>
      <c r="C1181" s="495">
        <v>45597</v>
      </c>
      <c r="D1181" s="463"/>
      <c r="E1181" s="463"/>
      <c r="F1181" s="496">
        <v>996</v>
      </c>
      <c r="G1181" s="463">
        <v>1</v>
      </c>
      <c r="H1181" s="432">
        <v>150</v>
      </c>
      <c r="I1181" s="463">
        <f t="shared" si="138"/>
        <v>150</v>
      </c>
      <c r="J1181" s="497"/>
      <c r="K1181" s="497"/>
      <c r="L1181" s="537"/>
      <c r="M1181" s="537"/>
      <c r="N1181" s="537"/>
      <c r="O1181" s="456"/>
    </row>
    <row r="1182" s="457" customFormat="1" ht="20.25" spans="1:18">
      <c r="A1182" s="494">
        <v>45597</v>
      </c>
      <c r="B1182" s="457" t="s">
        <v>493</v>
      </c>
      <c r="C1182" s="495">
        <v>45597</v>
      </c>
      <c r="D1182" s="463"/>
      <c r="E1182" s="463"/>
      <c r="F1182" s="496" t="s">
        <v>12</v>
      </c>
      <c r="G1182" s="463">
        <v>1</v>
      </c>
      <c r="H1182" s="432">
        <v>30</v>
      </c>
      <c r="I1182" s="463">
        <f t="shared" si="138"/>
        <v>30</v>
      </c>
      <c r="J1182" s="497">
        <v>7.5</v>
      </c>
      <c r="K1182" s="497">
        <f>I1182*J1182</f>
        <v>225</v>
      </c>
      <c r="L1182" s="537"/>
      <c r="M1182" s="537"/>
      <c r="N1182" s="537"/>
      <c r="O1182" s="456"/>
    </row>
    <row r="1183" s="457" customFormat="1" ht="20.25" spans="1:18">
      <c r="A1183" s="494">
        <v>45597</v>
      </c>
      <c r="B1183" s="457" t="s">
        <v>493</v>
      </c>
      <c r="C1183" s="495">
        <v>45597</v>
      </c>
      <c r="D1183" s="463"/>
      <c r="E1183" s="463"/>
      <c r="F1183" s="496" t="s">
        <v>152</v>
      </c>
      <c r="G1183" s="463">
        <v>1</v>
      </c>
      <c r="H1183" s="432">
        <v>30</v>
      </c>
      <c r="I1183" s="463">
        <f t="shared" si="138"/>
        <v>30</v>
      </c>
      <c r="J1183" s="497">
        <v>7.2</v>
      </c>
      <c r="K1183" s="497">
        <f>I1183*J1183</f>
        <v>216</v>
      </c>
      <c r="L1183" s="537"/>
      <c r="M1183" s="537"/>
      <c r="N1183" s="537"/>
      <c r="O1183" s="456"/>
    </row>
    <row r="1184" s="457" customFormat="1" ht="20.25" spans="1:18">
      <c r="A1184" s="494">
        <v>45597</v>
      </c>
      <c r="B1184" s="457" t="s">
        <v>493</v>
      </c>
      <c r="C1184" s="495">
        <v>45597</v>
      </c>
      <c r="D1184" s="463"/>
      <c r="E1184" s="463"/>
      <c r="F1184" s="499" t="s">
        <v>456</v>
      </c>
      <c r="G1184" s="463">
        <v>1</v>
      </c>
      <c r="H1184" s="500">
        <f>SUM(H1179:H1183)</f>
        <v>262.5</v>
      </c>
      <c r="I1184" s="501">
        <f t="shared" si="138"/>
        <v>262.5</v>
      </c>
      <c r="J1184" s="502">
        <v>3</v>
      </c>
      <c r="K1184" s="502">
        <f>I1184*J1184</f>
        <v>787.5</v>
      </c>
      <c r="L1184" s="636">
        <f>SUM(K1179:K1184)</f>
        <v>1228.5</v>
      </c>
      <c r="M1184" s="537"/>
      <c r="N1184" s="537"/>
      <c r="O1184" s="456"/>
    </row>
    <row r="1185" s="456" customFormat="1" ht="20.25" spans="1:14">
      <c r="A1185" s="488">
        <v>45603</v>
      </c>
      <c r="B1185" s="456" t="s">
        <v>153</v>
      </c>
      <c r="C1185" s="528">
        <v>45602</v>
      </c>
      <c r="D1185" s="528"/>
      <c r="E1185" s="529"/>
      <c r="F1185" s="493" t="s">
        <v>251</v>
      </c>
      <c r="G1185" s="491">
        <v>1</v>
      </c>
      <c r="H1185" s="431">
        <v>200</v>
      </c>
      <c r="I1185" s="491">
        <f t="shared" ref="I1185:I1209" si="139">G1185*H1185</f>
        <v>200</v>
      </c>
      <c r="J1185" s="492"/>
      <c r="K1185" s="492"/>
    </row>
    <row r="1186" s="456" customFormat="1" ht="20.25" spans="1:14">
      <c r="A1186" s="488">
        <v>45603</v>
      </c>
      <c r="B1186" s="456" t="s">
        <v>153</v>
      </c>
      <c r="C1186" s="528">
        <v>45602</v>
      </c>
      <c r="D1186" s="528"/>
      <c r="E1186" s="529"/>
      <c r="F1186" s="493" t="s">
        <v>13</v>
      </c>
      <c r="G1186" s="491">
        <v>1</v>
      </c>
      <c r="H1186" s="431">
        <v>200</v>
      </c>
      <c r="I1186" s="491">
        <f t="shared" si="139"/>
        <v>200</v>
      </c>
      <c r="J1186" s="492"/>
      <c r="K1186" s="492"/>
    </row>
    <row r="1187" s="456" customFormat="1" ht="20.25" spans="1:14">
      <c r="A1187" s="488">
        <v>45603</v>
      </c>
      <c r="B1187" s="456" t="s">
        <v>153</v>
      </c>
      <c r="C1187" s="528">
        <v>45602</v>
      </c>
      <c r="D1187" s="528"/>
      <c r="E1187" s="529"/>
      <c r="F1187" s="498" t="s">
        <v>489</v>
      </c>
      <c r="G1187" s="491">
        <v>1</v>
      </c>
      <c r="H1187" s="431">
        <v>51</v>
      </c>
      <c r="I1187" s="491">
        <f t="shared" si="139"/>
        <v>51</v>
      </c>
      <c r="J1187" s="492"/>
      <c r="K1187" s="492"/>
      <c r="L1187" s="456" t="s">
        <v>313</v>
      </c>
    </row>
    <row r="1188" s="456" customFormat="1" ht="20.25" spans="1:14">
      <c r="A1188" s="488">
        <v>45603</v>
      </c>
      <c r="B1188" s="456" t="s">
        <v>153</v>
      </c>
      <c r="C1188" s="528">
        <v>45602</v>
      </c>
      <c r="D1188" s="528"/>
      <c r="E1188" s="529"/>
      <c r="F1188" s="498" t="s">
        <v>490</v>
      </c>
      <c r="G1188" s="491">
        <v>1</v>
      </c>
      <c r="H1188" s="431">
        <v>214</v>
      </c>
      <c r="I1188" s="491">
        <f t="shared" si="139"/>
        <v>214</v>
      </c>
      <c r="J1188" s="492"/>
      <c r="K1188" s="492"/>
      <c r="L1188" s="536" t="s">
        <v>116</v>
      </c>
      <c r="M1188" s="536" t="s">
        <v>314</v>
      </c>
    </row>
    <row r="1189" s="456" customFormat="1" ht="20.25" spans="1:14">
      <c r="A1189" s="488">
        <v>45603</v>
      </c>
      <c r="B1189" s="456" t="s">
        <v>153</v>
      </c>
      <c r="C1189" s="528">
        <v>45602</v>
      </c>
      <c r="D1189" s="528"/>
      <c r="E1189" s="529"/>
      <c r="F1189" s="493" t="s">
        <v>115</v>
      </c>
      <c r="G1189" s="491">
        <v>1</v>
      </c>
      <c r="H1189" s="431">
        <v>125</v>
      </c>
      <c r="I1189" s="491">
        <f t="shared" si="139"/>
        <v>125</v>
      </c>
      <c r="J1189" s="492"/>
      <c r="K1189" s="492"/>
    </row>
    <row r="1190" s="456" customFormat="1" ht="20.25" spans="1:14">
      <c r="A1190" s="488">
        <v>45603</v>
      </c>
      <c r="B1190" s="456" t="s">
        <v>153</v>
      </c>
      <c r="C1190" s="528">
        <v>45602</v>
      </c>
      <c r="D1190" s="528"/>
      <c r="E1190" s="529"/>
      <c r="F1190" s="493">
        <v>808</v>
      </c>
      <c r="G1190" s="491">
        <v>1</v>
      </c>
      <c r="H1190" s="431">
        <v>25</v>
      </c>
      <c r="I1190" s="491">
        <f t="shared" si="139"/>
        <v>25</v>
      </c>
      <c r="J1190" s="492">
        <v>10.6</v>
      </c>
      <c r="K1190" s="492">
        <f t="shared" ref="K1190:K1195" si="140">I1190*J1190</f>
        <v>265</v>
      </c>
    </row>
    <row r="1191" s="456" customFormat="1" ht="20.25" spans="1:14">
      <c r="A1191" s="488">
        <v>45603</v>
      </c>
      <c r="B1191" s="456" t="s">
        <v>153</v>
      </c>
      <c r="C1191" s="528">
        <v>45602</v>
      </c>
      <c r="D1191" s="528"/>
      <c r="E1191" s="529"/>
      <c r="F1191" s="493" t="s">
        <v>152</v>
      </c>
      <c r="G1191" s="491">
        <v>1</v>
      </c>
      <c r="H1191" s="431">
        <v>107</v>
      </c>
      <c r="I1191" s="491">
        <f t="shared" si="139"/>
        <v>107</v>
      </c>
      <c r="J1191" s="492">
        <v>7.2</v>
      </c>
      <c r="K1191" s="492">
        <f t="shared" si="140"/>
        <v>770.4</v>
      </c>
    </row>
    <row r="1192" s="456" customFormat="1" ht="20.25" spans="1:14">
      <c r="A1192" s="488">
        <v>45603</v>
      </c>
      <c r="B1192" s="456" t="s">
        <v>153</v>
      </c>
      <c r="C1192" s="528">
        <v>45602</v>
      </c>
      <c r="D1192" s="528"/>
      <c r="E1192" s="529"/>
      <c r="F1192" s="493" t="s">
        <v>125</v>
      </c>
      <c r="G1192" s="491">
        <v>1</v>
      </c>
      <c r="H1192" s="431">
        <v>78</v>
      </c>
      <c r="I1192" s="491">
        <f t="shared" si="139"/>
        <v>78</v>
      </c>
      <c r="J1192" s="492">
        <v>6.3</v>
      </c>
      <c r="K1192" s="492">
        <f t="shared" si="140"/>
        <v>491.4</v>
      </c>
    </row>
    <row r="1193" s="456" customFormat="1" ht="20.25" spans="1:14">
      <c r="A1193" s="488">
        <v>45603</v>
      </c>
      <c r="B1193" s="456" t="s">
        <v>153</v>
      </c>
      <c r="C1193" s="528">
        <v>45602</v>
      </c>
      <c r="D1193" s="528"/>
      <c r="E1193" s="529"/>
      <c r="F1193" s="493" t="s">
        <v>17</v>
      </c>
      <c r="G1193" s="491">
        <v>1</v>
      </c>
      <c r="H1193" s="431">
        <f>SUM(H1185:H1192)</f>
        <v>1000</v>
      </c>
      <c r="I1193" s="491">
        <f t="shared" si="139"/>
        <v>1000</v>
      </c>
      <c r="J1193" s="492">
        <v>1</v>
      </c>
      <c r="K1193" s="492">
        <f t="shared" si="140"/>
        <v>1000</v>
      </c>
      <c r="L1193" s="456">
        <f>SUM(K1185:K1193)</f>
        <v>2526.8</v>
      </c>
    </row>
    <row r="1194" s="457" customFormat="1" ht="20.25" spans="1:14">
      <c r="A1194" s="494">
        <v>45603</v>
      </c>
      <c r="B1194" s="457" t="s">
        <v>154</v>
      </c>
      <c r="C1194" s="495">
        <v>45602</v>
      </c>
      <c r="D1194" s="463"/>
      <c r="E1194" s="463"/>
      <c r="F1194" s="496" t="s">
        <v>441</v>
      </c>
      <c r="G1194" s="463">
        <v>1</v>
      </c>
      <c r="H1194" s="432">
        <v>5</v>
      </c>
      <c r="I1194" s="463">
        <f t="shared" si="139"/>
        <v>5</v>
      </c>
      <c r="J1194" s="497">
        <v>40</v>
      </c>
      <c r="K1194" s="497">
        <f t="shared" si="140"/>
        <v>200</v>
      </c>
      <c r="L1194" s="537"/>
      <c r="M1194" s="537"/>
      <c r="N1194" s="537"/>
    </row>
    <row r="1195" s="457" customFormat="1" ht="20.25" spans="1:14">
      <c r="A1195" s="494">
        <v>45603</v>
      </c>
      <c r="B1195" s="457" t="s">
        <v>154</v>
      </c>
      <c r="C1195" s="495">
        <v>45602</v>
      </c>
      <c r="D1195" s="463"/>
      <c r="E1195" s="463"/>
      <c r="F1195" s="496" t="s">
        <v>494</v>
      </c>
      <c r="G1195" s="463">
        <v>1</v>
      </c>
      <c r="H1195" s="432">
        <v>1</v>
      </c>
      <c r="I1195" s="463">
        <f t="shared" si="139"/>
        <v>1</v>
      </c>
      <c r="J1195" s="497">
        <v>7</v>
      </c>
      <c r="K1195" s="497">
        <f t="shared" si="140"/>
        <v>7</v>
      </c>
      <c r="L1195" s="537">
        <f>SUM(K1194:K1195)</f>
        <v>207</v>
      </c>
      <c r="M1195" s="537"/>
      <c r="N1195" s="537"/>
    </row>
    <row r="1196" s="456" customFormat="1" ht="20.25" spans="1:14">
      <c r="A1196" s="488">
        <v>45604</v>
      </c>
      <c r="B1196" s="456" t="s">
        <v>157</v>
      </c>
      <c r="C1196" s="528">
        <v>45604</v>
      </c>
      <c r="D1196" s="528"/>
      <c r="E1196" s="529"/>
      <c r="F1196" s="493" t="s">
        <v>251</v>
      </c>
      <c r="G1196" s="491">
        <v>1</v>
      </c>
      <c r="H1196" s="431">
        <v>200</v>
      </c>
      <c r="I1196" s="491">
        <f t="shared" si="139"/>
        <v>200</v>
      </c>
      <c r="J1196" s="492"/>
      <c r="K1196" s="492"/>
    </row>
    <row r="1197" s="456" customFormat="1" ht="20.25" spans="1:14">
      <c r="A1197" s="488">
        <v>45604</v>
      </c>
      <c r="B1197" s="456" t="s">
        <v>157</v>
      </c>
      <c r="C1197" s="528">
        <v>45604</v>
      </c>
      <c r="D1197" s="528"/>
      <c r="E1197" s="529"/>
      <c r="F1197" s="493" t="s">
        <v>129</v>
      </c>
      <c r="G1197" s="491">
        <v>1</v>
      </c>
      <c r="H1197" s="431">
        <v>150</v>
      </c>
      <c r="I1197" s="491">
        <f t="shared" si="139"/>
        <v>150</v>
      </c>
      <c r="J1197" s="492"/>
      <c r="K1197" s="492"/>
    </row>
    <row r="1198" s="456" customFormat="1" ht="20.25" spans="1:14">
      <c r="A1198" s="488">
        <v>45604</v>
      </c>
      <c r="B1198" s="456" t="s">
        <v>157</v>
      </c>
      <c r="C1198" s="528">
        <v>45604</v>
      </c>
      <c r="D1198" s="528"/>
      <c r="E1198" s="529"/>
      <c r="F1198" s="493">
        <v>808</v>
      </c>
      <c r="G1198" s="491">
        <v>1</v>
      </c>
      <c r="H1198" s="431">
        <v>200</v>
      </c>
      <c r="I1198" s="491">
        <f t="shared" si="139"/>
        <v>200</v>
      </c>
      <c r="J1198" s="492">
        <v>10.6</v>
      </c>
      <c r="K1198" s="492">
        <f>I1198*J1198</f>
        <v>2120</v>
      </c>
    </row>
    <row r="1199" s="456" customFormat="1" ht="20.25" spans="1:14">
      <c r="A1199" s="488">
        <v>45604</v>
      </c>
      <c r="B1199" s="456" t="s">
        <v>157</v>
      </c>
      <c r="C1199" s="528">
        <v>45604</v>
      </c>
      <c r="D1199" s="528"/>
      <c r="E1199" s="529"/>
      <c r="F1199" s="493" t="s">
        <v>125</v>
      </c>
      <c r="G1199" s="491">
        <v>1</v>
      </c>
      <c r="H1199" s="431">
        <v>60</v>
      </c>
      <c r="I1199" s="491">
        <f t="shared" si="139"/>
        <v>60</v>
      </c>
      <c r="J1199" s="492">
        <v>6.3</v>
      </c>
      <c r="K1199" s="492">
        <f t="shared" ref="K1199:K1204" si="141">I1199*J1199</f>
        <v>378</v>
      </c>
    </row>
    <row r="1200" s="456" customFormat="1" ht="20.25" spans="1:14">
      <c r="A1200" s="488">
        <v>45604</v>
      </c>
      <c r="B1200" s="456" t="s">
        <v>157</v>
      </c>
      <c r="C1200" s="528">
        <v>45604</v>
      </c>
      <c r="D1200" s="528"/>
      <c r="E1200" s="529"/>
      <c r="F1200" s="493" t="s">
        <v>152</v>
      </c>
      <c r="G1200" s="491">
        <v>1</v>
      </c>
      <c r="H1200" s="431">
        <v>125</v>
      </c>
      <c r="I1200" s="491">
        <f t="shared" si="139"/>
        <v>125</v>
      </c>
      <c r="J1200" s="492">
        <v>7.2</v>
      </c>
      <c r="K1200" s="492">
        <f t="shared" si="141"/>
        <v>900</v>
      </c>
    </row>
    <row r="1201" s="456" customFormat="1" ht="20.25" spans="1:14">
      <c r="A1201" s="488">
        <v>45604</v>
      </c>
      <c r="B1201" s="456" t="s">
        <v>157</v>
      </c>
      <c r="C1201" s="528">
        <v>45604</v>
      </c>
      <c r="D1201" s="528"/>
      <c r="E1201" s="529"/>
      <c r="F1201" s="498" t="s">
        <v>489</v>
      </c>
      <c r="G1201" s="491">
        <v>1</v>
      </c>
      <c r="H1201" s="431">
        <v>51</v>
      </c>
      <c r="I1201" s="491">
        <f t="shared" si="139"/>
        <v>51</v>
      </c>
      <c r="J1201" s="492"/>
      <c r="K1201" s="492"/>
      <c r="L1201" s="536"/>
      <c r="M1201" s="536"/>
      <c r="N1201" s="536" t="s">
        <v>495</v>
      </c>
    </row>
    <row r="1202" s="456" customFormat="1" ht="20.25" spans="1:14">
      <c r="A1202" s="488">
        <v>45604</v>
      </c>
      <c r="B1202" s="456" t="s">
        <v>157</v>
      </c>
      <c r="C1202" s="528">
        <v>45604</v>
      </c>
      <c r="D1202" s="528"/>
      <c r="E1202" s="529"/>
      <c r="F1202" s="498" t="s">
        <v>490</v>
      </c>
      <c r="G1202" s="491">
        <v>1</v>
      </c>
      <c r="H1202" s="431">
        <v>214</v>
      </c>
      <c r="I1202" s="491">
        <f t="shared" si="139"/>
        <v>214</v>
      </c>
      <c r="J1202" s="492"/>
      <c r="K1202" s="492"/>
      <c r="L1202" s="536"/>
      <c r="M1202" s="536" t="s">
        <v>126</v>
      </c>
      <c r="N1202" s="536"/>
    </row>
    <row r="1203" s="456" customFormat="1" ht="20.25" spans="1:14">
      <c r="A1203" s="488">
        <v>45604</v>
      </c>
      <c r="B1203" s="456" t="s">
        <v>157</v>
      </c>
      <c r="C1203" s="528">
        <v>45604</v>
      </c>
      <c r="D1203" s="528"/>
      <c r="E1203" s="529"/>
      <c r="F1203" s="493" t="s">
        <v>130</v>
      </c>
      <c r="G1203" s="491">
        <v>1</v>
      </c>
      <c r="H1203" s="431">
        <f>SUM(H1196:H1202)</f>
        <v>1000</v>
      </c>
      <c r="I1203" s="491">
        <f t="shared" si="139"/>
        <v>1000</v>
      </c>
      <c r="J1203" s="492">
        <v>1</v>
      </c>
      <c r="K1203" s="492">
        <f t="shared" si="141"/>
        <v>1000</v>
      </c>
      <c r="L1203" s="536"/>
      <c r="M1203" s="536"/>
      <c r="N1203" s="536" t="s">
        <v>399</v>
      </c>
    </row>
    <row r="1204" s="456" customFormat="1" ht="20.25" spans="1:14">
      <c r="A1204" s="488">
        <v>45604</v>
      </c>
      <c r="B1204" s="456" t="s">
        <v>157</v>
      </c>
      <c r="C1204" s="490">
        <v>45604</v>
      </c>
      <c r="D1204" s="491"/>
      <c r="E1204" s="491"/>
      <c r="F1204" s="561" t="s">
        <v>496</v>
      </c>
      <c r="G1204" s="491">
        <v>15</v>
      </c>
      <c r="H1204" s="431">
        <v>1</v>
      </c>
      <c r="I1204" s="491">
        <f t="shared" si="139"/>
        <v>15</v>
      </c>
      <c r="J1204" s="492">
        <v>12.5</v>
      </c>
      <c r="K1204" s="492">
        <f t="shared" si="141"/>
        <v>187.5</v>
      </c>
      <c r="L1204" s="536">
        <f>SUM(K1196:K1204)</f>
        <v>4585.5</v>
      </c>
      <c r="M1204" s="536"/>
      <c r="N1204" s="536"/>
    </row>
    <row r="1205" s="457" customFormat="1" ht="20.25" spans="1:14">
      <c r="A1205" s="494">
        <v>45604</v>
      </c>
      <c r="B1205" s="457" t="s">
        <v>497</v>
      </c>
      <c r="C1205" s="495">
        <v>45604</v>
      </c>
      <c r="D1205" s="463"/>
      <c r="E1205" s="463"/>
      <c r="F1205" s="496" t="s">
        <v>42</v>
      </c>
      <c r="G1205" s="463">
        <v>1</v>
      </c>
      <c r="H1205" s="432">
        <v>100</v>
      </c>
      <c r="I1205" s="463">
        <f t="shared" si="139"/>
        <v>100</v>
      </c>
      <c r="J1205" s="497"/>
      <c r="K1205" s="497"/>
    </row>
    <row r="1206" s="457" customFormat="1" ht="20.25" spans="1:14">
      <c r="A1206" s="494">
        <v>45604</v>
      </c>
      <c r="B1206" s="457" t="s">
        <v>497</v>
      </c>
      <c r="C1206" s="495">
        <v>45604</v>
      </c>
      <c r="D1206" s="463"/>
      <c r="E1206" s="463"/>
      <c r="F1206" s="496" t="s">
        <v>207</v>
      </c>
      <c r="G1206" s="463">
        <v>1</v>
      </c>
      <c r="H1206" s="432">
        <v>100</v>
      </c>
      <c r="I1206" s="463">
        <f t="shared" si="139"/>
        <v>100</v>
      </c>
      <c r="J1206" s="497"/>
      <c r="K1206" s="497"/>
    </row>
    <row r="1207" s="457" customFormat="1" ht="20.25" spans="1:14">
      <c r="A1207" s="494">
        <v>45604</v>
      </c>
      <c r="B1207" s="457" t="s">
        <v>497</v>
      </c>
      <c r="C1207" s="495">
        <v>45604</v>
      </c>
      <c r="D1207" s="463"/>
      <c r="E1207" s="463"/>
      <c r="F1207" s="496" t="s">
        <v>242</v>
      </c>
      <c r="G1207" s="463">
        <v>1</v>
      </c>
      <c r="H1207" s="432">
        <v>100</v>
      </c>
      <c r="I1207" s="463">
        <f t="shared" si="139"/>
        <v>100</v>
      </c>
      <c r="J1207" s="497"/>
      <c r="K1207" s="497"/>
    </row>
    <row r="1208" s="457" customFormat="1" ht="20.25" spans="1:14">
      <c r="A1208" s="494">
        <v>45604</v>
      </c>
      <c r="B1208" s="457" t="s">
        <v>497</v>
      </c>
      <c r="C1208" s="495">
        <v>45604</v>
      </c>
      <c r="D1208" s="463"/>
      <c r="E1208" s="463"/>
      <c r="F1208" s="496" t="s">
        <v>86</v>
      </c>
      <c r="G1208" s="463">
        <v>1</v>
      </c>
      <c r="H1208" s="432">
        <v>136</v>
      </c>
      <c r="I1208" s="463">
        <f t="shared" si="139"/>
        <v>136</v>
      </c>
      <c r="J1208" s="497"/>
      <c r="K1208" s="497"/>
      <c r="L1208" s="537"/>
      <c r="M1208" s="537"/>
      <c r="N1208" s="537"/>
    </row>
    <row r="1209" s="457" customFormat="1" ht="20.25" spans="1:14">
      <c r="A1209" s="494">
        <v>45604</v>
      </c>
      <c r="B1209" s="457" t="s">
        <v>497</v>
      </c>
      <c r="C1209" s="495">
        <v>45604</v>
      </c>
      <c r="D1209" s="463"/>
      <c r="E1209" s="463"/>
      <c r="F1209" s="496" t="s">
        <v>481</v>
      </c>
      <c r="G1209" s="463">
        <v>1</v>
      </c>
      <c r="H1209" s="432">
        <v>260</v>
      </c>
      <c r="I1209" s="463">
        <f t="shared" si="139"/>
        <v>260</v>
      </c>
      <c r="J1209" s="497"/>
      <c r="K1209" s="497"/>
      <c r="L1209" s="537"/>
      <c r="M1209" s="537"/>
      <c r="N1209" s="537"/>
    </row>
    <row r="1210" s="457" customFormat="1" ht="20.25" spans="1:14">
      <c r="A1210" s="494">
        <v>45604</v>
      </c>
      <c r="B1210" s="457" t="s">
        <v>497</v>
      </c>
      <c r="C1210" s="495">
        <v>45604</v>
      </c>
      <c r="D1210" s="463"/>
      <c r="E1210" s="463"/>
      <c r="F1210" s="496" t="s">
        <v>208</v>
      </c>
      <c r="G1210" s="463">
        <v>1</v>
      </c>
      <c r="H1210" s="432">
        <v>25</v>
      </c>
      <c r="I1210" s="463">
        <f t="shared" ref="I1210:I1215" si="142">G1210*H1210</f>
        <v>25</v>
      </c>
      <c r="J1210" s="497">
        <v>17</v>
      </c>
      <c r="K1210" s="497">
        <f t="shared" ref="K1210:K1212" si="143">I1210*J1210</f>
        <v>425</v>
      </c>
      <c r="L1210" s="537" t="s">
        <v>498</v>
      </c>
      <c r="M1210" s="537"/>
      <c r="N1210" s="537"/>
    </row>
    <row r="1211" s="457" customFormat="1" ht="20.25" spans="1:14">
      <c r="A1211" s="494">
        <v>45604</v>
      </c>
      <c r="B1211" s="457" t="s">
        <v>497</v>
      </c>
      <c r="C1211" s="495">
        <v>45604</v>
      </c>
      <c r="D1211" s="463"/>
      <c r="E1211" s="463"/>
      <c r="F1211" s="496" t="s">
        <v>132</v>
      </c>
      <c r="G1211" s="463">
        <v>1</v>
      </c>
      <c r="H1211" s="432">
        <v>279</v>
      </c>
      <c r="I1211" s="463">
        <f t="shared" si="142"/>
        <v>279</v>
      </c>
      <c r="J1211" s="497">
        <v>3.7</v>
      </c>
      <c r="K1211" s="497">
        <f t="shared" si="143"/>
        <v>1032.3</v>
      </c>
      <c r="L1211" s="537"/>
      <c r="M1211" s="537"/>
      <c r="N1211" s="537"/>
    </row>
    <row r="1212" s="457" customFormat="1" ht="20.25" spans="1:14">
      <c r="A1212" s="494">
        <v>45604</v>
      </c>
      <c r="B1212" s="457" t="s">
        <v>497</v>
      </c>
      <c r="C1212" s="495">
        <v>45604</v>
      </c>
      <c r="D1212" s="463"/>
      <c r="E1212" s="463"/>
      <c r="F1212" s="496" t="s">
        <v>137</v>
      </c>
      <c r="G1212" s="463">
        <v>1</v>
      </c>
      <c r="H1212" s="432">
        <v>50</v>
      </c>
      <c r="I1212" s="463">
        <f t="shared" si="142"/>
        <v>50</v>
      </c>
      <c r="J1212" s="497">
        <v>0.9</v>
      </c>
      <c r="K1212" s="497">
        <f t="shared" si="143"/>
        <v>45</v>
      </c>
      <c r="L1212" s="537" t="s">
        <v>116</v>
      </c>
      <c r="M1212" s="537"/>
      <c r="N1212" s="537"/>
    </row>
    <row r="1213" s="457" customFormat="1" ht="20.25" spans="1:14">
      <c r="A1213" s="494">
        <v>45604</v>
      </c>
      <c r="B1213" s="457" t="s">
        <v>497</v>
      </c>
      <c r="C1213" s="495">
        <v>45604</v>
      </c>
      <c r="D1213" s="463"/>
      <c r="E1213" s="463"/>
      <c r="F1213" s="496" t="s">
        <v>211</v>
      </c>
      <c r="G1213" s="463">
        <v>1</v>
      </c>
      <c r="H1213" s="432">
        <v>2.5</v>
      </c>
      <c r="I1213" s="463">
        <f t="shared" si="142"/>
        <v>2.5</v>
      </c>
      <c r="J1213" s="497"/>
      <c r="K1213" s="497"/>
      <c r="L1213" s="537"/>
      <c r="M1213" s="537"/>
      <c r="N1213" s="537"/>
    </row>
    <row r="1214" s="457" customFormat="1" ht="20.25" spans="1:14">
      <c r="A1214" s="494">
        <v>45604</v>
      </c>
      <c r="B1214" s="457" t="s">
        <v>497</v>
      </c>
      <c r="C1214" s="495">
        <v>45604</v>
      </c>
      <c r="D1214" s="463"/>
      <c r="E1214" s="463"/>
      <c r="F1214" s="496" t="s">
        <v>212</v>
      </c>
      <c r="G1214" s="463">
        <v>1</v>
      </c>
      <c r="H1214" s="500">
        <f>SUM(H1205:H1213)</f>
        <v>1052.5</v>
      </c>
      <c r="I1214" s="501">
        <f t="shared" si="142"/>
        <v>1052.5</v>
      </c>
      <c r="J1214" s="502">
        <v>1</v>
      </c>
      <c r="K1214" s="502">
        <f t="shared" ref="K1214:K1224" si="144">I1214*J1214</f>
        <v>1052.5</v>
      </c>
      <c r="L1214" s="537"/>
      <c r="M1214" s="537"/>
      <c r="N1214" s="537"/>
    </row>
    <row r="1215" s="457" customFormat="1" ht="20.25" spans="1:14">
      <c r="A1215" s="494">
        <v>45604</v>
      </c>
      <c r="B1215" s="457" t="s">
        <v>497</v>
      </c>
      <c r="C1215" s="495">
        <v>45604</v>
      </c>
      <c r="D1215" s="463"/>
      <c r="E1215" s="463"/>
      <c r="F1215" s="550" t="s">
        <v>496</v>
      </c>
      <c r="G1215" s="463">
        <v>2</v>
      </c>
      <c r="H1215" s="432">
        <v>1</v>
      </c>
      <c r="I1215" s="463">
        <f t="shared" si="142"/>
        <v>2</v>
      </c>
      <c r="J1215" s="497">
        <v>12.5</v>
      </c>
      <c r="K1215" s="497">
        <f t="shared" si="144"/>
        <v>25</v>
      </c>
      <c r="L1215" s="537">
        <f>SUM(K1205:K1215)</f>
        <v>2579.8</v>
      </c>
      <c r="M1215" s="537"/>
      <c r="N1215" s="537"/>
    </row>
    <row r="1216" s="456" customFormat="1" ht="20.25" spans="1:14">
      <c r="A1216" s="488">
        <v>45605</v>
      </c>
      <c r="B1216" s="456" t="s">
        <v>255</v>
      </c>
      <c r="C1216" s="490">
        <v>45604</v>
      </c>
      <c r="D1216" s="491"/>
      <c r="E1216" s="491"/>
      <c r="F1216" s="522" t="s">
        <v>499</v>
      </c>
      <c r="G1216" s="491">
        <v>22</v>
      </c>
      <c r="H1216" s="431">
        <v>1</v>
      </c>
      <c r="I1216" s="491">
        <f t="shared" ref="I1216:I1233" si="145">G1216*H1216</f>
        <v>22</v>
      </c>
      <c r="J1216" s="492">
        <v>12.5</v>
      </c>
      <c r="K1216" s="492">
        <f t="shared" si="144"/>
        <v>275</v>
      </c>
      <c r="L1216" s="536"/>
      <c r="M1216" s="536"/>
      <c r="N1216" s="536"/>
    </row>
    <row r="1217" s="456" customFormat="1" ht="20.25" spans="1:16">
      <c r="A1217" s="488">
        <v>45605</v>
      </c>
      <c r="B1217" s="456" t="s">
        <v>255</v>
      </c>
      <c r="C1217" s="490">
        <v>45604</v>
      </c>
      <c r="D1217" s="491"/>
      <c r="E1217" s="491"/>
      <c r="F1217" s="522" t="s">
        <v>500</v>
      </c>
      <c r="G1217" s="491">
        <v>2</v>
      </c>
      <c r="H1217" s="431">
        <v>1</v>
      </c>
      <c r="I1217" s="491">
        <f t="shared" si="145"/>
        <v>2</v>
      </c>
      <c r="J1217" s="492">
        <v>6</v>
      </c>
      <c r="K1217" s="492">
        <f t="shared" si="144"/>
        <v>12</v>
      </c>
      <c r="L1217" s="536"/>
      <c r="M1217" s="536"/>
      <c r="N1217" s="536"/>
    </row>
    <row r="1218" s="456" customFormat="1" ht="20.25" spans="1:16">
      <c r="A1218" s="488">
        <v>45605</v>
      </c>
      <c r="B1218" s="456" t="s">
        <v>255</v>
      </c>
      <c r="C1218" s="490">
        <v>45605</v>
      </c>
      <c r="D1218" s="491"/>
      <c r="E1218" s="491"/>
      <c r="F1218" s="461" t="s">
        <v>486</v>
      </c>
      <c r="G1218" s="489">
        <v>4</v>
      </c>
      <c r="H1218" s="489">
        <v>20</v>
      </c>
      <c r="I1218" s="491">
        <f t="shared" si="145"/>
        <v>80</v>
      </c>
      <c r="J1218" s="492">
        <v>18</v>
      </c>
      <c r="K1218" s="492">
        <f t="shared" si="144"/>
        <v>1440</v>
      </c>
      <c r="L1218" s="646" t="s">
        <v>501</v>
      </c>
      <c r="O1218" s="641" t="s">
        <v>502</v>
      </c>
      <c r="P1218" s="641"/>
    </row>
    <row r="1219" s="456" customFormat="1" ht="20.25" spans="1:16">
      <c r="A1219" s="488">
        <v>45605</v>
      </c>
      <c r="B1219" s="456" t="s">
        <v>255</v>
      </c>
      <c r="C1219" s="490">
        <v>45605</v>
      </c>
      <c r="D1219" s="491"/>
      <c r="E1219" s="491"/>
      <c r="F1219" s="522" t="s">
        <v>429</v>
      </c>
      <c r="G1219" s="491">
        <v>2</v>
      </c>
      <c r="H1219" s="431">
        <v>10</v>
      </c>
      <c r="I1219" s="491">
        <f t="shared" si="145"/>
        <v>20</v>
      </c>
      <c r="J1219" s="492">
        <v>15.5</v>
      </c>
      <c r="K1219" s="492">
        <f t="shared" si="144"/>
        <v>310</v>
      </c>
      <c r="L1219" s="536" t="s">
        <v>503</v>
      </c>
      <c r="M1219" s="489">
        <f>SUM(K1216:K1219)</f>
        <v>2037</v>
      </c>
    </row>
    <row r="1220" s="457" customFormat="1" ht="20.25" spans="1:16">
      <c r="A1220" s="494">
        <v>45607</v>
      </c>
      <c r="B1220" s="457" t="s">
        <v>504</v>
      </c>
      <c r="C1220" s="495">
        <v>45607</v>
      </c>
      <c r="D1220" s="463"/>
      <c r="E1220" s="463"/>
      <c r="F1220" s="496" t="s">
        <v>54</v>
      </c>
      <c r="G1220" s="463">
        <v>3</v>
      </c>
      <c r="H1220" s="432">
        <v>90</v>
      </c>
      <c r="I1220" s="463">
        <f t="shared" si="145"/>
        <v>270</v>
      </c>
      <c r="J1220" s="497">
        <v>3.7</v>
      </c>
      <c r="K1220" s="497">
        <f t="shared" si="144"/>
        <v>999</v>
      </c>
    </row>
    <row r="1221" s="457" customFormat="1" ht="20.25" spans="1:16">
      <c r="A1221" s="494">
        <v>45607</v>
      </c>
      <c r="B1221" s="457" t="s">
        <v>504</v>
      </c>
      <c r="C1221" s="495">
        <v>45607</v>
      </c>
      <c r="D1221" s="463"/>
      <c r="E1221" s="463"/>
      <c r="F1221" s="496" t="s">
        <v>152</v>
      </c>
      <c r="G1221" s="463">
        <v>3</v>
      </c>
      <c r="H1221" s="432">
        <v>30</v>
      </c>
      <c r="I1221" s="463">
        <f t="shared" si="145"/>
        <v>90</v>
      </c>
      <c r="J1221" s="497">
        <v>7.2</v>
      </c>
      <c r="K1221" s="497">
        <f t="shared" si="144"/>
        <v>648</v>
      </c>
    </row>
    <row r="1222" s="457" customFormat="1" ht="20.25" spans="1:16">
      <c r="A1222" s="494">
        <v>45607</v>
      </c>
      <c r="B1222" s="457" t="s">
        <v>504</v>
      </c>
      <c r="C1222" s="495">
        <v>45607</v>
      </c>
      <c r="D1222" s="463"/>
      <c r="E1222" s="463"/>
      <c r="F1222" s="496" t="s">
        <v>125</v>
      </c>
      <c r="G1222" s="463">
        <v>3</v>
      </c>
      <c r="H1222" s="432">
        <v>40</v>
      </c>
      <c r="I1222" s="463">
        <f t="shared" si="145"/>
        <v>120</v>
      </c>
      <c r="J1222" s="497">
        <v>6.3</v>
      </c>
      <c r="K1222" s="497">
        <f t="shared" si="144"/>
        <v>756</v>
      </c>
    </row>
    <row r="1223" s="457" customFormat="1" ht="20.25" spans="1:16">
      <c r="A1223" s="494">
        <v>45607</v>
      </c>
      <c r="B1223" s="457" t="s">
        <v>504</v>
      </c>
      <c r="C1223" s="495">
        <v>45607</v>
      </c>
      <c r="D1223" s="463"/>
      <c r="E1223" s="463"/>
      <c r="F1223" s="496" t="s">
        <v>55</v>
      </c>
      <c r="G1223" s="463">
        <v>3</v>
      </c>
      <c r="H1223" s="432">
        <v>20</v>
      </c>
      <c r="I1223" s="463">
        <f t="shared" si="145"/>
        <v>60</v>
      </c>
      <c r="J1223" s="497">
        <v>10.6</v>
      </c>
      <c r="K1223" s="497">
        <f t="shared" si="144"/>
        <v>636</v>
      </c>
    </row>
    <row r="1224" s="457" customFormat="1" ht="20.25" spans="1:16">
      <c r="A1224" s="494">
        <v>45607</v>
      </c>
      <c r="B1224" s="457" t="s">
        <v>504</v>
      </c>
      <c r="C1224" s="495">
        <v>45607</v>
      </c>
      <c r="D1224" s="463"/>
      <c r="E1224" s="463"/>
      <c r="F1224" s="496" t="s">
        <v>505</v>
      </c>
      <c r="G1224" s="463">
        <v>3</v>
      </c>
      <c r="H1224" s="432">
        <f>SUM(H1220:H1223)</f>
        <v>180</v>
      </c>
      <c r="I1224" s="463">
        <f t="shared" si="145"/>
        <v>540</v>
      </c>
      <c r="J1224" s="497">
        <v>0.7</v>
      </c>
      <c r="K1224" s="497">
        <f t="shared" si="144"/>
        <v>378</v>
      </c>
      <c r="L1224" s="457">
        <f>SUM(K1220:K1224)</f>
        <v>3417</v>
      </c>
    </row>
    <row r="1225" s="457" customFormat="1" ht="20.25" spans="1:16">
      <c r="A1225" s="494">
        <v>45607</v>
      </c>
      <c r="B1225" s="457" t="s">
        <v>504</v>
      </c>
      <c r="C1225" s="495">
        <v>45607</v>
      </c>
      <c r="D1225" s="463"/>
      <c r="E1225" s="463"/>
      <c r="F1225" s="496" t="s">
        <v>160</v>
      </c>
      <c r="G1225" s="463">
        <v>3</v>
      </c>
      <c r="H1225" s="432">
        <v>1</v>
      </c>
      <c r="I1225" s="463">
        <f t="shared" si="145"/>
        <v>3</v>
      </c>
      <c r="J1225" s="497"/>
      <c r="K1225" s="497"/>
    </row>
    <row r="1226" s="456" customFormat="1" ht="20.25" spans="1:16">
      <c r="A1226" s="488">
        <v>45610</v>
      </c>
      <c r="B1226" s="456" t="s">
        <v>370</v>
      </c>
      <c r="C1226" s="490">
        <v>45608</v>
      </c>
      <c r="D1226" s="491"/>
      <c r="E1226" s="491"/>
      <c r="F1226" s="456" t="s">
        <v>16</v>
      </c>
      <c r="G1226" s="489">
        <v>1</v>
      </c>
      <c r="H1226" s="489">
        <v>56</v>
      </c>
      <c r="I1226" s="491">
        <f t="shared" si="145"/>
        <v>56</v>
      </c>
      <c r="J1226" s="492"/>
      <c r="K1226" s="492"/>
      <c r="L1226" s="646"/>
    </row>
    <row r="1227" s="456" customFormat="1" ht="20.25" spans="1:16">
      <c r="A1227" s="488">
        <v>45610</v>
      </c>
      <c r="B1227" s="456" t="s">
        <v>370</v>
      </c>
      <c r="C1227" s="490">
        <v>45608</v>
      </c>
      <c r="D1227" s="491"/>
      <c r="E1227" s="491"/>
      <c r="F1227" s="459" t="s">
        <v>506</v>
      </c>
      <c r="G1227" s="489">
        <v>1</v>
      </c>
      <c r="H1227" s="489">
        <v>28</v>
      </c>
      <c r="I1227" s="491">
        <f t="shared" si="145"/>
        <v>28</v>
      </c>
      <c r="J1227" s="492"/>
      <c r="K1227" s="492"/>
      <c r="L1227" s="646"/>
    </row>
    <row r="1228" s="456" customFormat="1" ht="20.25" spans="1:16">
      <c r="A1228" s="488">
        <v>45610</v>
      </c>
      <c r="B1228" s="456" t="s">
        <v>370</v>
      </c>
      <c r="C1228" s="490">
        <v>45608</v>
      </c>
      <c r="D1228" s="491"/>
      <c r="E1228" s="491"/>
      <c r="F1228" s="459" t="s">
        <v>507</v>
      </c>
      <c r="G1228" s="489">
        <v>1</v>
      </c>
      <c r="H1228" s="489">
        <v>112</v>
      </c>
      <c r="I1228" s="491">
        <f t="shared" si="145"/>
        <v>112</v>
      </c>
      <c r="J1228" s="492"/>
      <c r="K1228" s="492"/>
      <c r="L1228" s="646"/>
    </row>
    <row r="1229" s="456" customFormat="1" ht="20.25" spans="1:16">
      <c r="A1229" s="488">
        <v>45610</v>
      </c>
      <c r="B1229" s="456" t="s">
        <v>370</v>
      </c>
      <c r="C1229" s="490">
        <v>45608</v>
      </c>
      <c r="D1229" s="491"/>
      <c r="E1229" s="491"/>
      <c r="F1229" s="456" t="s">
        <v>352</v>
      </c>
      <c r="G1229" s="489">
        <v>1</v>
      </c>
      <c r="H1229" s="489">
        <v>60</v>
      </c>
      <c r="I1229" s="491">
        <f t="shared" si="145"/>
        <v>60</v>
      </c>
      <c r="J1229" s="492"/>
      <c r="K1229" s="492"/>
      <c r="L1229" s="652" t="s">
        <v>116</v>
      </c>
    </row>
    <row r="1230" s="456" customFormat="1" ht="20.25" spans="1:16">
      <c r="A1230" s="488">
        <v>45610</v>
      </c>
      <c r="B1230" s="456" t="s">
        <v>370</v>
      </c>
      <c r="C1230" s="490">
        <v>45608</v>
      </c>
      <c r="D1230" s="491"/>
      <c r="E1230" s="491"/>
      <c r="F1230" s="456" t="s">
        <v>115</v>
      </c>
      <c r="G1230" s="489">
        <v>1</v>
      </c>
      <c r="H1230" s="489">
        <v>40</v>
      </c>
      <c r="I1230" s="491">
        <f t="shared" si="145"/>
        <v>40</v>
      </c>
      <c r="J1230" s="492"/>
      <c r="K1230" s="492"/>
      <c r="L1230" s="646"/>
    </row>
    <row r="1231" s="456" customFormat="1" ht="20.25" spans="1:16">
      <c r="A1231" s="488">
        <v>45610</v>
      </c>
      <c r="B1231" s="456" t="s">
        <v>370</v>
      </c>
      <c r="C1231" s="490">
        <v>45608</v>
      </c>
      <c r="D1231" s="491"/>
      <c r="E1231" s="491"/>
      <c r="F1231" s="493">
        <v>808</v>
      </c>
      <c r="G1231" s="489">
        <v>1</v>
      </c>
      <c r="H1231" s="489">
        <v>28</v>
      </c>
      <c r="I1231" s="491">
        <f t="shared" si="145"/>
        <v>28</v>
      </c>
      <c r="J1231" s="492">
        <v>10.6</v>
      </c>
      <c r="K1231" s="492">
        <f>I1231*J1231</f>
        <v>296.8</v>
      </c>
      <c r="L1231" s="646"/>
    </row>
    <row r="1232" s="456" customFormat="1" ht="20.25" spans="1:16">
      <c r="A1232" s="488">
        <v>45610</v>
      </c>
      <c r="B1232" s="456" t="s">
        <v>370</v>
      </c>
      <c r="C1232" s="490">
        <v>45608</v>
      </c>
      <c r="D1232" s="491"/>
      <c r="E1232" s="491"/>
      <c r="F1232" s="493" t="s">
        <v>125</v>
      </c>
      <c r="G1232" s="489">
        <v>1</v>
      </c>
      <c r="H1232" s="489">
        <v>76</v>
      </c>
      <c r="I1232" s="491">
        <f t="shared" si="145"/>
        <v>76</v>
      </c>
      <c r="J1232" s="492">
        <v>6.3</v>
      </c>
      <c r="K1232" s="492">
        <f>I1232*J1232</f>
        <v>478.8</v>
      </c>
      <c r="L1232" s="646"/>
    </row>
    <row r="1233" s="456" customFormat="1" ht="20.25" spans="1:14">
      <c r="A1233" s="488">
        <v>45610</v>
      </c>
      <c r="B1233" s="456" t="s">
        <v>370</v>
      </c>
      <c r="C1233" s="490">
        <v>45608</v>
      </c>
      <c r="D1233" s="491"/>
      <c r="E1233" s="491"/>
      <c r="F1233" s="464" t="s">
        <v>435</v>
      </c>
      <c r="G1233" s="535">
        <v>1</v>
      </c>
      <c r="H1233" s="535">
        <f>SUM(H1226:H1232)</f>
        <v>400</v>
      </c>
      <c r="I1233" s="501">
        <f t="shared" si="145"/>
        <v>400</v>
      </c>
      <c r="J1233" s="502">
        <v>1</v>
      </c>
      <c r="K1233" s="502">
        <f>I1233*J1233</f>
        <v>400</v>
      </c>
      <c r="L1233" s="456">
        <f>SUM(K1226:K1233)</f>
        <v>1175.6</v>
      </c>
    </row>
    <row r="1234" s="461" customFormat="1" ht="20.25" spans="1:14">
      <c r="A1234" s="540">
        <v>45615</v>
      </c>
      <c r="B1234" s="461" t="s">
        <v>85</v>
      </c>
      <c r="C1234" s="653">
        <v>45615</v>
      </c>
      <c r="D1234" s="653"/>
      <c r="E1234" s="654"/>
      <c r="F1234" s="522" t="s">
        <v>251</v>
      </c>
      <c r="G1234" s="523">
        <v>1</v>
      </c>
      <c r="H1234" s="524">
        <v>200</v>
      </c>
      <c r="I1234" s="523">
        <f t="shared" ref="I1234:I1253" si="146">G1234*H1234</f>
        <v>200</v>
      </c>
      <c r="J1234" s="525"/>
      <c r="K1234" s="525"/>
    </row>
    <row r="1235" s="461" customFormat="1" ht="20.25" spans="1:14">
      <c r="A1235" s="540">
        <v>45615</v>
      </c>
      <c r="B1235" s="461" t="s">
        <v>85</v>
      </c>
      <c r="C1235" s="653">
        <v>45615</v>
      </c>
      <c r="D1235" s="653"/>
      <c r="E1235" s="654"/>
      <c r="F1235" s="522" t="s">
        <v>13</v>
      </c>
      <c r="G1235" s="523">
        <v>1</v>
      </c>
      <c r="H1235" s="524">
        <v>200</v>
      </c>
      <c r="I1235" s="523">
        <f t="shared" si="146"/>
        <v>200</v>
      </c>
      <c r="J1235" s="525"/>
      <c r="K1235" s="525"/>
    </row>
    <row r="1236" s="461" customFormat="1" ht="20.25" spans="1:14">
      <c r="A1236" s="540">
        <v>45615</v>
      </c>
      <c r="B1236" s="461" t="s">
        <v>85</v>
      </c>
      <c r="C1236" s="653">
        <v>45615</v>
      </c>
      <c r="D1236" s="653"/>
      <c r="E1236" s="654"/>
      <c r="F1236" s="522" t="s">
        <v>489</v>
      </c>
      <c r="G1236" s="523">
        <v>1</v>
      </c>
      <c r="H1236" s="524">
        <v>51</v>
      </c>
      <c r="I1236" s="523">
        <f t="shared" si="146"/>
        <v>51</v>
      </c>
      <c r="J1236" s="525"/>
      <c r="K1236" s="525"/>
    </row>
    <row r="1237" s="461" customFormat="1" ht="20.25" spans="1:14">
      <c r="A1237" s="540">
        <v>45615</v>
      </c>
      <c r="B1237" s="461" t="s">
        <v>85</v>
      </c>
      <c r="C1237" s="653">
        <v>45615</v>
      </c>
      <c r="D1237" s="653"/>
      <c r="E1237" s="654"/>
      <c r="F1237" s="522" t="s">
        <v>490</v>
      </c>
      <c r="G1237" s="523">
        <v>1</v>
      </c>
      <c r="H1237" s="524">
        <v>214</v>
      </c>
      <c r="I1237" s="523">
        <f t="shared" si="146"/>
        <v>214</v>
      </c>
      <c r="J1237" s="525"/>
      <c r="K1237" s="525"/>
      <c r="L1237" s="543" t="s">
        <v>116</v>
      </c>
      <c r="M1237" s="543" t="s">
        <v>314</v>
      </c>
    </row>
    <row r="1238" s="461" customFormat="1" ht="20.25" spans="1:14">
      <c r="A1238" s="540">
        <v>45615</v>
      </c>
      <c r="B1238" s="461" t="s">
        <v>85</v>
      </c>
      <c r="C1238" s="653">
        <v>45615</v>
      </c>
      <c r="D1238" s="653"/>
      <c r="E1238" s="654"/>
      <c r="F1238" s="522" t="s">
        <v>115</v>
      </c>
      <c r="G1238" s="523">
        <v>1</v>
      </c>
      <c r="H1238" s="524">
        <v>125</v>
      </c>
      <c r="I1238" s="523">
        <f t="shared" si="146"/>
        <v>125</v>
      </c>
      <c r="J1238" s="525"/>
      <c r="K1238" s="525"/>
    </row>
    <row r="1239" s="461" customFormat="1" ht="20.25" spans="1:14">
      <c r="A1239" s="540">
        <v>45615</v>
      </c>
      <c r="B1239" s="461" t="s">
        <v>85</v>
      </c>
      <c r="C1239" s="653">
        <v>45615</v>
      </c>
      <c r="D1239" s="653"/>
      <c r="E1239" s="654"/>
      <c r="F1239" s="522">
        <v>808</v>
      </c>
      <c r="G1239" s="523">
        <v>1</v>
      </c>
      <c r="H1239" s="524">
        <v>25</v>
      </c>
      <c r="I1239" s="523">
        <f t="shared" si="146"/>
        <v>25</v>
      </c>
      <c r="J1239" s="525">
        <v>10.6</v>
      </c>
      <c r="K1239" s="525">
        <f t="shared" ref="K1239:K1242" si="147">I1239*J1239</f>
        <v>265</v>
      </c>
    </row>
    <row r="1240" s="461" customFormat="1" ht="20.25" spans="1:14">
      <c r="A1240" s="540">
        <v>45615</v>
      </c>
      <c r="B1240" s="461" t="s">
        <v>85</v>
      </c>
      <c r="C1240" s="653">
        <v>45615</v>
      </c>
      <c r="D1240" s="653"/>
      <c r="E1240" s="654"/>
      <c r="F1240" s="522" t="s">
        <v>152</v>
      </c>
      <c r="G1240" s="523">
        <v>1</v>
      </c>
      <c r="H1240" s="524">
        <v>107</v>
      </c>
      <c r="I1240" s="523">
        <f t="shared" si="146"/>
        <v>107</v>
      </c>
      <c r="J1240" s="525">
        <v>7.2</v>
      </c>
      <c r="K1240" s="525">
        <f t="shared" si="147"/>
        <v>770.4</v>
      </c>
    </row>
    <row r="1241" s="461" customFormat="1" ht="20.25" spans="1:14">
      <c r="A1241" s="540">
        <v>45615</v>
      </c>
      <c r="B1241" s="461" t="s">
        <v>85</v>
      </c>
      <c r="C1241" s="653">
        <v>45615</v>
      </c>
      <c r="D1241" s="653"/>
      <c r="E1241" s="654"/>
      <c r="F1241" s="522" t="s">
        <v>125</v>
      </c>
      <c r="G1241" s="523">
        <v>1</v>
      </c>
      <c r="H1241" s="524">
        <v>78</v>
      </c>
      <c r="I1241" s="523">
        <f t="shared" si="146"/>
        <v>78</v>
      </c>
      <c r="J1241" s="525">
        <v>6.3</v>
      </c>
      <c r="K1241" s="525">
        <f t="shared" si="147"/>
        <v>491.4</v>
      </c>
    </row>
    <row r="1242" s="461" customFormat="1" ht="20.25" spans="1:14">
      <c r="A1242" s="540">
        <v>45615</v>
      </c>
      <c r="B1242" s="461" t="s">
        <v>85</v>
      </c>
      <c r="C1242" s="653">
        <v>45615</v>
      </c>
      <c r="D1242" s="653"/>
      <c r="E1242" s="654"/>
      <c r="F1242" s="522" t="s">
        <v>17</v>
      </c>
      <c r="G1242" s="523">
        <v>1</v>
      </c>
      <c r="H1242" s="524">
        <f>SUM(H1234:H1241)</f>
        <v>1000</v>
      </c>
      <c r="I1242" s="523">
        <f t="shared" si="146"/>
        <v>1000</v>
      </c>
      <c r="J1242" s="525">
        <v>1</v>
      </c>
      <c r="K1242" s="525">
        <f t="shared" si="147"/>
        <v>1000</v>
      </c>
      <c r="L1242" s="461">
        <f>SUM(K1234:K1242)</f>
        <v>2526.8</v>
      </c>
    </row>
    <row r="1243" s="457" customFormat="1" ht="20.25" spans="1:14">
      <c r="A1243" s="494">
        <v>45616</v>
      </c>
      <c r="B1243" s="607" t="s">
        <v>270</v>
      </c>
      <c r="C1243" s="495">
        <v>45616</v>
      </c>
      <c r="D1243" s="463"/>
      <c r="E1243" s="463"/>
      <c r="F1243" s="496" t="s">
        <v>16</v>
      </c>
      <c r="G1243" s="463">
        <v>1</v>
      </c>
      <c r="H1243" s="432">
        <v>75</v>
      </c>
      <c r="I1243" s="463">
        <f t="shared" si="146"/>
        <v>75</v>
      </c>
      <c r="J1243" s="497"/>
      <c r="K1243" s="497"/>
      <c r="L1243" s="537"/>
      <c r="M1243" s="537"/>
      <c r="N1243" s="537"/>
    </row>
    <row r="1244" s="457" customFormat="1" ht="20.25" spans="1:14">
      <c r="A1244" s="494">
        <v>45616</v>
      </c>
      <c r="B1244" s="607" t="s">
        <v>270</v>
      </c>
      <c r="C1244" s="495">
        <v>45616</v>
      </c>
      <c r="D1244" s="463"/>
      <c r="E1244" s="463"/>
      <c r="F1244" s="496" t="s">
        <v>300</v>
      </c>
      <c r="G1244" s="463">
        <v>1</v>
      </c>
      <c r="H1244" s="432">
        <v>75</v>
      </c>
      <c r="I1244" s="463">
        <f t="shared" si="146"/>
        <v>75</v>
      </c>
      <c r="J1244" s="497"/>
      <c r="K1244" s="497"/>
      <c r="L1244" s="537"/>
      <c r="M1244" s="537"/>
      <c r="N1244" s="537"/>
    </row>
    <row r="1245" s="457" customFormat="1" ht="20.25" spans="1:14">
      <c r="A1245" s="494">
        <v>45616</v>
      </c>
      <c r="B1245" s="607" t="s">
        <v>270</v>
      </c>
      <c r="C1245" s="495">
        <v>45616</v>
      </c>
      <c r="D1245" s="463"/>
      <c r="E1245" s="463"/>
      <c r="F1245" s="496" t="s">
        <v>87</v>
      </c>
      <c r="G1245" s="463">
        <v>1</v>
      </c>
      <c r="H1245" s="432">
        <v>190</v>
      </c>
      <c r="I1245" s="463">
        <f t="shared" si="146"/>
        <v>190</v>
      </c>
      <c r="J1245" s="497"/>
      <c r="K1245" s="497"/>
      <c r="L1245" s="537"/>
      <c r="M1245" s="537"/>
      <c r="N1245" s="537"/>
    </row>
    <row r="1246" s="457" customFormat="1" ht="20.25" spans="1:14">
      <c r="A1246" s="494">
        <v>45616</v>
      </c>
      <c r="B1246" s="607" t="s">
        <v>270</v>
      </c>
      <c r="C1246" s="495">
        <v>45616</v>
      </c>
      <c r="D1246" s="463"/>
      <c r="E1246" s="463"/>
      <c r="F1246" s="496">
        <v>808</v>
      </c>
      <c r="G1246" s="463">
        <v>1</v>
      </c>
      <c r="H1246" s="432">
        <v>50</v>
      </c>
      <c r="I1246" s="463">
        <f t="shared" si="146"/>
        <v>50</v>
      </c>
      <c r="J1246" s="497">
        <v>10.6</v>
      </c>
      <c r="K1246" s="497">
        <f t="shared" ref="K1246:K1249" si="148">I1246*J1246</f>
        <v>530</v>
      </c>
      <c r="L1246" s="537" t="s">
        <v>436</v>
      </c>
      <c r="M1246" s="537"/>
      <c r="N1246" s="537"/>
    </row>
    <row r="1247" s="457" customFormat="1" ht="20.25" spans="1:14">
      <c r="A1247" s="494">
        <v>45616</v>
      </c>
      <c r="B1247" s="607" t="s">
        <v>270</v>
      </c>
      <c r="C1247" s="495">
        <v>45616</v>
      </c>
      <c r="D1247" s="463"/>
      <c r="E1247" s="463"/>
      <c r="F1247" s="496" t="s">
        <v>125</v>
      </c>
      <c r="G1247" s="463">
        <v>1</v>
      </c>
      <c r="H1247" s="432">
        <v>35</v>
      </c>
      <c r="I1247" s="463">
        <f t="shared" si="146"/>
        <v>35</v>
      </c>
      <c r="J1247" s="497">
        <v>6.3</v>
      </c>
      <c r="K1247" s="497">
        <f t="shared" si="148"/>
        <v>220.5</v>
      </c>
      <c r="L1247" s="537"/>
      <c r="M1247" s="537"/>
      <c r="N1247" s="537"/>
    </row>
    <row r="1248" s="457" customFormat="1" ht="20.25" spans="1:14">
      <c r="A1248" s="494">
        <v>45616</v>
      </c>
      <c r="B1248" s="607" t="s">
        <v>270</v>
      </c>
      <c r="C1248" s="495">
        <v>45616</v>
      </c>
      <c r="D1248" s="463"/>
      <c r="E1248" s="463"/>
      <c r="F1248" s="496" t="s">
        <v>240</v>
      </c>
      <c r="G1248" s="463">
        <v>1</v>
      </c>
      <c r="H1248" s="432">
        <v>75</v>
      </c>
      <c r="I1248" s="463">
        <f t="shared" si="146"/>
        <v>75</v>
      </c>
      <c r="J1248" s="497"/>
      <c r="K1248" s="497"/>
      <c r="L1248" s="537"/>
      <c r="M1248" s="537"/>
      <c r="N1248" s="537"/>
    </row>
    <row r="1249" s="457" customFormat="1" ht="20.25" spans="1:14">
      <c r="A1249" s="494">
        <v>45616</v>
      </c>
      <c r="B1249" s="607" t="s">
        <v>270</v>
      </c>
      <c r="C1249" s="495">
        <v>45616</v>
      </c>
      <c r="D1249" s="463"/>
      <c r="E1249" s="463"/>
      <c r="F1249" s="496" t="s">
        <v>301</v>
      </c>
      <c r="G1249" s="463">
        <v>1</v>
      </c>
      <c r="H1249" s="432">
        <f>SUM(H1243:H1248)</f>
        <v>500</v>
      </c>
      <c r="I1249" s="463">
        <f t="shared" si="146"/>
        <v>500</v>
      </c>
      <c r="J1249" s="497">
        <v>1</v>
      </c>
      <c r="K1249" s="497">
        <f t="shared" si="148"/>
        <v>500</v>
      </c>
      <c r="L1249" s="537">
        <f>SUM(K1243:K1249)</f>
        <v>1250.5</v>
      </c>
      <c r="M1249" s="537"/>
      <c r="N1249" s="537"/>
    </row>
    <row r="1250" s="456" customFormat="1" ht="20.25" spans="1:14">
      <c r="A1250" s="488">
        <v>45616</v>
      </c>
      <c r="B1250" s="456" t="s">
        <v>187</v>
      </c>
      <c r="C1250" s="528" t="s">
        <v>508</v>
      </c>
      <c r="D1250" s="528"/>
      <c r="E1250" s="529"/>
      <c r="F1250" s="493" t="s">
        <v>251</v>
      </c>
      <c r="G1250" s="491">
        <v>2</v>
      </c>
      <c r="H1250" s="431">
        <v>200</v>
      </c>
      <c r="I1250" s="491">
        <f t="shared" si="146"/>
        <v>400</v>
      </c>
      <c r="J1250" s="492"/>
      <c r="K1250" s="492"/>
    </row>
    <row r="1251" s="456" customFormat="1" ht="20.25" spans="1:14">
      <c r="A1251" s="488">
        <v>45616</v>
      </c>
      <c r="B1251" s="456" t="s">
        <v>187</v>
      </c>
      <c r="C1251" s="528" t="s">
        <v>508</v>
      </c>
      <c r="D1251" s="528"/>
      <c r="E1251" s="529"/>
      <c r="F1251" s="493" t="s">
        <v>129</v>
      </c>
      <c r="G1251" s="491">
        <v>2</v>
      </c>
      <c r="H1251" s="431">
        <v>150</v>
      </c>
      <c r="I1251" s="491">
        <f t="shared" si="146"/>
        <v>300</v>
      </c>
      <c r="J1251" s="492"/>
      <c r="K1251" s="492"/>
    </row>
    <row r="1252" s="456" customFormat="1" ht="20.25" spans="1:14">
      <c r="A1252" s="488">
        <v>45616</v>
      </c>
      <c r="B1252" s="456" t="s">
        <v>187</v>
      </c>
      <c r="C1252" s="528" t="s">
        <v>508</v>
      </c>
      <c r="D1252" s="528"/>
      <c r="E1252" s="529"/>
      <c r="F1252" s="493">
        <v>808</v>
      </c>
      <c r="G1252" s="491">
        <v>2</v>
      </c>
      <c r="H1252" s="431">
        <v>200</v>
      </c>
      <c r="I1252" s="491">
        <f t="shared" si="146"/>
        <v>400</v>
      </c>
      <c r="J1252" s="492">
        <v>10.6</v>
      </c>
      <c r="K1252" s="492">
        <f t="shared" ref="K1252:K1258" si="149">I1252*J1252</f>
        <v>4240</v>
      </c>
    </row>
    <row r="1253" s="456" customFormat="1" ht="20.25" spans="1:14">
      <c r="A1253" s="488">
        <v>45616</v>
      </c>
      <c r="B1253" s="456" t="s">
        <v>187</v>
      </c>
      <c r="C1253" s="528" t="s">
        <v>508</v>
      </c>
      <c r="D1253" s="528"/>
      <c r="E1253" s="529"/>
      <c r="F1253" s="493" t="s">
        <v>509</v>
      </c>
      <c r="G1253" s="491">
        <v>2</v>
      </c>
      <c r="H1253" s="431">
        <v>70</v>
      </c>
      <c r="I1253" s="491">
        <f t="shared" si="146"/>
        <v>140</v>
      </c>
      <c r="J1253" s="492"/>
      <c r="K1253" s="492"/>
      <c r="L1253" s="536"/>
      <c r="M1253" s="536"/>
      <c r="N1253" s="536"/>
    </row>
    <row r="1254" s="456" customFormat="1" ht="20.25" spans="1:14">
      <c r="A1254" s="488">
        <v>45616</v>
      </c>
      <c r="B1254" s="456" t="s">
        <v>187</v>
      </c>
      <c r="C1254" s="528" t="s">
        <v>508</v>
      </c>
      <c r="D1254" s="528"/>
      <c r="E1254" s="529"/>
      <c r="F1254" s="493" t="s">
        <v>510</v>
      </c>
      <c r="G1254" s="491">
        <v>2</v>
      </c>
      <c r="H1254" s="431">
        <v>380</v>
      </c>
      <c r="I1254" s="491">
        <f t="shared" ref="I1254:I1267" si="150">G1254*H1254</f>
        <v>760</v>
      </c>
      <c r="J1254" s="492"/>
      <c r="K1254" s="492"/>
      <c r="L1254" s="536"/>
      <c r="M1254" s="536" t="s">
        <v>126</v>
      </c>
      <c r="N1254" s="536"/>
    </row>
    <row r="1255" s="456" customFormat="1" ht="20.25" spans="1:14">
      <c r="A1255" s="488">
        <v>45616</v>
      </c>
      <c r="B1255" s="456" t="s">
        <v>187</v>
      </c>
      <c r="C1255" s="528" t="s">
        <v>508</v>
      </c>
      <c r="D1255" s="528"/>
      <c r="E1255" s="529"/>
      <c r="F1255" s="493" t="s">
        <v>130</v>
      </c>
      <c r="G1255" s="491">
        <v>2</v>
      </c>
      <c r="H1255" s="431">
        <f>SUM(H1250:H1254)</f>
        <v>1000</v>
      </c>
      <c r="I1255" s="491">
        <f t="shared" si="150"/>
        <v>2000</v>
      </c>
      <c r="J1255" s="492">
        <v>1</v>
      </c>
      <c r="K1255" s="492">
        <f t="shared" si="149"/>
        <v>2000</v>
      </c>
      <c r="L1255" s="536">
        <f>SUM(K1250:K1255)</f>
        <v>6240</v>
      </c>
      <c r="M1255" s="536"/>
      <c r="N1255" s="536"/>
    </row>
    <row r="1256" s="457" customFormat="1" ht="20.25" spans="1:14">
      <c r="A1256" s="494">
        <v>45616</v>
      </c>
      <c r="B1256" s="457" t="s">
        <v>312</v>
      </c>
      <c r="C1256" s="504">
        <v>45616</v>
      </c>
      <c r="D1256" s="504"/>
      <c r="E1256" s="505"/>
      <c r="F1256" s="496" t="s">
        <v>477</v>
      </c>
      <c r="G1256" s="463">
        <v>1</v>
      </c>
      <c r="H1256" s="432">
        <v>300</v>
      </c>
      <c r="I1256" s="463">
        <f t="shared" si="150"/>
        <v>300</v>
      </c>
      <c r="J1256" s="497"/>
      <c r="K1256" s="497"/>
      <c r="L1256" s="537"/>
      <c r="M1256" s="537"/>
      <c r="N1256" s="537"/>
    </row>
    <row r="1257" s="457" customFormat="1" ht="20.25" spans="1:14">
      <c r="A1257" s="494">
        <v>45616</v>
      </c>
      <c r="B1257" s="457" t="s">
        <v>312</v>
      </c>
      <c r="C1257" s="504">
        <v>45616</v>
      </c>
      <c r="D1257" s="504"/>
      <c r="E1257" s="505"/>
      <c r="F1257" s="496" t="s">
        <v>406</v>
      </c>
      <c r="G1257" s="463">
        <v>1</v>
      </c>
      <c r="H1257" s="432">
        <v>450</v>
      </c>
      <c r="I1257" s="463">
        <f t="shared" si="150"/>
        <v>450</v>
      </c>
      <c r="J1257" s="497">
        <v>10.6</v>
      </c>
      <c r="K1257" s="497">
        <f t="shared" si="149"/>
        <v>4770</v>
      </c>
      <c r="L1257" s="537"/>
      <c r="M1257" s="537"/>
      <c r="N1257" s="537"/>
    </row>
    <row r="1258" s="457" customFormat="1" ht="20.25" spans="1:14">
      <c r="A1258" s="494">
        <v>45616</v>
      </c>
      <c r="B1258" s="457" t="s">
        <v>312</v>
      </c>
      <c r="C1258" s="504">
        <v>45616</v>
      </c>
      <c r="D1258" s="504"/>
      <c r="E1258" s="505"/>
      <c r="F1258" s="496" t="s">
        <v>109</v>
      </c>
      <c r="G1258" s="442">
        <v>1</v>
      </c>
      <c r="H1258" s="545">
        <f>SUM(H1256:H1257)</f>
        <v>750</v>
      </c>
      <c r="I1258" s="463">
        <f t="shared" si="150"/>
        <v>750</v>
      </c>
      <c r="J1258" s="497">
        <v>1</v>
      </c>
      <c r="K1258" s="497">
        <f t="shared" si="149"/>
        <v>750</v>
      </c>
      <c r="L1258" s="537">
        <f>SUM(K1256:K1258)</f>
        <v>5520</v>
      </c>
      <c r="M1258" s="537"/>
      <c r="N1258" s="537"/>
    </row>
    <row r="1259" s="456" customFormat="1" ht="20.25" spans="1:14">
      <c r="A1259" s="488">
        <v>45617</v>
      </c>
      <c r="B1259" s="456" t="s">
        <v>192</v>
      </c>
      <c r="C1259" s="528">
        <v>45616</v>
      </c>
      <c r="D1259" s="528"/>
      <c r="E1259" s="529"/>
      <c r="F1259" s="493" t="s">
        <v>303</v>
      </c>
      <c r="G1259" s="491">
        <v>1</v>
      </c>
      <c r="H1259" s="431">
        <v>150</v>
      </c>
      <c r="I1259" s="491">
        <f t="shared" si="150"/>
        <v>150</v>
      </c>
      <c r="J1259" s="492"/>
      <c r="K1259" s="492"/>
    </row>
    <row r="1260" s="456" customFormat="1" ht="20.25" spans="1:14">
      <c r="A1260" s="488">
        <v>45617</v>
      </c>
      <c r="B1260" s="456" t="s">
        <v>192</v>
      </c>
      <c r="C1260" s="528">
        <v>45616</v>
      </c>
      <c r="D1260" s="528"/>
      <c r="E1260" s="529"/>
      <c r="F1260" s="493" t="s">
        <v>129</v>
      </c>
      <c r="G1260" s="491">
        <v>1</v>
      </c>
      <c r="H1260" s="431">
        <v>120</v>
      </c>
      <c r="I1260" s="491">
        <f t="shared" si="150"/>
        <v>120</v>
      </c>
      <c r="J1260" s="492"/>
      <c r="K1260" s="492"/>
    </row>
    <row r="1261" s="456" customFormat="1" ht="20.25" spans="1:14">
      <c r="A1261" s="488">
        <v>45617</v>
      </c>
      <c r="B1261" s="456" t="s">
        <v>192</v>
      </c>
      <c r="C1261" s="528">
        <v>45616</v>
      </c>
      <c r="D1261" s="528"/>
      <c r="E1261" s="529"/>
      <c r="F1261" s="493" t="s">
        <v>208</v>
      </c>
      <c r="G1261" s="491">
        <v>1</v>
      </c>
      <c r="H1261" s="431">
        <v>30</v>
      </c>
      <c r="I1261" s="491">
        <f t="shared" si="150"/>
        <v>30</v>
      </c>
      <c r="J1261" s="492">
        <v>17</v>
      </c>
      <c r="K1261" s="492">
        <f t="shared" ref="K1261:K1263" si="151">I1261*J1261</f>
        <v>510</v>
      </c>
    </row>
    <row r="1262" s="456" customFormat="1" ht="20.25" spans="1:14">
      <c r="A1262" s="488">
        <v>45617</v>
      </c>
      <c r="B1262" s="456" t="s">
        <v>192</v>
      </c>
      <c r="C1262" s="528">
        <v>45616</v>
      </c>
      <c r="D1262" s="528"/>
      <c r="E1262" s="529"/>
      <c r="F1262" s="493">
        <v>808</v>
      </c>
      <c r="G1262" s="491">
        <v>1</v>
      </c>
      <c r="H1262" s="431">
        <v>100</v>
      </c>
      <c r="I1262" s="491">
        <f t="shared" si="150"/>
        <v>100</v>
      </c>
      <c r="J1262" s="492">
        <v>10.5</v>
      </c>
      <c r="K1262" s="492">
        <f t="shared" si="151"/>
        <v>1050</v>
      </c>
    </row>
    <row r="1263" s="456" customFormat="1" ht="20.25" spans="1:14">
      <c r="A1263" s="488">
        <v>45617</v>
      </c>
      <c r="B1263" s="456" t="s">
        <v>192</v>
      </c>
      <c r="C1263" s="528">
        <v>45616</v>
      </c>
      <c r="D1263" s="528"/>
      <c r="E1263" s="529"/>
      <c r="F1263" s="493" t="s">
        <v>132</v>
      </c>
      <c r="G1263" s="491">
        <v>1</v>
      </c>
      <c r="H1263" s="431">
        <v>200</v>
      </c>
      <c r="I1263" s="491">
        <f t="shared" si="150"/>
        <v>200</v>
      </c>
      <c r="J1263" s="492">
        <v>3.7</v>
      </c>
      <c r="K1263" s="492">
        <f t="shared" si="151"/>
        <v>740</v>
      </c>
    </row>
    <row r="1264" s="456" customFormat="1" ht="20.25" spans="1:14">
      <c r="A1264" s="488">
        <v>45617</v>
      </c>
      <c r="B1264" s="456" t="s">
        <v>192</v>
      </c>
      <c r="C1264" s="528">
        <v>45616</v>
      </c>
      <c r="D1264" s="528"/>
      <c r="E1264" s="529"/>
      <c r="F1264" s="493" t="s">
        <v>86</v>
      </c>
      <c r="G1264" s="491">
        <v>1</v>
      </c>
      <c r="H1264" s="431">
        <v>140</v>
      </c>
      <c r="I1264" s="491">
        <f t="shared" si="150"/>
        <v>140</v>
      </c>
      <c r="J1264" s="492"/>
      <c r="K1264" s="492"/>
      <c r="L1264" s="536"/>
      <c r="M1264" s="536"/>
      <c r="N1264" s="536"/>
    </row>
    <row r="1265" s="456" customFormat="1" ht="20.25" spans="1:14">
      <c r="A1265" s="488">
        <v>45617</v>
      </c>
      <c r="B1265" s="456" t="s">
        <v>192</v>
      </c>
      <c r="C1265" s="528">
        <v>45616</v>
      </c>
      <c r="D1265" s="528"/>
      <c r="E1265" s="529"/>
      <c r="F1265" s="493" t="s">
        <v>87</v>
      </c>
      <c r="G1265" s="491">
        <v>1</v>
      </c>
      <c r="H1265" s="431">
        <v>260</v>
      </c>
      <c r="I1265" s="491">
        <f t="shared" si="150"/>
        <v>260</v>
      </c>
      <c r="J1265" s="492"/>
      <c r="K1265" s="492"/>
      <c r="L1265" s="536"/>
      <c r="M1265" s="536" t="s">
        <v>126</v>
      </c>
      <c r="N1265" s="536"/>
    </row>
    <row r="1266" s="456" customFormat="1" ht="20.25" spans="1:14">
      <c r="A1266" s="488">
        <v>45617</v>
      </c>
      <c r="B1266" s="456" t="s">
        <v>192</v>
      </c>
      <c r="C1266" s="528">
        <v>45616</v>
      </c>
      <c r="D1266" s="528"/>
      <c r="E1266" s="529"/>
      <c r="F1266" s="493" t="s">
        <v>373</v>
      </c>
      <c r="G1266" s="491">
        <v>1</v>
      </c>
      <c r="H1266" s="431">
        <v>3</v>
      </c>
      <c r="I1266" s="491">
        <f t="shared" si="150"/>
        <v>3</v>
      </c>
      <c r="J1266" s="492"/>
      <c r="K1266" s="492"/>
      <c r="L1266" s="536"/>
      <c r="M1266" s="536"/>
      <c r="N1266" s="536"/>
    </row>
    <row r="1267" s="456" customFormat="1" ht="20.25" spans="1:14">
      <c r="A1267" s="488">
        <v>45617</v>
      </c>
      <c r="B1267" s="456" t="s">
        <v>192</v>
      </c>
      <c r="C1267" s="528">
        <v>45616</v>
      </c>
      <c r="D1267" s="528"/>
      <c r="E1267" s="529"/>
      <c r="F1267" s="493" t="s">
        <v>304</v>
      </c>
      <c r="G1267" s="491">
        <v>1</v>
      </c>
      <c r="H1267" s="431">
        <f>SUM(H1259:H1266)</f>
        <v>1003</v>
      </c>
      <c r="I1267" s="491">
        <f t="shared" si="150"/>
        <v>1003</v>
      </c>
      <c r="J1267" s="492">
        <v>1</v>
      </c>
      <c r="K1267" s="492">
        <f>I1267*J1267</f>
        <v>1003</v>
      </c>
      <c r="L1267" s="536">
        <f>SUM(K1259:K1267)</f>
        <v>3303</v>
      </c>
      <c r="M1267" s="536"/>
      <c r="N1267" s="536"/>
    </row>
    <row r="1268" s="457" customFormat="1" ht="20.25" spans="1:14">
      <c r="A1268" s="494">
        <v>45617</v>
      </c>
      <c r="B1268" s="457" t="s">
        <v>98</v>
      </c>
      <c r="C1268" s="495">
        <v>45617</v>
      </c>
      <c r="D1268" s="463"/>
      <c r="E1268" s="463"/>
      <c r="F1268" s="457" t="s">
        <v>16</v>
      </c>
      <c r="G1268" s="442">
        <v>1</v>
      </c>
      <c r="H1268" s="442">
        <v>56</v>
      </c>
      <c r="I1268" s="463">
        <f t="shared" ref="I1268:I1282" si="152">G1268*H1268</f>
        <v>56</v>
      </c>
      <c r="J1268" s="497"/>
      <c r="K1268" s="497"/>
      <c r="L1268" s="647"/>
    </row>
    <row r="1269" s="457" customFormat="1" ht="20.25" spans="1:14">
      <c r="A1269" s="494">
        <v>45617</v>
      </c>
      <c r="B1269" s="457" t="s">
        <v>98</v>
      </c>
      <c r="C1269" s="495">
        <v>45617</v>
      </c>
      <c r="D1269" s="463"/>
      <c r="E1269" s="463"/>
      <c r="F1269" s="459" t="s">
        <v>506</v>
      </c>
      <c r="G1269" s="442">
        <v>1</v>
      </c>
      <c r="H1269" s="442">
        <v>28</v>
      </c>
      <c r="I1269" s="463">
        <f t="shared" si="152"/>
        <v>28</v>
      </c>
      <c r="J1269" s="497"/>
      <c r="K1269" s="497"/>
      <c r="L1269" s="647"/>
    </row>
    <row r="1270" s="457" customFormat="1" ht="20.25" spans="1:14">
      <c r="A1270" s="494">
        <v>45617</v>
      </c>
      <c r="B1270" s="457" t="s">
        <v>98</v>
      </c>
      <c r="C1270" s="495">
        <v>45617</v>
      </c>
      <c r="D1270" s="463"/>
      <c r="E1270" s="463"/>
      <c r="F1270" s="459" t="s">
        <v>507</v>
      </c>
      <c r="G1270" s="442">
        <v>1</v>
      </c>
      <c r="H1270" s="442">
        <v>50</v>
      </c>
      <c r="I1270" s="463">
        <f t="shared" si="152"/>
        <v>50</v>
      </c>
      <c r="J1270" s="497"/>
      <c r="K1270" s="497"/>
      <c r="L1270" s="647"/>
    </row>
    <row r="1271" s="457" customFormat="1" ht="20.25" spans="1:14">
      <c r="A1271" s="494">
        <v>45617</v>
      </c>
      <c r="B1271" s="457" t="s">
        <v>98</v>
      </c>
      <c r="C1271" s="495">
        <v>45617</v>
      </c>
      <c r="D1271" s="463"/>
      <c r="E1271" s="463"/>
      <c r="F1271" s="461" t="s">
        <v>511</v>
      </c>
      <c r="G1271" s="442">
        <v>1</v>
      </c>
      <c r="H1271" s="442">
        <v>110</v>
      </c>
      <c r="I1271" s="463">
        <f t="shared" si="152"/>
        <v>110</v>
      </c>
      <c r="J1271" s="497"/>
      <c r="K1271" s="497"/>
      <c r="L1271" s="647"/>
    </row>
    <row r="1272" s="457" customFormat="1" ht="20.25" spans="1:14">
      <c r="A1272" s="494">
        <v>45617</v>
      </c>
      <c r="B1272" s="457" t="s">
        <v>98</v>
      </c>
      <c r="C1272" s="495">
        <v>45617</v>
      </c>
      <c r="D1272" s="463"/>
      <c r="E1272" s="463"/>
      <c r="F1272" s="457" t="s">
        <v>352</v>
      </c>
      <c r="G1272" s="442">
        <v>1</v>
      </c>
      <c r="H1272" s="442">
        <v>60</v>
      </c>
      <c r="I1272" s="463">
        <f t="shared" si="152"/>
        <v>60</v>
      </c>
      <c r="J1272" s="497"/>
      <c r="K1272" s="497"/>
      <c r="L1272" s="648" t="s">
        <v>116</v>
      </c>
    </row>
    <row r="1273" s="457" customFormat="1" ht="20.25" spans="1:14">
      <c r="A1273" s="494">
        <v>45617</v>
      </c>
      <c r="B1273" s="457" t="s">
        <v>98</v>
      </c>
      <c r="C1273" s="495">
        <v>45617</v>
      </c>
      <c r="D1273" s="463"/>
      <c r="E1273" s="463"/>
      <c r="F1273" s="457" t="s">
        <v>115</v>
      </c>
      <c r="G1273" s="442">
        <v>1</v>
      </c>
      <c r="H1273" s="442">
        <v>40</v>
      </c>
      <c r="I1273" s="463">
        <f t="shared" si="152"/>
        <v>40</v>
      </c>
      <c r="J1273" s="497"/>
      <c r="K1273" s="497"/>
      <c r="L1273" s="647"/>
    </row>
    <row r="1274" s="457" customFormat="1" ht="20.25" spans="1:14">
      <c r="A1274" s="494">
        <v>45617</v>
      </c>
      <c r="B1274" s="457" t="s">
        <v>98</v>
      </c>
      <c r="C1274" s="495">
        <v>45617</v>
      </c>
      <c r="D1274" s="463"/>
      <c r="E1274" s="463"/>
      <c r="F1274" s="496">
        <v>808</v>
      </c>
      <c r="G1274" s="442">
        <v>1</v>
      </c>
      <c r="H1274" s="442">
        <v>28</v>
      </c>
      <c r="I1274" s="463">
        <f t="shared" si="152"/>
        <v>28</v>
      </c>
      <c r="J1274" s="497">
        <v>10.5</v>
      </c>
      <c r="K1274" s="497">
        <f>I1274*J1274</f>
        <v>294</v>
      </c>
      <c r="L1274" s="647"/>
    </row>
    <row r="1275" s="457" customFormat="1" ht="20.25" spans="1:14">
      <c r="A1275" s="494">
        <v>45617</v>
      </c>
      <c r="B1275" s="457" t="s">
        <v>98</v>
      </c>
      <c r="C1275" s="495">
        <v>45617</v>
      </c>
      <c r="D1275" s="463"/>
      <c r="E1275" s="463"/>
      <c r="F1275" s="496" t="s">
        <v>125</v>
      </c>
      <c r="G1275" s="442">
        <v>1</v>
      </c>
      <c r="H1275" s="442">
        <v>28</v>
      </c>
      <c r="I1275" s="463">
        <f t="shared" si="152"/>
        <v>28</v>
      </c>
      <c r="J1275" s="497">
        <v>6.3</v>
      </c>
      <c r="K1275" s="497">
        <f>I1275*J1275</f>
        <v>176.4</v>
      </c>
      <c r="L1275" s="647"/>
    </row>
    <row r="1276" s="457" customFormat="1" ht="19" customHeight="1" spans="1:14">
      <c r="A1276" s="494">
        <v>45617</v>
      </c>
      <c r="B1276" s="457" t="s">
        <v>98</v>
      </c>
      <c r="C1276" s="495">
        <v>45617</v>
      </c>
      <c r="D1276" s="463"/>
      <c r="E1276" s="463"/>
      <c r="F1276" s="457" t="s">
        <v>435</v>
      </c>
      <c r="G1276" s="442">
        <v>1</v>
      </c>
      <c r="H1276" s="442">
        <f>SUM(H1268:H1275)</f>
        <v>400</v>
      </c>
      <c r="I1276" s="463">
        <f t="shared" si="152"/>
        <v>400</v>
      </c>
      <c r="J1276" s="497">
        <v>1</v>
      </c>
      <c r="K1276" s="497">
        <f>I1276*J1276</f>
        <v>400</v>
      </c>
      <c r="L1276" s="457">
        <f>SUM(K1268:K1276)</f>
        <v>870.4</v>
      </c>
    </row>
    <row r="1277" s="456" customFormat="1" ht="20.25" spans="1:14">
      <c r="A1277" s="488">
        <v>45617</v>
      </c>
      <c r="B1277" s="456" t="s">
        <v>512</v>
      </c>
      <c r="C1277" s="490">
        <v>45617</v>
      </c>
      <c r="D1277" s="491"/>
      <c r="E1277" s="491"/>
      <c r="F1277" s="493" t="s">
        <v>16</v>
      </c>
      <c r="G1277" s="491">
        <v>1</v>
      </c>
      <c r="H1277" s="431">
        <v>0.4</v>
      </c>
      <c r="I1277" s="491">
        <f t="shared" si="152"/>
        <v>0.4</v>
      </c>
      <c r="J1277" s="492"/>
      <c r="K1277" s="492"/>
      <c r="L1277" s="536"/>
      <c r="M1277" s="536"/>
      <c r="N1277" s="536"/>
    </row>
    <row r="1278" s="456" customFormat="1" ht="20.25" spans="1:14">
      <c r="A1278" s="488">
        <v>45617</v>
      </c>
      <c r="B1278" s="456" t="s">
        <v>512</v>
      </c>
      <c r="C1278" s="490">
        <v>45617</v>
      </c>
      <c r="D1278" s="491"/>
      <c r="E1278" s="491"/>
      <c r="F1278" s="493" t="s">
        <v>513</v>
      </c>
      <c r="G1278" s="491">
        <v>1</v>
      </c>
      <c r="H1278" s="431">
        <v>2</v>
      </c>
      <c r="I1278" s="491">
        <f t="shared" si="152"/>
        <v>2</v>
      </c>
      <c r="J1278" s="492">
        <v>15</v>
      </c>
      <c r="K1278" s="492">
        <f>I1278*J1278</f>
        <v>30</v>
      </c>
      <c r="L1278" s="536"/>
      <c r="M1278" s="536"/>
      <c r="N1278" s="536"/>
    </row>
    <row r="1279" s="456" customFormat="1" ht="20.25" spans="1:14">
      <c r="A1279" s="488">
        <v>45617</v>
      </c>
      <c r="B1279" s="456" t="s">
        <v>512</v>
      </c>
      <c r="C1279" s="490">
        <v>45617</v>
      </c>
      <c r="D1279" s="491"/>
      <c r="E1279" s="491"/>
      <c r="F1279" s="493" t="s">
        <v>152</v>
      </c>
      <c r="G1279" s="491">
        <v>1</v>
      </c>
      <c r="H1279" s="431">
        <v>8.1</v>
      </c>
      <c r="I1279" s="491">
        <f t="shared" si="152"/>
        <v>8.1</v>
      </c>
      <c r="J1279" s="492">
        <v>8.6</v>
      </c>
      <c r="K1279" s="492">
        <f>I1279*J1279</f>
        <v>69.66</v>
      </c>
      <c r="L1279" s="536"/>
      <c r="M1279" s="536"/>
      <c r="N1279" s="536"/>
    </row>
    <row r="1280" s="456" customFormat="1" ht="20.25" spans="1:14">
      <c r="A1280" s="488">
        <v>45617</v>
      </c>
      <c r="B1280" s="456" t="s">
        <v>512</v>
      </c>
      <c r="C1280" s="490">
        <v>45617</v>
      </c>
      <c r="D1280" s="491"/>
      <c r="E1280" s="491"/>
      <c r="F1280" s="493" t="s">
        <v>125</v>
      </c>
      <c r="G1280" s="491">
        <v>1</v>
      </c>
      <c r="H1280" s="431">
        <v>6.4</v>
      </c>
      <c r="I1280" s="491">
        <f t="shared" si="152"/>
        <v>6.4</v>
      </c>
      <c r="J1280" s="492">
        <v>6.4</v>
      </c>
      <c r="K1280" s="492">
        <f>I1280*J1280</f>
        <v>40.96</v>
      </c>
      <c r="L1280" s="536"/>
      <c r="M1280" s="536"/>
      <c r="N1280" s="536"/>
    </row>
    <row r="1281" s="456" customFormat="1" ht="20.25" spans="1:15">
      <c r="A1281" s="488">
        <v>45617</v>
      </c>
      <c r="B1281" s="456" t="s">
        <v>512</v>
      </c>
      <c r="C1281" s="490">
        <v>45617</v>
      </c>
      <c r="D1281" s="491"/>
      <c r="E1281" s="491"/>
      <c r="F1281" s="493" t="s">
        <v>389</v>
      </c>
      <c r="G1281" s="491">
        <v>1</v>
      </c>
      <c r="H1281" s="431">
        <f>SUM(H1277:H1280)</f>
        <v>16.9</v>
      </c>
      <c r="I1281" s="491">
        <f t="shared" si="152"/>
        <v>16.9</v>
      </c>
      <c r="J1281" s="492">
        <v>1</v>
      </c>
      <c r="K1281" s="492">
        <f>I1281*J1281</f>
        <v>16.9</v>
      </c>
      <c r="L1281" s="536"/>
      <c r="M1281" s="536"/>
      <c r="N1281" s="536"/>
    </row>
    <row r="1282" s="456" customFormat="1" ht="20.25" spans="1:15">
      <c r="A1282" s="488">
        <v>45617</v>
      </c>
      <c r="B1282" s="456" t="s">
        <v>512</v>
      </c>
      <c r="C1282" s="490">
        <v>45617</v>
      </c>
      <c r="D1282" s="491"/>
      <c r="E1282" s="491"/>
      <c r="F1282" s="655" t="s">
        <v>514</v>
      </c>
      <c r="G1282" s="491">
        <v>1</v>
      </c>
      <c r="H1282" s="491">
        <v>1</v>
      </c>
      <c r="I1282" s="491">
        <f t="shared" si="152"/>
        <v>1</v>
      </c>
      <c r="J1282" s="492">
        <v>12.5</v>
      </c>
      <c r="K1282" s="492">
        <f>I1282*J1282</f>
        <v>12.5</v>
      </c>
      <c r="L1282" s="456">
        <f>SUM(K1277:K1282)</f>
        <v>170.02</v>
      </c>
    </row>
    <row r="1283" s="457" customFormat="1" ht="20.25" spans="1:15">
      <c r="A1283" s="494"/>
      <c r="C1283" s="495"/>
      <c r="D1283" s="463"/>
      <c r="E1283" s="463"/>
      <c r="F1283" s="459" t="s">
        <v>515</v>
      </c>
      <c r="G1283" s="442"/>
      <c r="H1283" s="442"/>
      <c r="I1283" s="463"/>
      <c r="J1283" s="497"/>
      <c r="K1283" s="497"/>
    </row>
    <row r="1284" s="457" customFormat="1" ht="20.25" spans="1:15">
      <c r="A1284" s="494">
        <v>45619</v>
      </c>
      <c r="B1284" s="457" t="s">
        <v>206</v>
      </c>
      <c r="C1284" s="495">
        <v>45619</v>
      </c>
      <c r="D1284" s="463"/>
      <c r="E1284" s="463"/>
      <c r="F1284" s="496" t="s">
        <v>16</v>
      </c>
      <c r="G1284" s="463">
        <v>1</v>
      </c>
      <c r="H1284" s="432">
        <v>48</v>
      </c>
      <c r="I1284" s="463">
        <f t="shared" ref="I1284:I1318" si="153">G1284*H1284</f>
        <v>48</v>
      </c>
      <c r="J1284" s="497"/>
      <c r="K1284" s="497"/>
      <c r="O1284" s="456"/>
    </row>
    <row r="1285" s="457" customFormat="1" ht="20.25" spans="1:15">
      <c r="A1285" s="494">
        <v>45619</v>
      </c>
      <c r="B1285" s="457" t="s">
        <v>206</v>
      </c>
      <c r="C1285" s="495">
        <v>45619</v>
      </c>
      <c r="D1285" s="463"/>
      <c r="E1285" s="463"/>
      <c r="F1285" s="496" t="s">
        <v>444</v>
      </c>
      <c r="G1285" s="463">
        <v>1</v>
      </c>
      <c r="H1285" s="432">
        <v>4.5</v>
      </c>
      <c r="I1285" s="463">
        <f t="shared" si="153"/>
        <v>4.5</v>
      </c>
      <c r="J1285" s="497"/>
      <c r="K1285" s="497"/>
      <c r="O1285" s="456"/>
    </row>
    <row r="1286" s="457" customFormat="1" ht="20.25" spans="1:15">
      <c r="A1286" s="494">
        <v>45619</v>
      </c>
      <c r="B1286" s="457" t="s">
        <v>206</v>
      </c>
      <c r="C1286" s="495">
        <v>45619</v>
      </c>
      <c r="D1286" s="463"/>
      <c r="E1286" s="463"/>
      <c r="F1286" s="496">
        <v>996</v>
      </c>
      <c r="G1286" s="463">
        <v>1</v>
      </c>
      <c r="H1286" s="432">
        <v>150</v>
      </c>
      <c r="I1286" s="463">
        <f t="shared" si="153"/>
        <v>150</v>
      </c>
      <c r="J1286" s="497"/>
      <c r="K1286" s="497"/>
      <c r="L1286" s="537"/>
      <c r="M1286" s="537"/>
      <c r="N1286" s="537"/>
      <c r="O1286" s="456"/>
    </row>
    <row r="1287" s="457" customFormat="1" ht="20.25" spans="1:15">
      <c r="A1287" s="494">
        <v>45619</v>
      </c>
      <c r="B1287" s="457" t="s">
        <v>206</v>
      </c>
      <c r="C1287" s="495">
        <v>45619</v>
      </c>
      <c r="D1287" s="463"/>
      <c r="E1287" s="463"/>
      <c r="F1287" s="496" t="s">
        <v>12</v>
      </c>
      <c r="G1287" s="463">
        <v>1</v>
      </c>
      <c r="H1287" s="432">
        <v>30</v>
      </c>
      <c r="I1287" s="463">
        <f t="shared" si="153"/>
        <v>30</v>
      </c>
      <c r="J1287" s="497">
        <v>7.8</v>
      </c>
      <c r="K1287" s="497">
        <f t="shared" ref="K1287:K1292" si="154">I1287*J1287</f>
        <v>234</v>
      </c>
      <c r="L1287" s="537"/>
      <c r="M1287" s="537"/>
      <c r="N1287" s="537"/>
      <c r="O1287" s="456"/>
    </row>
    <row r="1288" s="457" customFormat="1" ht="20.25" spans="1:15">
      <c r="A1288" s="494">
        <v>45619</v>
      </c>
      <c r="B1288" s="457" t="s">
        <v>206</v>
      </c>
      <c r="C1288" s="495">
        <v>45619</v>
      </c>
      <c r="D1288" s="463"/>
      <c r="E1288" s="463"/>
      <c r="F1288" s="496" t="s">
        <v>152</v>
      </c>
      <c r="G1288" s="463">
        <v>1</v>
      </c>
      <c r="H1288" s="432">
        <v>30</v>
      </c>
      <c r="I1288" s="463">
        <f t="shared" si="153"/>
        <v>30</v>
      </c>
      <c r="J1288" s="497">
        <v>7.2</v>
      </c>
      <c r="K1288" s="497">
        <f t="shared" si="154"/>
        <v>216</v>
      </c>
      <c r="L1288" s="537"/>
      <c r="M1288" s="537"/>
      <c r="N1288" s="537"/>
      <c r="O1288" s="456"/>
    </row>
    <row r="1289" s="457" customFormat="1" ht="20.25" spans="1:15">
      <c r="A1289" s="494">
        <v>45619</v>
      </c>
      <c r="B1289" s="457" t="s">
        <v>206</v>
      </c>
      <c r="C1289" s="495">
        <v>45619</v>
      </c>
      <c r="D1289" s="463"/>
      <c r="E1289" s="463"/>
      <c r="F1289" s="499" t="s">
        <v>456</v>
      </c>
      <c r="G1289" s="463">
        <v>1</v>
      </c>
      <c r="H1289" s="500">
        <f>SUM(H1284:H1288)</f>
        <v>262.5</v>
      </c>
      <c r="I1289" s="501">
        <f t="shared" si="153"/>
        <v>262.5</v>
      </c>
      <c r="J1289" s="502">
        <v>3</v>
      </c>
      <c r="K1289" s="502">
        <f t="shared" si="154"/>
        <v>787.5</v>
      </c>
      <c r="L1289" s="636">
        <f>SUM(K1284:K1289)</f>
        <v>1237.5</v>
      </c>
      <c r="M1289" s="537"/>
      <c r="N1289" s="537"/>
      <c r="O1289" s="456"/>
    </row>
    <row r="1290" s="456" customFormat="1" ht="20.25" spans="1:15">
      <c r="A1290" s="488">
        <v>45622</v>
      </c>
      <c r="B1290" s="456" t="s">
        <v>107</v>
      </c>
      <c r="C1290" s="490">
        <v>45622</v>
      </c>
      <c r="D1290" s="491"/>
      <c r="E1290" s="491"/>
      <c r="F1290" s="493" t="s">
        <v>110</v>
      </c>
      <c r="G1290" s="491">
        <v>6</v>
      </c>
      <c r="H1290" s="431">
        <v>10</v>
      </c>
      <c r="I1290" s="491">
        <f t="shared" si="153"/>
        <v>60</v>
      </c>
      <c r="J1290" s="492">
        <v>15.5</v>
      </c>
      <c r="K1290" s="492">
        <f t="shared" si="154"/>
        <v>930</v>
      </c>
      <c r="L1290" s="543" t="s">
        <v>238</v>
      </c>
      <c r="M1290" s="489"/>
    </row>
    <row r="1291" s="457" customFormat="1" ht="20.25" spans="1:15">
      <c r="A1291" s="494">
        <v>45622</v>
      </c>
      <c r="B1291" s="457" t="s">
        <v>119</v>
      </c>
      <c r="C1291" s="495" t="s">
        <v>516</v>
      </c>
      <c r="D1291" s="463"/>
      <c r="E1291" s="463"/>
      <c r="F1291" s="496" t="s">
        <v>176</v>
      </c>
      <c r="G1291" s="463">
        <v>1</v>
      </c>
      <c r="H1291" s="432">
        <v>200</v>
      </c>
      <c r="I1291" s="463">
        <f t="shared" si="153"/>
        <v>200</v>
      </c>
      <c r="J1291" s="497"/>
      <c r="K1291" s="497"/>
    </row>
    <row r="1292" s="457" customFormat="1" ht="20.25" spans="1:15">
      <c r="A1292" s="494">
        <v>45622</v>
      </c>
      <c r="B1292" s="457" t="s">
        <v>119</v>
      </c>
      <c r="C1292" s="495" t="s">
        <v>516</v>
      </c>
      <c r="D1292" s="463"/>
      <c r="E1292" s="463"/>
      <c r="F1292" s="496" t="s">
        <v>170</v>
      </c>
      <c r="G1292" s="463">
        <v>1</v>
      </c>
      <c r="H1292" s="432">
        <v>25</v>
      </c>
      <c r="I1292" s="463">
        <f t="shared" si="153"/>
        <v>25</v>
      </c>
      <c r="J1292" s="497">
        <v>75</v>
      </c>
      <c r="K1292" s="497">
        <f t="shared" si="154"/>
        <v>1875</v>
      </c>
      <c r="L1292" s="537"/>
      <c r="M1292" s="537"/>
      <c r="N1292" s="537"/>
    </row>
    <row r="1293" s="457" customFormat="1" ht="20.25" spans="1:15">
      <c r="A1293" s="494">
        <v>45622</v>
      </c>
      <c r="B1293" s="457" t="s">
        <v>119</v>
      </c>
      <c r="C1293" s="495" t="s">
        <v>516</v>
      </c>
      <c r="D1293" s="463"/>
      <c r="E1293" s="463"/>
      <c r="F1293" s="496" t="s">
        <v>171</v>
      </c>
      <c r="G1293" s="463">
        <v>1</v>
      </c>
      <c r="H1293" s="432">
        <v>100</v>
      </c>
      <c r="I1293" s="463">
        <f t="shared" si="153"/>
        <v>100</v>
      </c>
      <c r="J1293" s="497"/>
      <c r="K1293" s="497"/>
      <c r="L1293" s="537"/>
      <c r="M1293" s="537"/>
      <c r="N1293" s="537"/>
    </row>
    <row r="1294" s="457" customFormat="1" ht="20.25" spans="1:15">
      <c r="A1294" s="494">
        <v>45622</v>
      </c>
      <c r="B1294" s="457" t="s">
        <v>119</v>
      </c>
      <c r="C1294" s="495" t="s">
        <v>516</v>
      </c>
      <c r="D1294" s="463"/>
      <c r="E1294" s="463"/>
      <c r="F1294" s="496" t="s">
        <v>406</v>
      </c>
      <c r="G1294" s="463">
        <v>1</v>
      </c>
      <c r="H1294" s="432">
        <v>300</v>
      </c>
      <c r="I1294" s="463">
        <f t="shared" si="153"/>
        <v>300</v>
      </c>
      <c r="J1294" s="497">
        <v>10.5</v>
      </c>
      <c r="K1294" s="497">
        <f t="shared" ref="K1294:K1297" si="155">I1294*J1294</f>
        <v>3150</v>
      </c>
      <c r="L1294" s="606" t="s">
        <v>472</v>
      </c>
      <c r="M1294" s="606"/>
      <c r="N1294" s="606"/>
    </row>
    <row r="1295" s="457" customFormat="1" ht="20.25" spans="1:15">
      <c r="A1295" s="494">
        <v>45622</v>
      </c>
      <c r="B1295" s="457" t="s">
        <v>119</v>
      </c>
      <c r="C1295" s="495" t="s">
        <v>516</v>
      </c>
      <c r="D1295" s="463"/>
      <c r="E1295" s="463"/>
      <c r="F1295" s="496" t="s">
        <v>125</v>
      </c>
      <c r="G1295" s="463">
        <v>1</v>
      </c>
      <c r="H1295" s="432">
        <v>125</v>
      </c>
      <c r="I1295" s="463">
        <f t="shared" si="153"/>
        <v>125</v>
      </c>
      <c r="J1295" s="497">
        <v>6.3</v>
      </c>
      <c r="K1295" s="497">
        <f t="shared" si="155"/>
        <v>787.5</v>
      </c>
      <c r="L1295" s="606"/>
      <c r="M1295" s="606" t="s">
        <v>473</v>
      </c>
      <c r="N1295" s="606"/>
    </row>
    <row r="1296" s="457" customFormat="1" ht="20.25" spans="1:15">
      <c r="A1296" s="494">
        <v>45622</v>
      </c>
      <c r="B1296" s="457" t="s">
        <v>119</v>
      </c>
      <c r="C1296" s="495" t="s">
        <v>516</v>
      </c>
      <c r="D1296" s="463"/>
      <c r="E1296" s="463"/>
      <c r="F1296" s="499" t="s">
        <v>179</v>
      </c>
      <c r="G1296" s="501">
        <v>1</v>
      </c>
      <c r="H1296" s="500">
        <f>SUM(H1291:H1295)</f>
        <v>750</v>
      </c>
      <c r="I1296" s="501">
        <f t="shared" si="153"/>
        <v>750</v>
      </c>
      <c r="J1296" s="502">
        <v>7.5</v>
      </c>
      <c r="K1296" s="502">
        <f t="shared" si="155"/>
        <v>5625</v>
      </c>
      <c r="L1296" s="606">
        <f>SUM(K1291:K1296)</f>
        <v>11437.5</v>
      </c>
      <c r="M1296" s="606"/>
      <c r="N1296" s="606"/>
    </row>
    <row r="1297" s="459" customFormat="1" ht="20.25" spans="1:16">
      <c r="A1297" s="488">
        <v>45625</v>
      </c>
      <c r="B1297" s="456" t="s">
        <v>390</v>
      </c>
      <c r="C1297" s="519">
        <v>45624</v>
      </c>
      <c r="D1297" s="520"/>
      <c r="E1297" s="520"/>
      <c r="F1297" s="498" t="s">
        <v>517</v>
      </c>
      <c r="G1297" s="520">
        <v>2</v>
      </c>
      <c r="H1297" s="521">
        <v>1</v>
      </c>
      <c r="I1297" s="520">
        <f t="shared" si="153"/>
        <v>2</v>
      </c>
      <c r="J1297" s="515">
        <v>12.5</v>
      </c>
      <c r="K1297" s="515">
        <f t="shared" si="155"/>
        <v>25</v>
      </c>
      <c r="L1297" s="606"/>
      <c r="M1297" s="606"/>
      <c r="N1297" s="606"/>
    </row>
    <row r="1298" s="456" customFormat="1" ht="20.25" spans="1:16">
      <c r="A1298" s="488">
        <v>45625</v>
      </c>
      <c r="B1298" s="456" t="s">
        <v>390</v>
      </c>
      <c r="C1298" s="528">
        <v>45625</v>
      </c>
      <c r="D1298" s="528"/>
      <c r="E1298" s="529"/>
      <c r="F1298" s="493" t="s">
        <v>251</v>
      </c>
      <c r="G1298" s="491">
        <v>1</v>
      </c>
      <c r="H1298" s="431">
        <v>200</v>
      </c>
      <c r="I1298" s="491">
        <f t="shared" si="153"/>
        <v>200</v>
      </c>
      <c r="J1298" s="492"/>
      <c r="K1298" s="492"/>
    </row>
    <row r="1299" s="456" customFormat="1" ht="20.25" spans="1:16">
      <c r="A1299" s="488">
        <v>45625</v>
      </c>
      <c r="B1299" s="456" t="s">
        <v>390</v>
      </c>
      <c r="C1299" s="528">
        <v>45625</v>
      </c>
      <c r="D1299" s="528"/>
      <c r="E1299" s="529"/>
      <c r="F1299" s="493" t="s">
        <v>13</v>
      </c>
      <c r="G1299" s="491">
        <v>1</v>
      </c>
      <c r="H1299" s="431">
        <v>200</v>
      </c>
      <c r="I1299" s="491">
        <f t="shared" si="153"/>
        <v>200</v>
      </c>
      <c r="J1299" s="492"/>
      <c r="K1299" s="492"/>
    </row>
    <row r="1300" s="456" customFormat="1" ht="20.25" spans="1:16">
      <c r="A1300" s="488">
        <v>45625</v>
      </c>
      <c r="B1300" s="456" t="s">
        <v>390</v>
      </c>
      <c r="C1300" s="528">
        <v>45625</v>
      </c>
      <c r="D1300" s="528"/>
      <c r="E1300" s="529"/>
      <c r="F1300" s="498" t="s">
        <v>489</v>
      </c>
      <c r="G1300" s="491">
        <v>1</v>
      </c>
      <c r="H1300" s="431">
        <v>51</v>
      </c>
      <c r="I1300" s="491">
        <f t="shared" si="153"/>
        <v>51</v>
      </c>
      <c r="J1300" s="492"/>
      <c r="K1300" s="492"/>
    </row>
    <row r="1301" s="456" customFormat="1" ht="20.25" spans="1:16">
      <c r="A1301" s="488">
        <v>45625</v>
      </c>
      <c r="B1301" s="456" t="s">
        <v>390</v>
      </c>
      <c r="C1301" s="528">
        <v>45625</v>
      </c>
      <c r="D1301" s="528"/>
      <c r="E1301" s="529"/>
      <c r="F1301" s="498" t="s">
        <v>490</v>
      </c>
      <c r="G1301" s="491">
        <v>1</v>
      </c>
      <c r="H1301" s="431">
        <v>214</v>
      </c>
      <c r="I1301" s="491">
        <f t="shared" si="153"/>
        <v>214</v>
      </c>
      <c r="J1301" s="492"/>
      <c r="K1301" s="492"/>
      <c r="L1301" s="536" t="s">
        <v>116</v>
      </c>
      <c r="M1301" s="536" t="s">
        <v>314</v>
      </c>
    </row>
    <row r="1302" s="456" customFormat="1" ht="20.25" spans="1:16">
      <c r="A1302" s="488">
        <v>45625</v>
      </c>
      <c r="B1302" s="456" t="s">
        <v>390</v>
      </c>
      <c r="C1302" s="528">
        <v>45625</v>
      </c>
      <c r="D1302" s="528"/>
      <c r="E1302" s="529"/>
      <c r="F1302" s="493" t="s">
        <v>115</v>
      </c>
      <c r="G1302" s="491">
        <v>1</v>
      </c>
      <c r="H1302" s="431">
        <v>125</v>
      </c>
      <c r="I1302" s="491">
        <f t="shared" si="153"/>
        <v>125</v>
      </c>
      <c r="J1302" s="492"/>
      <c r="K1302" s="492"/>
    </row>
    <row r="1303" s="456" customFormat="1" ht="20.25" spans="1:16">
      <c r="A1303" s="488">
        <v>45625</v>
      </c>
      <c r="B1303" s="456" t="s">
        <v>390</v>
      </c>
      <c r="C1303" s="528">
        <v>45625</v>
      </c>
      <c r="D1303" s="528"/>
      <c r="E1303" s="529"/>
      <c r="F1303" s="493">
        <v>808</v>
      </c>
      <c r="G1303" s="491">
        <v>1</v>
      </c>
      <c r="H1303" s="431">
        <v>25</v>
      </c>
      <c r="I1303" s="491">
        <f t="shared" si="153"/>
        <v>25</v>
      </c>
      <c r="J1303" s="492">
        <v>10.5</v>
      </c>
      <c r="K1303" s="492">
        <f t="shared" ref="K1303:K1306" si="156">I1303*J1303</f>
        <v>262.5</v>
      </c>
    </row>
    <row r="1304" s="456" customFormat="1" ht="20.25" spans="1:16">
      <c r="A1304" s="488">
        <v>45625</v>
      </c>
      <c r="B1304" s="456" t="s">
        <v>390</v>
      </c>
      <c r="C1304" s="528">
        <v>45625</v>
      </c>
      <c r="D1304" s="528"/>
      <c r="E1304" s="529"/>
      <c r="F1304" s="493" t="s">
        <v>152</v>
      </c>
      <c r="G1304" s="491">
        <v>1</v>
      </c>
      <c r="H1304" s="431">
        <v>50</v>
      </c>
      <c r="I1304" s="491">
        <f t="shared" si="153"/>
        <v>50</v>
      </c>
      <c r="J1304" s="492">
        <v>7.2</v>
      </c>
      <c r="K1304" s="492">
        <f t="shared" si="156"/>
        <v>360</v>
      </c>
    </row>
    <row r="1305" s="456" customFormat="1" ht="20.25" spans="1:16">
      <c r="A1305" s="488">
        <v>45625</v>
      </c>
      <c r="B1305" s="456" t="s">
        <v>390</v>
      </c>
      <c r="C1305" s="528">
        <v>45625</v>
      </c>
      <c r="D1305" s="528"/>
      <c r="E1305" s="529"/>
      <c r="F1305" s="493" t="s">
        <v>125</v>
      </c>
      <c r="G1305" s="491">
        <v>1</v>
      </c>
      <c r="H1305" s="431">
        <v>135</v>
      </c>
      <c r="I1305" s="491">
        <f t="shared" si="153"/>
        <v>135</v>
      </c>
      <c r="J1305" s="492">
        <v>5.9</v>
      </c>
      <c r="K1305" s="492">
        <f t="shared" si="156"/>
        <v>796.5</v>
      </c>
    </row>
    <row r="1306" s="456" customFormat="1" ht="20.25" spans="1:16">
      <c r="A1306" s="488">
        <v>45625</v>
      </c>
      <c r="B1306" s="456" t="s">
        <v>390</v>
      </c>
      <c r="C1306" s="528">
        <v>45625</v>
      </c>
      <c r="D1306" s="528"/>
      <c r="E1306" s="529"/>
      <c r="F1306" s="493" t="s">
        <v>17</v>
      </c>
      <c r="G1306" s="501">
        <v>1</v>
      </c>
      <c r="H1306" s="500">
        <f>SUM(H1298:H1305)</f>
        <v>1000</v>
      </c>
      <c r="I1306" s="501">
        <f t="shared" si="153"/>
        <v>1000</v>
      </c>
      <c r="J1306" s="502">
        <v>1</v>
      </c>
      <c r="K1306" s="502">
        <f t="shared" si="156"/>
        <v>1000</v>
      </c>
      <c r="L1306" s="456">
        <f>SUM(K1297:K1306)</f>
        <v>2444</v>
      </c>
    </row>
    <row r="1307" s="457" customFormat="1" ht="20.25" spans="1:16">
      <c r="A1307" s="494">
        <v>45625</v>
      </c>
      <c r="B1307" s="457" t="s">
        <v>518</v>
      </c>
      <c r="C1307" s="504">
        <v>45625</v>
      </c>
      <c r="D1307" s="504"/>
      <c r="E1307" s="505"/>
      <c r="F1307" s="496" t="s">
        <v>519</v>
      </c>
      <c r="G1307" s="463">
        <v>1</v>
      </c>
      <c r="H1307" s="432">
        <v>54</v>
      </c>
      <c r="I1307" s="463">
        <f t="shared" si="153"/>
        <v>54</v>
      </c>
      <c r="J1307" s="497"/>
      <c r="K1307" s="497"/>
    </row>
    <row r="1308" s="457" customFormat="1" ht="20.25" spans="1:16">
      <c r="A1308" s="494">
        <v>45625</v>
      </c>
      <c r="B1308" s="457" t="s">
        <v>518</v>
      </c>
      <c r="C1308" s="504">
        <v>45625</v>
      </c>
      <c r="D1308" s="504"/>
      <c r="E1308" s="505"/>
      <c r="F1308" s="496" t="s">
        <v>352</v>
      </c>
      <c r="G1308" s="463">
        <v>1</v>
      </c>
      <c r="H1308" s="432">
        <v>3</v>
      </c>
      <c r="I1308" s="463">
        <f t="shared" si="153"/>
        <v>3</v>
      </c>
      <c r="J1308" s="497"/>
      <c r="K1308" s="497"/>
    </row>
    <row r="1309" s="457" customFormat="1" ht="20.25" spans="1:16">
      <c r="A1309" s="494">
        <v>45625</v>
      </c>
      <c r="B1309" s="457" t="s">
        <v>518</v>
      </c>
      <c r="C1309" s="504">
        <v>45625</v>
      </c>
      <c r="D1309" s="504"/>
      <c r="E1309" s="505"/>
      <c r="F1309" s="499" t="s">
        <v>520</v>
      </c>
      <c r="G1309" s="501">
        <v>1</v>
      </c>
      <c r="H1309" s="500">
        <f>SUM(H1307:H1308)</f>
        <v>57</v>
      </c>
      <c r="I1309" s="501">
        <f t="shared" si="153"/>
        <v>57</v>
      </c>
      <c r="J1309" s="502">
        <v>1</v>
      </c>
      <c r="K1309" s="502">
        <f>I1309*J1309</f>
        <v>57</v>
      </c>
      <c r="L1309" s="457">
        <f>SUM(K1307:K1309)</f>
        <v>57</v>
      </c>
    </row>
    <row r="1310" s="456" customFormat="1" ht="20.25" spans="1:16">
      <c r="A1310" s="488">
        <v>45625</v>
      </c>
      <c r="B1310" s="456" t="s">
        <v>228</v>
      </c>
      <c r="C1310" s="528">
        <v>45625</v>
      </c>
      <c r="D1310" s="528"/>
      <c r="E1310" s="529"/>
      <c r="F1310" s="493" t="s">
        <v>521</v>
      </c>
      <c r="G1310" s="491">
        <v>1</v>
      </c>
      <c r="H1310" s="431">
        <v>540</v>
      </c>
      <c r="I1310" s="491">
        <f t="shared" si="153"/>
        <v>540</v>
      </c>
      <c r="J1310" s="492"/>
      <c r="K1310" s="492"/>
      <c r="M1310" s="27" t="s">
        <v>251</v>
      </c>
      <c r="N1310" s="491">
        <v>1</v>
      </c>
      <c r="O1310" s="431">
        <v>108</v>
      </c>
      <c r="P1310" s="491">
        <f t="shared" ref="P1310:P1316" si="157">N1310*O1310</f>
        <v>108</v>
      </c>
    </row>
    <row r="1311" s="456" customFormat="1" ht="20.25" spans="1:16">
      <c r="A1311" s="488">
        <v>45625</v>
      </c>
      <c r="B1311" s="456" t="s">
        <v>228</v>
      </c>
      <c r="C1311" s="528">
        <v>45625</v>
      </c>
      <c r="D1311" s="528"/>
      <c r="E1311" s="529"/>
      <c r="F1311" s="493" t="s">
        <v>242</v>
      </c>
      <c r="G1311" s="491">
        <v>1</v>
      </c>
      <c r="H1311" s="431">
        <v>100</v>
      </c>
      <c r="I1311" s="491">
        <f t="shared" si="153"/>
        <v>100</v>
      </c>
      <c r="J1311" s="492"/>
      <c r="K1311" s="492"/>
      <c r="M1311" s="27" t="s">
        <v>13</v>
      </c>
      <c r="N1311" s="491">
        <v>1</v>
      </c>
      <c r="O1311" s="431">
        <v>108</v>
      </c>
      <c r="P1311" s="491">
        <f t="shared" si="157"/>
        <v>108</v>
      </c>
    </row>
    <row r="1312" s="456" customFormat="1" ht="20.25" spans="1:16">
      <c r="A1312" s="488">
        <v>45625</v>
      </c>
      <c r="B1312" s="456" t="s">
        <v>228</v>
      </c>
      <c r="C1312" s="528">
        <v>45625</v>
      </c>
      <c r="D1312" s="528"/>
      <c r="E1312" s="529"/>
      <c r="F1312" s="493" t="s">
        <v>86</v>
      </c>
      <c r="G1312" s="491">
        <v>1</v>
      </c>
      <c r="H1312" s="431">
        <v>101</v>
      </c>
      <c r="I1312" s="491">
        <f t="shared" si="153"/>
        <v>101</v>
      </c>
      <c r="J1312" s="492"/>
      <c r="K1312" s="492"/>
      <c r="M1312" s="27" t="s">
        <v>86</v>
      </c>
      <c r="N1312" s="491">
        <v>1</v>
      </c>
      <c r="O1312" s="431">
        <v>37.8</v>
      </c>
      <c r="P1312" s="491">
        <f t="shared" si="157"/>
        <v>37.8</v>
      </c>
    </row>
    <row r="1313" s="456" customFormat="1" ht="20.25" spans="1:17">
      <c r="A1313" s="488">
        <v>45625</v>
      </c>
      <c r="B1313" s="456" t="s">
        <v>228</v>
      </c>
      <c r="C1313" s="528">
        <v>45625</v>
      </c>
      <c r="D1313" s="528"/>
      <c r="E1313" s="529"/>
      <c r="F1313" s="493" t="s">
        <v>481</v>
      </c>
      <c r="G1313" s="491">
        <v>1</v>
      </c>
      <c r="H1313" s="431">
        <v>70</v>
      </c>
      <c r="I1313" s="491">
        <f t="shared" si="153"/>
        <v>70</v>
      </c>
      <c r="J1313" s="492"/>
      <c r="K1313" s="492"/>
      <c r="L1313" s="536" t="s">
        <v>116</v>
      </c>
      <c r="M1313" s="27" t="s">
        <v>87</v>
      </c>
      <c r="N1313" s="491">
        <v>1</v>
      </c>
      <c r="O1313" s="431">
        <v>205.2</v>
      </c>
      <c r="P1313" s="491">
        <f t="shared" si="157"/>
        <v>205.2</v>
      </c>
    </row>
    <row r="1314" s="456" customFormat="1" ht="20.25" spans="1:17">
      <c r="A1314" s="488">
        <v>45625</v>
      </c>
      <c r="B1314" s="456" t="s">
        <v>228</v>
      </c>
      <c r="C1314" s="528">
        <v>45625</v>
      </c>
      <c r="D1314" s="528"/>
      <c r="E1314" s="529"/>
      <c r="F1314" s="493" t="s">
        <v>522</v>
      </c>
      <c r="G1314" s="491">
        <v>1</v>
      </c>
      <c r="H1314" s="431">
        <v>2.5</v>
      </c>
      <c r="I1314" s="491">
        <f t="shared" si="153"/>
        <v>2.5</v>
      </c>
      <c r="J1314" s="492"/>
      <c r="K1314" s="492"/>
      <c r="M1314" s="27" t="s">
        <v>115</v>
      </c>
      <c r="N1314" s="491">
        <v>1</v>
      </c>
      <c r="O1314" s="431">
        <v>67.5</v>
      </c>
      <c r="P1314" s="491">
        <f t="shared" si="157"/>
        <v>67.5</v>
      </c>
    </row>
    <row r="1315" s="456" customFormat="1" ht="20.25" spans="1:17">
      <c r="A1315" s="488">
        <v>45625</v>
      </c>
      <c r="B1315" s="456" t="s">
        <v>228</v>
      </c>
      <c r="C1315" s="528">
        <v>45625</v>
      </c>
      <c r="D1315" s="528"/>
      <c r="E1315" s="529"/>
      <c r="F1315" s="493" t="s">
        <v>208</v>
      </c>
      <c r="G1315" s="491">
        <v>1</v>
      </c>
      <c r="H1315" s="431">
        <v>30</v>
      </c>
      <c r="I1315" s="491">
        <f t="shared" si="153"/>
        <v>30</v>
      </c>
      <c r="J1315" s="492">
        <v>17</v>
      </c>
      <c r="K1315" s="492">
        <f t="shared" ref="K1315:K1318" si="158">I1315*J1315</f>
        <v>510</v>
      </c>
      <c r="M1315" s="27">
        <v>808</v>
      </c>
      <c r="N1315" s="491">
        <v>1</v>
      </c>
      <c r="O1315" s="431">
        <v>13.5</v>
      </c>
      <c r="P1315" s="491">
        <f t="shared" si="157"/>
        <v>13.5</v>
      </c>
    </row>
    <row r="1316" s="456" customFormat="1" ht="20.25" spans="1:17">
      <c r="A1316" s="488">
        <v>45625</v>
      </c>
      <c r="B1316" s="456" t="s">
        <v>228</v>
      </c>
      <c r="C1316" s="528">
        <v>45625</v>
      </c>
      <c r="D1316" s="528"/>
      <c r="E1316" s="529"/>
      <c r="F1316" s="493" t="s">
        <v>137</v>
      </c>
      <c r="G1316" s="491">
        <v>1</v>
      </c>
      <c r="H1316" s="431">
        <v>50</v>
      </c>
      <c r="I1316" s="491">
        <f t="shared" si="153"/>
        <v>50</v>
      </c>
      <c r="J1316" s="492">
        <v>0.9</v>
      </c>
      <c r="K1316" s="492">
        <f t="shared" si="158"/>
        <v>45</v>
      </c>
      <c r="M1316" s="27" t="s">
        <v>523</v>
      </c>
      <c r="N1316" s="491">
        <v>1</v>
      </c>
      <c r="O1316" s="431">
        <f>SUM(O1310:O1315)</f>
        <v>540</v>
      </c>
      <c r="P1316" s="491">
        <f t="shared" si="157"/>
        <v>540</v>
      </c>
    </row>
    <row r="1317" s="456" customFormat="1" ht="20.25" spans="1:17">
      <c r="A1317" s="488">
        <v>45625</v>
      </c>
      <c r="B1317" s="456" t="s">
        <v>228</v>
      </c>
      <c r="C1317" s="528">
        <v>45625</v>
      </c>
      <c r="D1317" s="528"/>
      <c r="E1317" s="529"/>
      <c r="F1317" s="493" t="s">
        <v>132</v>
      </c>
      <c r="G1317" s="491">
        <v>1</v>
      </c>
      <c r="H1317" s="431">
        <v>236.5</v>
      </c>
      <c r="I1317" s="491">
        <f t="shared" si="153"/>
        <v>236.5</v>
      </c>
      <c r="J1317" s="492">
        <v>3.6</v>
      </c>
      <c r="K1317" s="492">
        <f t="shared" si="158"/>
        <v>851.4</v>
      </c>
    </row>
    <row r="1318" s="456" customFormat="1" ht="20.25" spans="1:17">
      <c r="A1318" s="488">
        <v>45625</v>
      </c>
      <c r="B1318" s="456" t="s">
        <v>228</v>
      </c>
      <c r="C1318" s="528">
        <v>45625</v>
      </c>
      <c r="D1318" s="528"/>
      <c r="E1318" s="529"/>
      <c r="F1318" s="499" t="s">
        <v>524</v>
      </c>
      <c r="G1318" s="501">
        <v>1</v>
      </c>
      <c r="H1318" s="500">
        <f>SUM(H1310:H1317)</f>
        <v>1130</v>
      </c>
      <c r="I1318" s="501">
        <f t="shared" si="153"/>
        <v>1130</v>
      </c>
      <c r="J1318" s="502">
        <v>1</v>
      </c>
      <c r="K1318" s="502">
        <f t="shared" si="158"/>
        <v>1130</v>
      </c>
      <c r="L1318" s="456">
        <f>SUM(K1310:K1318)</f>
        <v>2536.4</v>
      </c>
    </row>
    <row r="1319" s="454" customFormat="1" ht="33" customHeight="1" spans="1:17">
      <c r="A1319" s="601" t="s">
        <v>525</v>
      </c>
      <c r="B1319" s="481"/>
      <c r="C1319" s="481"/>
      <c r="D1319" s="481"/>
      <c r="E1319" s="481"/>
      <c r="F1319" s="481"/>
      <c r="G1319" s="481"/>
      <c r="H1319" s="481"/>
      <c r="I1319" s="481"/>
      <c r="J1319" s="632" t="s">
        <v>28</v>
      </c>
      <c r="K1319" s="595">
        <f>SUM(K1322:K1523)</f>
        <v>63679.878</v>
      </c>
      <c r="L1319" s="454" t="s">
        <v>29</v>
      </c>
      <c r="M1319" s="601">
        <f>'24材料明细'!AQ1+K1364</f>
        <v>35795.878</v>
      </c>
      <c r="N1319" s="593" t="s">
        <v>30</v>
      </c>
      <c r="O1319" s="601">
        <f>K1329+K1337+K1345+K1355+K1363+K1372+K1382+K1391+K1397+K1404+K1419+K1427+K1437+K1445+K1450+K1461+K1467+K1476+K1484+K1492+K1500+K1511+K1517</f>
        <v>19864.5</v>
      </c>
      <c r="P1319" s="481" t="s">
        <v>31</v>
      </c>
      <c r="Q1319" s="601">
        <f>K1373+K1374+K1375+K1376+K1405+K1406+K1407+K1408+K1409</f>
        <v>4009</v>
      </c>
    </row>
    <row r="1320" s="454" customFormat="1" ht="18" customHeight="1" spans="1:17">
      <c r="A1320" s="601"/>
      <c r="B1320" s="481"/>
      <c r="C1320" s="481"/>
      <c r="D1320" s="481"/>
      <c r="E1320" s="481"/>
      <c r="F1320" s="481"/>
      <c r="G1320" s="481"/>
      <c r="H1320" s="481"/>
      <c r="I1320" s="481"/>
      <c r="J1320" s="481" t="s">
        <v>32</v>
      </c>
      <c r="K1320" s="481"/>
      <c r="L1320" s="454" t="s">
        <v>33</v>
      </c>
      <c r="M1320" s="601">
        <f>K1346+K1347+K1377+K1383+K1410+K1493+K1512</f>
        <v>235.5</v>
      </c>
      <c r="N1320" s="634" t="s">
        <v>34</v>
      </c>
      <c r="O1320" s="595">
        <f>M1319+M1320+O1319+Q1319</f>
        <v>59904.878</v>
      </c>
    </row>
    <row r="1321" s="455" customFormat="1" ht="15" customHeight="1" spans="1:17">
      <c r="A1321" s="604" t="s">
        <v>35</v>
      </c>
      <c r="B1321" s="605" t="s">
        <v>36</v>
      </c>
      <c r="C1321" s="486" t="s">
        <v>37</v>
      </c>
      <c r="D1321" s="486"/>
      <c r="E1321" s="486"/>
      <c r="F1321" s="486" t="s">
        <v>38</v>
      </c>
      <c r="G1321" s="486" t="s">
        <v>4</v>
      </c>
      <c r="H1321" s="486" t="s">
        <v>5</v>
      </c>
      <c r="I1321" s="486" t="s">
        <v>6</v>
      </c>
      <c r="J1321" s="486" t="s">
        <v>7</v>
      </c>
      <c r="K1321" s="486" t="s">
        <v>8</v>
      </c>
      <c r="L1321" s="486" t="s">
        <v>39</v>
      </c>
      <c r="M1321" s="486" t="s">
        <v>40</v>
      </c>
      <c r="N1321" s="487"/>
      <c r="O1321" s="487"/>
    </row>
    <row r="1322" s="459" customFormat="1" ht="20.25" spans="1:17">
      <c r="A1322" s="517">
        <v>45630</v>
      </c>
      <c r="B1322" s="459" t="s">
        <v>526</v>
      </c>
      <c r="C1322" s="519" t="s">
        <v>527</v>
      </c>
      <c r="D1322" s="520"/>
      <c r="E1322" s="520"/>
      <c r="F1322" s="498" t="s">
        <v>528</v>
      </c>
      <c r="G1322" s="520">
        <v>1</v>
      </c>
      <c r="H1322" s="521">
        <v>10</v>
      </c>
      <c r="I1322" s="520">
        <f t="shared" ref="I1322:I1329" si="159">G1322*H1322</f>
        <v>10</v>
      </c>
      <c r="J1322" s="515">
        <v>15.5</v>
      </c>
      <c r="K1322" s="515"/>
      <c r="L1322" s="606" t="s">
        <v>283</v>
      </c>
      <c r="M1322" s="606"/>
      <c r="N1322" s="606"/>
    </row>
    <row r="1323" s="456" customFormat="1" ht="20.25" spans="1:17">
      <c r="A1323" s="488">
        <v>45631</v>
      </c>
      <c r="B1323" s="608" t="s">
        <v>455</v>
      </c>
      <c r="C1323" s="490">
        <v>45631</v>
      </c>
      <c r="D1323" s="491"/>
      <c r="E1323" s="491"/>
      <c r="F1323" s="493" t="s">
        <v>16</v>
      </c>
      <c r="G1323" s="491">
        <v>1</v>
      </c>
      <c r="H1323" s="431">
        <v>75</v>
      </c>
      <c r="I1323" s="491">
        <f t="shared" si="159"/>
        <v>75</v>
      </c>
      <c r="J1323" s="492"/>
      <c r="K1323" s="492"/>
      <c r="L1323" s="536"/>
      <c r="M1323" s="536"/>
      <c r="N1323" s="536"/>
    </row>
    <row r="1324" s="456" customFormat="1" ht="20.25" spans="1:17">
      <c r="A1324" s="488">
        <v>45631</v>
      </c>
      <c r="B1324" s="608" t="s">
        <v>455</v>
      </c>
      <c r="C1324" s="490">
        <v>45631</v>
      </c>
      <c r="D1324" s="491"/>
      <c r="E1324" s="491"/>
      <c r="F1324" s="493" t="s">
        <v>300</v>
      </c>
      <c r="G1324" s="491">
        <v>1</v>
      </c>
      <c r="H1324" s="431">
        <v>75</v>
      </c>
      <c r="I1324" s="491">
        <f t="shared" si="159"/>
        <v>75</v>
      </c>
      <c r="J1324" s="492"/>
      <c r="K1324" s="492"/>
      <c r="L1324" s="536"/>
      <c r="M1324" s="536"/>
      <c r="N1324" s="536"/>
    </row>
    <row r="1325" s="456" customFormat="1" ht="20.25" spans="1:17">
      <c r="A1325" s="488">
        <v>45631</v>
      </c>
      <c r="B1325" s="608" t="s">
        <v>455</v>
      </c>
      <c r="C1325" s="490">
        <v>45631</v>
      </c>
      <c r="D1325" s="491"/>
      <c r="E1325" s="491"/>
      <c r="F1325" s="493" t="s">
        <v>529</v>
      </c>
      <c r="G1325" s="491">
        <v>1</v>
      </c>
      <c r="H1325" s="431">
        <v>107</v>
      </c>
      <c r="I1325" s="491">
        <f t="shared" si="159"/>
        <v>107</v>
      </c>
      <c r="J1325" s="492"/>
      <c r="K1325" s="492"/>
      <c r="L1325" s="536"/>
      <c r="M1325" s="536"/>
      <c r="N1325" s="536"/>
    </row>
    <row r="1326" s="456" customFormat="1" ht="20.25" spans="1:17">
      <c r="A1326" s="488">
        <v>45631</v>
      </c>
      <c r="B1326" s="608" t="s">
        <v>455</v>
      </c>
      <c r="C1326" s="490">
        <v>45631</v>
      </c>
      <c r="D1326" s="491"/>
      <c r="E1326" s="491"/>
      <c r="F1326" s="493">
        <v>808</v>
      </c>
      <c r="G1326" s="491">
        <v>1</v>
      </c>
      <c r="H1326" s="431">
        <v>50</v>
      </c>
      <c r="I1326" s="491">
        <f t="shared" si="159"/>
        <v>50</v>
      </c>
      <c r="J1326" s="492">
        <v>10.5</v>
      </c>
      <c r="K1326" s="492">
        <f>I1326*J1326</f>
        <v>525</v>
      </c>
      <c r="L1326" s="536" t="s">
        <v>436</v>
      </c>
      <c r="M1326" s="536"/>
      <c r="N1326" s="536"/>
    </row>
    <row r="1327" s="456" customFormat="1" ht="20.25" spans="1:17">
      <c r="A1327" s="488">
        <v>45631</v>
      </c>
      <c r="B1327" s="608" t="s">
        <v>455</v>
      </c>
      <c r="C1327" s="490">
        <v>45631</v>
      </c>
      <c r="D1327" s="491"/>
      <c r="E1327" s="491"/>
      <c r="F1327" s="493" t="s">
        <v>125</v>
      </c>
      <c r="G1327" s="491">
        <v>1</v>
      </c>
      <c r="H1327" s="431">
        <v>118</v>
      </c>
      <c r="I1327" s="491">
        <f t="shared" si="159"/>
        <v>118</v>
      </c>
      <c r="J1327" s="492">
        <v>5.9</v>
      </c>
      <c r="K1327" s="492">
        <f>I1327*J1327</f>
        <v>696.2</v>
      </c>
      <c r="L1327" s="536"/>
      <c r="M1327" s="536"/>
      <c r="N1327" s="536"/>
    </row>
    <row r="1328" s="456" customFormat="1" ht="20.25" spans="1:17">
      <c r="A1328" s="488">
        <v>45631</v>
      </c>
      <c r="B1328" s="608" t="s">
        <v>455</v>
      </c>
      <c r="C1328" s="490">
        <v>45631</v>
      </c>
      <c r="D1328" s="491"/>
      <c r="E1328" s="491"/>
      <c r="F1328" s="493" t="s">
        <v>240</v>
      </c>
      <c r="G1328" s="491">
        <v>1</v>
      </c>
      <c r="H1328" s="431">
        <v>75</v>
      </c>
      <c r="I1328" s="491">
        <f t="shared" si="159"/>
        <v>75</v>
      </c>
      <c r="J1328" s="492"/>
      <c r="K1328" s="492"/>
      <c r="L1328" s="536"/>
      <c r="M1328" s="536"/>
      <c r="N1328" s="536"/>
    </row>
    <row r="1329" s="456" customFormat="1" ht="20.25" spans="1:14">
      <c r="A1329" s="488">
        <v>45631</v>
      </c>
      <c r="B1329" s="608" t="s">
        <v>455</v>
      </c>
      <c r="C1329" s="490">
        <v>45631</v>
      </c>
      <c r="D1329" s="491"/>
      <c r="E1329" s="491"/>
      <c r="F1329" s="493" t="s">
        <v>301</v>
      </c>
      <c r="G1329" s="491">
        <v>1</v>
      </c>
      <c r="H1329" s="500">
        <f>SUM(H1323:H1328)</f>
        <v>500</v>
      </c>
      <c r="I1329" s="501">
        <f t="shared" si="159"/>
        <v>500</v>
      </c>
      <c r="J1329" s="502">
        <v>1</v>
      </c>
      <c r="K1329" s="502">
        <f>I1329*J1329</f>
        <v>500</v>
      </c>
      <c r="L1329" s="636">
        <f>SUM(K1323:K1329)</f>
        <v>1721.2</v>
      </c>
      <c r="M1329" s="536"/>
      <c r="N1329" s="536"/>
    </row>
    <row r="1330" s="457" customFormat="1" ht="20.25" spans="1:14">
      <c r="A1330" s="494">
        <v>45632</v>
      </c>
      <c r="B1330" s="457" t="s">
        <v>157</v>
      </c>
      <c r="C1330" s="495">
        <v>45631</v>
      </c>
      <c r="D1330" s="463"/>
      <c r="E1330" s="463"/>
      <c r="F1330" s="496" t="s">
        <v>328</v>
      </c>
      <c r="G1330" s="463">
        <v>1</v>
      </c>
      <c r="H1330" s="463">
        <v>75</v>
      </c>
      <c r="I1330" s="463">
        <f t="shared" ref="I1330:I1337" si="160">G1330*H1330</f>
        <v>75</v>
      </c>
      <c r="J1330" s="497"/>
      <c r="K1330" s="497"/>
    </row>
    <row r="1331" s="457" customFormat="1" ht="20.25" spans="1:14">
      <c r="A1331" s="494">
        <v>45632</v>
      </c>
      <c r="B1331" s="457" t="s">
        <v>157</v>
      </c>
      <c r="C1331" s="495">
        <v>45631</v>
      </c>
      <c r="D1331" s="463"/>
      <c r="E1331" s="463"/>
      <c r="F1331" s="496" t="s">
        <v>329</v>
      </c>
      <c r="G1331" s="463">
        <v>1</v>
      </c>
      <c r="H1331" s="463">
        <v>100</v>
      </c>
      <c r="I1331" s="463">
        <f t="shared" si="160"/>
        <v>100</v>
      </c>
      <c r="J1331" s="497"/>
      <c r="K1331" s="497"/>
    </row>
    <row r="1332" s="457" customFormat="1" ht="20.25" spans="1:14">
      <c r="A1332" s="494">
        <v>45632</v>
      </c>
      <c r="B1332" s="457" t="s">
        <v>157</v>
      </c>
      <c r="C1332" s="495">
        <v>45631</v>
      </c>
      <c r="D1332" s="463"/>
      <c r="E1332" s="463"/>
      <c r="F1332" s="493" t="s">
        <v>530</v>
      </c>
      <c r="G1332" s="463">
        <v>1</v>
      </c>
      <c r="H1332" s="463">
        <v>52</v>
      </c>
      <c r="I1332" s="463">
        <f t="shared" si="160"/>
        <v>52</v>
      </c>
      <c r="J1332" s="497"/>
      <c r="K1332" s="497"/>
    </row>
    <row r="1333" s="457" customFormat="1" ht="20.25" spans="1:14">
      <c r="A1333" s="494">
        <v>45632</v>
      </c>
      <c r="B1333" s="457" t="s">
        <v>157</v>
      </c>
      <c r="C1333" s="495">
        <v>45631</v>
      </c>
      <c r="D1333" s="463"/>
      <c r="E1333" s="463"/>
      <c r="F1333" s="493" t="s">
        <v>529</v>
      </c>
      <c r="G1333" s="463">
        <v>1</v>
      </c>
      <c r="H1333" s="463">
        <v>73</v>
      </c>
      <c r="I1333" s="463">
        <f t="shared" si="160"/>
        <v>73</v>
      </c>
      <c r="J1333" s="497"/>
      <c r="K1333" s="497"/>
    </row>
    <row r="1334" s="457" customFormat="1" ht="20.25" spans="1:14">
      <c r="A1334" s="494">
        <v>45632</v>
      </c>
      <c r="B1334" s="457" t="s">
        <v>157</v>
      </c>
      <c r="C1334" s="495">
        <v>45631</v>
      </c>
      <c r="D1334" s="463"/>
      <c r="E1334" s="463"/>
      <c r="F1334" s="496">
        <v>808</v>
      </c>
      <c r="G1334" s="463">
        <v>1</v>
      </c>
      <c r="H1334" s="463">
        <v>62</v>
      </c>
      <c r="I1334" s="463">
        <f t="shared" si="160"/>
        <v>62</v>
      </c>
      <c r="J1334" s="497">
        <v>10.5</v>
      </c>
      <c r="K1334" s="497">
        <f>I1334*J1334</f>
        <v>651</v>
      </c>
      <c r="L1334" s="457" t="s">
        <v>331</v>
      </c>
    </row>
    <row r="1335" s="457" customFormat="1" ht="20.25" spans="1:14">
      <c r="A1335" s="494">
        <v>45632</v>
      </c>
      <c r="B1335" s="457" t="s">
        <v>157</v>
      </c>
      <c r="C1335" s="495">
        <v>45631</v>
      </c>
      <c r="D1335" s="463"/>
      <c r="E1335" s="463"/>
      <c r="F1335" s="496" t="s">
        <v>115</v>
      </c>
      <c r="G1335" s="463">
        <v>1</v>
      </c>
      <c r="H1335" s="463">
        <v>63</v>
      </c>
      <c r="I1335" s="463">
        <f t="shared" si="160"/>
        <v>63</v>
      </c>
      <c r="J1335" s="497"/>
      <c r="K1335" s="497"/>
      <c r="L1335" s="3" t="s">
        <v>340</v>
      </c>
    </row>
    <row r="1336" s="457" customFormat="1" ht="20.25" spans="1:14">
      <c r="A1336" s="494">
        <v>45632</v>
      </c>
      <c r="B1336" s="457" t="s">
        <v>157</v>
      </c>
      <c r="C1336" s="495">
        <v>45631</v>
      </c>
      <c r="D1336" s="463"/>
      <c r="E1336" s="463"/>
      <c r="F1336" s="496" t="s">
        <v>125</v>
      </c>
      <c r="G1336" s="463">
        <v>1</v>
      </c>
      <c r="H1336" s="463">
        <v>75</v>
      </c>
      <c r="I1336" s="463">
        <f t="shared" si="160"/>
        <v>75</v>
      </c>
      <c r="J1336" s="497">
        <v>5.9</v>
      </c>
      <c r="K1336" s="497">
        <f>I1336*J1336</f>
        <v>442.5</v>
      </c>
      <c r="L1336" s="3"/>
    </row>
    <row r="1337" s="457" customFormat="1" ht="20.25" spans="1:14">
      <c r="A1337" s="494">
        <v>45632</v>
      </c>
      <c r="B1337" s="457" t="s">
        <v>157</v>
      </c>
      <c r="C1337" s="495">
        <v>45631</v>
      </c>
      <c r="D1337" s="463"/>
      <c r="E1337" s="463"/>
      <c r="F1337" s="496" t="s">
        <v>330</v>
      </c>
      <c r="G1337" s="463">
        <v>1</v>
      </c>
      <c r="H1337" s="500">
        <f>SUM(H1330:H1336)</f>
        <v>500</v>
      </c>
      <c r="I1337" s="501">
        <f t="shared" si="160"/>
        <v>500</v>
      </c>
      <c r="J1337" s="502">
        <v>1</v>
      </c>
      <c r="K1337" s="502">
        <f>I1337*J1337</f>
        <v>500</v>
      </c>
      <c r="L1337" s="457">
        <f>SUM(K1330:K1337)</f>
        <v>1593.5</v>
      </c>
    </row>
    <row r="1338" s="456" customFormat="1" ht="20.25" spans="1:14">
      <c r="A1338" s="488">
        <v>45632</v>
      </c>
      <c r="B1338" s="456" t="s">
        <v>497</v>
      </c>
      <c r="C1338" s="490">
        <v>45632</v>
      </c>
      <c r="D1338" s="491"/>
      <c r="E1338" s="491"/>
      <c r="F1338" s="493" t="s">
        <v>122</v>
      </c>
      <c r="G1338" s="491">
        <v>1</v>
      </c>
      <c r="H1338" s="431">
        <v>100</v>
      </c>
      <c r="I1338" s="491">
        <f t="shared" ref="I1338:I1356" si="161">G1338*H1338</f>
        <v>100</v>
      </c>
      <c r="J1338" s="492"/>
      <c r="K1338" s="492"/>
      <c r="L1338" s="536"/>
      <c r="M1338" s="536"/>
      <c r="N1338" s="536"/>
    </row>
    <row r="1339" s="456" customFormat="1" ht="20.25" spans="1:14">
      <c r="A1339" s="488">
        <v>45632</v>
      </c>
      <c r="B1339" s="456" t="s">
        <v>497</v>
      </c>
      <c r="C1339" s="490">
        <v>45632</v>
      </c>
      <c r="D1339" s="491"/>
      <c r="E1339" s="491"/>
      <c r="F1339" s="493" t="s">
        <v>123</v>
      </c>
      <c r="G1339" s="491">
        <v>1</v>
      </c>
      <c r="H1339" s="431">
        <v>12</v>
      </c>
      <c r="I1339" s="491">
        <f t="shared" si="161"/>
        <v>12</v>
      </c>
      <c r="J1339" s="492"/>
      <c r="K1339" s="492"/>
      <c r="L1339" s="536"/>
      <c r="M1339" s="536"/>
      <c r="N1339" s="536"/>
    </row>
    <row r="1340" s="456" customFormat="1" ht="20.25" spans="1:14">
      <c r="A1340" s="488">
        <v>45632</v>
      </c>
      <c r="B1340" s="456" t="s">
        <v>497</v>
      </c>
      <c r="C1340" s="490">
        <v>45632</v>
      </c>
      <c r="D1340" s="491"/>
      <c r="E1340" s="491"/>
      <c r="F1340" s="493" t="s">
        <v>124</v>
      </c>
      <c r="G1340" s="491">
        <v>1</v>
      </c>
      <c r="H1340" s="431">
        <v>60</v>
      </c>
      <c r="I1340" s="491">
        <f t="shared" si="161"/>
        <v>60</v>
      </c>
      <c r="J1340" s="492"/>
      <c r="K1340" s="492"/>
      <c r="L1340" s="536"/>
      <c r="M1340" s="536"/>
      <c r="N1340" s="536"/>
    </row>
    <row r="1341" s="456" customFormat="1" ht="20.25" spans="1:14">
      <c r="A1341" s="488">
        <v>45632</v>
      </c>
      <c r="B1341" s="456" t="s">
        <v>497</v>
      </c>
      <c r="C1341" s="490">
        <v>45632</v>
      </c>
      <c r="D1341" s="491"/>
      <c r="E1341" s="491"/>
      <c r="F1341" s="493" t="s">
        <v>530</v>
      </c>
      <c r="G1341" s="491">
        <v>1</v>
      </c>
      <c r="H1341" s="431">
        <v>21</v>
      </c>
      <c r="I1341" s="491">
        <f t="shared" si="161"/>
        <v>21</v>
      </c>
      <c r="J1341" s="492"/>
      <c r="K1341" s="492"/>
      <c r="L1341" s="536"/>
      <c r="M1341" s="536"/>
      <c r="N1341" s="536"/>
    </row>
    <row r="1342" s="456" customFormat="1" ht="20.25" spans="1:14">
      <c r="A1342" s="488">
        <v>45632</v>
      </c>
      <c r="B1342" s="456" t="s">
        <v>497</v>
      </c>
      <c r="C1342" s="490">
        <v>45632</v>
      </c>
      <c r="D1342" s="491"/>
      <c r="E1342" s="491"/>
      <c r="F1342" s="493" t="s">
        <v>529</v>
      </c>
      <c r="G1342" s="491">
        <v>1</v>
      </c>
      <c r="H1342" s="431">
        <v>58</v>
      </c>
      <c r="I1342" s="491">
        <f t="shared" si="161"/>
        <v>58</v>
      </c>
      <c r="J1342" s="492"/>
      <c r="K1342" s="492"/>
      <c r="L1342" s="536"/>
      <c r="M1342" s="536"/>
      <c r="N1342" s="536"/>
    </row>
    <row r="1343" s="456" customFormat="1" ht="20.25" spans="1:14">
      <c r="A1343" s="488">
        <v>45632</v>
      </c>
      <c r="B1343" s="456" t="s">
        <v>497</v>
      </c>
      <c r="C1343" s="490">
        <v>45632</v>
      </c>
      <c r="D1343" s="491"/>
      <c r="E1343" s="491"/>
      <c r="F1343" s="493">
        <v>808</v>
      </c>
      <c r="G1343" s="491">
        <v>1</v>
      </c>
      <c r="H1343" s="431">
        <v>80</v>
      </c>
      <c r="I1343" s="491">
        <f t="shared" si="161"/>
        <v>80</v>
      </c>
      <c r="J1343" s="491">
        <v>10.5</v>
      </c>
      <c r="K1343" s="492">
        <f t="shared" ref="K1343:K1347" si="162">I1343*J1343</f>
        <v>840</v>
      </c>
      <c r="L1343" s="536"/>
      <c r="M1343" s="536"/>
      <c r="N1343" s="536"/>
    </row>
    <row r="1344" s="456" customFormat="1" ht="20.25" spans="1:14">
      <c r="A1344" s="488">
        <v>45632</v>
      </c>
      <c r="B1344" s="456" t="s">
        <v>497</v>
      </c>
      <c r="C1344" s="490">
        <v>45632</v>
      </c>
      <c r="D1344" s="491"/>
      <c r="E1344" s="491"/>
      <c r="F1344" s="493" t="s">
        <v>125</v>
      </c>
      <c r="G1344" s="491">
        <v>1</v>
      </c>
      <c r="H1344" s="431">
        <v>69</v>
      </c>
      <c r="I1344" s="491">
        <f t="shared" si="161"/>
        <v>69</v>
      </c>
      <c r="J1344" s="491">
        <v>5.9</v>
      </c>
      <c r="K1344" s="492">
        <f t="shared" si="162"/>
        <v>407.1</v>
      </c>
      <c r="L1344" s="536" t="s">
        <v>126</v>
      </c>
      <c r="M1344" s="536"/>
      <c r="N1344" s="536"/>
    </row>
    <row r="1345" s="456" customFormat="1" ht="20.25" spans="1:14">
      <c r="A1345" s="488">
        <v>45632</v>
      </c>
      <c r="B1345" s="456" t="s">
        <v>497</v>
      </c>
      <c r="C1345" s="490">
        <v>45632</v>
      </c>
      <c r="D1345" s="491"/>
      <c r="E1345" s="491"/>
      <c r="F1345" s="499" t="s">
        <v>127</v>
      </c>
      <c r="G1345" s="491">
        <v>1</v>
      </c>
      <c r="H1345" s="431">
        <f>SUM(H1338:H1344)</f>
        <v>400</v>
      </c>
      <c r="I1345" s="491">
        <f t="shared" si="161"/>
        <v>400</v>
      </c>
      <c r="J1345" s="491">
        <v>1</v>
      </c>
      <c r="K1345" s="502">
        <f t="shared" si="162"/>
        <v>400</v>
      </c>
      <c r="L1345" s="536">
        <f>SUM(K1338:K1345)</f>
        <v>1647.1</v>
      </c>
      <c r="M1345" s="536"/>
      <c r="N1345" s="536"/>
    </row>
    <row r="1346" s="457" customFormat="1" ht="20.25" spans="1:14">
      <c r="A1346" s="494">
        <v>45635</v>
      </c>
      <c r="B1346" s="457" t="s">
        <v>69</v>
      </c>
      <c r="C1346" s="519">
        <v>45632</v>
      </c>
      <c r="D1346" s="520"/>
      <c r="E1346" s="520"/>
      <c r="F1346" s="498" t="s">
        <v>531</v>
      </c>
      <c r="G1346" s="463">
        <v>1</v>
      </c>
      <c r="H1346" s="432">
        <v>2</v>
      </c>
      <c r="I1346" s="463">
        <f t="shared" si="161"/>
        <v>2</v>
      </c>
      <c r="J1346" s="463">
        <v>12.5</v>
      </c>
      <c r="K1346" s="497">
        <f t="shared" si="162"/>
        <v>25</v>
      </c>
      <c r="L1346" s="537"/>
      <c r="M1346" s="537"/>
      <c r="N1346" s="537"/>
    </row>
    <row r="1347" s="457" customFormat="1" ht="20.25" spans="1:14">
      <c r="A1347" s="494">
        <v>45635</v>
      </c>
      <c r="B1347" s="457" t="s">
        <v>69</v>
      </c>
      <c r="C1347" s="519">
        <v>45633</v>
      </c>
      <c r="D1347" s="520"/>
      <c r="E1347" s="520"/>
      <c r="F1347" s="498" t="s">
        <v>532</v>
      </c>
      <c r="G1347" s="463">
        <v>1</v>
      </c>
      <c r="H1347" s="432">
        <v>1</v>
      </c>
      <c r="I1347" s="463">
        <f t="shared" si="161"/>
        <v>1</v>
      </c>
      <c r="J1347" s="463">
        <v>7</v>
      </c>
      <c r="K1347" s="497">
        <f t="shared" si="162"/>
        <v>7</v>
      </c>
      <c r="L1347" s="537"/>
      <c r="M1347" s="537"/>
      <c r="N1347" s="537"/>
    </row>
    <row r="1348" s="457" customFormat="1" ht="20.25" spans="1:14">
      <c r="A1348" s="494">
        <v>45635</v>
      </c>
      <c r="B1348" s="457" t="s">
        <v>69</v>
      </c>
      <c r="C1348" s="504">
        <v>45635</v>
      </c>
      <c r="D1348" s="504"/>
      <c r="E1348" s="505"/>
      <c r="F1348" s="496" t="s">
        <v>251</v>
      </c>
      <c r="G1348" s="463">
        <v>1</v>
      </c>
      <c r="H1348" s="432">
        <v>200</v>
      </c>
      <c r="I1348" s="463">
        <f t="shared" si="161"/>
        <v>200</v>
      </c>
      <c r="J1348" s="497"/>
      <c r="K1348" s="497"/>
    </row>
    <row r="1349" s="457" customFormat="1" ht="20.25" spans="1:14">
      <c r="A1349" s="494">
        <v>45635</v>
      </c>
      <c r="B1349" s="457" t="s">
        <v>69</v>
      </c>
      <c r="C1349" s="504">
        <v>45635</v>
      </c>
      <c r="D1349" s="504"/>
      <c r="E1349" s="505"/>
      <c r="F1349" s="496" t="s">
        <v>129</v>
      </c>
      <c r="G1349" s="463">
        <v>1</v>
      </c>
      <c r="H1349" s="432">
        <v>150</v>
      </c>
      <c r="I1349" s="463">
        <f t="shared" si="161"/>
        <v>150</v>
      </c>
      <c r="J1349" s="497"/>
      <c r="K1349" s="497"/>
    </row>
    <row r="1350" s="457" customFormat="1" ht="20.25" spans="1:14">
      <c r="A1350" s="494">
        <v>45635</v>
      </c>
      <c r="B1350" s="457" t="s">
        <v>69</v>
      </c>
      <c r="C1350" s="504">
        <v>45635</v>
      </c>
      <c r="D1350" s="504"/>
      <c r="E1350" s="505"/>
      <c r="F1350" s="496">
        <v>808</v>
      </c>
      <c r="G1350" s="463">
        <v>1</v>
      </c>
      <c r="H1350" s="432">
        <v>200</v>
      </c>
      <c r="I1350" s="463">
        <f t="shared" si="161"/>
        <v>200</v>
      </c>
      <c r="J1350" s="497">
        <v>10.5</v>
      </c>
      <c r="K1350" s="497">
        <f t="shared" ref="K1350:K1352" si="163">I1350*J1350</f>
        <v>2100</v>
      </c>
    </row>
    <row r="1351" s="457" customFormat="1" ht="20.25" spans="1:14">
      <c r="A1351" s="494">
        <v>45635</v>
      </c>
      <c r="B1351" s="457" t="s">
        <v>69</v>
      </c>
      <c r="C1351" s="504">
        <v>45635</v>
      </c>
      <c r="D1351" s="504"/>
      <c r="E1351" s="505"/>
      <c r="F1351" s="496" t="s">
        <v>125</v>
      </c>
      <c r="G1351" s="463">
        <v>1</v>
      </c>
      <c r="H1351" s="432">
        <v>60</v>
      </c>
      <c r="I1351" s="463">
        <f t="shared" si="161"/>
        <v>60</v>
      </c>
      <c r="J1351" s="497">
        <v>5.9</v>
      </c>
      <c r="K1351" s="497">
        <f t="shared" si="163"/>
        <v>354</v>
      </c>
    </row>
    <row r="1352" s="457" customFormat="1" ht="20.25" spans="1:14">
      <c r="A1352" s="494">
        <v>45635</v>
      </c>
      <c r="B1352" s="457" t="s">
        <v>69</v>
      </c>
      <c r="C1352" s="504">
        <v>45635</v>
      </c>
      <c r="D1352" s="504"/>
      <c r="E1352" s="505"/>
      <c r="F1352" s="496" t="s">
        <v>152</v>
      </c>
      <c r="G1352" s="463">
        <v>1</v>
      </c>
      <c r="H1352" s="432">
        <v>125</v>
      </c>
      <c r="I1352" s="463">
        <f t="shared" si="161"/>
        <v>125</v>
      </c>
      <c r="J1352" s="497">
        <v>7.2</v>
      </c>
      <c r="K1352" s="497">
        <f t="shared" si="163"/>
        <v>900</v>
      </c>
    </row>
    <row r="1353" s="457" customFormat="1" ht="20.25" spans="1:14">
      <c r="A1353" s="494">
        <v>45635</v>
      </c>
      <c r="B1353" s="457" t="s">
        <v>69</v>
      </c>
      <c r="C1353" s="504">
        <v>45635</v>
      </c>
      <c r="D1353" s="504"/>
      <c r="E1353" s="505"/>
      <c r="F1353" s="496" t="s">
        <v>530</v>
      </c>
      <c r="G1353" s="463">
        <v>1</v>
      </c>
      <c r="H1353" s="432">
        <v>51</v>
      </c>
      <c r="I1353" s="463">
        <f t="shared" si="161"/>
        <v>51</v>
      </c>
      <c r="J1353" s="497"/>
      <c r="K1353" s="497"/>
      <c r="L1353" s="537"/>
      <c r="M1353" s="537"/>
      <c r="N1353" s="537" t="s">
        <v>495</v>
      </c>
    </row>
    <row r="1354" s="457" customFormat="1" ht="20.25" spans="1:14">
      <c r="A1354" s="494">
        <v>45635</v>
      </c>
      <c r="B1354" s="457" t="s">
        <v>69</v>
      </c>
      <c r="C1354" s="504">
        <v>45635</v>
      </c>
      <c r="D1354" s="504"/>
      <c r="E1354" s="505"/>
      <c r="F1354" s="496" t="s">
        <v>529</v>
      </c>
      <c r="G1354" s="463">
        <v>1</v>
      </c>
      <c r="H1354" s="432">
        <v>214</v>
      </c>
      <c r="I1354" s="463">
        <f t="shared" si="161"/>
        <v>214</v>
      </c>
      <c r="J1354" s="497"/>
      <c r="K1354" s="497"/>
      <c r="L1354" s="537"/>
      <c r="M1354" s="537" t="s">
        <v>126</v>
      </c>
      <c r="N1354" s="537"/>
    </row>
    <row r="1355" s="457" customFormat="1" ht="20.25" spans="1:14">
      <c r="A1355" s="494">
        <v>45635</v>
      </c>
      <c r="B1355" s="457" t="s">
        <v>69</v>
      </c>
      <c r="C1355" s="504">
        <v>45635</v>
      </c>
      <c r="D1355" s="504"/>
      <c r="E1355" s="505"/>
      <c r="F1355" s="496" t="s">
        <v>130</v>
      </c>
      <c r="G1355" s="463">
        <v>1</v>
      </c>
      <c r="H1355" s="500">
        <f>SUM(H1348:H1354)</f>
        <v>1000</v>
      </c>
      <c r="I1355" s="501">
        <f t="shared" si="161"/>
        <v>1000</v>
      </c>
      <c r="J1355" s="502">
        <v>1</v>
      </c>
      <c r="K1355" s="502">
        <f>I1355*J1355</f>
        <v>1000</v>
      </c>
      <c r="L1355" s="537">
        <f>SUM(K1346:K1355)</f>
        <v>4386</v>
      </c>
      <c r="M1355" s="537"/>
      <c r="N1355" s="537" t="s">
        <v>399</v>
      </c>
    </row>
    <row r="1356" s="456" customFormat="1" ht="21" customHeight="1" spans="1:14">
      <c r="A1356" s="488">
        <v>45635</v>
      </c>
      <c r="B1356" s="456" t="s">
        <v>457</v>
      </c>
      <c r="C1356" s="490">
        <v>45635</v>
      </c>
      <c r="D1356" s="491"/>
      <c r="E1356" s="491"/>
      <c r="F1356" s="493" t="s">
        <v>16</v>
      </c>
      <c r="G1356" s="491">
        <v>1</v>
      </c>
      <c r="H1356" s="431">
        <v>150</v>
      </c>
      <c r="I1356" s="491">
        <f t="shared" si="161"/>
        <v>150</v>
      </c>
      <c r="J1356" s="492">
        <v>13.5</v>
      </c>
      <c r="K1356" s="492"/>
    </row>
    <row r="1357" s="456" customFormat="1" ht="20.25" spans="1:14">
      <c r="A1357" s="488">
        <v>45635</v>
      </c>
      <c r="B1357" s="456" t="s">
        <v>457</v>
      </c>
      <c r="C1357" s="490">
        <v>45635</v>
      </c>
      <c r="D1357" s="491"/>
      <c r="E1357" s="491"/>
      <c r="F1357" s="493" t="s">
        <v>533</v>
      </c>
      <c r="G1357" s="491">
        <v>1</v>
      </c>
      <c r="H1357" s="431">
        <v>147</v>
      </c>
      <c r="I1357" s="491">
        <f t="shared" ref="I1357:I1364" si="164">G1357*H1357</f>
        <v>147</v>
      </c>
      <c r="J1357" s="492">
        <v>14.1</v>
      </c>
      <c r="K1357" s="492"/>
    </row>
    <row r="1358" s="456" customFormat="1" ht="20.25" spans="1:14">
      <c r="A1358" s="488">
        <v>45635</v>
      </c>
      <c r="B1358" s="456" t="s">
        <v>457</v>
      </c>
      <c r="C1358" s="490">
        <v>45635</v>
      </c>
      <c r="D1358" s="491"/>
      <c r="E1358" s="491"/>
      <c r="F1358" s="493" t="s">
        <v>534</v>
      </c>
      <c r="G1358" s="491">
        <v>1</v>
      </c>
      <c r="H1358" s="431">
        <v>253</v>
      </c>
      <c r="I1358" s="491">
        <f t="shared" si="164"/>
        <v>253</v>
      </c>
      <c r="J1358" s="492">
        <v>11.4</v>
      </c>
      <c r="K1358" s="492"/>
      <c r="M1358" s="536" t="s">
        <v>325</v>
      </c>
      <c r="N1358" s="536" t="s">
        <v>326</v>
      </c>
    </row>
    <row r="1359" s="456" customFormat="1" ht="20.25" spans="1:14">
      <c r="A1359" s="488">
        <v>45635</v>
      </c>
      <c r="B1359" s="456" t="s">
        <v>457</v>
      </c>
      <c r="C1359" s="490">
        <v>45635</v>
      </c>
      <c r="D1359" s="491"/>
      <c r="E1359" s="491"/>
      <c r="F1359" s="493" t="s">
        <v>406</v>
      </c>
      <c r="G1359" s="491">
        <v>1</v>
      </c>
      <c r="H1359" s="431">
        <v>50</v>
      </c>
      <c r="I1359" s="491">
        <f t="shared" si="164"/>
        <v>50</v>
      </c>
      <c r="J1359" s="492">
        <v>10.5</v>
      </c>
      <c r="K1359" s="492">
        <f>I1359*J1359</f>
        <v>525</v>
      </c>
      <c r="M1359" s="456" t="s">
        <v>182</v>
      </c>
    </row>
    <row r="1360" s="456" customFormat="1" ht="20.25" spans="1:14">
      <c r="A1360" s="488">
        <v>45635</v>
      </c>
      <c r="B1360" s="456" t="s">
        <v>457</v>
      </c>
      <c r="C1360" s="490">
        <v>45635</v>
      </c>
      <c r="D1360" s="491"/>
      <c r="E1360" s="491"/>
      <c r="F1360" s="493" t="s">
        <v>152</v>
      </c>
      <c r="G1360" s="491">
        <v>1</v>
      </c>
      <c r="H1360" s="431">
        <v>154</v>
      </c>
      <c r="I1360" s="491">
        <f t="shared" si="164"/>
        <v>154</v>
      </c>
      <c r="J1360" s="492">
        <v>7.2</v>
      </c>
      <c r="K1360" s="492">
        <f>I1360*J1360</f>
        <v>1108.8</v>
      </c>
    </row>
    <row r="1361" s="456" customFormat="1" ht="20.25" spans="1:18">
      <c r="A1361" s="488">
        <v>45635</v>
      </c>
      <c r="B1361" s="456" t="s">
        <v>457</v>
      </c>
      <c r="C1361" s="490">
        <v>45635</v>
      </c>
      <c r="D1361" s="491"/>
      <c r="E1361" s="491"/>
      <c r="F1361" s="493" t="s">
        <v>125</v>
      </c>
      <c r="G1361" s="491">
        <v>1</v>
      </c>
      <c r="H1361" s="431">
        <v>96</v>
      </c>
      <c r="I1361" s="491">
        <f t="shared" si="164"/>
        <v>96</v>
      </c>
      <c r="J1361" s="492">
        <v>5.9</v>
      </c>
      <c r="K1361" s="492">
        <f>I1361*J1361</f>
        <v>566.4</v>
      </c>
    </row>
    <row r="1362" s="456" customFormat="1" ht="20.25" spans="1:18">
      <c r="A1362" s="488">
        <v>45635</v>
      </c>
      <c r="B1362" s="456" t="s">
        <v>457</v>
      </c>
      <c r="C1362" s="490">
        <v>45635</v>
      </c>
      <c r="D1362" s="491"/>
      <c r="E1362" s="491"/>
      <c r="F1362" s="493" t="s">
        <v>183</v>
      </c>
      <c r="G1362" s="491">
        <v>1</v>
      </c>
      <c r="H1362" s="431">
        <v>150</v>
      </c>
      <c r="I1362" s="491">
        <f t="shared" si="164"/>
        <v>150</v>
      </c>
      <c r="J1362" s="492"/>
      <c r="K1362" s="492"/>
      <c r="M1362" s="456" t="s">
        <v>184</v>
      </c>
      <c r="N1362" s="456" t="s">
        <v>185</v>
      </c>
    </row>
    <row r="1363" s="456" customFormat="1" ht="20.25" spans="1:18">
      <c r="A1363" s="488">
        <v>45635</v>
      </c>
      <c r="B1363" s="456" t="s">
        <v>457</v>
      </c>
      <c r="C1363" s="490">
        <v>45635</v>
      </c>
      <c r="D1363" s="491"/>
      <c r="E1363" s="491"/>
      <c r="F1363" s="493" t="s">
        <v>186</v>
      </c>
      <c r="G1363" s="491">
        <v>1</v>
      </c>
      <c r="H1363" s="431">
        <f>SUM(H1356:H1362)</f>
        <v>1000</v>
      </c>
      <c r="I1363" s="491">
        <f t="shared" si="164"/>
        <v>1000</v>
      </c>
      <c r="J1363" s="492">
        <v>1</v>
      </c>
      <c r="K1363" s="492">
        <f>I1363*J1363</f>
        <v>1000</v>
      </c>
      <c r="R1363" s="456" t="s">
        <v>359</v>
      </c>
    </row>
    <row r="1364" s="459" customFormat="1" ht="20.25" spans="1:18">
      <c r="A1364" s="488">
        <v>45635</v>
      </c>
      <c r="B1364" s="456" t="s">
        <v>457</v>
      </c>
      <c r="C1364" s="490" t="s">
        <v>535</v>
      </c>
      <c r="D1364" s="491"/>
      <c r="E1364" s="491"/>
      <c r="F1364" s="498" t="s">
        <v>536</v>
      </c>
      <c r="G1364" s="491">
        <v>-4</v>
      </c>
      <c r="H1364" s="431">
        <v>10</v>
      </c>
      <c r="I1364" s="491">
        <f t="shared" si="164"/>
        <v>-40</v>
      </c>
      <c r="J1364" s="492">
        <v>22</v>
      </c>
      <c r="K1364" s="492">
        <f>I1364*J1364</f>
        <v>-880</v>
      </c>
      <c r="L1364" s="606">
        <f>SUM(K1356:K1364)</f>
        <v>2320.2</v>
      </c>
      <c r="M1364" s="606"/>
      <c r="N1364" s="606"/>
    </row>
    <row r="1365" s="457" customFormat="1" ht="20.25" spans="1:18">
      <c r="A1365" s="494">
        <v>45636</v>
      </c>
      <c r="B1365" s="457" t="s">
        <v>537</v>
      </c>
      <c r="C1365" s="495">
        <v>45636</v>
      </c>
      <c r="D1365" s="463"/>
      <c r="E1365" s="463"/>
      <c r="F1365" s="496" t="s">
        <v>256</v>
      </c>
      <c r="G1365" s="463">
        <v>1</v>
      </c>
      <c r="H1365" s="432">
        <v>100</v>
      </c>
      <c r="I1365" s="463">
        <f t="shared" ref="I1365:I1372" si="165">G1365*H1365</f>
        <v>100</v>
      </c>
      <c r="J1365" s="497"/>
      <c r="K1365" s="497"/>
      <c r="L1365" s="537"/>
      <c r="M1365" s="537"/>
      <c r="N1365" s="537"/>
      <c r="O1365" s="456"/>
    </row>
    <row r="1366" s="457" customFormat="1" ht="20.25" spans="1:18">
      <c r="A1366" s="494">
        <v>45636</v>
      </c>
      <c r="B1366" s="457" t="s">
        <v>537</v>
      </c>
      <c r="C1366" s="495">
        <v>45636</v>
      </c>
      <c r="D1366" s="463"/>
      <c r="E1366" s="463"/>
      <c r="F1366" s="496">
        <v>808</v>
      </c>
      <c r="G1366" s="463">
        <v>1</v>
      </c>
      <c r="H1366" s="432">
        <v>80</v>
      </c>
      <c r="I1366" s="463">
        <f t="shared" si="165"/>
        <v>80</v>
      </c>
      <c r="J1366" s="497">
        <v>10.5</v>
      </c>
      <c r="K1366" s="497">
        <f>I1366*J1366</f>
        <v>840</v>
      </c>
      <c r="L1366" s="537"/>
      <c r="M1366" s="537"/>
      <c r="N1366" s="537"/>
      <c r="O1366" s="456"/>
    </row>
    <row r="1367" s="457" customFormat="1" ht="20.25" spans="1:18">
      <c r="A1367" s="494">
        <v>45636</v>
      </c>
      <c r="B1367" s="457" t="s">
        <v>537</v>
      </c>
      <c r="C1367" s="495">
        <v>45636</v>
      </c>
      <c r="D1367" s="463"/>
      <c r="E1367" s="463"/>
      <c r="F1367" s="496" t="s">
        <v>125</v>
      </c>
      <c r="G1367" s="463">
        <v>1</v>
      </c>
      <c r="H1367" s="432">
        <v>94</v>
      </c>
      <c r="I1367" s="463">
        <f t="shared" si="165"/>
        <v>94</v>
      </c>
      <c r="J1367" s="497">
        <v>5.9</v>
      </c>
      <c r="K1367" s="497">
        <f>I1367*J1367</f>
        <v>554.6</v>
      </c>
      <c r="L1367" s="537"/>
      <c r="M1367" s="537"/>
      <c r="N1367" s="537"/>
      <c r="O1367" s="456"/>
    </row>
    <row r="1368" s="457" customFormat="1" ht="20.25" spans="1:18">
      <c r="A1368" s="494">
        <v>45636</v>
      </c>
      <c r="B1368" s="457" t="s">
        <v>537</v>
      </c>
      <c r="C1368" s="495">
        <v>45636</v>
      </c>
      <c r="D1368" s="463"/>
      <c r="E1368" s="463"/>
      <c r="F1368" s="496" t="s">
        <v>152</v>
      </c>
      <c r="G1368" s="463">
        <v>1</v>
      </c>
      <c r="H1368" s="432">
        <v>40</v>
      </c>
      <c r="I1368" s="463">
        <f t="shared" si="165"/>
        <v>40</v>
      </c>
      <c r="J1368" s="497">
        <v>6.8</v>
      </c>
      <c r="K1368" s="497">
        <f>I1368*J1368</f>
        <v>272</v>
      </c>
      <c r="L1368" s="606" t="s">
        <v>307</v>
      </c>
      <c r="M1368" s="537"/>
      <c r="N1368" s="537"/>
      <c r="O1368" s="456"/>
    </row>
    <row r="1369" s="457" customFormat="1" ht="20.25" spans="1:18">
      <c r="A1369" s="494">
        <v>45636</v>
      </c>
      <c r="B1369" s="457" t="s">
        <v>537</v>
      </c>
      <c r="C1369" s="495">
        <v>45636</v>
      </c>
      <c r="D1369" s="463"/>
      <c r="E1369" s="463"/>
      <c r="F1369" s="496" t="s">
        <v>132</v>
      </c>
      <c r="G1369" s="463">
        <v>1</v>
      </c>
      <c r="H1369" s="432">
        <v>60</v>
      </c>
      <c r="I1369" s="463">
        <f t="shared" si="165"/>
        <v>60</v>
      </c>
      <c r="J1369" s="497">
        <v>3.6</v>
      </c>
      <c r="K1369" s="497">
        <f>I1369*J1369</f>
        <v>216</v>
      </c>
      <c r="L1369" s="537" t="s">
        <v>116</v>
      </c>
      <c r="M1369" s="537"/>
      <c r="N1369" s="537"/>
      <c r="O1369" s="456"/>
    </row>
    <row r="1370" s="457" customFormat="1" ht="20.25" spans="1:18">
      <c r="A1370" s="494">
        <v>45636</v>
      </c>
      <c r="B1370" s="457" t="s">
        <v>537</v>
      </c>
      <c r="C1370" s="495">
        <v>45636</v>
      </c>
      <c r="D1370" s="463"/>
      <c r="E1370" s="463"/>
      <c r="F1370" s="496" t="s">
        <v>191</v>
      </c>
      <c r="G1370" s="463">
        <v>1</v>
      </c>
      <c r="H1370" s="432">
        <v>22</v>
      </c>
      <c r="I1370" s="463">
        <f t="shared" si="165"/>
        <v>22</v>
      </c>
      <c r="J1370" s="497">
        <v>17</v>
      </c>
      <c r="K1370" s="497">
        <f>I1370*J1370</f>
        <v>374</v>
      </c>
      <c r="L1370" s="499" t="s">
        <v>308</v>
      </c>
      <c r="M1370" s="537"/>
      <c r="N1370" s="537"/>
      <c r="O1370" s="456"/>
    </row>
    <row r="1371" s="457" customFormat="1" ht="20.25" spans="1:18">
      <c r="A1371" s="494">
        <v>45636</v>
      </c>
      <c r="B1371" s="457" t="s">
        <v>537</v>
      </c>
      <c r="C1371" s="495">
        <v>45636</v>
      </c>
      <c r="D1371" s="463"/>
      <c r="E1371" s="463"/>
      <c r="F1371" s="496" t="s">
        <v>129</v>
      </c>
      <c r="G1371" s="463">
        <v>1</v>
      </c>
      <c r="H1371" s="432">
        <v>84</v>
      </c>
      <c r="I1371" s="463">
        <f t="shared" si="165"/>
        <v>84</v>
      </c>
      <c r="J1371" s="497"/>
      <c r="K1371" s="497"/>
      <c r="L1371" s="537"/>
      <c r="M1371" s="537"/>
      <c r="N1371" s="537"/>
      <c r="O1371" s="456"/>
    </row>
    <row r="1372" s="457" customFormat="1" ht="20.25" spans="1:18">
      <c r="A1372" s="494">
        <v>45636</v>
      </c>
      <c r="B1372" s="457" t="s">
        <v>537</v>
      </c>
      <c r="C1372" s="495">
        <v>45636</v>
      </c>
      <c r="D1372" s="463"/>
      <c r="E1372" s="463"/>
      <c r="F1372" s="496" t="s">
        <v>257</v>
      </c>
      <c r="G1372" s="463">
        <v>1</v>
      </c>
      <c r="H1372" s="500">
        <f>SUM(H1365:H1371)</f>
        <v>480</v>
      </c>
      <c r="I1372" s="501">
        <f t="shared" si="165"/>
        <v>480</v>
      </c>
      <c r="J1372" s="502">
        <v>1</v>
      </c>
      <c r="K1372" s="502">
        <f t="shared" ref="K1372:K1377" si="166">I1372*J1372</f>
        <v>480</v>
      </c>
      <c r="L1372" s="537">
        <f>SUM(K1365:K1372)</f>
        <v>2736.6</v>
      </c>
      <c r="M1372" s="537">
        <f>SUM(K1365:K1372)</f>
        <v>2736.6</v>
      </c>
      <c r="N1372" s="537"/>
      <c r="O1372" s="456"/>
    </row>
    <row r="1373" s="456" customFormat="1" ht="20.25" spans="1:18">
      <c r="A1373" s="488">
        <v>45638</v>
      </c>
      <c r="B1373" s="456" t="s">
        <v>369</v>
      </c>
      <c r="C1373" s="490"/>
      <c r="D1373" s="491"/>
      <c r="E1373" s="491"/>
      <c r="F1373" s="522" t="s">
        <v>538</v>
      </c>
      <c r="G1373" s="491">
        <v>1</v>
      </c>
      <c r="H1373" s="431">
        <v>7</v>
      </c>
      <c r="I1373" s="491">
        <f t="shared" ref="I1373:I1405" si="167">G1373*H1373</f>
        <v>7</v>
      </c>
      <c r="J1373" s="492">
        <v>18</v>
      </c>
      <c r="K1373" s="492">
        <f t="shared" si="166"/>
        <v>126</v>
      </c>
      <c r="L1373" s="536" t="s">
        <v>539</v>
      </c>
      <c r="M1373" s="536"/>
      <c r="N1373" s="536"/>
    </row>
    <row r="1374" s="456" customFormat="1" ht="20.25" spans="1:18">
      <c r="A1374" s="488">
        <v>45638</v>
      </c>
      <c r="B1374" s="456" t="s">
        <v>369</v>
      </c>
      <c r="C1374" s="490">
        <v>45638</v>
      </c>
      <c r="D1374" s="491"/>
      <c r="E1374" s="491"/>
      <c r="F1374" s="522" t="s">
        <v>237</v>
      </c>
      <c r="G1374" s="491">
        <v>5</v>
      </c>
      <c r="H1374" s="431">
        <v>18</v>
      </c>
      <c r="I1374" s="491">
        <f t="shared" si="167"/>
        <v>90</v>
      </c>
      <c r="J1374" s="492">
        <v>15</v>
      </c>
      <c r="K1374" s="492">
        <f t="shared" si="166"/>
        <v>1350</v>
      </c>
      <c r="L1374" s="536"/>
      <c r="M1374" s="489" t="s">
        <v>31</v>
      </c>
    </row>
    <row r="1375" s="456" customFormat="1" ht="20.25" spans="1:18">
      <c r="A1375" s="488">
        <v>45638</v>
      </c>
      <c r="B1375" s="456" t="s">
        <v>369</v>
      </c>
      <c r="C1375" s="490">
        <v>45638</v>
      </c>
      <c r="D1375" s="491"/>
      <c r="E1375" s="491"/>
      <c r="F1375" s="522" t="s">
        <v>284</v>
      </c>
      <c r="G1375" s="491">
        <v>5</v>
      </c>
      <c r="H1375" s="431">
        <v>10</v>
      </c>
      <c r="I1375" s="491">
        <f t="shared" si="167"/>
        <v>50</v>
      </c>
      <c r="J1375" s="492">
        <v>15.5</v>
      </c>
      <c r="K1375" s="492">
        <f t="shared" si="166"/>
        <v>775</v>
      </c>
      <c r="L1375" s="536" t="s">
        <v>31</v>
      </c>
      <c r="M1375" s="493"/>
    </row>
    <row r="1376" s="456" customFormat="1" ht="20.25" spans="1:18">
      <c r="A1376" s="488">
        <v>45638</v>
      </c>
      <c r="B1376" s="456" t="s">
        <v>369</v>
      </c>
      <c r="C1376" s="490">
        <v>45638</v>
      </c>
      <c r="D1376" s="491"/>
      <c r="E1376" s="491"/>
      <c r="F1376" s="522" t="s">
        <v>284</v>
      </c>
      <c r="G1376" s="491">
        <v>10</v>
      </c>
      <c r="H1376" s="431">
        <v>4</v>
      </c>
      <c r="I1376" s="491">
        <f t="shared" si="167"/>
        <v>40</v>
      </c>
      <c r="J1376" s="492">
        <v>15.5</v>
      </c>
      <c r="K1376" s="492">
        <f t="shared" si="166"/>
        <v>620</v>
      </c>
      <c r="L1376" s="536" t="s">
        <v>31</v>
      </c>
      <c r="M1376" s="489"/>
    </row>
    <row r="1377" s="456" customFormat="1" ht="20.25" spans="1:18">
      <c r="A1377" s="488">
        <v>45638</v>
      </c>
      <c r="B1377" s="456" t="s">
        <v>369</v>
      </c>
      <c r="C1377" s="490">
        <v>45638</v>
      </c>
      <c r="D1377" s="491"/>
      <c r="E1377" s="491"/>
      <c r="F1377" s="522" t="s">
        <v>285</v>
      </c>
      <c r="G1377" s="491">
        <v>10</v>
      </c>
      <c r="H1377" s="431">
        <v>1</v>
      </c>
      <c r="I1377" s="491">
        <f t="shared" si="167"/>
        <v>10</v>
      </c>
      <c r="J1377" s="492">
        <v>5.5</v>
      </c>
      <c r="K1377" s="492">
        <f t="shared" si="166"/>
        <v>55</v>
      </c>
      <c r="L1377" s="536">
        <f>SUM(K1373:K1377)</f>
        <v>2926</v>
      </c>
      <c r="M1377" s="489"/>
    </row>
    <row r="1378" s="457" customFormat="1" ht="20.25" spans="1:18">
      <c r="A1378" s="494">
        <v>45638</v>
      </c>
      <c r="B1378" s="457" t="s">
        <v>370</v>
      </c>
      <c r="C1378" s="495">
        <v>45638</v>
      </c>
      <c r="D1378" s="463"/>
      <c r="E1378" s="463"/>
      <c r="F1378" s="496" t="s">
        <v>16</v>
      </c>
      <c r="G1378" s="463">
        <v>1</v>
      </c>
      <c r="H1378" s="432">
        <v>10</v>
      </c>
      <c r="I1378" s="463">
        <f t="shared" si="167"/>
        <v>10</v>
      </c>
      <c r="J1378" s="497"/>
      <c r="K1378" s="497"/>
    </row>
    <row r="1379" s="457" customFormat="1" ht="20.25" spans="1:18">
      <c r="A1379" s="494">
        <v>45638</v>
      </c>
      <c r="B1379" s="457" t="s">
        <v>370</v>
      </c>
      <c r="C1379" s="495">
        <v>45638</v>
      </c>
      <c r="D1379" s="463"/>
      <c r="E1379" s="463"/>
      <c r="F1379" s="496" t="s">
        <v>93</v>
      </c>
      <c r="G1379" s="463">
        <v>1</v>
      </c>
      <c r="H1379" s="432">
        <v>25</v>
      </c>
      <c r="I1379" s="463">
        <f t="shared" si="167"/>
        <v>25</v>
      </c>
      <c r="J1379" s="497"/>
      <c r="K1379" s="497"/>
    </row>
    <row r="1380" s="457" customFormat="1" ht="20.25" spans="1:18">
      <c r="A1380" s="494">
        <v>45638</v>
      </c>
      <c r="B1380" s="457" t="s">
        <v>370</v>
      </c>
      <c r="C1380" s="495">
        <v>45638</v>
      </c>
      <c r="D1380" s="463"/>
      <c r="E1380" s="463"/>
      <c r="F1380" s="496" t="s">
        <v>82</v>
      </c>
      <c r="G1380" s="463">
        <v>1</v>
      </c>
      <c r="H1380" s="432">
        <v>5</v>
      </c>
      <c r="I1380" s="463">
        <f t="shared" si="167"/>
        <v>5</v>
      </c>
      <c r="J1380" s="497">
        <v>7.8</v>
      </c>
      <c r="K1380" s="497">
        <f>I1380*J1380</f>
        <v>39</v>
      </c>
      <c r="M1380" s="457" t="s">
        <v>540</v>
      </c>
    </row>
    <row r="1381" s="457" customFormat="1" ht="20.25" spans="1:18">
      <c r="A1381" s="494">
        <v>45638</v>
      </c>
      <c r="B1381" s="457" t="s">
        <v>370</v>
      </c>
      <c r="C1381" s="495">
        <v>45638</v>
      </c>
      <c r="D1381" s="463"/>
      <c r="E1381" s="463"/>
      <c r="F1381" s="496">
        <v>808</v>
      </c>
      <c r="G1381" s="463">
        <v>1</v>
      </c>
      <c r="H1381" s="432">
        <v>5</v>
      </c>
      <c r="I1381" s="463">
        <f t="shared" si="167"/>
        <v>5</v>
      </c>
      <c r="J1381" s="497">
        <v>9.3</v>
      </c>
      <c r="K1381" s="497">
        <f>I1381*J1381</f>
        <v>46.5</v>
      </c>
    </row>
    <row r="1382" s="457" customFormat="1" ht="20.25" spans="1:18">
      <c r="A1382" s="494">
        <v>45638</v>
      </c>
      <c r="B1382" s="457" t="s">
        <v>370</v>
      </c>
      <c r="C1382" s="495">
        <v>45638</v>
      </c>
      <c r="D1382" s="463"/>
      <c r="E1382" s="463"/>
      <c r="F1382" s="496" t="s">
        <v>95</v>
      </c>
      <c r="G1382" s="463">
        <v>1</v>
      </c>
      <c r="H1382" s="500">
        <f>SUM(H1378:H1381)</f>
        <v>45</v>
      </c>
      <c r="I1382" s="501">
        <f t="shared" si="167"/>
        <v>45</v>
      </c>
      <c r="J1382" s="502">
        <v>5</v>
      </c>
      <c r="K1382" s="502">
        <f t="shared" ref="K1382:K1389" si="168">I1382*J1382</f>
        <v>225</v>
      </c>
    </row>
    <row r="1383" s="457" customFormat="1" ht="20.25" spans="1:18">
      <c r="A1383" s="494">
        <v>45638</v>
      </c>
      <c r="B1383" s="457" t="s">
        <v>370</v>
      </c>
      <c r="C1383" s="495">
        <v>45638</v>
      </c>
      <c r="D1383" s="463"/>
      <c r="E1383" s="463"/>
      <c r="F1383" s="496" t="s">
        <v>532</v>
      </c>
      <c r="G1383" s="463">
        <v>1</v>
      </c>
      <c r="H1383" s="432">
        <v>1</v>
      </c>
      <c r="I1383" s="463">
        <f t="shared" si="167"/>
        <v>1</v>
      </c>
      <c r="J1383" s="497">
        <v>7</v>
      </c>
      <c r="K1383" s="497">
        <f t="shared" si="168"/>
        <v>7</v>
      </c>
      <c r="L1383" s="457">
        <f>SUM(K1378:K1383)</f>
        <v>317.5</v>
      </c>
    </row>
    <row r="1384" s="456" customFormat="1" ht="21" customHeight="1" spans="1:18">
      <c r="A1384" s="488">
        <v>45640</v>
      </c>
      <c r="B1384" s="456" t="s">
        <v>270</v>
      </c>
      <c r="C1384" s="490">
        <v>45639</v>
      </c>
      <c r="D1384" s="491"/>
      <c r="E1384" s="491"/>
      <c r="F1384" s="493" t="s">
        <v>16</v>
      </c>
      <c r="G1384" s="491">
        <v>1</v>
      </c>
      <c r="H1384" s="431">
        <v>150</v>
      </c>
      <c r="I1384" s="491">
        <f t="shared" si="167"/>
        <v>150</v>
      </c>
      <c r="J1384" s="492">
        <v>13.5</v>
      </c>
      <c r="K1384" s="492"/>
    </row>
    <row r="1385" s="456" customFormat="1" ht="20.25" spans="1:18">
      <c r="A1385" s="488">
        <v>45640</v>
      </c>
      <c r="B1385" s="456" t="s">
        <v>270</v>
      </c>
      <c r="C1385" s="490">
        <v>45639</v>
      </c>
      <c r="D1385" s="491"/>
      <c r="E1385" s="491"/>
      <c r="F1385" s="493" t="s">
        <v>533</v>
      </c>
      <c r="G1385" s="491">
        <v>1</v>
      </c>
      <c r="H1385" s="431">
        <v>147</v>
      </c>
      <c r="I1385" s="491">
        <f t="shared" si="167"/>
        <v>147</v>
      </c>
      <c r="J1385" s="492">
        <v>14.1</v>
      </c>
      <c r="K1385" s="492"/>
    </row>
    <row r="1386" s="456" customFormat="1" ht="20.25" spans="1:18">
      <c r="A1386" s="488">
        <v>45640</v>
      </c>
      <c r="B1386" s="456" t="s">
        <v>270</v>
      </c>
      <c r="C1386" s="490">
        <v>45639</v>
      </c>
      <c r="D1386" s="491"/>
      <c r="E1386" s="491"/>
      <c r="F1386" s="493" t="s">
        <v>534</v>
      </c>
      <c r="G1386" s="491">
        <v>1</v>
      </c>
      <c r="H1386" s="431">
        <v>253</v>
      </c>
      <c r="I1386" s="491">
        <f t="shared" si="167"/>
        <v>253</v>
      </c>
      <c r="J1386" s="492">
        <v>11.4</v>
      </c>
      <c r="K1386" s="492"/>
      <c r="M1386" s="536" t="s">
        <v>325</v>
      </c>
      <c r="N1386" s="536" t="s">
        <v>326</v>
      </c>
    </row>
    <row r="1387" s="456" customFormat="1" ht="20.25" spans="1:18">
      <c r="A1387" s="488">
        <v>45640</v>
      </c>
      <c r="B1387" s="456" t="s">
        <v>270</v>
      </c>
      <c r="C1387" s="490">
        <v>45639</v>
      </c>
      <c r="D1387" s="491"/>
      <c r="E1387" s="491"/>
      <c r="F1387" s="493" t="s">
        <v>406</v>
      </c>
      <c r="G1387" s="491">
        <v>1</v>
      </c>
      <c r="H1387" s="431">
        <v>50</v>
      </c>
      <c r="I1387" s="491">
        <f t="shared" si="167"/>
        <v>50</v>
      </c>
      <c r="J1387" s="492">
        <v>9.3</v>
      </c>
      <c r="K1387" s="492">
        <f t="shared" si="168"/>
        <v>465</v>
      </c>
      <c r="M1387" s="456" t="s">
        <v>182</v>
      </c>
    </row>
    <row r="1388" s="456" customFormat="1" ht="20.25" spans="1:18">
      <c r="A1388" s="488">
        <v>45640</v>
      </c>
      <c r="B1388" s="456" t="s">
        <v>270</v>
      </c>
      <c r="C1388" s="490">
        <v>45639</v>
      </c>
      <c r="D1388" s="491"/>
      <c r="E1388" s="491"/>
      <c r="F1388" s="493" t="s">
        <v>152</v>
      </c>
      <c r="G1388" s="491">
        <v>1</v>
      </c>
      <c r="H1388" s="431">
        <v>155</v>
      </c>
      <c r="I1388" s="491">
        <f t="shared" si="167"/>
        <v>155</v>
      </c>
      <c r="J1388" s="492">
        <v>6.8</v>
      </c>
      <c r="K1388" s="492">
        <f t="shared" si="168"/>
        <v>1054</v>
      </c>
    </row>
    <row r="1389" s="456" customFormat="1" ht="20.25" spans="1:18">
      <c r="A1389" s="488">
        <v>45640</v>
      </c>
      <c r="B1389" s="456" t="s">
        <v>270</v>
      </c>
      <c r="C1389" s="490">
        <v>45639</v>
      </c>
      <c r="D1389" s="491"/>
      <c r="E1389" s="491"/>
      <c r="F1389" s="493" t="s">
        <v>125</v>
      </c>
      <c r="G1389" s="491">
        <v>1</v>
      </c>
      <c r="H1389" s="431">
        <v>95</v>
      </c>
      <c r="I1389" s="491">
        <f t="shared" si="167"/>
        <v>95</v>
      </c>
      <c r="J1389" s="492">
        <v>5.9</v>
      </c>
      <c r="K1389" s="492">
        <f t="shared" si="168"/>
        <v>560.5</v>
      </c>
    </row>
    <row r="1390" s="456" customFormat="1" ht="20.25" spans="1:18">
      <c r="A1390" s="488">
        <v>45640</v>
      </c>
      <c r="B1390" s="456" t="s">
        <v>270</v>
      </c>
      <c r="C1390" s="490">
        <v>45639</v>
      </c>
      <c r="D1390" s="491"/>
      <c r="E1390" s="491"/>
      <c r="F1390" s="493" t="s">
        <v>183</v>
      </c>
      <c r="G1390" s="491">
        <v>1</v>
      </c>
      <c r="H1390" s="431">
        <v>150</v>
      </c>
      <c r="I1390" s="491">
        <f t="shared" si="167"/>
        <v>150</v>
      </c>
      <c r="J1390" s="492"/>
      <c r="K1390" s="492"/>
      <c r="M1390" s="456" t="s">
        <v>184</v>
      </c>
      <c r="N1390" s="456" t="s">
        <v>185</v>
      </c>
    </row>
    <row r="1391" s="456" customFormat="1" ht="20.25" spans="1:18">
      <c r="A1391" s="488">
        <v>45640</v>
      </c>
      <c r="B1391" s="456" t="s">
        <v>270</v>
      </c>
      <c r="C1391" s="490">
        <v>45639</v>
      </c>
      <c r="D1391" s="491"/>
      <c r="E1391" s="491"/>
      <c r="F1391" s="493" t="s">
        <v>186</v>
      </c>
      <c r="G1391" s="491">
        <v>1</v>
      </c>
      <c r="H1391" s="500">
        <f>SUM(H1384:H1390)</f>
        <v>1000</v>
      </c>
      <c r="I1391" s="501">
        <f t="shared" si="167"/>
        <v>1000</v>
      </c>
      <c r="J1391" s="502">
        <v>1</v>
      </c>
      <c r="K1391" s="502">
        <f t="shared" ref="K1391:K1397" si="169">I1391*J1391</f>
        <v>1000</v>
      </c>
      <c r="L1391" s="456">
        <f>SUM(K1384:K1391)</f>
        <v>3079.5</v>
      </c>
      <c r="R1391" s="456" t="s">
        <v>359</v>
      </c>
    </row>
    <row r="1392" s="457" customFormat="1" ht="20.25" spans="1:18">
      <c r="A1392" s="494">
        <v>45640</v>
      </c>
      <c r="B1392" s="457" t="s">
        <v>168</v>
      </c>
      <c r="C1392" s="495">
        <v>45640</v>
      </c>
      <c r="D1392" s="463"/>
      <c r="E1392" s="463"/>
      <c r="F1392" s="496" t="s">
        <v>16</v>
      </c>
      <c r="G1392" s="463">
        <v>2</v>
      </c>
      <c r="H1392" s="432">
        <v>48</v>
      </c>
      <c r="I1392" s="463">
        <f t="shared" si="167"/>
        <v>96</v>
      </c>
      <c r="J1392" s="497"/>
      <c r="K1392" s="497"/>
    </row>
    <row r="1393" s="457" customFormat="1" ht="20.25" spans="1:18">
      <c r="A1393" s="494">
        <v>45640</v>
      </c>
      <c r="B1393" s="457" t="s">
        <v>168</v>
      </c>
      <c r="C1393" s="495">
        <v>45640</v>
      </c>
      <c r="D1393" s="463"/>
      <c r="E1393" s="463"/>
      <c r="F1393" s="496" t="s">
        <v>444</v>
      </c>
      <c r="G1393" s="463">
        <v>2</v>
      </c>
      <c r="H1393" s="432">
        <v>4.5</v>
      </c>
      <c r="I1393" s="463">
        <f t="shared" si="167"/>
        <v>9</v>
      </c>
      <c r="J1393" s="497"/>
      <c r="K1393" s="497"/>
    </row>
    <row r="1394" s="457" customFormat="1" ht="20.25" spans="1:18">
      <c r="A1394" s="494">
        <v>45640</v>
      </c>
      <c r="B1394" s="457" t="s">
        <v>168</v>
      </c>
      <c r="C1394" s="495">
        <v>45640</v>
      </c>
      <c r="D1394" s="463"/>
      <c r="E1394" s="463"/>
      <c r="F1394" s="496">
        <v>996</v>
      </c>
      <c r="G1394" s="463">
        <v>2</v>
      </c>
      <c r="H1394" s="432">
        <v>150</v>
      </c>
      <c r="I1394" s="463">
        <f t="shared" si="167"/>
        <v>300</v>
      </c>
      <c r="J1394" s="497"/>
      <c r="K1394" s="497"/>
      <c r="L1394" s="537"/>
      <c r="M1394" s="537"/>
      <c r="N1394" s="537"/>
    </row>
    <row r="1395" s="457" customFormat="1" ht="20.25" spans="1:18">
      <c r="A1395" s="494">
        <v>45640</v>
      </c>
      <c r="B1395" s="457" t="s">
        <v>168</v>
      </c>
      <c r="C1395" s="495">
        <v>45640</v>
      </c>
      <c r="D1395" s="463"/>
      <c r="E1395" s="463"/>
      <c r="F1395" s="496" t="s">
        <v>12</v>
      </c>
      <c r="G1395" s="463">
        <v>2</v>
      </c>
      <c r="H1395" s="432">
        <v>30</v>
      </c>
      <c r="I1395" s="463">
        <f t="shared" si="167"/>
        <v>60</v>
      </c>
      <c r="J1395" s="497">
        <v>7.8</v>
      </c>
      <c r="K1395" s="497">
        <f t="shared" si="169"/>
        <v>468</v>
      </c>
      <c r="L1395" s="537"/>
      <c r="M1395" s="537"/>
      <c r="N1395" s="537"/>
    </row>
    <row r="1396" s="457" customFormat="1" ht="20.25" spans="1:18">
      <c r="A1396" s="494">
        <v>45640</v>
      </c>
      <c r="B1396" s="457" t="s">
        <v>168</v>
      </c>
      <c r="C1396" s="495">
        <v>45640</v>
      </c>
      <c r="D1396" s="463"/>
      <c r="E1396" s="463"/>
      <c r="F1396" s="496" t="s">
        <v>152</v>
      </c>
      <c r="G1396" s="463">
        <v>2</v>
      </c>
      <c r="H1396" s="432">
        <v>30</v>
      </c>
      <c r="I1396" s="463">
        <f t="shared" si="167"/>
        <v>60</v>
      </c>
      <c r="J1396" s="497">
        <v>6.8</v>
      </c>
      <c r="K1396" s="497">
        <f t="shared" si="169"/>
        <v>408</v>
      </c>
      <c r="L1396" s="537"/>
      <c r="M1396" s="537"/>
      <c r="N1396" s="537"/>
    </row>
    <row r="1397" s="457" customFormat="1" ht="20.25" spans="1:18">
      <c r="A1397" s="494">
        <v>45640</v>
      </c>
      <c r="B1397" s="457" t="s">
        <v>168</v>
      </c>
      <c r="C1397" s="495">
        <v>45640</v>
      </c>
      <c r="D1397" s="463"/>
      <c r="E1397" s="463"/>
      <c r="F1397" s="496" t="s">
        <v>456</v>
      </c>
      <c r="G1397" s="463">
        <v>2</v>
      </c>
      <c r="H1397" s="500">
        <f>SUM(H1392:H1396)</f>
        <v>262.5</v>
      </c>
      <c r="I1397" s="501">
        <f t="shared" si="167"/>
        <v>525</v>
      </c>
      <c r="J1397" s="502">
        <v>3</v>
      </c>
      <c r="K1397" s="502">
        <f t="shared" si="169"/>
        <v>1575</v>
      </c>
      <c r="L1397" s="537">
        <f>SUM(K1392:K1397)</f>
        <v>2451</v>
      </c>
      <c r="M1397" s="537"/>
      <c r="N1397" s="537"/>
    </row>
    <row r="1398" s="456" customFormat="1" ht="21" customHeight="1" spans="1:18">
      <c r="A1398" s="488">
        <v>45640</v>
      </c>
      <c r="B1398" s="456" t="s">
        <v>175</v>
      </c>
      <c r="C1398" s="490">
        <v>45640</v>
      </c>
      <c r="D1398" s="491"/>
      <c r="E1398" s="491"/>
      <c r="F1398" s="493" t="s">
        <v>16</v>
      </c>
      <c r="G1398" s="491">
        <v>1</v>
      </c>
      <c r="H1398" s="431">
        <v>58</v>
      </c>
      <c r="I1398" s="491">
        <f t="shared" si="167"/>
        <v>58</v>
      </c>
      <c r="J1398" s="492"/>
      <c r="K1398" s="492"/>
    </row>
    <row r="1399" s="456" customFormat="1" ht="20.25" spans="1:18">
      <c r="A1399" s="488">
        <v>45640</v>
      </c>
      <c r="B1399" s="456" t="s">
        <v>175</v>
      </c>
      <c r="C1399" s="490">
        <v>45640</v>
      </c>
      <c r="D1399" s="491"/>
      <c r="E1399" s="491"/>
      <c r="F1399" s="493" t="s">
        <v>533</v>
      </c>
      <c r="G1399" s="491">
        <v>1</v>
      </c>
      <c r="H1399" s="431">
        <v>26</v>
      </c>
      <c r="I1399" s="491">
        <f t="shared" si="167"/>
        <v>26</v>
      </c>
      <c r="J1399" s="492"/>
      <c r="K1399" s="492"/>
    </row>
    <row r="1400" s="456" customFormat="1" ht="20.25" spans="1:18">
      <c r="A1400" s="488">
        <v>45640</v>
      </c>
      <c r="B1400" s="456" t="s">
        <v>175</v>
      </c>
      <c r="C1400" s="490">
        <v>45640</v>
      </c>
      <c r="D1400" s="491"/>
      <c r="E1400" s="491"/>
      <c r="F1400" s="493" t="s">
        <v>534</v>
      </c>
      <c r="G1400" s="491">
        <v>1</v>
      </c>
      <c r="H1400" s="431">
        <v>37</v>
      </c>
      <c r="I1400" s="491">
        <f t="shared" si="167"/>
        <v>37</v>
      </c>
      <c r="J1400" s="492"/>
      <c r="K1400" s="492"/>
      <c r="M1400" s="536" t="s">
        <v>325</v>
      </c>
      <c r="N1400" s="536" t="s">
        <v>326</v>
      </c>
    </row>
    <row r="1401" s="456" customFormat="1" ht="20.25" spans="1:18">
      <c r="A1401" s="488">
        <v>45640</v>
      </c>
      <c r="B1401" s="456" t="s">
        <v>175</v>
      </c>
      <c r="C1401" s="490">
        <v>45640</v>
      </c>
      <c r="D1401" s="491"/>
      <c r="E1401" s="491"/>
      <c r="F1401" s="493" t="s">
        <v>406</v>
      </c>
      <c r="G1401" s="491">
        <v>1</v>
      </c>
      <c r="H1401" s="431">
        <v>30</v>
      </c>
      <c r="I1401" s="491">
        <f t="shared" si="167"/>
        <v>30</v>
      </c>
      <c r="J1401" s="492">
        <v>9.3</v>
      </c>
      <c r="K1401" s="492">
        <f>I1401*J1401</f>
        <v>279</v>
      </c>
      <c r="M1401" s="456" t="s">
        <v>541</v>
      </c>
    </row>
    <row r="1402" s="456" customFormat="1" ht="20.25" spans="1:18">
      <c r="A1402" s="488">
        <v>45640</v>
      </c>
      <c r="B1402" s="456" t="s">
        <v>175</v>
      </c>
      <c r="C1402" s="490">
        <v>45640</v>
      </c>
      <c r="D1402" s="491"/>
      <c r="E1402" s="491"/>
      <c r="F1402" s="493" t="s">
        <v>125</v>
      </c>
      <c r="G1402" s="491">
        <v>1</v>
      </c>
      <c r="H1402" s="431">
        <v>38</v>
      </c>
      <c r="I1402" s="491">
        <f t="shared" si="167"/>
        <v>38</v>
      </c>
      <c r="J1402" s="492">
        <v>5.9</v>
      </c>
      <c r="K1402" s="492">
        <f>I1402*J1402</f>
        <v>224.2</v>
      </c>
    </row>
    <row r="1403" s="456" customFormat="1" ht="20.25" spans="1:18">
      <c r="A1403" s="488">
        <v>45640</v>
      </c>
      <c r="B1403" s="456" t="s">
        <v>175</v>
      </c>
      <c r="C1403" s="490">
        <v>45640</v>
      </c>
      <c r="D1403" s="491"/>
      <c r="E1403" s="491"/>
      <c r="F1403" s="493" t="s">
        <v>542</v>
      </c>
      <c r="G1403" s="491">
        <v>1</v>
      </c>
      <c r="H1403" s="431">
        <v>63</v>
      </c>
      <c r="I1403" s="491">
        <f t="shared" si="167"/>
        <v>63</v>
      </c>
      <c r="J1403" s="492"/>
      <c r="K1403" s="492"/>
      <c r="M1403" s="456" t="s">
        <v>184</v>
      </c>
      <c r="N1403" s="456" t="s">
        <v>185</v>
      </c>
    </row>
    <row r="1404" s="456" customFormat="1" ht="20.25" spans="1:18">
      <c r="A1404" s="488">
        <v>45640</v>
      </c>
      <c r="B1404" s="456" t="s">
        <v>175</v>
      </c>
      <c r="C1404" s="490">
        <v>45640</v>
      </c>
      <c r="D1404" s="491"/>
      <c r="E1404" s="491"/>
      <c r="F1404" s="493" t="s">
        <v>543</v>
      </c>
      <c r="G1404" s="491">
        <v>1</v>
      </c>
      <c r="H1404" s="500">
        <f>SUM(H1398:H1403)</f>
        <v>252</v>
      </c>
      <c r="I1404" s="501">
        <f t="shared" si="167"/>
        <v>252</v>
      </c>
      <c r="J1404" s="502">
        <v>1</v>
      </c>
      <c r="K1404" s="502">
        <f t="shared" ref="K1404:K1410" si="170">I1404*J1404</f>
        <v>252</v>
      </c>
      <c r="L1404" s="456">
        <f>SUM(K1398:K1404)</f>
        <v>755.2</v>
      </c>
      <c r="R1404" s="456" t="s">
        <v>359</v>
      </c>
    </row>
    <row r="1405" s="461" customFormat="1" ht="20.25" spans="1:18">
      <c r="A1405" s="540">
        <v>45644</v>
      </c>
      <c r="B1405" s="461" t="s">
        <v>188</v>
      </c>
      <c r="C1405" s="542">
        <v>45642</v>
      </c>
      <c r="D1405" s="523"/>
      <c r="E1405" s="523"/>
      <c r="F1405" s="522" t="s">
        <v>538</v>
      </c>
      <c r="G1405" s="523">
        <v>2</v>
      </c>
      <c r="H1405" s="524">
        <v>20</v>
      </c>
      <c r="I1405" s="523">
        <f t="shared" ref="I1405:I1408" si="171">G1405*H1405</f>
        <v>40</v>
      </c>
      <c r="J1405" s="525">
        <v>18</v>
      </c>
      <c r="K1405" s="525">
        <f t="shared" si="170"/>
        <v>720</v>
      </c>
      <c r="L1405" s="543" t="s">
        <v>539</v>
      </c>
      <c r="M1405" s="543"/>
      <c r="N1405" s="543"/>
    </row>
    <row r="1406" s="461" customFormat="1" ht="20.25" spans="1:18">
      <c r="A1406" s="540">
        <v>45644</v>
      </c>
      <c r="B1406" s="461" t="s">
        <v>188</v>
      </c>
      <c r="C1406" s="542">
        <v>45642</v>
      </c>
      <c r="D1406" s="523"/>
      <c r="E1406" s="523"/>
      <c r="F1406" s="522" t="s">
        <v>544</v>
      </c>
      <c r="G1406" s="523">
        <v>1</v>
      </c>
      <c r="H1406" s="524">
        <v>2</v>
      </c>
      <c r="I1406" s="523">
        <f t="shared" si="171"/>
        <v>2</v>
      </c>
      <c r="J1406" s="525">
        <v>18</v>
      </c>
      <c r="K1406" s="525">
        <f t="shared" si="170"/>
        <v>36</v>
      </c>
      <c r="L1406" s="543"/>
      <c r="M1406" s="541" t="s">
        <v>31</v>
      </c>
    </row>
    <row r="1407" s="461" customFormat="1" ht="20.25" spans="1:18">
      <c r="A1407" s="540">
        <v>45644</v>
      </c>
      <c r="B1407" s="461" t="s">
        <v>188</v>
      </c>
      <c r="C1407" s="542">
        <v>45642</v>
      </c>
      <c r="D1407" s="523"/>
      <c r="E1407" s="523"/>
      <c r="F1407" s="522" t="s">
        <v>431</v>
      </c>
      <c r="G1407" s="523">
        <v>1</v>
      </c>
      <c r="H1407" s="524">
        <v>2</v>
      </c>
      <c r="I1407" s="523">
        <f t="shared" si="171"/>
        <v>2</v>
      </c>
      <c r="J1407" s="525">
        <v>18</v>
      </c>
      <c r="K1407" s="525">
        <f t="shared" si="170"/>
        <v>36</v>
      </c>
      <c r="L1407" s="543"/>
      <c r="M1407" s="522"/>
    </row>
    <row r="1408" s="461" customFormat="1" ht="20.25" spans="1:18">
      <c r="A1408" s="540">
        <v>45644</v>
      </c>
      <c r="B1408" s="461" t="s">
        <v>188</v>
      </c>
      <c r="C1408" s="542">
        <v>45642</v>
      </c>
      <c r="D1408" s="523"/>
      <c r="E1408" s="523"/>
      <c r="F1408" s="522" t="s">
        <v>545</v>
      </c>
      <c r="G1408" s="523">
        <v>1</v>
      </c>
      <c r="H1408" s="524">
        <v>2</v>
      </c>
      <c r="I1408" s="523">
        <f t="shared" si="171"/>
        <v>2</v>
      </c>
      <c r="J1408" s="525">
        <v>18</v>
      </c>
      <c r="K1408" s="525">
        <f t="shared" si="170"/>
        <v>36</v>
      </c>
      <c r="L1408" s="543"/>
      <c r="M1408" s="522"/>
    </row>
    <row r="1409" s="461" customFormat="1" ht="20.25" spans="1:14">
      <c r="A1409" s="540">
        <v>45644</v>
      </c>
      <c r="B1409" s="461" t="s">
        <v>188</v>
      </c>
      <c r="C1409" s="542">
        <v>45642</v>
      </c>
      <c r="D1409" s="523"/>
      <c r="E1409" s="523"/>
      <c r="F1409" s="522" t="s">
        <v>429</v>
      </c>
      <c r="G1409" s="523">
        <v>2</v>
      </c>
      <c r="H1409" s="524">
        <v>10</v>
      </c>
      <c r="I1409" s="523">
        <f t="shared" ref="I1409:I1437" si="172">G1409*H1409</f>
        <v>20</v>
      </c>
      <c r="J1409" s="525">
        <v>15.5</v>
      </c>
      <c r="K1409" s="525">
        <f t="shared" si="170"/>
        <v>310</v>
      </c>
      <c r="L1409" s="656">
        <v>303</v>
      </c>
      <c r="M1409" s="541"/>
    </row>
    <row r="1410" s="461" customFormat="1" ht="20.25" spans="1:14">
      <c r="A1410" s="540">
        <v>45644</v>
      </c>
      <c r="B1410" s="461" t="s">
        <v>188</v>
      </c>
      <c r="C1410" s="542">
        <v>45642</v>
      </c>
      <c r="D1410" s="523"/>
      <c r="E1410" s="523"/>
      <c r="F1410" s="522" t="s">
        <v>285</v>
      </c>
      <c r="G1410" s="523">
        <v>3</v>
      </c>
      <c r="H1410" s="524">
        <v>1</v>
      </c>
      <c r="I1410" s="523">
        <f t="shared" si="172"/>
        <v>3</v>
      </c>
      <c r="J1410" s="525">
        <v>5.5</v>
      </c>
      <c r="K1410" s="525">
        <f t="shared" si="170"/>
        <v>16.5</v>
      </c>
      <c r="L1410" s="543">
        <f>SUM(K1405:K1410)</f>
        <v>1154.5</v>
      </c>
      <c r="M1410" s="541"/>
    </row>
    <row r="1411" s="457" customFormat="1" ht="20.25" spans="1:14">
      <c r="A1411" s="494">
        <v>45644</v>
      </c>
      <c r="B1411" s="457" t="s">
        <v>309</v>
      </c>
      <c r="C1411" s="504">
        <v>45643</v>
      </c>
      <c r="D1411" s="504"/>
      <c r="E1411" s="505"/>
      <c r="F1411" s="496" t="s">
        <v>251</v>
      </c>
      <c r="G1411" s="463">
        <v>1</v>
      </c>
      <c r="H1411" s="432">
        <v>200</v>
      </c>
      <c r="I1411" s="463">
        <f t="shared" si="172"/>
        <v>200</v>
      </c>
      <c r="J1411" s="497"/>
      <c r="K1411" s="497"/>
    </row>
    <row r="1412" s="457" customFormat="1" ht="20.25" spans="1:14">
      <c r="A1412" s="494">
        <v>45644</v>
      </c>
      <c r="B1412" s="457" t="s">
        <v>309</v>
      </c>
      <c r="C1412" s="504">
        <v>45643</v>
      </c>
      <c r="D1412" s="504"/>
      <c r="E1412" s="505"/>
      <c r="F1412" s="496" t="s">
        <v>13</v>
      </c>
      <c r="G1412" s="463">
        <v>1</v>
      </c>
      <c r="H1412" s="432">
        <v>200</v>
      </c>
      <c r="I1412" s="463">
        <f t="shared" si="172"/>
        <v>200</v>
      </c>
      <c r="J1412" s="497"/>
      <c r="K1412" s="497"/>
    </row>
    <row r="1413" s="457" customFormat="1" ht="20.25" spans="1:14">
      <c r="A1413" s="494">
        <v>45644</v>
      </c>
      <c r="B1413" s="457" t="s">
        <v>309</v>
      </c>
      <c r="C1413" s="504">
        <v>45643</v>
      </c>
      <c r="D1413" s="504"/>
      <c r="E1413" s="505"/>
      <c r="F1413" s="496" t="s">
        <v>489</v>
      </c>
      <c r="G1413" s="463">
        <v>1</v>
      </c>
      <c r="H1413" s="432">
        <v>51</v>
      </c>
      <c r="I1413" s="463">
        <f t="shared" si="172"/>
        <v>51</v>
      </c>
      <c r="J1413" s="497"/>
      <c r="K1413" s="497"/>
    </row>
    <row r="1414" s="457" customFormat="1" ht="20.25" spans="1:14">
      <c r="A1414" s="494">
        <v>45644</v>
      </c>
      <c r="B1414" s="457" t="s">
        <v>309</v>
      </c>
      <c r="C1414" s="504">
        <v>45643</v>
      </c>
      <c r="D1414" s="504"/>
      <c r="E1414" s="505"/>
      <c r="F1414" s="496" t="s">
        <v>490</v>
      </c>
      <c r="G1414" s="463">
        <v>1</v>
      </c>
      <c r="H1414" s="432">
        <v>214</v>
      </c>
      <c r="I1414" s="463">
        <f t="shared" si="172"/>
        <v>214</v>
      </c>
      <c r="J1414" s="497"/>
      <c r="K1414" s="497"/>
      <c r="L1414" s="537" t="s">
        <v>116</v>
      </c>
      <c r="M1414" s="537" t="s">
        <v>314</v>
      </c>
    </row>
    <row r="1415" s="457" customFormat="1" ht="20.25" spans="1:14">
      <c r="A1415" s="494">
        <v>45644</v>
      </c>
      <c r="B1415" s="457" t="s">
        <v>309</v>
      </c>
      <c r="C1415" s="504">
        <v>45643</v>
      </c>
      <c r="D1415" s="504"/>
      <c r="E1415" s="505"/>
      <c r="F1415" s="496" t="s">
        <v>115</v>
      </c>
      <c r="G1415" s="463">
        <v>1</v>
      </c>
      <c r="H1415" s="432">
        <v>125</v>
      </c>
      <c r="I1415" s="463">
        <f t="shared" si="172"/>
        <v>125</v>
      </c>
      <c r="J1415" s="497"/>
      <c r="K1415" s="497"/>
    </row>
    <row r="1416" s="457" customFormat="1" ht="20.25" spans="1:14">
      <c r="A1416" s="494">
        <v>45644</v>
      </c>
      <c r="B1416" s="457" t="s">
        <v>309</v>
      </c>
      <c r="C1416" s="504">
        <v>45643</v>
      </c>
      <c r="D1416" s="504"/>
      <c r="E1416" s="505"/>
      <c r="F1416" s="496">
        <v>808</v>
      </c>
      <c r="G1416" s="463">
        <v>1</v>
      </c>
      <c r="H1416" s="432">
        <v>25</v>
      </c>
      <c r="I1416" s="463">
        <f t="shared" si="172"/>
        <v>25</v>
      </c>
      <c r="J1416" s="497">
        <v>9.3</v>
      </c>
      <c r="K1416" s="497">
        <f t="shared" ref="K1416:K1419" si="173">I1416*J1416</f>
        <v>232.5</v>
      </c>
    </row>
    <row r="1417" s="457" customFormat="1" ht="20.25" spans="1:14">
      <c r="A1417" s="494">
        <v>45644</v>
      </c>
      <c r="B1417" s="457" t="s">
        <v>309</v>
      </c>
      <c r="C1417" s="504">
        <v>45643</v>
      </c>
      <c r="D1417" s="504"/>
      <c r="E1417" s="505"/>
      <c r="F1417" s="496" t="s">
        <v>152</v>
      </c>
      <c r="G1417" s="463">
        <v>1</v>
      </c>
      <c r="H1417" s="432">
        <v>50</v>
      </c>
      <c r="I1417" s="463">
        <f t="shared" si="172"/>
        <v>50</v>
      </c>
      <c r="J1417" s="497">
        <v>6.8</v>
      </c>
      <c r="K1417" s="497">
        <f t="shared" si="173"/>
        <v>340</v>
      </c>
    </row>
    <row r="1418" s="457" customFormat="1" ht="20.25" spans="1:14">
      <c r="A1418" s="494">
        <v>45644</v>
      </c>
      <c r="B1418" s="457" t="s">
        <v>309</v>
      </c>
      <c r="C1418" s="504">
        <v>45643</v>
      </c>
      <c r="D1418" s="504"/>
      <c r="E1418" s="505"/>
      <c r="F1418" s="496" t="s">
        <v>125</v>
      </c>
      <c r="G1418" s="463">
        <v>1</v>
      </c>
      <c r="H1418" s="432">
        <v>135</v>
      </c>
      <c r="I1418" s="463">
        <f t="shared" si="172"/>
        <v>135</v>
      </c>
      <c r="J1418" s="497">
        <v>5.9</v>
      </c>
      <c r="K1418" s="497">
        <f t="shared" si="173"/>
        <v>796.5</v>
      </c>
    </row>
    <row r="1419" s="457" customFormat="1" ht="20.25" spans="1:14">
      <c r="A1419" s="494">
        <v>45644</v>
      </c>
      <c r="B1419" s="457" t="s">
        <v>309</v>
      </c>
      <c r="C1419" s="504">
        <v>45643</v>
      </c>
      <c r="D1419" s="504"/>
      <c r="E1419" s="505"/>
      <c r="F1419" s="496" t="s">
        <v>17</v>
      </c>
      <c r="G1419" s="463">
        <v>1</v>
      </c>
      <c r="H1419" s="500">
        <f>SUM(H1411:H1418)</f>
        <v>1000</v>
      </c>
      <c r="I1419" s="501">
        <f t="shared" si="172"/>
        <v>1000</v>
      </c>
      <c r="J1419" s="502">
        <v>1</v>
      </c>
      <c r="K1419" s="502">
        <f t="shared" si="173"/>
        <v>1000</v>
      </c>
      <c r="L1419" s="457">
        <f>SUM(K1415:K1419)</f>
        <v>2369</v>
      </c>
    </row>
    <row r="1420" s="456" customFormat="1" ht="20.25" spans="1:14">
      <c r="A1420" s="488">
        <v>45644</v>
      </c>
      <c r="B1420" s="456" t="s">
        <v>192</v>
      </c>
      <c r="C1420" s="490">
        <v>45644</v>
      </c>
      <c r="D1420" s="491"/>
      <c r="E1420" s="491"/>
      <c r="F1420" s="493" t="s">
        <v>16</v>
      </c>
      <c r="G1420" s="491">
        <v>1</v>
      </c>
      <c r="H1420" s="431">
        <v>45</v>
      </c>
      <c r="I1420" s="491">
        <f t="shared" si="172"/>
        <v>45</v>
      </c>
      <c r="J1420" s="492"/>
      <c r="K1420" s="492"/>
    </row>
    <row r="1421" s="456" customFormat="1" ht="20.25" spans="1:14">
      <c r="A1421" s="488">
        <v>45644</v>
      </c>
      <c r="B1421" s="456" t="s">
        <v>192</v>
      </c>
      <c r="C1421" s="490">
        <v>45644</v>
      </c>
      <c r="D1421" s="491"/>
      <c r="E1421" s="491"/>
      <c r="F1421" s="493" t="s">
        <v>452</v>
      </c>
      <c r="G1421" s="491">
        <v>1</v>
      </c>
      <c r="H1421" s="431">
        <v>45</v>
      </c>
      <c r="I1421" s="491">
        <f t="shared" si="172"/>
        <v>45</v>
      </c>
      <c r="J1421" s="492"/>
      <c r="K1421" s="492"/>
    </row>
    <row r="1422" s="456" customFormat="1" ht="20.25" spans="1:14">
      <c r="A1422" s="488">
        <v>45644</v>
      </c>
      <c r="B1422" s="456" t="s">
        <v>192</v>
      </c>
      <c r="C1422" s="490">
        <v>45644</v>
      </c>
      <c r="D1422" s="491"/>
      <c r="E1422" s="491"/>
      <c r="F1422" s="493" t="s">
        <v>546</v>
      </c>
      <c r="G1422" s="491">
        <v>1</v>
      </c>
      <c r="H1422" s="431">
        <v>64</v>
      </c>
      <c r="I1422" s="491">
        <f t="shared" si="172"/>
        <v>64</v>
      </c>
      <c r="J1422" s="492"/>
      <c r="K1422" s="492"/>
      <c r="L1422" s="548">
        <v>63.5</v>
      </c>
      <c r="M1422" s="536"/>
      <c r="N1422" s="536"/>
    </row>
    <row r="1423" s="456" customFormat="1" ht="20.25" spans="1:14">
      <c r="A1423" s="488">
        <v>45644</v>
      </c>
      <c r="B1423" s="456" t="s">
        <v>192</v>
      </c>
      <c r="C1423" s="490">
        <v>45644</v>
      </c>
      <c r="D1423" s="491"/>
      <c r="E1423" s="491"/>
      <c r="F1423" s="493" t="s">
        <v>406</v>
      </c>
      <c r="G1423" s="491">
        <v>1</v>
      </c>
      <c r="H1423" s="431">
        <v>30</v>
      </c>
      <c r="I1423" s="491">
        <f t="shared" si="172"/>
        <v>30</v>
      </c>
      <c r="J1423" s="492">
        <v>9.3</v>
      </c>
      <c r="K1423" s="492">
        <f>I1423*J1423</f>
        <v>279</v>
      </c>
      <c r="L1423" s="536"/>
      <c r="M1423" s="536"/>
      <c r="N1423" s="536"/>
    </row>
    <row r="1424" s="456" customFormat="1" ht="20.25" spans="1:14">
      <c r="A1424" s="488">
        <v>45644</v>
      </c>
      <c r="B1424" s="456" t="s">
        <v>192</v>
      </c>
      <c r="C1424" s="490">
        <v>45644</v>
      </c>
      <c r="D1424" s="491"/>
      <c r="E1424" s="491"/>
      <c r="F1424" s="493" t="s">
        <v>152</v>
      </c>
      <c r="G1424" s="491">
        <v>1</v>
      </c>
      <c r="H1424" s="431">
        <v>10</v>
      </c>
      <c r="I1424" s="491">
        <f t="shared" si="172"/>
        <v>10</v>
      </c>
      <c r="J1424" s="492">
        <v>6.8</v>
      </c>
      <c r="K1424" s="492">
        <f>I1424*J1424</f>
        <v>68</v>
      </c>
      <c r="L1424" s="536"/>
      <c r="M1424" s="536"/>
      <c r="N1424" s="536"/>
    </row>
    <row r="1425" s="456" customFormat="1" ht="20.25" spans="1:15">
      <c r="A1425" s="488">
        <v>45644</v>
      </c>
      <c r="B1425" s="456" t="s">
        <v>192</v>
      </c>
      <c r="C1425" s="490">
        <v>45644</v>
      </c>
      <c r="D1425" s="491"/>
      <c r="E1425" s="491"/>
      <c r="F1425" s="493" t="s">
        <v>125</v>
      </c>
      <c r="G1425" s="491">
        <v>1</v>
      </c>
      <c r="H1425" s="431">
        <v>61</v>
      </c>
      <c r="I1425" s="491">
        <f t="shared" si="172"/>
        <v>61</v>
      </c>
      <c r="J1425" s="492">
        <v>5.9</v>
      </c>
      <c r="K1425" s="492">
        <f>I1425*J1425</f>
        <v>359.9</v>
      </c>
      <c r="L1425" s="536"/>
      <c r="M1425" s="536"/>
      <c r="N1425" s="536"/>
    </row>
    <row r="1426" s="456" customFormat="1" ht="20.25" spans="1:15">
      <c r="A1426" s="488">
        <v>45644</v>
      </c>
      <c r="B1426" s="456" t="s">
        <v>192</v>
      </c>
      <c r="C1426" s="490">
        <v>45644</v>
      </c>
      <c r="D1426" s="491"/>
      <c r="E1426" s="491"/>
      <c r="F1426" s="493" t="s">
        <v>115</v>
      </c>
      <c r="G1426" s="491">
        <v>1</v>
      </c>
      <c r="H1426" s="431">
        <v>45</v>
      </c>
      <c r="I1426" s="491">
        <f t="shared" si="172"/>
        <v>45</v>
      </c>
      <c r="J1426" s="492"/>
      <c r="K1426" s="492"/>
      <c r="L1426" s="536" t="s">
        <v>126</v>
      </c>
      <c r="M1426" s="536"/>
      <c r="N1426" s="536"/>
    </row>
    <row r="1427" s="456" customFormat="1" ht="20.25" spans="1:15">
      <c r="A1427" s="488">
        <v>45644</v>
      </c>
      <c r="B1427" s="456" t="s">
        <v>192</v>
      </c>
      <c r="C1427" s="490">
        <v>45644</v>
      </c>
      <c r="D1427" s="491"/>
      <c r="E1427" s="491"/>
      <c r="F1427" s="493" t="s">
        <v>453</v>
      </c>
      <c r="G1427" s="491">
        <v>1</v>
      </c>
      <c r="H1427" s="500">
        <f>SUM(H1420:H1426)</f>
        <v>300</v>
      </c>
      <c r="I1427" s="501">
        <f t="shared" si="172"/>
        <v>300</v>
      </c>
      <c r="J1427" s="502">
        <v>1</v>
      </c>
      <c r="K1427" s="502">
        <f>I1427*J1427</f>
        <v>300</v>
      </c>
      <c r="L1427" s="536">
        <f>SUM(K1420:K1427)</f>
        <v>1006.9</v>
      </c>
      <c r="M1427" s="536"/>
      <c r="N1427" s="536"/>
    </row>
    <row r="1428" s="457" customFormat="1" ht="20.25" spans="1:15">
      <c r="A1428" s="494">
        <v>45644</v>
      </c>
      <c r="B1428" s="457" t="s">
        <v>91</v>
      </c>
      <c r="C1428" s="495">
        <v>45644</v>
      </c>
      <c r="D1428" s="463"/>
      <c r="E1428" s="463"/>
      <c r="F1428" s="496" t="s">
        <v>42</v>
      </c>
      <c r="G1428" s="463">
        <v>1</v>
      </c>
      <c r="H1428" s="432">
        <v>100</v>
      </c>
      <c r="I1428" s="463">
        <f t="shared" si="172"/>
        <v>100</v>
      </c>
      <c r="J1428" s="497"/>
      <c r="K1428" s="497"/>
      <c r="O1428" s="456"/>
    </row>
    <row r="1429" s="457" customFormat="1" ht="20.25" spans="1:15">
      <c r="A1429" s="494">
        <v>45644</v>
      </c>
      <c r="B1429" s="457" t="s">
        <v>91</v>
      </c>
      <c r="C1429" s="495">
        <v>45644</v>
      </c>
      <c r="D1429" s="463"/>
      <c r="E1429" s="463"/>
      <c r="F1429" s="496" t="s">
        <v>207</v>
      </c>
      <c r="G1429" s="463">
        <v>1</v>
      </c>
      <c r="H1429" s="432">
        <v>100</v>
      </c>
      <c r="I1429" s="463">
        <f t="shared" si="172"/>
        <v>100</v>
      </c>
      <c r="J1429" s="497"/>
      <c r="K1429" s="497"/>
      <c r="O1429" s="456"/>
    </row>
    <row r="1430" s="457" customFormat="1" ht="20.25" spans="1:15">
      <c r="A1430" s="494">
        <v>45644</v>
      </c>
      <c r="B1430" s="457" t="s">
        <v>91</v>
      </c>
      <c r="C1430" s="495">
        <v>45644</v>
      </c>
      <c r="D1430" s="463"/>
      <c r="E1430" s="463"/>
      <c r="F1430" s="496" t="s">
        <v>242</v>
      </c>
      <c r="G1430" s="463">
        <v>1</v>
      </c>
      <c r="H1430" s="432">
        <v>100</v>
      </c>
      <c r="I1430" s="463">
        <f t="shared" si="172"/>
        <v>100</v>
      </c>
      <c r="J1430" s="497"/>
      <c r="K1430" s="497"/>
      <c r="O1430" s="456"/>
    </row>
    <row r="1431" s="457" customFormat="1" ht="20.25" spans="1:15">
      <c r="A1431" s="494">
        <v>45644</v>
      </c>
      <c r="B1431" s="457" t="s">
        <v>91</v>
      </c>
      <c r="C1431" s="495">
        <v>45644</v>
      </c>
      <c r="D1431" s="463"/>
      <c r="E1431" s="463"/>
      <c r="F1431" s="496" t="s">
        <v>86</v>
      </c>
      <c r="G1431" s="463">
        <v>1</v>
      </c>
      <c r="H1431" s="432">
        <v>136</v>
      </c>
      <c r="I1431" s="463">
        <f t="shared" si="172"/>
        <v>136</v>
      </c>
      <c r="J1431" s="497"/>
      <c r="K1431" s="497"/>
      <c r="L1431" s="537"/>
      <c r="M1431" s="537"/>
      <c r="N1431" s="537"/>
      <c r="O1431" s="456"/>
    </row>
    <row r="1432" s="457" customFormat="1" ht="20.25" spans="1:15">
      <c r="A1432" s="494">
        <v>45644</v>
      </c>
      <c r="B1432" s="457" t="s">
        <v>91</v>
      </c>
      <c r="C1432" s="495">
        <v>45644</v>
      </c>
      <c r="D1432" s="463"/>
      <c r="E1432" s="463"/>
      <c r="F1432" s="496" t="s">
        <v>87</v>
      </c>
      <c r="G1432" s="463">
        <v>1</v>
      </c>
      <c r="H1432" s="432">
        <v>260</v>
      </c>
      <c r="I1432" s="463">
        <f t="shared" si="172"/>
        <v>260</v>
      </c>
      <c r="J1432" s="497"/>
      <c r="K1432" s="497"/>
      <c r="L1432" s="537"/>
      <c r="M1432" s="537"/>
      <c r="N1432" s="537"/>
      <c r="O1432" s="456"/>
    </row>
    <row r="1433" s="457" customFormat="1" ht="20.25" spans="1:15">
      <c r="A1433" s="494">
        <v>45644</v>
      </c>
      <c r="B1433" s="457" t="s">
        <v>91</v>
      </c>
      <c r="C1433" s="495">
        <v>45644</v>
      </c>
      <c r="D1433" s="463"/>
      <c r="E1433" s="463"/>
      <c r="F1433" s="496" t="s">
        <v>208</v>
      </c>
      <c r="G1433" s="463">
        <v>1</v>
      </c>
      <c r="H1433" s="432">
        <v>25</v>
      </c>
      <c r="I1433" s="463">
        <f t="shared" si="172"/>
        <v>25</v>
      </c>
      <c r="J1433" s="497">
        <v>17</v>
      </c>
      <c r="K1433" s="497">
        <f t="shared" ref="K1433:K1435" si="174">I1433*J1433</f>
        <v>425</v>
      </c>
      <c r="L1433" s="537"/>
      <c r="M1433" s="537"/>
      <c r="N1433" s="537"/>
      <c r="O1433" s="456"/>
    </row>
    <row r="1434" s="457" customFormat="1" ht="20.25" spans="1:15">
      <c r="A1434" s="494">
        <v>45644</v>
      </c>
      <c r="B1434" s="457" t="s">
        <v>91</v>
      </c>
      <c r="C1434" s="495">
        <v>45644</v>
      </c>
      <c r="D1434" s="463"/>
      <c r="E1434" s="463"/>
      <c r="F1434" s="496" t="s">
        <v>132</v>
      </c>
      <c r="G1434" s="463">
        <v>1</v>
      </c>
      <c r="H1434" s="432">
        <v>279</v>
      </c>
      <c r="I1434" s="463">
        <f t="shared" si="172"/>
        <v>279</v>
      </c>
      <c r="J1434" s="497">
        <v>3.6</v>
      </c>
      <c r="K1434" s="497">
        <f t="shared" si="174"/>
        <v>1004.4</v>
      </c>
      <c r="L1434" s="537"/>
      <c r="M1434" s="537"/>
      <c r="N1434" s="537"/>
      <c r="O1434" s="456"/>
    </row>
    <row r="1435" s="457" customFormat="1" ht="20.25" spans="1:15">
      <c r="A1435" s="494">
        <v>45644</v>
      </c>
      <c r="B1435" s="457" t="s">
        <v>91</v>
      </c>
      <c r="C1435" s="495">
        <v>45644</v>
      </c>
      <c r="D1435" s="463"/>
      <c r="E1435" s="463"/>
      <c r="F1435" s="496" t="s">
        <v>137</v>
      </c>
      <c r="G1435" s="463">
        <v>1</v>
      </c>
      <c r="H1435" s="432">
        <v>50</v>
      </c>
      <c r="I1435" s="463">
        <f t="shared" si="172"/>
        <v>50</v>
      </c>
      <c r="J1435" s="497">
        <v>0.9</v>
      </c>
      <c r="K1435" s="497">
        <f t="shared" si="174"/>
        <v>45</v>
      </c>
      <c r="L1435" s="537" t="s">
        <v>116</v>
      </c>
      <c r="M1435" s="537"/>
      <c r="N1435" s="537"/>
      <c r="O1435" s="456"/>
    </row>
    <row r="1436" s="457" customFormat="1" ht="20.25" spans="1:15">
      <c r="A1436" s="494">
        <v>45644</v>
      </c>
      <c r="B1436" s="457" t="s">
        <v>91</v>
      </c>
      <c r="C1436" s="495">
        <v>45644</v>
      </c>
      <c r="D1436" s="463"/>
      <c r="E1436" s="463"/>
      <c r="F1436" s="496" t="s">
        <v>211</v>
      </c>
      <c r="G1436" s="463">
        <v>1</v>
      </c>
      <c r="H1436" s="432">
        <v>2.5</v>
      </c>
      <c r="I1436" s="463">
        <f t="shared" si="172"/>
        <v>2.5</v>
      </c>
      <c r="J1436" s="497"/>
      <c r="K1436" s="497"/>
      <c r="L1436" s="537"/>
      <c r="M1436" s="537"/>
      <c r="N1436" s="537"/>
      <c r="O1436" s="456"/>
    </row>
    <row r="1437" s="457" customFormat="1" ht="20.25" spans="1:15">
      <c r="A1437" s="494">
        <v>45644</v>
      </c>
      <c r="B1437" s="457" t="s">
        <v>91</v>
      </c>
      <c r="C1437" s="495">
        <v>45644</v>
      </c>
      <c r="D1437" s="463"/>
      <c r="E1437" s="463"/>
      <c r="F1437" s="499" t="s">
        <v>212</v>
      </c>
      <c r="G1437" s="501">
        <v>1</v>
      </c>
      <c r="H1437" s="500">
        <f>SUM(H1428:H1436)</f>
        <v>1052.5</v>
      </c>
      <c r="I1437" s="501">
        <f t="shared" si="172"/>
        <v>1052.5</v>
      </c>
      <c r="J1437" s="502">
        <v>1</v>
      </c>
      <c r="K1437" s="502">
        <f>I1437*J1437</f>
        <v>1052.5</v>
      </c>
      <c r="L1437" s="636">
        <f>SUM(K1428:K1437)</f>
        <v>2526.9</v>
      </c>
      <c r="M1437" s="537"/>
      <c r="N1437" s="537"/>
      <c r="O1437" s="456"/>
    </row>
    <row r="1438" s="456" customFormat="1" ht="20.25" spans="1:15">
      <c r="A1438" s="488">
        <v>45644</v>
      </c>
      <c r="B1438" s="456" t="s">
        <v>96</v>
      </c>
      <c r="C1438" s="490">
        <v>45644</v>
      </c>
      <c r="D1438" s="491"/>
      <c r="E1438" s="491"/>
      <c r="F1438" s="456" t="s">
        <v>16</v>
      </c>
      <c r="G1438" s="489">
        <v>1</v>
      </c>
      <c r="H1438" s="489">
        <v>6.48</v>
      </c>
      <c r="I1438" s="491">
        <f t="shared" ref="I1438:I1459" si="175">G1438*H1438</f>
        <v>6.48</v>
      </c>
      <c r="J1438" s="492"/>
      <c r="K1438" s="492"/>
      <c r="L1438" s="646"/>
    </row>
    <row r="1439" s="456" customFormat="1" ht="20.25" spans="1:15">
      <c r="A1439" s="488">
        <v>45644</v>
      </c>
      <c r="B1439" s="456" t="s">
        <v>96</v>
      </c>
      <c r="C1439" s="490">
        <v>45644</v>
      </c>
      <c r="D1439" s="491"/>
      <c r="E1439" s="491"/>
      <c r="F1439" s="456" t="s">
        <v>533</v>
      </c>
      <c r="G1439" s="489">
        <v>1</v>
      </c>
      <c r="H1439" s="489">
        <v>10.08</v>
      </c>
      <c r="I1439" s="491">
        <f t="shared" si="175"/>
        <v>10.08</v>
      </c>
      <c r="J1439" s="492"/>
      <c r="K1439" s="492"/>
      <c r="L1439" s="646"/>
    </row>
    <row r="1440" s="456" customFormat="1" ht="20.25" spans="1:15">
      <c r="A1440" s="488">
        <v>45644</v>
      </c>
      <c r="B1440" s="456" t="s">
        <v>96</v>
      </c>
      <c r="C1440" s="490">
        <v>45644</v>
      </c>
      <c r="D1440" s="491"/>
      <c r="E1440" s="491"/>
      <c r="F1440" s="456" t="s">
        <v>547</v>
      </c>
      <c r="G1440" s="489">
        <v>1</v>
      </c>
      <c r="H1440" s="489">
        <v>2.52</v>
      </c>
      <c r="I1440" s="491">
        <f t="shared" si="175"/>
        <v>2.52</v>
      </c>
      <c r="J1440" s="492"/>
      <c r="K1440" s="492"/>
      <c r="L1440" s="646"/>
    </row>
    <row r="1441" s="456" customFormat="1" ht="20.25" spans="1:14">
      <c r="A1441" s="488">
        <v>45644</v>
      </c>
      <c r="B1441" s="456" t="s">
        <v>96</v>
      </c>
      <c r="C1441" s="490">
        <v>45644</v>
      </c>
      <c r="D1441" s="491"/>
      <c r="E1441" s="491"/>
      <c r="F1441" s="456" t="s">
        <v>352</v>
      </c>
      <c r="G1441" s="489">
        <v>1</v>
      </c>
      <c r="H1441" s="489">
        <v>7.2</v>
      </c>
      <c r="I1441" s="491">
        <f t="shared" si="175"/>
        <v>7.2</v>
      </c>
      <c r="J1441" s="492"/>
      <c r="K1441" s="492"/>
      <c r="L1441" s="652" t="s">
        <v>116</v>
      </c>
    </row>
    <row r="1442" s="456" customFormat="1" ht="20.25" spans="1:14">
      <c r="A1442" s="488">
        <v>45644</v>
      </c>
      <c r="B1442" s="456" t="s">
        <v>96</v>
      </c>
      <c r="C1442" s="490">
        <v>45644</v>
      </c>
      <c r="D1442" s="491"/>
      <c r="E1442" s="491"/>
      <c r="F1442" s="456" t="s">
        <v>115</v>
      </c>
      <c r="G1442" s="489">
        <v>1</v>
      </c>
      <c r="H1442" s="489">
        <v>3.6</v>
      </c>
      <c r="I1442" s="491">
        <f t="shared" si="175"/>
        <v>3.6</v>
      </c>
      <c r="J1442" s="492"/>
      <c r="K1442" s="492"/>
      <c r="L1442" s="646"/>
    </row>
    <row r="1443" s="456" customFormat="1" ht="20.25" spans="1:14">
      <c r="A1443" s="488">
        <v>45644</v>
      </c>
      <c r="B1443" s="456" t="s">
        <v>96</v>
      </c>
      <c r="C1443" s="490">
        <v>45644</v>
      </c>
      <c r="D1443" s="491"/>
      <c r="E1443" s="491"/>
      <c r="F1443" s="493">
        <v>808</v>
      </c>
      <c r="G1443" s="489">
        <v>1</v>
      </c>
      <c r="H1443" s="489">
        <v>1.8</v>
      </c>
      <c r="I1443" s="491">
        <f t="shared" si="175"/>
        <v>1.8</v>
      </c>
      <c r="J1443" s="492">
        <v>9.3</v>
      </c>
      <c r="K1443" s="492">
        <f t="shared" ref="K1443:K1445" si="176">I1443*J1443</f>
        <v>16.74</v>
      </c>
      <c r="L1443" s="646"/>
    </row>
    <row r="1444" s="456" customFormat="1" ht="20.25" spans="1:14">
      <c r="A1444" s="488">
        <v>45644</v>
      </c>
      <c r="B1444" s="456" t="s">
        <v>96</v>
      </c>
      <c r="C1444" s="490">
        <v>45644</v>
      </c>
      <c r="D1444" s="491"/>
      <c r="E1444" s="491"/>
      <c r="F1444" s="493" t="s">
        <v>125</v>
      </c>
      <c r="G1444" s="489">
        <v>1</v>
      </c>
      <c r="H1444" s="489">
        <v>4.32</v>
      </c>
      <c r="I1444" s="491">
        <f t="shared" si="175"/>
        <v>4.32</v>
      </c>
      <c r="J1444" s="492">
        <v>5.9</v>
      </c>
      <c r="K1444" s="492">
        <f t="shared" si="176"/>
        <v>25.488</v>
      </c>
      <c r="L1444" s="646"/>
    </row>
    <row r="1445" s="456" customFormat="1" ht="19" customHeight="1" spans="1:14">
      <c r="A1445" s="488">
        <v>45644</v>
      </c>
      <c r="B1445" s="456" t="s">
        <v>96</v>
      </c>
      <c r="C1445" s="490">
        <v>45644</v>
      </c>
      <c r="D1445" s="491"/>
      <c r="E1445" s="491"/>
      <c r="F1445" s="456" t="s">
        <v>435</v>
      </c>
      <c r="G1445" s="489">
        <v>1</v>
      </c>
      <c r="H1445" s="489">
        <f>SUM(H1438:H1444)</f>
        <v>36</v>
      </c>
      <c r="I1445" s="491">
        <f t="shared" si="175"/>
        <v>36</v>
      </c>
      <c r="J1445" s="492">
        <v>1</v>
      </c>
      <c r="K1445" s="492">
        <f t="shared" si="176"/>
        <v>36</v>
      </c>
      <c r="L1445" s="456">
        <f>SUM(K1438:K1445)</f>
        <v>78.228</v>
      </c>
    </row>
    <row r="1446" s="457" customFormat="1" ht="20.25" spans="1:14">
      <c r="A1446" s="494">
        <v>45645</v>
      </c>
      <c r="B1446" s="607" t="s">
        <v>384</v>
      </c>
      <c r="C1446" s="495">
        <v>45645</v>
      </c>
      <c r="D1446" s="463"/>
      <c r="E1446" s="463"/>
      <c r="F1446" s="496" t="s">
        <v>42</v>
      </c>
      <c r="G1446" s="463">
        <v>1</v>
      </c>
      <c r="H1446" s="432">
        <v>150</v>
      </c>
      <c r="I1446" s="463">
        <f t="shared" si="175"/>
        <v>150</v>
      </c>
      <c r="J1446" s="497"/>
      <c r="K1446" s="497"/>
    </row>
    <row r="1447" s="457" customFormat="1" ht="20.25" spans="1:14">
      <c r="A1447" s="494">
        <v>45645</v>
      </c>
      <c r="B1447" s="607" t="s">
        <v>384</v>
      </c>
      <c r="C1447" s="495">
        <v>45645</v>
      </c>
      <c r="D1447" s="463"/>
      <c r="E1447" s="463"/>
      <c r="F1447" s="496">
        <v>808</v>
      </c>
      <c r="G1447" s="463">
        <v>1</v>
      </c>
      <c r="H1447" s="432">
        <v>105</v>
      </c>
      <c r="I1447" s="463">
        <f t="shared" si="175"/>
        <v>105</v>
      </c>
      <c r="J1447" s="497">
        <v>9.3</v>
      </c>
      <c r="K1447" s="497">
        <f>I1447*J1447</f>
        <v>976.5</v>
      </c>
    </row>
    <row r="1448" s="457" customFormat="1" ht="20.25" spans="1:14">
      <c r="A1448" s="494">
        <v>45645</v>
      </c>
      <c r="B1448" s="607" t="s">
        <v>384</v>
      </c>
      <c r="C1448" s="495">
        <v>45645</v>
      </c>
      <c r="D1448" s="463"/>
      <c r="E1448" s="463"/>
      <c r="F1448" s="496" t="s">
        <v>548</v>
      </c>
      <c r="G1448" s="463">
        <v>1</v>
      </c>
      <c r="H1448" s="432">
        <v>85</v>
      </c>
      <c r="I1448" s="463">
        <f t="shared" si="175"/>
        <v>85</v>
      </c>
      <c r="J1448" s="497"/>
      <c r="K1448" s="497"/>
      <c r="L1448" s="537" t="s">
        <v>126</v>
      </c>
      <c r="M1448" s="537"/>
      <c r="N1448" s="537"/>
    </row>
    <row r="1449" s="457" customFormat="1" ht="20.25" spans="1:14">
      <c r="A1449" s="494">
        <v>45645</v>
      </c>
      <c r="B1449" s="607" t="s">
        <v>384</v>
      </c>
      <c r="C1449" s="495">
        <v>45645</v>
      </c>
      <c r="D1449" s="463"/>
      <c r="E1449" s="463"/>
      <c r="F1449" s="496" t="s">
        <v>87</v>
      </c>
      <c r="G1449" s="463">
        <v>1</v>
      </c>
      <c r="H1449" s="432">
        <v>160</v>
      </c>
      <c r="I1449" s="463">
        <f t="shared" si="175"/>
        <v>160</v>
      </c>
      <c r="J1449" s="497"/>
      <c r="K1449" s="497"/>
      <c r="L1449" s="537"/>
      <c r="M1449" s="537" t="s">
        <v>51</v>
      </c>
      <c r="N1449" s="537"/>
    </row>
    <row r="1450" s="457" customFormat="1" ht="20.25" spans="1:14">
      <c r="A1450" s="494">
        <v>45645</v>
      </c>
      <c r="B1450" s="607" t="s">
        <v>384</v>
      </c>
      <c r="C1450" s="495">
        <v>45645</v>
      </c>
      <c r="D1450" s="463"/>
      <c r="E1450" s="463"/>
      <c r="F1450" s="496" t="s">
        <v>47</v>
      </c>
      <c r="G1450" s="463">
        <v>1</v>
      </c>
      <c r="H1450" s="432">
        <f>SUM(H1446:H1449)</f>
        <v>500</v>
      </c>
      <c r="I1450" s="463">
        <f t="shared" si="175"/>
        <v>500</v>
      </c>
      <c r="J1450" s="497">
        <v>1</v>
      </c>
      <c r="K1450" s="497">
        <f>I1450*J1450</f>
        <v>500</v>
      </c>
      <c r="L1450" s="537">
        <f>SUM(K1446:K1450)</f>
        <v>1476.5</v>
      </c>
      <c r="M1450" s="537"/>
      <c r="N1450" s="537"/>
    </row>
    <row r="1451" s="456" customFormat="1" ht="20.25" spans="1:14">
      <c r="A1451" s="488">
        <v>45645</v>
      </c>
      <c r="B1451" s="608" t="s">
        <v>198</v>
      </c>
      <c r="C1451" s="490">
        <v>45645</v>
      </c>
      <c r="D1451" s="491"/>
      <c r="E1451" s="491"/>
      <c r="F1451" s="493" t="s">
        <v>16</v>
      </c>
      <c r="G1451" s="491">
        <v>1</v>
      </c>
      <c r="H1451" s="431">
        <v>50</v>
      </c>
      <c r="I1451" s="491">
        <f t="shared" si="175"/>
        <v>50</v>
      </c>
      <c r="J1451" s="492"/>
      <c r="K1451" s="492"/>
    </row>
    <row r="1452" s="456" customFormat="1" ht="20.25" spans="1:14">
      <c r="A1452" s="488">
        <v>45645</v>
      </c>
      <c r="B1452" s="608" t="s">
        <v>198</v>
      </c>
      <c r="C1452" s="490">
        <v>45645</v>
      </c>
      <c r="D1452" s="491"/>
      <c r="E1452" s="491"/>
      <c r="F1452" s="493" t="s">
        <v>136</v>
      </c>
      <c r="G1452" s="491">
        <v>1</v>
      </c>
      <c r="H1452" s="431">
        <v>75</v>
      </c>
      <c r="I1452" s="491">
        <f t="shared" si="175"/>
        <v>75</v>
      </c>
      <c r="J1452" s="492"/>
      <c r="K1452" s="492"/>
    </row>
    <row r="1453" s="456" customFormat="1" ht="20.25" spans="1:14">
      <c r="A1453" s="488">
        <v>45645</v>
      </c>
      <c r="B1453" s="608" t="s">
        <v>198</v>
      </c>
      <c r="C1453" s="490">
        <v>45645</v>
      </c>
      <c r="D1453" s="491"/>
      <c r="E1453" s="491"/>
      <c r="F1453" s="493" t="s">
        <v>92</v>
      </c>
      <c r="G1453" s="491">
        <v>1</v>
      </c>
      <c r="H1453" s="431">
        <v>2</v>
      </c>
      <c r="I1453" s="491">
        <f t="shared" si="175"/>
        <v>2</v>
      </c>
      <c r="J1453" s="492"/>
      <c r="K1453" s="492"/>
    </row>
    <row r="1454" s="456" customFormat="1" ht="20.25" spans="1:14">
      <c r="A1454" s="488">
        <v>45645</v>
      </c>
      <c r="B1454" s="608" t="s">
        <v>198</v>
      </c>
      <c r="C1454" s="490">
        <v>45645</v>
      </c>
      <c r="D1454" s="491"/>
      <c r="E1454" s="491"/>
      <c r="F1454" s="493" t="s">
        <v>125</v>
      </c>
      <c r="G1454" s="491">
        <v>1</v>
      </c>
      <c r="H1454" s="431">
        <v>30</v>
      </c>
      <c r="I1454" s="491">
        <f t="shared" si="175"/>
        <v>30</v>
      </c>
      <c r="J1454" s="492">
        <v>5.9</v>
      </c>
      <c r="K1454" s="492">
        <f>I1454*J1454</f>
        <v>177</v>
      </c>
    </row>
    <row r="1455" s="456" customFormat="1" ht="20.25" spans="1:14">
      <c r="A1455" s="488">
        <v>45645</v>
      </c>
      <c r="B1455" s="608" t="s">
        <v>198</v>
      </c>
      <c r="C1455" s="490">
        <v>45645</v>
      </c>
      <c r="D1455" s="491"/>
      <c r="E1455" s="491"/>
      <c r="F1455" s="493" t="s">
        <v>132</v>
      </c>
      <c r="G1455" s="491">
        <v>1</v>
      </c>
      <c r="H1455" s="431">
        <v>130</v>
      </c>
      <c r="I1455" s="491">
        <v>130</v>
      </c>
      <c r="J1455" s="492">
        <v>3.6</v>
      </c>
      <c r="K1455" s="492">
        <f>I1455*J1455</f>
        <v>468</v>
      </c>
    </row>
    <row r="1456" s="456" customFormat="1" ht="20.25" spans="1:14">
      <c r="A1456" s="488">
        <v>45645</v>
      </c>
      <c r="B1456" s="608" t="s">
        <v>198</v>
      </c>
      <c r="C1456" s="490">
        <v>45645</v>
      </c>
      <c r="D1456" s="491"/>
      <c r="E1456" s="491"/>
      <c r="F1456" s="493" t="s">
        <v>548</v>
      </c>
      <c r="G1456" s="491">
        <v>1</v>
      </c>
      <c r="H1456" s="431">
        <v>70</v>
      </c>
      <c r="I1456" s="491">
        <f>G1456*H1456</f>
        <v>70</v>
      </c>
      <c r="J1456" s="492"/>
      <c r="K1456" s="492"/>
      <c r="L1456" s="536"/>
      <c r="M1456" s="536"/>
      <c r="N1456" s="536"/>
    </row>
    <row r="1457" s="456" customFormat="1" ht="20.25" spans="1:14">
      <c r="A1457" s="488">
        <v>45645</v>
      </c>
      <c r="B1457" s="608" t="s">
        <v>198</v>
      </c>
      <c r="C1457" s="490">
        <v>45645</v>
      </c>
      <c r="D1457" s="491"/>
      <c r="E1457" s="491"/>
      <c r="F1457" s="493" t="s">
        <v>481</v>
      </c>
      <c r="G1457" s="491">
        <v>1</v>
      </c>
      <c r="H1457" s="431">
        <v>130</v>
      </c>
      <c r="I1457" s="491">
        <f t="shared" ref="I1457:I1511" si="177">G1457*H1457</f>
        <v>130</v>
      </c>
      <c r="J1457" s="492"/>
      <c r="K1457" s="492"/>
      <c r="L1457" s="536"/>
      <c r="M1457" s="536"/>
      <c r="N1457" s="536"/>
    </row>
    <row r="1458" s="456" customFormat="1" ht="20.25" spans="1:14">
      <c r="A1458" s="488">
        <v>45645</v>
      </c>
      <c r="B1458" s="608" t="s">
        <v>198</v>
      </c>
      <c r="C1458" s="490">
        <v>45645</v>
      </c>
      <c r="D1458" s="491"/>
      <c r="E1458" s="491"/>
      <c r="F1458" s="493" t="s">
        <v>214</v>
      </c>
      <c r="G1458" s="491">
        <v>1</v>
      </c>
      <c r="H1458" s="431">
        <v>16</v>
      </c>
      <c r="I1458" s="491">
        <f t="shared" si="177"/>
        <v>16</v>
      </c>
      <c r="J1458" s="492">
        <v>17</v>
      </c>
      <c r="K1458" s="492">
        <f>I1458*J1458</f>
        <v>272</v>
      </c>
      <c r="L1458" s="536"/>
      <c r="M1458" s="536"/>
      <c r="N1458" s="536"/>
    </row>
    <row r="1459" s="456" customFormat="1" ht="20.25" spans="1:14">
      <c r="A1459" s="488">
        <v>45645</v>
      </c>
      <c r="B1459" s="608" t="s">
        <v>198</v>
      </c>
      <c r="C1459" s="490">
        <v>45645</v>
      </c>
      <c r="D1459" s="491"/>
      <c r="E1459" s="491"/>
      <c r="F1459" s="493" t="s">
        <v>137</v>
      </c>
      <c r="G1459" s="491">
        <v>1</v>
      </c>
      <c r="H1459" s="431">
        <v>50</v>
      </c>
      <c r="I1459" s="491">
        <f t="shared" si="177"/>
        <v>50</v>
      </c>
      <c r="J1459" s="492">
        <v>0.9</v>
      </c>
      <c r="K1459" s="492">
        <f>I1459*J1459</f>
        <v>45</v>
      </c>
      <c r="L1459" s="536" t="s">
        <v>116</v>
      </c>
      <c r="M1459" s="536"/>
      <c r="N1459" s="536"/>
    </row>
    <row r="1460" s="456" customFormat="1" ht="20.25" spans="1:14">
      <c r="A1460" s="488">
        <v>45645</v>
      </c>
      <c r="B1460" s="608" t="s">
        <v>198</v>
      </c>
      <c r="C1460" s="490">
        <v>45645</v>
      </c>
      <c r="D1460" s="491"/>
      <c r="E1460" s="491"/>
      <c r="F1460" s="493" t="s">
        <v>549</v>
      </c>
      <c r="G1460" s="491">
        <v>1</v>
      </c>
      <c r="H1460" s="431">
        <v>53</v>
      </c>
      <c r="I1460" s="491">
        <f t="shared" si="177"/>
        <v>53</v>
      </c>
      <c r="J1460" s="492"/>
      <c r="K1460" s="492"/>
      <c r="L1460" s="536"/>
      <c r="M1460" s="536"/>
      <c r="N1460" s="536"/>
    </row>
    <row r="1461" s="456" customFormat="1" ht="20.25" spans="1:14">
      <c r="A1461" s="488">
        <v>45645</v>
      </c>
      <c r="B1461" s="608" t="s">
        <v>198</v>
      </c>
      <c r="C1461" s="490">
        <v>45645</v>
      </c>
      <c r="D1461" s="491"/>
      <c r="E1461" s="491"/>
      <c r="F1461" s="493" t="s">
        <v>138</v>
      </c>
      <c r="G1461" s="491">
        <v>1</v>
      </c>
      <c r="H1461" s="431">
        <f>SUM(H1451:H1460)</f>
        <v>606</v>
      </c>
      <c r="I1461" s="491">
        <f t="shared" si="177"/>
        <v>606</v>
      </c>
      <c r="J1461" s="492">
        <v>1</v>
      </c>
      <c r="K1461" s="492">
        <f>I1461*J1461</f>
        <v>606</v>
      </c>
      <c r="L1461" s="536">
        <f>SUM(K1451:K1461)</f>
        <v>1568</v>
      </c>
      <c r="M1461" s="536"/>
      <c r="N1461" s="536"/>
    </row>
    <row r="1462" s="457" customFormat="1" ht="20.25" spans="1:14">
      <c r="A1462" s="494">
        <v>45647</v>
      </c>
      <c r="B1462" s="457" t="s">
        <v>203</v>
      </c>
      <c r="C1462" s="495" t="s">
        <v>550</v>
      </c>
      <c r="D1462" s="463"/>
      <c r="E1462" s="463"/>
      <c r="F1462" s="496" t="s">
        <v>176</v>
      </c>
      <c r="G1462" s="463">
        <v>1</v>
      </c>
      <c r="H1462" s="432">
        <v>200</v>
      </c>
      <c r="I1462" s="463">
        <f t="shared" si="177"/>
        <v>200</v>
      </c>
      <c r="J1462" s="497">
        <v>12.5</v>
      </c>
      <c r="K1462" s="492"/>
    </row>
    <row r="1463" s="457" customFormat="1" ht="20.25" spans="1:14">
      <c r="A1463" s="494">
        <v>45647</v>
      </c>
      <c r="B1463" s="457" t="s">
        <v>203</v>
      </c>
      <c r="C1463" s="495" t="s">
        <v>550</v>
      </c>
      <c r="D1463" s="463"/>
      <c r="E1463" s="463"/>
      <c r="F1463" s="496" t="s">
        <v>170</v>
      </c>
      <c r="G1463" s="463">
        <v>1</v>
      </c>
      <c r="H1463" s="432">
        <v>25</v>
      </c>
      <c r="I1463" s="463">
        <f t="shared" si="177"/>
        <v>25</v>
      </c>
      <c r="J1463" s="497">
        <v>75</v>
      </c>
      <c r="K1463" s="497">
        <f>I1463*J1463</f>
        <v>1875</v>
      </c>
      <c r="L1463" s="537"/>
      <c r="M1463" s="537"/>
      <c r="N1463" s="537"/>
    </row>
    <row r="1464" s="457" customFormat="1" ht="20.25" spans="1:14">
      <c r="A1464" s="494">
        <v>45647</v>
      </c>
      <c r="B1464" s="457" t="s">
        <v>203</v>
      </c>
      <c r="C1464" s="495" t="s">
        <v>550</v>
      </c>
      <c r="D1464" s="463"/>
      <c r="E1464" s="463"/>
      <c r="F1464" s="496" t="s">
        <v>171</v>
      </c>
      <c r="G1464" s="463">
        <v>1</v>
      </c>
      <c r="H1464" s="432">
        <v>100</v>
      </c>
      <c r="I1464" s="463">
        <f t="shared" si="177"/>
        <v>100</v>
      </c>
      <c r="J1464" s="497">
        <v>22</v>
      </c>
      <c r="K1464" s="497">
        <f>I1464*J1464</f>
        <v>2200</v>
      </c>
      <c r="L1464" s="537" t="s">
        <v>551</v>
      </c>
      <c r="M1464" s="537"/>
      <c r="N1464" s="537"/>
    </row>
    <row r="1465" s="457" customFormat="1" ht="20.25" spans="1:14">
      <c r="A1465" s="494">
        <v>45647</v>
      </c>
      <c r="B1465" s="457" t="s">
        <v>203</v>
      </c>
      <c r="C1465" s="495" t="s">
        <v>550</v>
      </c>
      <c r="D1465" s="463"/>
      <c r="E1465" s="463"/>
      <c r="F1465" s="498">
        <v>808</v>
      </c>
      <c r="G1465" s="463">
        <v>1</v>
      </c>
      <c r="H1465" s="432">
        <v>300</v>
      </c>
      <c r="I1465" s="463">
        <f t="shared" si="177"/>
        <v>300</v>
      </c>
      <c r="J1465" s="497">
        <v>9.3</v>
      </c>
      <c r="K1465" s="497">
        <f>I1465*J1465</f>
        <v>2790</v>
      </c>
      <c r="L1465" s="606" t="s">
        <v>472</v>
      </c>
      <c r="M1465" s="606"/>
      <c r="N1465" s="606"/>
    </row>
    <row r="1466" s="457" customFormat="1" ht="20.25" spans="1:14">
      <c r="A1466" s="494">
        <v>45647</v>
      </c>
      <c r="B1466" s="457" t="s">
        <v>203</v>
      </c>
      <c r="C1466" s="495" t="s">
        <v>550</v>
      </c>
      <c r="D1466" s="463"/>
      <c r="E1466" s="463"/>
      <c r="F1466" s="496" t="s">
        <v>125</v>
      </c>
      <c r="G1466" s="463">
        <v>1</v>
      </c>
      <c r="H1466" s="432">
        <v>125</v>
      </c>
      <c r="I1466" s="463">
        <f t="shared" si="177"/>
        <v>125</v>
      </c>
      <c r="J1466" s="497">
        <v>5.9</v>
      </c>
      <c r="K1466" s="497">
        <f>I1466*J1466</f>
        <v>737.5</v>
      </c>
      <c r="L1466" s="606"/>
      <c r="M1466" s="606" t="s">
        <v>473</v>
      </c>
      <c r="N1466" s="606"/>
    </row>
    <row r="1467" s="457" customFormat="1" ht="20.25" spans="1:14">
      <c r="A1467" s="494">
        <v>45647</v>
      </c>
      <c r="B1467" s="457" t="s">
        <v>203</v>
      </c>
      <c r="C1467" s="495" t="s">
        <v>550</v>
      </c>
      <c r="D1467" s="463"/>
      <c r="E1467" s="463"/>
      <c r="F1467" s="499" t="s">
        <v>179</v>
      </c>
      <c r="G1467" s="501">
        <v>1</v>
      </c>
      <c r="H1467" s="500">
        <f>SUM(H1462:H1466)</f>
        <v>750</v>
      </c>
      <c r="I1467" s="501">
        <f t="shared" si="177"/>
        <v>750</v>
      </c>
      <c r="J1467" s="502">
        <v>7.5</v>
      </c>
      <c r="K1467" s="502">
        <f>I1467*J1467</f>
        <v>5625</v>
      </c>
      <c r="L1467" s="606">
        <f>SUM(K1462:K1467)</f>
        <v>13227.5</v>
      </c>
      <c r="M1467" s="606"/>
      <c r="N1467" s="606"/>
    </row>
    <row r="1468" s="456" customFormat="1" ht="20.25" spans="1:14">
      <c r="A1468" s="488">
        <v>45649</v>
      </c>
      <c r="B1468" s="456" t="s">
        <v>385</v>
      </c>
      <c r="C1468" s="528">
        <v>45647</v>
      </c>
      <c r="D1468" s="528"/>
      <c r="E1468" s="529"/>
      <c r="F1468" s="493" t="s">
        <v>251</v>
      </c>
      <c r="G1468" s="491">
        <v>1</v>
      </c>
      <c r="H1468" s="431">
        <v>180</v>
      </c>
      <c r="I1468" s="491">
        <f t="shared" si="177"/>
        <v>180</v>
      </c>
      <c r="J1468" s="492"/>
      <c r="K1468" s="492"/>
    </row>
    <row r="1469" s="456" customFormat="1" ht="20.25" spans="1:14">
      <c r="A1469" s="488">
        <v>45649</v>
      </c>
      <c r="B1469" s="456" t="s">
        <v>385</v>
      </c>
      <c r="C1469" s="528">
        <v>45647</v>
      </c>
      <c r="D1469" s="528"/>
      <c r="E1469" s="529"/>
      <c r="F1469" s="493" t="s">
        <v>13</v>
      </c>
      <c r="G1469" s="491">
        <v>1</v>
      </c>
      <c r="H1469" s="431">
        <v>180</v>
      </c>
      <c r="I1469" s="491">
        <f t="shared" si="177"/>
        <v>180</v>
      </c>
      <c r="J1469" s="492"/>
      <c r="K1469" s="492"/>
    </row>
    <row r="1470" s="456" customFormat="1" ht="20.25" spans="1:14">
      <c r="A1470" s="488">
        <v>45649</v>
      </c>
      <c r="B1470" s="456" t="s">
        <v>385</v>
      </c>
      <c r="C1470" s="528">
        <v>45647</v>
      </c>
      <c r="D1470" s="528"/>
      <c r="E1470" s="529"/>
      <c r="F1470" s="493" t="s">
        <v>489</v>
      </c>
      <c r="G1470" s="491">
        <v>1</v>
      </c>
      <c r="H1470" s="431">
        <v>46</v>
      </c>
      <c r="I1470" s="491">
        <f t="shared" si="177"/>
        <v>46</v>
      </c>
      <c r="J1470" s="492"/>
      <c r="K1470" s="492"/>
    </row>
    <row r="1471" s="456" customFormat="1" ht="20.25" spans="1:14">
      <c r="A1471" s="488">
        <v>45649</v>
      </c>
      <c r="B1471" s="456" t="s">
        <v>385</v>
      </c>
      <c r="C1471" s="528">
        <v>45647</v>
      </c>
      <c r="D1471" s="528"/>
      <c r="E1471" s="529"/>
      <c r="F1471" s="493" t="s">
        <v>490</v>
      </c>
      <c r="G1471" s="491">
        <v>1</v>
      </c>
      <c r="H1471" s="431">
        <v>193</v>
      </c>
      <c r="I1471" s="491">
        <f t="shared" si="177"/>
        <v>193</v>
      </c>
      <c r="J1471" s="492"/>
      <c r="K1471" s="492"/>
      <c r="L1471" s="536" t="s">
        <v>116</v>
      </c>
      <c r="M1471" s="536" t="s">
        <v>314</v>
      </c>
    </row>
    <row r="1472" s="456" customFormat="1" ht="20.25" spans="1:14">
      <c r="A1472" s="488">
        <v>45649</v>
      </c>
      <c r="B1472" s="456" t="s">
        <v>385</v>
      </c>
      <c r="C1472" s="528">
        <v>45647</v>
      </c>
      <c r="D1472" s="528"/>
      <c r="E1472" s="529"/>
      <c r="F1472" s="493" t="s">
        <v>115</v>
      </c>
      <c r="G1472" s="491">
        <v>1</v>
      </c>
      <c r="H1472" s="431">
        <v>112</v>
      </c>
      <c r="I1472" s="491">
        <f t="shared" si="177"/>
        <v>112</v>
      </c>
      <c r="J1472" s="492"/>
      <c r="K1472" s="492"/>
    </row>
    <row r="1473" s="456" customFormat="1" ht="20.25" spans="1:14">
      <c r="A1473" s="488">
        <v>45649</v>
      </c>
      <c r="B1473" s="456" t="s">
        <v>385</v>
      </c>
      <c r="C1473" s="528">
        <v>45647</v>
      </c>
      <c r="D1473" s="528"/>
      <c r="E1473" s="529"/>
      <c r="F1473" s="498">
        <v>808</v>
      </c>
      <c r="G1473" s="491">
        <v>1</v>
      </c>
      <c r="H1473" s="431">
        <v>23</v>
      </c>
      <c r="I1473" s="491">
        <f t="shared" si="177"/>
        <v>23</v>
      </c>
      <c r="J1473" s="492">
        <v>9.3</v>
      </c>
      <c r="K1473" s="492">
        <f t="shared" ref="K1473:K1476" si="178">I1473*J1473</f>
        <v>213.9</v>
      </c>
    </row>
    <row r="1474" s="456" customFormat="1" ht="20.25" spans="1:14">
      <c r="A1474" s="488">
        <v>45649</v>
      </c>
      <c r="B1474" s="456" t="s">
        <v>385</v>
      </c>
      <c r="C1474" s="528">
        <v>45647</v>
      </c>
      <c r="D1474" s="528"/>
      <c r="E1474" s="529"/>
      <c r="F1474" s="493" t="s">
        <v>152</v>
      </c>
      <c r="G1474" s="491">
        <v>1</v>
      </c>
      <c r="H1474" s="431">
        <v>45</v>
      </c>
      <c r="I1474" s="491">
        <f t="shared" si="177"/>
        <v>45</v>
      </c>
      <c r="J1474" s="492">
        <v>6.8</v>
      </c>
      <c r="K1474" s="492">
        <f t="shared" si="178"/>
        <v>306</v>
      </c>
    </row>
    <row r="1475" s="456" customFormat="1" ht="20.25" spans="1:14">
      <c r="A1475" s="488">
        <v>45649</v>
      </c>
      <c r="B1475" s="456" t="s">
        <v>385</v>
      </c>
      <c r="C1475" s="528">
        <v>45647</v>
      </c>
      <c r="D1475" s="528"/>
      <c r="E1475" s="529"/>
      <c r="F1475" s="493" t="s">
        <v>125</v>
      </c>
      <c r="G1475" s="491">
        <v>1</v>
      </c>
      <c r="H1475" s="431">
        <v>121</v>
      </c>
      <c r="I1475" s="491">
        <f t="shared" si="177"/>
        <v>121</v>
      </c>
      <c r="J1475" s="492">
        <v>5.9</v>
      </c>
      <c r="K1475" s="492">
        <f t="shared" si="178"/>
        <v>713.9</v>
      </c>
    </row>
    <row r="1476" s="456" customFormat="1" ht="20.25" spans="1:14">
      <c r="A1476" s="488">
        <v>45649</v>
      </c>
      <c r="B1476" s="456" t="s">
        <v>385</v>
      </c>
      <c r="C1476" s="528">
        <v>45647</v>
      </c>
      <c r="D1476" s="528"/>
      <c r="E1476" s="529"/>
      <c r="F1476" s="493" t="s">
        <v>17</v>
      </c>
      <c r="G1476" s="491">
        <v>1</v>
      </c>
      <c r="H1476" s="500">
        <f>SUM(H1468:H1475)</f>
        <v>900</v>
      </c>
      <c r="I1476" s="501">
        <f t="shared" si="177"/>
        <v>900</v>
      </c>
      <c r="J1476" s="502">
        <v>1</v>
      </c>
      <c r="K1476" s="502">
        <f t="shared" si="178"/>
        <v>900</v>
      </c>
      <c r="L1476" s="456">
        <f>SUM(K1468:K1476)</f>
        <v>2133.8</v>
      </c>
    </row>
    <row r="1477" s="457" customFormat="1" ht="20.25" spans="1:14">
      <c r="A1477" s="494">
        <v>45649</v>
      </c>
      <c r="B1477" s="457" t="s">
        <v>324</v>
      </c>
      <c r="C1477" s="504">
        <v>45647</v>
      </c>
      <c r="D1477" s="504"/>
      <c r="E1477" s="505"/>
      <c r="F1477" s="496" t="s">
        <v>251</v>
      </c>
      <c r="G1477" s="463">
        <v>1</v>
      </c>
      <c r="H1477" s="432">
        <v>200</v>
      </c>
      <c r="I1477" s="463">
        <f t="shared" si="177"/>
        <v>200</v>
      </c>
      <c r="J1477" s="497"/>
      <c r="K1477" s="497"/>
    </row>
    <row r="1478" s="457" customFormat="1" ht="20.25" spans="1:14">
      <c r="A1478" s="494">
        <v>45649</v>
      </c>
      <c r="B1478" s="457" t="s">
        <v>324</v>
      </c>
      <c r="C1478" s="504">
        <v>45647</v>
      </c>
      <c r="D1478" s="504"/>
      <c r="E1478" s="505"/>
      <c r="F1478" s="496" t="s">
        <v>129</v>
      </c>
      <c r="G1478" s="463">
        <v>1</v>
      </c>
      <c r="H1478" s="432">
        <v>150</v>
      </c>
      <c r="I1478" s="463">
        <f t="shared" si="177"/>
        <v>150</v>
      </c>
      <c r="J1478" s="497"/>
      <c r="K1478" s="497"/>
    </row>
    <row r="1479" s="457" customFormat="1" ht="20.25" spans="1:14">
      <c r="A1479" s="494">
        <v>45649</v>
      </c>
      <c r="B1479" s="457" t="s">
        <v>324</v>
      </c>
      <c r="C1479" s="504">
        <v>45647</v>
      </c>
      <c r="D1479" s="504"/>
      <c r="E1479" s="505"/>
      <c r="F1479" s="498">
        <v>808</v>
      </c>
      <c r="G1479" s="463">
        <v>1</v>
      </c>
      <c r="H1479" s="432">
        <v>200</v>
      </c>
      <c r="I1479" s="463">
        <f t="shared" si="177"/>
        <v>200</v>
      </c>
      <c r="J1479" s="497">
        <v>9.3</v>
      </c>
      <c r="K1479" s="497">
        <f t="shared" ref="K1479:K1481" si="179">I1479*J1479</f>
        <v>1860</v>
      </c>
    </row>
    <row r="1480" s="457" customFormat="1" ht="20.25" spans="1:14">
      <c r="A1480" s="494">
        <v>45649</v>
      </c>
      <c r="B1480" s="457" t="s">
        <v>324</v>
      </c>
      <c r="C1480" s="504">
        <v>45647</v>
      </c>
      <c r="D1480" s="504"/>
      <c r="E1480" s="505"/>
      <c r="F1480" s="496" t="s">
        <v>125</v>
      </c>
      <c r="G1480" s="463">
        <v>1</v>
      </c>
      <c r="H1480" s="432">
        <v>60</v>
      </c>
      <c r="I1480" s="463">
        <f t="shared" si="177"/>
        <v>60</v>
      </c>
      <c r="J1480" s="497">
        <v>5.9</v>
      </c>
      <c r="K1480" s="497">
        <f t="shared" si="179"/>
        <v>354</v>
      </c>
    </row>
    <row r="1481" s="457" customFormat="1" ht="20.25" spans="1:14">
      <c r="A1481" s="494">
        <v>45649</v>
      </c>
      <c r="B1481" s="457" t="s">
        <v>324</v>
      </c>
      <c r="C1481" s="504">
        <v>45647</v>
      </c>
      <c r="D1481" s="504"/>
      <c r="E1481" s="505"/>
      <c r="F1481" s="496" t="s">
        <v>152</v>
      </c>
      <c r="G1481" s="463">
        <v>1</v>
      </c>
      <c r="H1481" s="432">
        <v>125</v>
      </c>
      <c r="I1481" s="463">
        <f t="shared" si="177"/>
        <v>125</v>
      </c>
      <c r="J1481" s="497">
        <v>6.8</v>
      </c>
      <c r="K1481" s="497">
        <f t="shared" si="179"/>
        <v>850</v>
      </c>
    </row>
    <row r="1482" s="457" customFormat="1" ht="20.25" spans="1:14">
      <c r="A1482" s="494">
        <v>45649</v>
      </c>
      <c r="B1482" s="457" t="s">
        <v>324</v>
      </c>
      <c r="C1482" s="504">
        <v>45647</v>
      </c>
      <c r="D1482" s="504"/>
      <c r="E1482" s="505"/>
      <c r="F1482" s="496" t="s">
        <v>533</v>
      </c>
      <c r="G1482" s="463">
        <v>1</v>
      </c>
      <c r="H1482" s="432">
        <v>51</v>
      </c>
      <c r="I1482" s="463">
        <f t="shared" si="177"/>
        <v>51</v>
      </c>
      <c r="J1482" s="497"/>
      <c r="K1482" s="497"/>
      <c r="L1482" s="537"/>
      <c r="M1482" s="537"/>
      <c r="N1482" s="537" t="s">
        <v>495</v>
      </c>
    </row>
    <row r="1483" s="457" customFormat="1" ht="20.25" spans="1:14">
      <c r="A1483" s="494">
        <v>45649</v>
      </c>
      <c r="B1483" s="457" t="s">
        <v>324</v>
      </c>
      <c r="C1483" s="504">
        <v>45647</v>
      </c>
      <c r="D1483" s="504"/>
      <c r="E1483" s="505"/>
      <c r="F1483" s="496" t="s">
        <v>547</v>
      </c>
      <c r="G1483" s="463">
        <v>1</v>
      </c>
      <c r="H1483" s="432">
        <v>214</v>
      </c>
      <c r="I1483" s="463">
        <f t="shared" si="177"/>
        <v>214</v>
      </c>
      <c r="J1483" s="497"/>
      <c r="K1483" s="497"/>
      <c r="L1483" s="537"/>
      <c r="M1483" s="537" t="s">
        <v>126</v>
      </c>
      <c r="N1483" s="537"/>
    </row>
    <row r="1484" s="457" customFormat="1" ht="20.25" spans="1:14">
      <c r="A1484" s="494">
        <v>45649</v>
      </c>
      <c r="B1484" s="457" t="s">
        <v>324</v>
      </c>
      <c r="C1484" s="504">
        <v>45647</v>
      </c>
      <c r="D1484" s="504"/>
      <c r="E1484" s="505"/>
      <c r="F1484" s="496" t="s">
        <v>130</v>
      </c>
      <c r="G1484" s="501">
        <v>1</v>
      </c>
      <c r="H1484" s="500">
        <f>SUM(H1477:H1483)</f>
        <v>1000</v>
      </c>
      <c r="I1484" s="501">
        <f t="shared" si="177"/>
        <v>1000</v>
      </c>
      <c r="J1484" s="502">
        <v>1</v>
      </c>
      <c r="K1484" s="502">
        <f>I1484*J1484</f>
        <v>1000</v>
      </c>
      <c r="L1484" s="537">
        <f>SUM(K1477:K1484)</f>
        <v>4064</v>
      </c>
      <c r="M1484" s="537"/>
      <c r="N1484" s="537"/>
    </row>
    <row r="1485" s="456" customFormat="1" ht="20.25" spans="1:14">
      <c r="A1485" s="488">
        <v>45649</v>
      </c>
      <c r="B1485" s="456" t="s">
        <v>327</v>
      </c>
      <c r="C1485" s="490">
        <v>45649</v>
      </c>
      <c r="D1485" s="491"/>
      <c r="E1485" s="491"/>
      <c r="F1485" s="456" t="s">
        <v>16</v>
      </c>
      <c r="G1485" s="489">
        <v>1</v>
      </c>
      <c r="H1485" s="489">
        <v>27</v>
      </c>
      <c r="I1485" s="491">
        <f t="shared" si="177"/>
        <v>27</v>
      </c>
      <c r="J1485" s="492"/>
      <c r="K1485" s="492"/>
      <c r="L1485" s="646"/>
    </row>
    <row r="1486" s="456" customFormat="1" ht="20.25" spans="1:14">
      <c r="A1486" s="488">
        <v>45649</v>
      </c>
      <c r="B1486" s="456" t="s">
        <v>327</v>
      </c>
      <c r="C1486" s="490">
        <v>45649</v>
      </c>
      <c r="D1486" s="491"/>
      <c r="E1486" s="491"/>
      <c r="F1486" s="456" t="s">
        <v>533</v>
      </c>
      <c r="G1486" s="489">
        <v>1</v>
      </c>
      <c r="H1486" s="489">
        <v>42</v>
      </c>
      <c r="I1486" s="491">
        <f t="shared" si="177"/>
        <v>42</v>
      </c>
      <c r="J1486" s="492"/>
      <c r="K1486" s="492"/>
      <c r="L1486" s="646"/>
    </row>
    <row r="1487" s="456" customFormat="1" ht="20.25" spans="1:14">
      <c r="A1487" s="488">
        <v>45649</v>
      </c>
      <c r="B1487" s="456" t="s">
        <v>327</v>
      </c>
      <c r="C1487" s="490">
        <v>45649</v>
      </c>
      <c r="D1487" s="491"/>
      <c r="E1487" s="491"/>
      <c r="F1487" s="456" t="s">
        <v>547</v>
      </c>
      <c r="G1487" s="489">
        <v>1</v>
      </c>
      <c r="H1487" s="489">
        <v>10.5</v>
      </c>
      <c r="I1487" s="491">
        <f t="shared" si="177"/>
        <v>10.5</v>
      </c>
      <c r="J1487" s="492"/>
      <c r="K1487" s="492"/>
      <c r="L1487" s="646"/>
    </row>
    <row r="1488" s="456" customFormat="1" ht="20.25" spans="1:14">
      <c r="A1488" s="488">
        <v>45649</v>
      </c>
      <c r="B1488" s="456" t="s">
        <v>327</v>
      </c>
      <c r="C1488" s="490">
        <v>45649</v>
      </c>
      <c r="D1488" s="491"/>
      <c r="E1488" s="491"/>
      <c r="F1488" s="456" t="s">
        <v>352</v>
      </c>
      <c r="G1488" s="489">
        <v>1</v>
      </c>
      <c r="H1488" s="489">
        <v>30</v>
      </c>
      <c r="I1488" s="491">
        <f t="shared" si="177"/>
        <v>30</v>
      </c>
      <c r="J1488" s="492"/>
      <c r="K1488" s="492"/>
      <c r="L1488" s="652" t="s">
        <v>116</v>
      </c>
    </row>
    <row r="1489" s="456" customFormat="1" ht="20.25" spans="1:14">
      <c r="A1489" s="488">
        <v>45649</v>
      </c>
      <c r="B1489" s="456" t="s">
        <v>327</v>
      </c>
      <c r="C1489" s="490">
        <v>45649</v>
      </c>
      <c r="D1489" s="491"/>
      <c r="E1489" s="491"/>
      <c r="F1489" s="456" t="s">
        <v>115</v>
      </c>
      <c r="G1489" s="489">
        <v>1</v>
      </c>
      <c r="H1489" s="489">
        <v>15</v>
      </c>
      <c r="I1489" s="491">
        <f t="shared" si="177"/>
        <v>15</v>
      </c>
      <c r="J1489" s="492"/>
      <c r="K1489" s="492"/>
      <c r="L1489" s="646"/>
    </row>
    <row r="1490" s="456" customFormat="1" ht="20.25" spans="1:14">
      <c r="A1490" s="488">
        <v>45649</v>
      </c>
      <c r="B1490" s="456" t="s">
        <v>327</v>
      </c>
      <c r="C1490" s="490">
        <v>45649</v>
      </c>
      <c r="D1490" s="491"/>
      <c r="E1490" s="491"/>
      <c r="F1490" s="498">
        <v>808</v>
      </c>
      <c r="G1490" s="489">
        <v>1</v>
      </c>
      <c r="H1490" s="489">
        <v>7.5</v>
      </c>
      <c r="I1490" s="491">
        <f t="shared" si="177"/>
        <v>7.5</v>
      </c>
      <c r="J1490" s="492">
        <v>9.3</v>
      </c>
      <c r="K1490" s="492">
        <f t="shared" ref="K1490:K1493" si="180">I1490*J1490</f>
        <v>69.75</v>
      </c>
      <c r="L1490" s="646"/>
    </row>
    <row r="1491" s="456" customFormat="1" ht="20.25" spans="1:14">
      <c r="A1491" s="488">
        <v>45649</v>
      </c>
      <c r="B1491" s="456" t="s">
        <v>327</v>
      </c>
      <c r="C1491" s="490">
        <v>45649</v>
      </c>
      <c r="D1491" s="491"/>
      <c r="E1491" s="491"/>
      <c r="F1491" s="493" t="s">
        <v>125</v>
      </c>
      <c r="G1491" s="489">
        <v>1</v>
      </c>
      <c r="H1491" s="489">
        <v>18</v>
      </c>
      <c r="I1491" s="491">
        <f t="shared" si="177"/>
        <v>18</v>
      </c>
      <c r="J1491" s="492">
        <v>5.9</v>
      </c>
      <c r="K1491" s="492">
        <f t="shared" si="180"/>
        <v>106.2</v>
      </c>
      <c r="L1491" s="646"/>
    </row>
    <row r="1492" s="456" customFormat="1" ht="19" customHeight="1" spans="1:14">
      <c r="A1492" s="488">
        <v>45649</v>
      </c>
      <c r="B1492" s="456" t="s">
        <v>327</v>
      </c>
      <c r="C1492" s="490">
        <v>45649</v>
      </c>
      <c r="D1492" s="491"/>
      <c r="E1492" s="491"/>
      <c r="F1492" s="456" t="s">
        <v>435</v>
      </c>
      <c r="G1492" s="535">
        <v>1</v>
      </c>
      <c r="H1492" s="535">
        <f>SUM(H1485:H1491)</f>
        <v>150</v>
      </c>
      <c r="I1492" s="501">
        <f t="shared" si="177"/>
        <v>150</v>
      </c>
      <c r="J1492" s="502">
        <v>1</v>
      </c>
      <c r="K1492" s="502">
        <f t="shared" si="180"/>
        <v>150</v>
      </c>
    </row>
    <row r="1493" s="456" customFormat="1" ht="19" customHeight="1" spans="1:14">
      <c r="A1493" s="488">
        <v>45649</v>
      </c>
      <c r="B1493" s="456" t="s">
        <v>327</v>
      </c>
      <c r="C1493" s="490">
        <v>45649</v>
      </c>
      <c r="D1493" s="491"/>
      <c r="E1493" s="491"/>
      <c r="F1493" s="456" t="s">
        <v>552</v>
      </c>
      <c r="G1493" s="489">
        <v>5</v>
      </c>
      <c r="H1493" s="489">
        <v>1</v>
      </c>
      <c r="I1493" s="491">
        <f t="shared" si="177"/>
        <v>5</v>
      </c>
      <c r="J1493" s="492">
        <v>12.5</v>
      </c>
      <c r="K1493" s="492">
        <f t="shared" si="180"/>
        <v>62.5</v>
      </c>
      <c r="L1493" s="456">
        <f>SUM(K1485:K1493)</f>
        <v>388.45</v>
      </c>
    </row>
    <row r="1494" s="461" customFormat="1" ht="20.25" spans="1:14">
      <c r="A1494" s="540">
        <v>45650</v>
      </c>
      <c r="B1494" s="657" t="s">
        <v>334</v>
      </c>
      <c r="C1494" s="542">
        <v>45650</v>
      </c>
      <c r="D1494" s="523"/>
      <c r="E1494" s="523"/>
      <c r="F1494" s="522" t="s">
        <v>16</v>
      </c>
      <c r="G1494" s="523">
        <v>1</v>
      </c>
      <c r="H1494" s="524">
        <v>90</v>
      </c>
      <c r="I1494" s="523">
        <f t="shared" si="177"/>
        <v>90</v>
      </c>
      <c r="J1494" s="525"/>
      <c r="K1494" s="525"/>
      <c r="L1494" s="543"/>
      <c r="M1494" s="543"/>
      <c r="N1494" s="543"/>
    </row>
    <row r="1495" s="461" customFormat="1" ht="20.25" spans="1:14">
      <c r="A1495" s="540">
        <v>45650</v>
      </c>
      <c r="B1495" s="657" t="s">
        <v>334</v>
      </c>
      <c r="C1495" s="542">
        <v>45650</v>
      </c>
      <c r="D1495" s="523"/>
      <c r="E1495" s="523"/>
      <c r="F1495" s="522" t="s">
        <v>300</v>
      </c>
      <c r="G1495" s="523">
        <v>1</v>
      </c>
      <c r="H1495" s="524">
        <v>90</v>
      </c>
      <c r="I1495" s="523">
        <f t="shared" si="177"/>
        <v>90</v>
      </c>
      <c r="J1495" s="525"/>
      <c r="K1495" s="525"/>
      <c r="L1495" s="543"/>
      <c r="M1495" s="543"/>
      <c r="N1495" s="543"/>
    </row>
    <row r="1496" s="461" customFormat="1" ht="20.25" spans="1:14">
      <c r="A1496" s="540">
        <v>45650</v>
      </c>
      <c r="B1496" s="657" t="s">
        <v>334</v>
      </c>
      <c r="C1496" s="542">
        <v>45650</v>
      </c>
      <c r="D1496" s="523"/>
      <c r="E1496" s="523"/>
      <c r="F1496" s="522" t="s">
        <v>546</v>
      </c>
      <c r="G1496" s="523">
        <v>1</v>
      </c>
      <c r="H1496" s="524">
        <v>128</v>
      </c>
      <c r="I1496" s="523">
        <f t="shared" si="177"/>
        <v>128</v>
      </c>
      <c r="J1496" s="525"/>
      <c r="K1496" s="525"/>
      <c r="L1496" s="543"/>
      <c r="M1496" s="543"/>
      <c r="N1496" s="543"/>
    </row>
    <row r="1497" s="461" customFormat="1" ht="20.25" spans="1:14">
      <c r="A1497" s="540">
        <v>45650</v>
      </c>
      <c r="B1497" s="657" t="s">
        <v>334</v>
      </c>
      <c r="C1497" s="542">
        <v>45650</v>
      </c>
      <c r="D1497" s="523"/>
      <c r="E1497" s="523"/>
      <c r="F1497" s="498">
        <v>808</v>
      </c>
      <c r="G1497" s="523">
        <v>1</v>
      </c>
      <c r="H1497" s="524">
        <v>60</v>
      </c>
      <c r="I1497" s="523">
        <f t="shared" si="177"/>
        <v>60</v>
      </c>
      <c r="J1497" s="525">
        <v>9.3</v>
      </c>
      <c r="K1497" s="525">
        <f t="shared" ref="K1497:K1500" si="181">I1497*J1497</f>
        <v>558</v>
      </c>
      <c r="L1497" s="543" t="s">
        <v>436</v>
      </c>
      <c r="M1497" s="543"/>
      <c r="N1497" s="543"/>
    </row>
    <row r="1498" s="461" customFormat="1" ht="20.25" spans="1:14">
      <c r="A1498" s="540">
        <v>45650</v>
      </c>
      <c r="B1498" s="657" t="s">
        <v>334</v>
      </c>
      <c r="C1498" s="542">
        <v>45650</v>
      </c>
      <c r="D1498" s="523"/>
      <c r="E1498" s="523"/>
      <c r="F1498" s="522" t="s">
        <v>125</v>
      </c>
      <c r="G1498" s="523">
        <v>1</v>
      </c>
      <c r="H1498" s="524">
        <v>142</v>
      </c>
      <c r="I1498" s="523">
        <f t="shared" si="177"/>
        <v>142</v>
      </c>
      <c r="J1498" s="525">
        <v>5.9</v>
      </c>
      <c r="K1498" s="525">
        <f t="shared" si="181"/>
        <v>837.8</v>
      </c>
      <c r="L1498" s="543">
        <f>SUBTOTAL(9,K1149:K1327)</f>
        <v>185845.618</v>
      </c>
      <c r="M1498" s="543"/>
      <c r="N1498" s="543"/>
    </row>
    <row r="1499" s="461" customFormat="1" ht="20.25" spans="1:14">
      <c r="A1499" s="540">
        <v>45650</v>
      </c>
      <c r="B1499" s="657" t="s">
        <v>334</v>
      </c>
      <c r="C1499" s="542">
        <v>45650</v>
      </c>
      <c r="D1499" s="523"/>
      <c r="E1499" s="523"/>
      <c r="F1499" s="522" t="s">
        <v>240</v>
      </c>
      <c r="G1499" s="523">
        <v>1</v>
      </c>
      <c r="H1499" s="524">
        <v>90</v>
      </c>
      <c r="I1499" s="523">
        <f t="shared" si="177"/>
        <v>90</v>
      </c>
      <c r="J1499" s="525"/>
      <c r="K1499" s="525"/>
      <c r="L1499" s="543"/>
      <c r="M1499" s="543"/>
      <c r="N1499" s="543"/>
    </row>
    <row r="1500" s="461" customFormat="1" ht="20.25" spans="1:14">
      <c r="A1500" s="540">
        <v>45650</v>
      </c>
      <c r="B1500" s="657" t="s">
        <v>334</v>
      </c>
      <c r="C1500" s="542">
        <v>45650</v>
      </c>
      <c r="D1500" s="523"/>
      <c r="E1500" s="523"/>
      <c r="F1500" s="522" t="s">
        <v>301</v>
      </c>
      <c r="G1500" s="523">
        <v>1</v>
      </c>
      <c r="H1500" s="500">
        <f>SUM(H1494:H1499)</f>
        <v>600</v>
      </c>
      <c r="I1500" s="501">
        <f t="shared" si="177"/>
        <v>600</v>
      </c>
      <c r="J1500" s="502">
        <v>1</v>
      </c>
      <c r="K1500" s="502">
        <f t="shared" si="181"/>
        <v>600</v>
      </c>
      <c r="L1500" s="543">
        <f>SUM(K1494:K1500)</f>
        <v>1995.8</v>
      </c>
      <c r="M1500" s="543"/>
      <c r="N1500" s="543"/>
    </row>
    <row r="1501" s="457" customFormat="1" ht="20.25" spans="1:14">
      <c r="A1501" s="494">
        <v>45651</v>
      </c>
      <c r="B1501" s="457" t="s">
        <v>341</v>
      </c>
      <c r="C1501" s="504">
        <v>45650</v>
      </c>
      <c r="D1501" s="504"/>
      <c r="E1501" s="505"/>
      <c r="F1501" s="496" t="s">
        <v>303</v>
      </c>
      <c r="G1501" s="463">
        <v>1</v>
      </c>
      <c r="H1501" s="432">
        <v>150</v>
      </c>
      <c r="I1501" s="463">
        <f t="shared" si="177"/>
        <v>150</v>
      </c>
      <c r="J1501" s="497"/>
      <c r="K1501" s="497"/>
    </row>
    <row r="1502" s="457" customFormat="1" ht="20.25" spans="1:14">
      <c r="A1502" s="494">
        <v>45651</v>
      </c>
      <c r="B1502" s="457" t="s">
        <v>341</v>
      </c>
      <c r="C1502" s="504">
        <v>45650</v>
      </c>
      <c r="D1502" s="504"/>
      <c r="E1502" s="505"/>
      <c r="F1502" s="496" t="s">
        <v>129</v>
      </c>
      <c r="G1502" s="463">
        <v>1</v>
      </c>
      <c r="H1502" s="432">
        <v>120</v>
      </c>
      <c r="I1502" s="463">
        <f t="shared" si="177"/>
        <v>120</v>
      </c>
      <c r="J1502" s="497"/>
      <c r="K1502" s="497"/>
    </row>
    <row r="1503" s="457" customFormat="1" ht="20.25" spans="1:14">
      <c r="A1503" s="494">
        <v>45651</v>
      </c>
      <c r="B1503" s="457" t="s">
        <v>341</v>
      </c>
      <c r="C1503" s="504">
        <v>45650</v>
      </c>
      <c r="D1503" s="504"/>
      <c r="E1503" s="505"/>
      <c r="F1503" s="496" t="s">
        <v>208</v>
      </c>
      <c r="G1503" s="463">
        <v>1</v>
      </c>
      <c r="H1503" s="432">
        <v>30</v>
      </c>
      <c r="I1503" s="463">
        <f t="shared" si="177"/>
        <v>30</v>
      </c>
      <c r="J1503" s="497">
        <v>17</v>
      </c>
      <c r="K1503" s="497">
        <f>I1503*J1503</f>
        <v>510</v>
      </c>
    </row>
    <row r="1504" s="457" customFormat="1" ht="20.25" spans="1:14">
      <c r="A1504" s="494">
        <v>45651</v>
      </c>
      <c r="B1504" s="457" t="s">
        <v>341</v>
      </c>
      <c r="C1504" s="504">
        <v>45650</v>
      </c>
      <c r="D1504" s="504"/>
      <c r="E1504" s="505"/>
      <c r="F1504" s="496">
        <v>808</v>
      </c>
      <c r="G1504" s="463">
        <v>1</v>
      </c>
      <c r="H1504" s="432">
        <v>100</v>
      </c>
      <c r="I1504" s="463">
        <f t="shared" si="177"/>
        <v>100</v>
      </c>
      <c r="J1504" s="497">
        <v>9.3</v>
      </c>
      <c r="K1504" s="497">
        <f>I1504*J1504</f>
        <v>930</v>
      </c>
    </row>
    <row r="1505" s="457" customFormat="1" ht="20.25" spans="1:15">
      <c r="A1505" s="494">
        <v>45651</v>
      </c>
      <c r="B1505" s="457" t="s">
        <v>341</v>
      </c>
      <c r="C1505" s="504">
        <v>45650</v>
      </c>
      <c r="D1505" s="504"/>
      <c r="E1505" s="505"/>
      <c r="F1505" s="496" t="s">
        <v>132</v>
      </c>
      <c r="G1505" s="463">
        <v>1</v>
      </c>
      <c r="H1505" s="432">
        <v>200</v>
      </c>
      <c r="I1505" s="463">
        <f t="shared" si="177"/>
        <v>200</v>
      </c>
      <c r="J1505" s="497">
        <v>3.6</v>
      </c>
      <c r="K1505" s="497">
        <f>I1505*J1505</f>
        <v>720</v>
      </c>
    </row>
    <row r="1506" s="457" customFormat="1" ht="20.25" spans="1:15">
      <c r="A1506" s="494">
        <v>45651</v>
      </c>
      <c r="B1506" s="457" t="s">
        <v>341</v>
      </c>
      <c r="C1506" s="504">
        <v>45650</v>
      </c>
      <c r="D1506" s="504"/>
      <c r="E1506" s="505"/>
      <c r="F1506" s="496" t="s">
        <v>86</v>
      </c>
      <c r="G1506" s="463">
        <v>1</v>
      </c>
      <c r="H1506" s="432">
        <v>140</v>
      </c>
      <c r="I1506" s="463">
        <f t="shared" si="177"/>
        <v>140</v>
      </c>
      <c r="J1506" s="497"/>
      <c r="K1506" s="497"/>
      <c r="L1506" s="537"/>
      <c r="M1506" s="537"/>
      <c r="N1506" s="537"/>
    </row>
    <row r="1507" s="457" customFormat="1" ht="20.25" spans="1:15">
      <c r="A1507" s="494">
        <v>45651</v>
      </c>
      <c r="B1507" s="457" t="s">
        <v>341</v>
      </c>
      <c r="C1507" s="504">
        <v>45650</v>
      </c>
      <c r="D1507" s="504"/>
      <c r="E1507" s="505"/>
      <c r="F1507" s="496" t="s">
        <v>553</v>
      </c>
      <c r="G1507" s="463">
        <v>1</v>
      </c>
      <c r="H1507" s="432">
        <v>145</v>
      </c>
      <c r="I1507" s="463">
        <f t="shared" si="177"/>
        <v>145</v>
      </c>
      <c r="J1507" s="497"/>
      <c r="K1507" s="497"/>
      <c r="L1507" s="537"/>
      <c r="M1507" s="537" t="s">
        <v>126</v>
      </c>
      <c r="N1507" s="537"/>
    </row>
    <row r="1508" s="457" customFormat="1" ht="20.25" spans="1:15">
      <c r="A1508" s="494">
        <v>45651</v>
      </c>
      <c r="B1508" s="457" t="s">
        <v>341</v>
      </c>
      <c r="C1508" s="504">
        <v>45650</v>
      </c>
      <c r="D1508" s="504"/>
      <c r="E1508" s="505"/>
      <c r="F1508" s="496" t="s">
        <v>373</v>
      </c>
      <c r="G1508" s="463">
        <v>1</v>
      </c>
      <c r="H1508" s="432">
        <v>3</v>
      </c>
      <c r="I1508" s="463">
        <f t="shared" si="177"/>
        <v>3</v>
      </c>
      <c r="J1508" s="497"/>
      <c r="K1508" s="497"/>
      <c r="L1508" s="537"/>
      <c r="M1508" s="537"/>
      <c r="N1508" s="537"/>
    </row>
    <row r="1509" s="457" customFormat="1" ht="20.25" spans="1:15">
      <c r="A1509" s="494">
        <v>45651</v>
      </c>
      <c r="B1509" s="457" t="s">
        <v>341</v>
      </c>
      <c r="C1509" s="504">
        <v>45650</v>
      </c>
      <c r="D1509" s="504"/>
      <c r="E1509" s="505"/>
      <c r="F1509" s="496" t="s">
        <v>152</v>
      </c>
      <c r="G1509" s="463">
        <v>1</v>
      </c>
      <c r="H1509" s="432">
        <v>75</v>
      </c>
      <c r="I1509" s="463">
        <f t="shared" si="177"/>
        <v>75</v>
      </c>
      <c r="J1509" s="497">
        <v>6.8</v>
      </c>
      <c r="K1509" s="497">
        <f>I1509*J1509</f>
        <v>510</v>
      </c>
      <c r="L1509" s="537"/>
      <c r="M1509" s="537"/>
      <c r="N1509" s="537"/>
    </row>
    <row r="1510" s="457" customFormat="1" ht="20.25" spans="1:15">
      <c r="A1510" s="494">
        <v>45651</v>
      </c>
      <c r="B1510" s="457" t="s">
        <v>341</v>
      </c>
      <c r="C1510" s="504">
        <v>45650</v>
      </c>
      <c r="D1510" s="504"/>
      <c r="E1510" s="505"/>
      <c r="F1510" s="496" t="s">
        <v>125</v>
      </c>
      <c r="G1510" s="463">
        <v>1</v>
      </c>
      <c r="H1510" s="432">
        <v>40</v>
      </c>
      <c r="I1510" s="463">
        <f t="shared" si="177"/>
        <v>40</v>
      </c>
      <c r="J1510" s="497">
        <v>5.9</v>
      </c>
      <c r="K1510" s="497">
        <f>I1510*J1510</f>
        <v>236</v>
      </c>
      <c r="L1510" s="537"/>
      <c r="M1510" s="537"/>
      <c r="N1510" s="537"/>
    </row>
    <row r="1511" s="457" customFormat="1" ht="20.25" spans="1:15">
      <c r="A1511" s="494">
        <v>45651</v>
      </c>
      <c r="B1511" s="457" t="s">
        <v>341</v>
      </c>
      <c r="C1511" s="504">
        <v>45650</v>
      </c>
      <c r="D1511" s="504"/>
      <c r="E1511" s="505"/>
      <c r="F1511" s="496" t="s">
        <v>304</v>
      </c>
      <c r="G1511" s="463">
        <v>1</v>
      </c>
      <c r="H1511" s="500">
        <f>SUM(H1501:H1510)</f>
        <v>1003</v>
      </c>
      <c r="I1511" s="501">
        <f t="shared" si="177"/>
        <v>1003</v>
      </c>
      <c r="J1511" s="502">
        <v>1</v>
      </c>
      <c r="K1511" s="502">
        <f>I1511*J1511</f>
        <v>1003</v>
      </c>
      <c r="L1511" s="537">
        <f>SUM(K1501:K1511)</f>
        <v>3909</v>
      </c>
      <c r="M1511" s="537"/>
      <c r="N1511" s="537"/>
    </row>
    <row r="1512" s="456" customFormat="1" ht="20.25" spans="1:15">
      <c r="A1512" s="488">
        <v>45652</v>
      </c>
      <c r="B1512" s="456" t="s">
        <v>119</v>
      </c>
      <c r="C1512" s="490">
        <v>45651</v>
      </c>
      <c r="D1512" s="491"/>
      <c r="E1512" s="491"/>
      <c r="F1512" s="658" t="s">
        <v>514</v>
      </c>
      <c r="G1512" s="491">
        <v>5</v>
      </c>
      <c r="H1512" s="491">
        <v>1</v>
      </c>
      <c r="I1512" s="491">
        <f t="shared" ref="I1512:I1523" si="182">G1512*H1512</f>
        <v>5</v>
      </c>
      <c r="J1512" s="492">
        <v>12.5</v>
      </c>
      <c r="K1512" s="492">
        <f>I1512*J1512</f>
        <v>62.5</v>
      </c>
      <c r="L1512" s="456" t="s">
        <v>554</v>
      </c>
    </row>
    <row r="1513" s="456" customFormat="1" ht="20.25" spans="1:15">
      <c r="A1513" s="488">
        <v>45652</v>
      </c>
      <c r="B1513" s="456" t="s">
        <v>119</v>
      </c>
      <c r="C1513" s="490">
        <v>45651</v>
      </c>
      <c r="D1513" s="491"/>
      <c r="E1513" s="491"/>
      <c r="F1513" s="493" t="s">
        <v>16</v>
      </c>
      <c r="G1513" s="491">
        <v>1</v>
      </c>
      <c r="H1513" s="431">
        <v>3</v>
      </c>
      <c r="I1513" s="491">
        <f t="shared" si="182"/>
        <v>3</v>
      </c>
      <c r="J1513" s="492">
        <v>12.5</v>
      </c>
      <c r="K1513" s="492"/>
      <c r="L1513" s="536"/>
      <c r="M1513" s="536"/>
      <c r="N1513" s="536"/>
    </row>
    <row r="1514" s="456" customFormat="1" ht="20.25" spans="1:15">
      <c r="A1514" s="488">
        <v>45652</v>
      </c>
      <c r="B1514" s="456" t="s">
        <v>119</v>
      </c>
      <c r="C1514" s="490">
        <v>45651</v>
      </c>
      <c r="D1514" s="491"/>
      <c r="E1514" s="491"/>
      <c r="F1514" s="493" t="s">
        <v>513</v>
      </c>
      <c r="G1514" s="491">
        <v>1</v>
      </c>
      <c r="H1514" s="431">
        <v>20</v>
      </c>
      <c r="I1514" s="491">
        <f t="shared" si="182"/>
        <v>20</v>
      </c>
      <c r="J1514" s="492">
        <v>15</v>
      </c>
      <c r="K1514" s="492">
        <f>I1514*J1514</f>
        <v>300</v>
      </c>
      <c r="L1514" s="536"/>
      <c r="M1514" s="536"/>
      <c r="N1514" s="536"/>
    </row>
    <row r="1515" s="456" customFormat="1" ht="20.25" spans="1:15">
      <c r="A1515" s="488">
        <v>45652</v>
      </c>
      <c r="B1515" s="456" t="s">
        <v>119</v>
      </c>
      <c r="C1515" s="490">
        <v>45651</v>
      </c>
      <c r="D1515" s="491"/>
      <c r="E1515" s="491"/>
      <c r="F1515" s="493" t="s">
        <v>152</v>
      </c>
      <c r="G1515" s="491">
        <v>1</v>
      </c>
      <c r="H1515" s="431">
        <v>73</v>
      </c>
      <c r="I1515" s="491">
        <f t="shared" si="182"/>
        <v>73</v>
      </c>
      <c r="J1515" s="492">
        <v>6.8</v>
      </c>
      <c r="K1515" s="492">
        <f>I1515*J1515</f>
        <v>496.4</v>
      </c>
      <c r="L1515" s="536"/>
      <c r="M1515" s="536"/>
      <c r="N1515" s="536"/>
    </row>
    <row r="1516" s="456" customFormat="1" ht="20.25" spans="1:15">
      <c r="A1516" s="488">
        <v>45652</v>
      </c>
      <c r="B1516" s="456" t="s">
        <v>119</v>
      </c>
      <c r="C1516" s="490">
        <v>45651</v>
      </c>
      <c r="D1516" s="491"/>
      <c r="E1516" s="491"/>
      <c r="F1516" s="493" t="s">
        <v>125</v>
      </c>
      <c r="G1516" s="491">
        <v>1</v>
      </c>
      <c r="H1516" s="431">
        <v>64</v>
      </c>
      <c r="I1516" s="491">
        <f t="shared" si="182"/>
        <v>64</v>
      </c>
      <c r="J1516" s="492">
        <v>5.9</v>
      </c>
      <c r="K1516" s="492">
        <f>I1516*J1516</f>
        <v>377.6</v>
      </c>
      <c r="L1516" s="536"/>
      <c r="M1516" s="536"/>
      <c r="N1516" s="536"/>
    </row>
    <row r="1517" s="456" customFormat="1" ht="20.25" spans="1:15">
      <c r="A1517" s="488">
        <v>45652</v>
      </c>
      <c r="B1517" s="456" t="s">
        <v>119</v>
      </c>
      <c r="C1517" s="490">
        <v>45651</v>
      </c>
      <c r="D1517" s="491"/>
      <c r="E1517" s="491"/>
      <c r="F1517" s="493" t="s">
        <v>389</v>
      </c>
      <c r="G1517" s="491">
        <v>1</v>
      </c>
      <c r="H1517" s="500">
        <f>SUM(H1513:H1516)</f>
        <v>160</v>
      </c>
      <c r="I1517" s="501">
        <f t="shared" si="182"/>
        <v>160</v>
      </c>
      <c r="J1517" s="502">
        <v>1</v>
      </c>
      <c r="K1517" s="502">
        <f>I1517*J1517</f>
        <v>160</v>
      </c>
      <c r="L1517" s="536">
        <f>SUM(K1512:K1517)</f>
        <v>1396.5</v>
      </c>
      <c r="M1517" s="536"/>
      <c r="N1517" s="536"/>
    </row>
    <row r="1518" s="457" customFormat="1" ht="20.25" spans="1:15">
      <c r="A1518" s="494">
        <v>45657</v>
      </c>
      <c r="B1518" s="457" t="s">
        <v>555</v>
      </c>
      <c r="C1518" s="495">
        <v>45657</v>
      </c>
      <c r="D1518" s="463"/>
      <c r="E1518" s="463"/>
      <c r="F1518" s="496" t="s">
        <v>16</v>
      </c>
      <c r="G1518" s="463">
        <v>2</v>
      </c>
      <c r="H1518" s="432">
        <v>48</v>
      </c>
      <c r="I1518" s="463">
        <f t="shared" si="182"/>
        <v>96</v>
      </c>
      <c r="J1518" s="497"/>
      <c r="K1518" s="497"/>
      <c r="O1518" s="456"/>
    </row>
    <row r="1519" s="457" customFormat="1" ht="20.25" spans="1:15">
      <c r="A1519" s="494">
        <v>45657</v>
      </c>
      <c r="B1519" s="457" t="s">
        <v>555</v>
      </c>
      <c r="C1519" s="495">
        <v>45657</v>
      </c>
      <c r="D1519" s="463"/>
      <c r="E1519" s="463"/>
      <c r="F1519" s="496" t="s">
        <v>444</v>
      </c>
      <c r="G1519" s="463">
        <v>2</v>
      </c>
      <c r="H1519" s="432">
        <v>4.5</v>
      </c>
      <c r="I1519" s="463">
        <f t="shared" si="182"/>
        <v>9</v>
      </c>
      <c r="J1519" s="497"/>
      <c r="K1519" s="497"/>
      <c r="O1519" s="456"/>
    </row>
    <row r="1520" s="457" customFormat="1" ht="20.25" spans="1:15">
      <c r="A1520" s="494">
        <v>45657</v>
      </c>
      <c r="B1520" s="457" t="s">
        <v>555</v>
      </c>
      <c r="C1520" s="495">
        <v>45657</v>
      </c>
      <c r="D1520" s="463"/>
      <c r="E1520" s="463"/>
      <c r="F1520" s="496">
        <v>996</v>
      </c>
      <c r="G1520" s="463">
        <v>2</v>
      </c>
      <c r="H1520" s="432">
        <v>150</v>
      </c>
      <c r="I1520" s="491">
        <f t="shared" si="182"/>
        <v>300</v>
      </c>
      <c r="J1520" s="497"/>
      <c r="K1520" s="497"/>
      <c r="L1520" s="537"/>
      <c r="M1520" s="537"/>
      <c r="N1520" s="537"/>
      <c r="O1520" s="456"/>
    </row>
    <row r="1521" s="457" customFormat="1" ht="20.25" spans="1:17">
      <c r="A1521" s="494">
        <v>45657</v>
      </c>
      <c r="B1521" s="457" t="s">
        <v>555</v>
      </c>
      <c r="C1521" s="495">
        <v>45657</v>
      </c>
      <c r="D1521" s="463"/>
      <c r="E1521" s="463"/>
      <c r="F1521" s="496" t="s">
        <v>12</v>
      </c>
      <c r="G1521" s="463">
        <v>2</v>
      </c>
      <c r="H1521" s="432">
        <v>30</v>
      </c>
      <c r="I1521" s="463">
        <f t="shared" si="182"/>
        <v>60</v>
      </c>
      <c r="J1521" s="497">
        <v>7.8</v>
      </c>
      <c r="K1521" s="497">
        <f t="shared" ref="K1521:K1523" si="183">I1521*J1521</f>
        <v>468</v>
      </c>
      <c r="L1521" s="537"/>
      <c r="M1521" s="537"/>
      <c r="N1521" s="537"/>
      <c r="O1521" s="456"/>
    </row>
    <row r="1522" s="457" customFormat="1" ht="20.25" spans="1:17">
      <c r="A1522" s="494">
        <v>45657</v>
      </c>
      <c r="B1522" s="457" t="s">
        <v>555</v>
      </c>
      <c r="C1522" s="495">
        <v>45657</v>
      </c>
      <c r="D1522" s="463"/>
      <c r="E1522" s="463"/>
      <c r="F1522" s="496" t="s">
        <v>152</v>
      </c>
      <c r="G1522" s="463">
        <v>2</v>
      </c>
      <c r="H1522" s="432">
        <v>30</v>
      </c>
      <c r="I1522" s="463">
        <f t="shared" si="182"/>
        <v>60</v>
      </c>
      <c r="J1522" s="497">
        <v>6.8</v>
      </c>
      <c r="K1522" s="497">
        <f t="shared" si="183"/>
        <v>408</v>
      </c>
      <c r="L1522" s="537"/>
      <c r="M1522" s="537"/>
      <c r="N1522" s="537"/>
      <c r="O1522" s="456"/>
    </row>
    <row r="1523" s="457" customFormat="1" ht="20.25" spans="1:17">
      <c r="A1523" s="494">
        <v>45657</v>
      </c>
      <c r="B1523" s="457" t="s">
        <v>555</v>
      </c>
      <c r="C1523" s="495">
        <v>45657</v>
      </c>
      <c r="D1523" s="463"/>
      <c r="E1523" s="463"/>
      <c r="F1523" s="499" t="s">
        <v>456</v>
      </c>
      <c r="G1523" s="463">
        <v>2</v>
      </c>
      <c r="H1523" s="500">
        <f>SUM(H1518:H1522)</f>
        <v>262.5</v>
      </c>
      <c r="I1523" s="501">
        <f t="shared" si="182"/>
        <v>525</v>
      </c>
      <c r="J1523" s="502">
        <v>3</v>
      </c>
      <c r="K1523" s="502">
        <f t="shared" si="183"/>
        <v>1575</v>
      </c>
      <c r="L1523" s="636">
        <f>SUM(K1518:K1523)</f>
        <v>2451</v>
      </c>
      <c r="M1523" s="537"/>
      <c r="N1523" s="537"/>
      <c r="O1523" s="456"/>
    </row>
    <row r="1524" spans="1:17">
      <c r="F1524" s="8" t="s">
        <v>556</v>
      </c>
    </row>
    <row r="1525" spans="1:17">
      <c r="F1525" s="659" t="s">
        <v>557</v>
      </c>
    </row>
    <row r="1526" s="454" customFormat="1" ht="33" customHeight="1" spans="1:17">
      <c r="A1526" s="601">
        <v>25.1</v>
      </c>
      <c r="B1526" s="481"/>
      <c r="C1526" s="481"/>
      <c r="D1526" s="481"/>
      <c r="E1526" s="481"/>
      <c r="F1526" s="481"/>
      <c r="G1526" s="481"/>
      <c r="H1526" s="481"/>
      <c r="I1526" s="481"/>
      <c r="J1526" s="632" t="s">
        <v>28</v>
      </c>
      <c r="K1526" s="595">
        <f>SUM(K1529:K1601)</f>
        <v>34122.2</v>
      </c>
      <c r="L1526" s="454" t="s">
        <v>29</v>
      </c>
      <c r="M1526" s="601" t="e">
        <f>#REF!</f>
        <v>#REF!</v>
      </c>
      <c r="N1526" s="593" t="s">
        <v>30</v>
      </c>
      <c r="O1526" s="601">
        <f>K1533+K1541+K1544+K1553+K1567+K1576+K1585+K1593+K1601</f>
        <v>11188.5</v>
      </c>
      <c r="P1526" s="481" t="s">
        <v>31</v>
      </c>
      <c r="Q1526" s="601">
        <f>K1555+K1556</f>
        <v>1030</v>
      </c>
    </row>
    <row r="1527" s="454" customFormat="1" ht="18" customHeight="1" spans="1:17">
      <c r="A1527" s="601"/>
      <c r="B1527" s="481"/>
      <c r="C1527" s="481"/>
      <c r="D1527" s="481"/>
      <c r="E1527" s="481"/>
      <c r="F1527" s="481"/>
      <c r="G1527" s="481"/>
      <c r="H1527" s="481"/>
      <c r="I1527" s="481"/>
      <c r="J1527" s="481" t="s">
        <v>32</v>
      </c>
      <c r="K1527" s="481"/>
      <c r="L1527" s="454" t="s">
        <v>33</v>
      </c>
      <c r="M1527" s="601">
        <f>K1554</f>
        <v>125</v>
      </c>
      <c r="N1527" s="634" t="s">
        <v>34</v>
      </c>
      <c r="O1527" s="595" t="e">
        <f>M1526+M1527+O1526+Q1526</f>
        <v>#REF!</v>
      </c>
    </row>
    <row r="1528" s="455" customFormat="1" ht="15" customHeight="1" spans="1:17">
      <c r="A1528" s="604" t="s">
        <v>35</v>
      </c>
      <c r="B1528" s="605" t="s">
        <v>36</v>
      </c>
      <c r="C1528" s="486" t="s">
        <v>37</v>
      </c>
      <c r="D1528" s="486"/>
      <c r="E1528" s="486"/>
      <c r="F1528" s="486" t="s">
        <v>38</v>
      </c>
      <c r="G1528" s="486" t="s">
        <v>4</v>
      </c>
      <c r="H1528" s="486" t="s">
        <v>5</v>
      </c>
      <c r="I1528" s="486" t="s">
        <v>6</v>
      </c>
      <c r="J1528" s="486" t="s">
        <v>7</v>
      </c>
      <c r="K1528" s="486" t="s">
        <v>8</v>
      </c>
      <c r="L1528" s="486" t="s">
        <v>39</v>
      </c>
      <c r="M1528" s="486" t="s">
        <v>40</v>
      </c>
      <c r="N1528" s="487"/>
      <c r="O1528" s="487"/>
    </row>
    <row r="1529" s="456" customFormat="1" ht="20.25" spans="1:17">
      <c r="A1529" s="488">
        <v>45660</v>
      </c>
      <c r="B1529" s="456" t="s">
        <v>236</v>
      </c>
      <c r="C1529" s="490" t="s">
        <v>558</v>
      </c>
      <c r="D1529" s="491"/>
      <c r="E1529" s="491"/>
      <c r="F1529" s="493" t="s">
        <v>16</v>
      </c>
      <c r="G1529" s="491">
        <v>1</v>
      </c>
      <c r="H1529" s="431">
        <v>40</v>
      </c>
      <c r="I1529" s="491">
        <f t="shared" ref="I1529:I1533" si="184">G1529*H1529</f>
        <v>40</v>
      </c>
      <c r="J1529" s="492"/>
      <c r="K1529" s="492"/>
    </row>
    <row r="1530" s="456" customFormat="1" ht="20.25" spans="1:17">
      <c r="A1530" s="488">
        <v>45660</v>
      </c>
      <c r="B1530" s="456" t="s">
        <v>236</v>
      </c>
      <c r="C1530" s="490" t="s">
        <v>558</v>
      </c>
      <c r="D1530" s="491"/>
      <c r="E1530" s="491"/>
      <c r="F1530" s="493" t="s">
        <v>93</v>
      </c>
      <c r="G1530" s="491">
        <v>1</v>
      </c>
      <c r="H1530" s="431">
        <v>100</v>
      </c>
      <c r="I1530" s="491">
        <f t="shared" si="184"/>
        <v>100</v>
      </c>
      <c r="J1530" s="492"/>
      <c r="K1530" s="492"/>
    </row>
    <row r="1531" s="456" customFormat="1" ht="20.25" spans="1:17">
      <c r="A1531" s="488">
        <v>45660</v>
      </c>
      <c r="B1531" s="456" t="s">
        <v>236</v>
      </c>
      <c r="C1531" s="490" t="s">
        <v>558</v>
      </c>
      <c r="D1531" s="491"/>
      <c r="E1531" s="491"/>
      <c r="F1531" s="493" t="s">
        <v>82</v>
      </c>
      <c r="G1531" s="491">
        <v>1</v>
      </c>
      <c r="H1531" s="431">
        <v>20</v>
      </c>
      <c r="I1531" s="491">
        <f t="shared" si="184"/>
        <v>20</v>
      </c>
      <c r="J1531" s="492">
        <v>7.8</v>
      </c>
      <c r="K1531" s="492">
        <f>I1531*J1531</f>
        <v>156</v>
      </c>
      <c r="M1531" s="456" t="s">
        <v>540</v>
      </c>
    </row>
    <row r="1532" s="456" customFormat="1" ht="20.25" spans="1:17">
      <c r="A1532" s="488">
        <v>45660</v>
      </c>
      <c r="B1532" s="456" t="s">
        <v>236</v>
      </c>
      <c r="C1532" s="490" t="s">
        <v>558</v>
      </c>
      <c r="D1532" s="491"/>
      <c r="E1532" s="491"/>
      <c r="F1532" s="493">
        <v>808</v>
      </c>
      <c r="G1532" s="491">
        <v>1</v>
      </c>
      <c r="H1532" s="431">
        <v>20</v>
      </c>
      <c r="I1532" s="491">
        <f t="shared" si="184"/>
        <v>20</v>
      </c>
      <c r="J1532" s="492">
        <v>9.3</v>
      </c>
      <c r="K1532" s="492">
        <f>I1532*J1532</f>
        <v>186</v>
      </c>
    </row>
    <row r="1533" s="456" customFormat="1" ht="20.25" spans="1:17">
      <c r="A1533" s="488">
        <v>45660</v>
      </c>
      <c r="B1533" s="456" t="s">
        <v>236</v>
      </c>
      <c r="C1533" s="490" t="s">
        <v>558</v>
      </c>
      <c r="D1533" s="491"/>
      <c r="E1533" s="491"/>
      <c r="F1533" s="493" t="s">
        <v>95</v>
      </c>
      <c r="G1533" s="491">
        <v>1</v>
      </c>
      <c r="H1533" s="431">
        <f>SUM(H1529:H1532)</f>
        <v>180</v>
      </c>
      <c r="I1533" s="491">
        <f t="shared" si="184"/>
        <v>180</v>
      </c>
      <c r="J1533" s="492">
        <v>5</v>
      </c>
      <c r="K1533" s="492">
        <f>I1533*J1533</f>
        <v>900</v>
      </c>
      <c r="L1533" s="456">
        <f>SUM(K1529:K1533)</f>
        <v>1242</v>
      </c>
    </row>
    <row r="1534" s="457" customFormat="1" ht="20.25" spans="1:17">
      <c r="A1534" s="494">
        <v>45660</v>
      </c>
      <c r="B1534" s="457" t="s">
        <v>145</v>
      </c>
      <c r="C1534" s="495">
        <v>45660</v>
      </c>
      <c r="D1534" s="463"/>
      <c r="E1534" s="463"/>
      <c r="F1534" s="457" t="s">
        <v>16</v>
      </c>
      <c r="G1534" s="442">
        <v>1</v>
      </c>
      <c r="H1534" s="442">
        <v>56</v>
      </c>
      <c r="I1534" s="463">
        <f t="shared" ref="I1534:I1549" si="185">G1534*H1534</f>
        <v>56</v>
      </c>
      <c r="J1534" s="497"/>
      <c r="K1534" s="497"/>
      <c r="L1534" s="647"/>
    </row>
    <row r="1535" s="457" customFormat="1" ht="20.25" spans="1:17">
      <c r="A1535" s="494">
        <v>45660</v>
      </c>
      <c r="B1535" s="457" t="s">
        <v>145</v>
      </c>
      <c r="C1535" s="495">
        <v>45660</v>
      </c>
      <c r="D1535" s="463"/>
      <c r="E1535" s="463"/>
      <c r="F1535" s="457" t="s">
        <v>533</v>
      </c>
      <c r="G1535" s="442">
        <v>1</v>
      </c>
      <c r="H1535" s="442">
        <v>87</v>
      </c>
      <c r="I1535" s="463">
        <f t="shared" si="185"/>
        <v>87</v>
      </c>
      <c r="J1535" s="497"/>
      <c r="K1535" s="497"/>
      <c r="L1535" s="647"/>
    </row>
    <row r="1536" s="457" customFormat="1" ht="20.25" spans="1:17">
      <c r="A1536" s="494">
        <v>45660</v>
      </c>
      <c r="B1536" s="457" t="s">
        <v>145</v>
      </c>
      <c r="C1536" s="495">
        <v>45660</v>
      </c>
      <c r="D1536" s="463"/>
      <c r="E1536" s="463"/>
      <c r="F1536" s="457" t="s">
        <v>547</v>
      </c>
      <c r="G1536" s="442">
        <v>1</v>
      </c>
      <c r="H1536" s="442">
        <v>22</v>
      </c>
      <c r="I1536" s="463">
        <f t="shared" si="185"/>
        <v>22</v>
      </c>
      <c r="J1536" s="497"/>
      <c r="K1536" s="497"/>
      <c r="L1536" s="647"/>
    </row>
    <row r="1537" s="457" customFormat="1" ht="20.25" spans="1:14">
      <c r="A1537" s="494">
        <v>45660</v>
      </c>
      <c r="B1537" s="457" t="s">
        <v>145</v>
      </c>
      <c r="C1537" s="495">
        <v>45660</v>
      </c>
      <c r="D1537" s="463"/>
      <c r="E1537" s="463"/>
      <c r="F1537" s="457" t="s">
        <v>352</v>
      </c>
      <c r="G1537" s="442">
        <v>1</v>
      </c>
      <c r="H1537" s="442">
        <v>62</v>
      </c>
      <c r="I1537" s="463">
        <f t="shared" si="185"/>
        <v>62</v>
      </c>
      <c r="J1537" s="497"/>
      <c r="K1537" s="497"/>
      <c r="L1537" s="648" t="s">
        <v>116</v>
      </c>
    </row>
    <row r="1538" s="457" customFormat="1" ht="20.25" spans="1:14">
      <c r="A1538" s="494">
        <v>45660</v>
      </c>
      <c r="B1538" s="457" t="s">
        <v>145</v>
      </c>
      <c r="C1538" s="495">
        <v>45660</v>
      </c>
      <c r="D1538" s="463"/>
      <c r="E1538" s="463"/>
      <c r="F1538" s="457" t="s">
        <v>115</v>
      </c>
      <c r="G1538" s="442">
        <v>1</v>
      </c>
      <c r="H1538" s="442">
        <v>31</v>
      </c>
      <c r="I1538" s="463">
        <f t="shared" si="185"/>
        <v>31</v>
      </c>
      <c r="J1538" s="497"/>
      <c r="K1538" s="497"/>
      <c r="L1538" s="647"/>
    </row>
    <row r="1539" s="457" customFormat="1" ht="20.25" spans="1:14">
      <c r="A1539" s="494">
        <v>45660</v>
      </c>
      <c r="B1539" s="457" t="s">
        <v>145</v>
      </c>
      <c r="C1539" s="495">
        <v>45660</v>
      </c>
      <c r="D1539" s="463"/>
      <c r="E1539" s="463"/>
      <c r="F1539" s="496">
        <v>808</v>
      </c>
      <c r="G1539" s="442">
        <v>1</v>
      </c>
      <c r="H1539" s="442">
        <v>16</v>
      </c>
      <c r="I1539" s="463">
        <f t="shared" si="185"/>
        <v>16</v>
      </c>
      <c r="J1539" s="497">
        <v>10</v>
      </c>
      <c r="K1539" s="497">
        <f t="shared" ref="K1539:K1541" si="186">I1539*J1539</f>
        <v>160</v>
      </c>
      <c r="L1539" s="647"/>
    </row>
    <row r="1540" s="457" customFormat="1" ht="20.25" spans="1:14">
      <c r="A1540" s="494">
        <v>45660</v>
      </c>
      <c r="B1540" s="457" t="s">
        <v>145</v>
      </c>
      <c r="C1540" s="495">
        <v>45660</v>
      </c>
      <c r="D1540" s="463"/>
      <c r="E1540" s="463"/>
      <c r="F1540" s="496" t="s">
        <v>125</v>
      </c>
      <c r="G1540" s="442">
        <v>1</v>
      </c>
      <c r="H1540" s="442">
        <v>37</v>
      </c>
      <c r="I1540" s="463">
        <f t="shared" si="185"/>
        <v>37</v>
      </c>
      <c r="J1540" s="497">
        <v>6</v>
      </c>
      <c r="K1540" s="497">
        <f t="shared" si="186"/>
        <v>222</v>
      </c>
      <c r="L1540" s="647"/>
    </row>
    <row r="1541" s="457" customFormat="1" ht="19" customHeight="1" spans="1:14">
      <c r="A1541" s="494">
        <v>45660</v>
      </c>
      <c r="B1541" s="457" t="s">
        <v>145</v>
      </c>
      <c r="C1541" s="495">
        <v>45660</v>
      </c>
      <c r="D1541" s="463"/>
      <c r="E1541" s="463"/>
      <c r="F1541" s="457" t="s">
        <v>435</v>
      </c>
      <c r="G1541" s="442">
        <v>1</v>
      </c>
      <c r="H1541" s="442">
        <f>SUM(H1534:H1540)</f>
        <v>311</v>
      </c>
      <c r="I1541" s="463">
        <f t="shared" si="185"/>
        <v>311</v>
      </c>
      <c r="J1541" s="497">
        <v>1</v>
      </c>
      <c r="K1541" s="497">
        <f t="shared" si="186"/>
        <v>311</v>
      </c>
      <c r="L1541" s="457">
        <f>SUM(K1534:K1541)</f>
        <v>693</v>
      </c>
    </row>
    <row r="1542" s="456" customFormat="1" ht="20.25" spans="1:14">
      <c r="A1542" s="488">
        <v>45660</v>
      </c>
      <c r="B1542" s="456" t="s">
        <v>148</v>
      </c>
      <c r="C1542" s="528">
        <v>45660</v>
      </c>
      <c r="D1542" s="528"/>
      <c r="E1542" s="529"/>
      <c r="F1542" s="493" t="s">
        <v>477</v>
      </c>
      <c r="G1542" s="491">
        <v>1</v>
      </c>
      <c r="H1542" s="431">
        <v>300</v>
      </c>
      <c r="I1542" s="491">
        <f t="shared" si="185"/>
        <v>300</v>
      </c>
      <c r="J1542" s="492"/>
      <c r="K1542" s="492"/>
      <c r="L1542" s="536"/>
      <c r="M1542" s="536"/>
      <c r="N1542" s="536"/>
    </row>
    <row r="1543" s="456" customFormat="1" ht="20.25" spans="1:14">
      <c r="A1543" s="488">
        <v>45660</v>
      </c>
      <c r="B1543" s="456" t="s">
        <v>148</v>
      </c>
      <c r="C1543" s="528">
        <v>45660</v>
      </c>
      <c r="D1543" s="528"/>
      <c r="E1543" s="529"/>
      <c r="F1543" s="493" t="s">
        <v>406</v>
      </c>
      <c r="G1543" s="491">
        <v>1</v>
      </c>
      <c r="H1543" s="431">
        <v>450</v>
      </c>
      <c r="I1543" s="491">
        <f t="shared" si="185"/>
        <v>450</v>
      </c>
      <c r="J1543" s="492">
        <v>10</v>
      </c>
      <c r="K1543" s="492">
        <f>I1543*J1543</f>
        <v>4500</v>
      </c>
      <c r="L1543" s="536"/>
      <c r="M1543" s="536"/>
      <c r="N1543" s="536"/>
    </row>
    <row r="1544" s="456" customFormat="1" ht="20.25" spans="1:14">
      <c r="A1544" s="488">
        <v>45660</v>
      </c>
      <c r="B1544" s="456" t="s">
        <v>148</v>
      </c>
      <c r="C1544" s="528">
        <v>45660</v>
      </c>
      <c r="D1544" s="528"/>
      <c r="E1544" s="529"/>
      <c r="F1544" s="493" t="s">
        <v>109</v>
      </c>
      <c r="G1544" s="489">
        <v>1</v>
      </c>
      <c r="H1544" s="531">
        <f>SUM(H1542:H1543)</f>
        <v>750</v>
      </c>
      <c r="I1544" s="491">
        <f t="shared" si="185"/>
        <v>750</v>
      </c>
      <c r="J1544" s="492">
        <v>1</v>
      </c>
      <c r="K1544" s="492">
        <f>I1544*J1544</f>
        <v>750</v>
      </c>
      <c r="L1544" s="536">
        <f>SUM(K1542:K1544)</f>
        <v>5250</v>
      </c>
      <c r="M1544" s="536"/>
      <c r="N1544" s="536"/>
    </row>
    <row r="1545" s="457" customFormat="1" ht="20.25" spans="1:14">
      <c r="A1545" s="494">
        <v>45661</v>
      </c>
      <c r="B1545" s="457" t="s">
        <v>153</v>
      </c>
      <c r="C1545" s="504">
        <v>45661</v>
      </c>
      <c r="D1545" s="504"/>
      <c r="E1545" s="505"/>
      <c r="F1545" s="496" t="s">
        <v>251</v>
      </c>
      <c r="G1545" s="463">
        <v>1</v>
      </c>
      <c r="H1545" s="432">
        <v>240</v>
      </c>
      <c r="I1545" s="463">
        <f t="shared" si="185"/>
        <v>240</v>
      </c>
      <c r="J1545" s="497"/>
      <c r="K1545" s="497"/>
    </row>
    <row r="1546" s="457" customFormat="1" ht="20.25" spans="1:14">
      <c r="A1546" s="494">
        <v>45661</v>
      </c>
      <c r="B1546" s="457" t="s">
        <v>153</v>
      </c>
      <c r="C1546" s="504">
        <v>45661</v>
      </c>
      <c r="D1546" s="504"/>
      <c r="E1546" s="505"/>
      <c r="F1546" s="496" t="s">
        <v>13</v>
      </c>
      <c r="G1546" s="463">
        <v>1</v>
      </c>
      <c r="H1546" s="432">
        <v>240</v>
      </c>
      <c r="I1546" s="463">
        <f t="shared" si="185"/>
        <v>240</v>
      </c>
      <c r="J1546" s="497"/>
      <c r="K1546" s="497"/>
    </row>
    <row r="1547" s="457" customFormat="1" ht="20.25" spans="1:14">
      <c r="A1547" s="494">
        <v>45661</v>
      </c>
      <c r="B1547" s="457" t="s">
        <v>153</v>
      </c>
      <c r="C1547" s="504">
        <v>45661</v>
      </c>
      <c r="D1547" s="504"/>
      <c r="E1547" s="505"/>
      <c r="F1547" s="496" t="s">
        <v>149</v>
      </c>
      <c r="G1547" s="463">
        <v>1</v>
      </c>
      <c r="H1547" s="432">
        <v>84</v>
      </c>
      <c r="I1547" s="463">
        <f t="shared" si="185"/>
        <v>84</v>
      </c>
      <c r="J1547" s="497"/>
      <c r="K1547" s="497"/>
    </row>
    <row r="1548" s="457" customFormat="1" ht="20.25" spans="1:14">
      <c r="A1548" s="494">
        <v>45661</v>
      </c>
      <c r="B1548" s="457" t="s">
        <v>153</v>
      </c>
      <c r="C1548" s="504">
        <v>45661</v>
      </c>
      <c r="D1548" s="504"/>
      <c r="E1548" s="505"/>
      <c r="F1548" s="496" t="s">
        <v>547</v>
      </c>
      <c r="G1548" s="463">
        <v>1</v>
      </c>
      <c r="H1548" s="432">
        <v>257</v>
      </c>
      <c r="I1548" s="463">
        <f t="shared" si="185"/>
        <v>257</v>
      </c>
      <c r="J1548" s="497"/>
      <c r="K1548" s="497"/>
      <c r="L1548" s="537" t="s">
        <v>116</v>
      </c>
      <c r="M1548" s="537" t="s">
        <v>314</v>
      </c>
    </row>
    <row r="1549" s="457" customFormat="1" ht="20.25" spans="1:14">
      <c r="A1549" s="494">
        <v>45661</v>
      </c>
      <c r="B1549" s="457" t="s">
        <v>153</v>
      </c>
      <c r="C1549" s="504">
        <v>45661</v>
      </c>
      <c r="D1549" s="504"/>
      <c r="E1549" s="505"/>
      <c r="F1549" s="496" t="s">
        <v>115</v>
      </c>
      <c r="G1549" s="463">
        <v>1</v>
      </c>
      <c r="H1549" s="432">
        <v>150</v>
      </c>
      <c r="I1549" s="463">
        <f t="shared" si="185"/>
        <v>150</v>
      </c>
      <c r="J1549" s="497"/>
      <c r="K1549" s="497"/>
    </row>
    <row r="1550" s="457" customFormat="1" ht="20.25" spans="1:14">
      <c r="A1550" s="494">
        <v>45661</v>
      </c>
      <c r="B1550" s="457" t="s">
        <v>153</v>
      </c>
      <c r="C1550" s="504">
        <v>45661</v>
      </c>
      <c r="D1550" s="504"/>
      <c r="E1550" s="505"/>
      <c r="F1550" s="496">
        <v>808</v>
      </c>
      <c r="G1550" s="463">
        <v>1</v>
      </c>
      <c r="H1550" s="432">
        <v>30</v>
      </c>
      <c r="I1550" s="463">
        <f t="shared" ref="I1550:I1560" si="187">G1550*H1550</f>
        <v>30</v>
      </c>
      <c r="J1550" s="497">
        <v>10</v>
      </c>
      <c r="K1550" s="497">
        <f t="shared" ref="K1550:K1560" si="188">I1550*J1550</f>
        <v>300</v>
      </c>
    </row>
    <row r="1551" s="457" customFormat="1" ht="20.25" spans="1:14">
      <c r="A1551" s="494">
        <v>45661</v>
      </c>
      <c r="B1551" s="457" t="s">
        <v>153</v>
      </c>
      <c r="C1551" s="504">
        <v>45661</v>
      </c>
      <c r="D1551" s="504"/>
      <c r="E1551" s="505"/>
      <c r="F1551" s="496" t="s">
        <v>152</v>
      </c>
      <c r="G1551" s="463">
        <v>1</v>
      </c>
      <c r="H1551" s="432">
        <v>60</v>
      </c>
      <c r="I1551" s="463">
        <f t="shared" si="187"/>
        <v>60</v>
      </c>
      <c r="J1551" s="497">
        <v>7.1</v>
      </c>
      <c r="K1551" s="497">
        <f t="shared" si="188"/>
        <v>426</v>
      </c>
    </row>
    <row r="1552" s="457" customFormat="1" ht="20.25" spans="1:14">
      <c r="A1552" s="494">
        <v>45661</v>
      </c>
      <c r="B1552" s="457" t="s">
        <v>153</v>
      </c>
      <c r="C1552" s="504">
        <v>45661</v>
      </c>
      <c r="D1552" s="504"/>
      <c r="E1552" s="505"/>
      <c r="F1552" s="496" t="s">
        <v>125</v>
      </c>
      <c r="G1552" s="463">
        <v>1</v>
      </c>
      <c r="H1552" s="432">
        <v>139</v>
      </c>
      <c r="I1552" s="463">
        <f t="shared" si="187"/>
        <v>139</v>
      </c>
      <c r="J1552" s="497">
        <v>6</v>
      </c>
      <c r="K1552" s="497">
        <f t="shared" si="188"/>
        <v>834</v>
      </c>
    </row>
    <row r="1553" s="457" customFormat="1" ht="20.25" spans="1:15">
      <c r="A1553" s="494">
        <v>45661</v>
      </c>
      <c r="B1553" s="457" t="s">
        <v>153</v>
      </c>
      <c r="C1553" s="504">
        <v>45661</v>
      </c>
      <c r="D1553" s="504"/>
      <c r="E1553" s="505"/>
      <c r="F1553" s="496" t="s">
        <v>17</v>
      </c>
      <c r="G1553" s="463">
        <v>1</v>
      </c>
      <c r="H1553" s="432">
        <f>SUM(H1545:H1552)</f>
        <v>1200</v>
      </c>
      <c r="I1553" s="463">
        <f t="shared" si="187"/>
        <v>1200</v>
      </c>
      <c r="J1553" s="497">
        <v>1</v>
      </c>
      <c r="K1553" s="497">
        <f t="shared" si="188"/>
        <v>1200</v>
      </c>
    </row>
    <row r="1554" s="457" customFormat="1" ht="20.25" spans="1:15">
      <c r="A1554" s="494">
        <v>45661</v>
      </c>
      <c r="B1554" s="457" t="s">
        <v>153</v>
      </c>
      <c r="C1554" s="504">
        <v>45661</v>
      </c>
      <c r="D1554" s="504"/>
      <c r="E1554" s="505"/>
      <c r="F1554" s="496" t="s">
        <v>552</v>
      </c>
      <c r="G1554" s="463">
        <v>10</v>
      </c>
      <c r="H1554" s="432">
        <v>1</v>
      </c>
      <c r="I1554" s="463">
        <f t="shared" si="187"/>
        <v>10</v>
      </c>
      <c r="J1554" s="497">
        <v>12.5</v>
      </c>
      <c r="K1554" s="497">
        <f t="shared" si="188"/>
        <v>125</v>
      </c>
      <c r="L1554" s="537">
        <f>SUM(K1545:K1554)</f>
        <v>2885</v>
      </c>
      <c r="M1554" s="537"/>
      <c r="N1554" s="537"/>
      <c r="O1554" s="456"/>
    </row>
    <row r="1555" s="456" customFormat="1" ht="20.25" spans="1:15">
      <c r="A1555" s="488">
        <v>45663</v>
      </c>
      <c r="B1555" s="456" t="s">
        <v>154</v>
      </c>
      <c r="C1555" s="490">
        <v>45663</v>
      </c>
      <c r="D1555" s="491"/>
      <c r="E1555" s="491"/>
      <c r="F1555" s="522" t="s">
        <v>538</v>
      </c>
      <c r="G1555" s="523">
        <v>2</v>
      </c>
      <c r="H1555" s="521">
        <v>20</v>
      </c>
      <c r="I1555" s="491">
        <f t="shared" si="187"/>
        <v>40</v>
      </c>
      <c r="J1555" s="492">
        <v>18</v>
      </c>
      <c r="K1555" s="492">
        <f t="shared" si="188"/>
        <v>720</v>
      </c>
      <c r="L1555" s="536" t="s">
        <v>539</v>
      </c>
      <c r="M1555" s="536"/>
      <c r="N1555" s="536"/>
    </row>
    <row r="1556" s="456" customFormat="1" ht="20.25" spans="1:15">
      <c r="A1556" s="488">
        <v>45663</v>
      </c>
      <c r="B1556" s="456" t="s">
        <v>154</v>
      </c>
      <c r="C1556" s="490">
        <v>45663</v>
      </c>
      <c r="D1556" s="491"/>
      <c r="E1556" s="491"/>
      <c r="F1556" s="522" t="s">
        <v>429</v>
      </c>
      <c r="G1556" s="523">
        <v>2</v>
      </c>
      <c r="H1556" s="431">
        <v>10</v>
      </c>
      <c r="I1556" s="491">
        <f t="shared" ref="I1556:I1577" si="189">G1556*H1556</f>
        <v>20</v>
      </c>
      <c r="J1556" s="492">
        <v>15.5</v>
      </c>
      <c r="K1556" s="492">
        <f t="shared" si="188"/>
        <v>310</v>
      </c>
      <c r="L1556" s="548">
        <v>303</v>
      </c>
      <c r="M1556" s="489"/>
    </row>
    <row r="1557" s="461" customFormat="1" ht="20.25" spans="1:15">
      <c r="A1557" s="540">
        <v>45663</v>
      </c>
      <c r="B1557" s="461" t="s">
        <v>526</v>
      </c>
      <c r="C1557" s="542">
        <v>45663</v>
      </c>
      <c r="D1557" s="523"/>
      <c r="E1557" s="523"/>
      <c r="F1557" s="522" t="s">
        <v>559</v>
      </c>
      <c r="G1557" s="523">
        <v>1</v>
      </c>
      <c r="H1557" s="524">
        <v>0.8</v>
      </c>
      <c r="I1557" s="523">
        <f t="shared" si="189"/>
        <v>0.8</v>
      </c>
      <c r="J1557" s="525"/>
      <c r="K1557" s="525"/>
      <c r="L1557" s="543"/>
      <c r="M1557" s="522"/>
    </row>
    <row r="1558" s="461" customFormat="1" ht="20.25" spans="1:15">
      <c r="A1558" s="540">
        <v>45663</v>
      </c>
      <c r="B1558" s="461" t="s">
        <v>526</v>
      </c>
      <c r="C1558" s="542">
        <v>45663</v>
      </c>
      <c r="D1558" s="523"/>
      <c r="E1558" s="523"/>
      <c r="F1558" s="522" t="s">
        <v>560</v>
      </c>
      <c r="G1558" s="523">
        <v>1</v>
      </c>
      <c r="H1558" s="524">
        <v>0.8</v>
      </c>
      <c r="I1558" s="523">
        <f t="shared" si="189"/>
        <v>0.8</v>
      </c>
      <c r="J1558" s="525"/>
      <c r="K1558" s="525"/>
      <c r="L1558" s="543"/>
      <c r="M1558" s="522"/>
    </row>
    <row r="1559" s="461" customFormat="1" ht="20.25" spans="1:15">
      <c r="A1559" s="540">
        <v>45663</v>
      </c>
      <c r="B1559" s="461" t="s">
        <v>526</v>
      </c>
      <c r="C1559" s="542">
        <v>45663</v>
      </c>
      <c r="D1559" s="523"/>
      <c r="E1559" s="523"/>
      <c r="F1559" s="522" t="s">
        <v>561</v>
      </c>
      <c r="G1559" s="523">
        <v>1</v>
      </c>
      <c r="H1559" s="524">
        <v>0.8</v>
      </c>
      <c r="I1559" s="523">
        <f t="shared" si="189"/>
        <v>0.8</v>
      </c>
      <c r="J1559" s="525"/>
      <c r="K1559" s="525"/>
      <c r="L1559" s="543"/>
      <c r="M1559" s="522"/>
    </row>
    <row r="1560" s="461" customFormat="1" ht="20.25" spans="1:15">
      <c r="A1560" s="540">
        <v>45663</v>
      </c>
      <c r="B1560" s="461" t="s">
        <v>526</v>
      </c>
      <c r="C1560" s="542">
        <v>45663</v>
      </c>
      <c r="D1560" s="523"/>
      <c r="E1560" s="523"/>
      <c r="F1560" s="522" t="s">
        <v>562</v>
      </c>
      <c r="G1560" s="523">
        <v>1</v>
      </c>
      <c r="H1560" s="524">
        <v>0.8</v>
      </c>
      <c r="I1560" s="523">
        <f t="shared" si="189"/>
        <v>0.8</v>
      </c>
      <c r="J1560" s="525"/>
      <c r="K1560" s="525"/>
      <c r="L1560" s="543"/>
      <c r="M1560" s="522"/>
    </row>
    <row r="1561" s="461" customFormat="1" ht="20.25" spans="1:15">
      <c r="A1561" s="540">
        <v>45663</v>
      </c>
      <c r="B1561" s="461" t="s">
        <v>526</v>
      </c>
      <c r="C1561" s="542">
        <v>45663</v>
      </c>
      <c r="D1561" s="523"/>
      <c r="E1561" s="523"/>
      <c r="F1561" s="522" t="s">
        <v>284</v>
      </c>
      <c r="G1561" s="523">
        <v>1</v>
      </c>
      <c r="H1561" s="524"/>
      <c r="I1561" s="523"/>
      <c r="J1561" s="525"/>
      <c r="K1561" s="525"/>
      <c r="L1561" s="543"/>
      <c r="M1561" s="541"/>
    </row>
    <row r="1562" s="457" customFormat="1" ht="20.25" spans="1:15">
      <c r="A1562" s="494">
        <v>45668</v>
      </c>
      <c r="B1562" s="457" t="s">
        <v>372</v>
      </c>
      <c r="C1562" s="495" t="s">
        <v>563</v>
      </c>
      <c r="D1562" s="463"/>
      <c r="E1562" s="463"/>
      <c r="F1562" s="496" t="s">
        <v>16</v>
      </c>
      <c r="G1562" s="463">
        <v>2</v>
      </c>
      <c r="H1562" s="432">
        <v>48</v>
      </c>
      <c r="I1562" s="463">
        <f t="shared" si="189"/>
        <v>96</v>
      </c>
      <c r="J1562" s="497"/>
      <c r="K1562" s="497"/>
      <c r="O1562" s="456"/>
    </row>
    <row r="1563" s="457" customFormat="1" ht="20.25" spans="1:15">
      <c r="A1563" s="494">
        <v>45668</v>
      </c>
      <c r="B1563" s="457" t="s">
        <v>372</v>
      </c>
      <c r="C1563" s="495" t="s">
        <v>563</v>
      </c>
      <c r="D1563" s="463"/>
      <c r="E1563" s="463"/>
      <c r="F1563" s="496" t="s">
        <v>444</v>
      </c>
      <c r="G1563" s="463">
        <v>2</v>
      </c>
      <c r="H1563" s="432">
        <v>4.5</v>
      </c>
      <c r="I1563" s="463">
        <f t="shared" si="189"/>
        <v>9</v>
      </c>
      <c r="J1563" s="497"/>
      <c r="K1563" s="497"/>
      <c r="O1563" s="456"/>
    </row>
    <row r="1564" s="457" customFormat="1" ht="20.25" spans="1:15">
      <c r="A1564" s="494">
        <v>45668</v>
      </c>
      <c r="B1564" s="457" t="s">
        <v>372</v>
      </c>
      <c r="C1564" s="495" t="s">
        <v>563</v>
      </c>
      <c r="D1564" s="463"/>
      <c r="E1564" s="463"/>
      <c r="F1564" s="496">
        <v>996</v>
      </c>
      <c r="G1564" s="463">
        <v>2</v>
      </c>
      <c r="H1564" s="432">
        <v>150</v>
      </c>
      <c r="I1564" s="463">
        <f t="shared" si="189"/>
        <v>300</v>
      </c>
      <c r="J1564" s="497"/>
      <c r="K1564" s="497"/>
      <c r="L1564" s="537"/>
      <c r="M1564" s="537"/>
      <c r="N1564" s="537"/>
      <c r="O1564" s="456"/>
    </row>
    <row r="1565" s="457" customFormat="1" ht="20.25" spans="1:15">
      <c r="A1565" s="494">
        <v>45668</v>
      </c>
      <c r="B1565" s="457" t="s">
        <v>372</v>
      </c>
      <c r="C1565" s="495" t="s">
        <v>563</v>
      </c>
      <c r="D1565" s="463"/>
      <c r="E1565" s="463"/>
      <c r="F1565" s="496" t="s">
        <v>12</v>
      </c>
      <c r="G1565" s="463">
        <v>2</v>
      </c>
      <c r="H1565" s="432">
        <v>30</v>
      </c>
      <c r="I1565" s="463">
        <f t="shared" si="189"/>
        <v>60</v>
      </c>
      <c r="J1565" s="497">
        <v>7.6</v>
      </c>
      <c r="K1565" s="497">
        <f t="shared" ref="K1561:K1567" si="190">I1565*J1565</f>
        <v>456</v>
      </c>
      <c r="L1565" s="537"/>
      <c r="M1565" s="537"/>
      <c r="N1565" s="537"/>
      <c r="O1565" s="456"/>
    </row>
    <row r="1566" s="457" customFormat="1" ht="20.25" spans="1:15">
      <c r="A1566" s="494">
        <v>45668</v>
      </c>
      <c r="B1566" s="457" t="s">
        <v>372</v>
      </c>
      <c r="C1566" s="495" t="s">
        <v>563</v>
      </c>
      <c r="D1566" s="463"/>
      <c r="E1566" s="463"/>
      <c r="F1566" s="496" t="s">
        <v>152</v>
      </c>
      <c r="G1566" s="463">
        <v>2</v>
      </c>
      <c r="H1566" s="432">
        <v>30</v>
      </c>
      <c r="I1566" s="463">
        <f t="shared" si="189"/>
        <v>60</v>
      </c>
      <c r="J1566" s="497">
        <v>7.1</v>
      </c>
      <c r="K1566" s="497">
        <f t="shared" si="190"/>
        <v>426</v>
      </c>
      <c r="L1566" s="537"/>
      <c r="M1566" s="537"/>
      <c r="N1566" s="537"/>
      <c r="O1566" s="456"/>
    </row>
    <row r="1567" s="457" customFormat="1" ht="20.25" spans="1:15">
      <c r="A1567" s="494">
        <v>45668</v>
      </c>
      <c r="B1567" s="457" t="s">
        <v>372</v>
      </c>
      <c r="C1567" s="495" t="s">
        <v>563</v>
      </c>
      <c r="D1567" s="463"/>
      <c r="E1567" s="463"/>
      <c r="F1567" s="499" t="s">
        <v>456</v>
      </c>
      <c r="G1567" s="463">
        <v>2</v>
      </c>
      <c r="H1567" s="500">
        <f>SUM(H1562:H1566)</f>
        <v>262.5</v>
      </c>
      <c r="I1567" s="501">
        <f t="shared" si="189"/>
        <v>525</v>
      </c>
      <c r="J1567" s="502">
        <v>3</v>
      </c>
      <c r="K1567" s="502">
        <f t="shared" si="190"/>
        <v>1575</v>
      </c>
      <c r="L1567" s="636">
        <f>SUM(K1562:K1567)</f>
        <v>2457</v>
      </c>
      <c r="M1567" s="537"/>
      <c r="N1567" s="537"/>
      <c r="O1567" s="456"/>
    </row>
    <row r="1568" s="456" customFormat="1" ht="20.25" spans="1:15">
      <c r="A1568" s="488">
        <v>45668</v>
      </c>
      <c r="B1568" s="456" t="s">
        <v>161</v>
      </c>
      <c r="C1568" s="490">
        <v>45668</v>
      </c>
      <c r="D1568" s="491"/>
      <c r="E1568" s="491"/>
      <c r="F1568" s="493" t="s">
        <v>42</v>
      </c>
      <c r="G1568" s="491">
        <v>1</v>
      </c>
      <c r="H1568" s="431">
        <v>100</v>
      </c>
      <c r="I1568" s="491">
        <f t="shared" si="189"/>
        <v>100</v>
      </c>
      <c r="J1568" s="492"/>
      <c r="K1568" s="492"/>
    </row>
    <row r="1569" s="456" customFormat="1" ht="20.25" spans="1:14">
      <c r="A1569" s="488">
        <v>45668</v>
      </c>
      <c r="B1569" s="456" t="s">
        <v>161</v>
      </c>
      <c r="C1569" s="490">
        <v>45668</v>
      </c>
      <c r="D1569" s="491"/>
      <c r="E1569" s="491"/>
      <c r="F1569" s="493" t="s">
        <v>207</v>
      </c>
      <c r="G1569" s="491">
        <v>1</v>
      </c>
      <c r="H1569" s="431">
        <v>200</v>
      </c>
      <c r="I1569" s="491">
        <f t="shared" si="189"/>
        <v>200</v>
      </c>
      <c r="J1569" s="492"/>
      <c r="K1569" s="492"/>
    </row>
    <row r="1570" s="456" customFormat="1" ht="20.25" spans="1:14">
      <c r="A1570" s="488">
        <v>45668</v>
      </c>
      <c r="B1570" s="456" t="s">
        <v>161</v>
      </c>
      <c r="C1570" s="490">
        <v>45668</v>
      </c>
      <c r="D1570" s="491"/>
      <c r="E1570" s="491"/>
      <c r="F1570" s="493" t="s">
        <v>86</v>
      </c>
      <c r="G1570" s="491">
        <v>1</v>
      </c>
      <c r="H1570" s="431">
        <v>136</v>
      </c>
      <c r="I1570" s="491">
        <f t="shared" si="189"/>
        <v>136</v>
      </c>
      <c r="J1570" s="492"/>
      <c r="K1570" s="492"/>
      <c r="L1570" s="536"/>
      <c r="M1570" s="536"/>
      <c r="N1570" s="536"/>
    </row>
    <row r="1571" s="456" customFormat="1" ht="20.25" spans="1:14">
      <c r="A1571" s="488">
        <v>45668</v>
      </c>
      <c r="B1571" s="456" t="s">
        <v>161</v>
      </c>
      <c r="C1571" s="490">
        <v>45668</v>
      </c>
      <c r="D1571" s="491"/>
      <c r="E1571" s="491"/>
      <c r="F1571" s="493" t="s">
        <v>481</v>
      </c>
      <c r="G1571" s="491">
        <v>1</v>
      </c>
      <c r="H1571" s="431">
        <v>260</v>
      </c>
      <c r="I1571" s="491">
        <f t="shared" si="189"/>
        <v>260</v>
      </c>
      <c r="J1571" s="492"/>
      <c r="K1571" s="492"/>
      <c r="L1571" s="536"/>
      <c r="M1571" s="536"/>
      <c r="N1571" s="536"/>
    </row>
    <row r="1572" s="456" customFormat="1" ht="20.25" spans="1:14">
      <c r="A1572" s="488">
        <v>45668</v>
      </c>
      <c r="B1572" s="456" t="s">
        <v>161</v>
      </c>
      <c r="C1572" s="490">
        <v>45668</v>
      </c>
      <c r="D1572" s="491"/>
      <c r="E1572" s="491"/>
      <c r="F1572" s="493" t="s">
        <v>208</v>
      </c>
      <c r="G1572" s="491">
        <v>1</v>
      </c>
      <c r="H1572" s="431">
        <v>25</v>
      </c>
      <c r="I1572" s="491">
        <f t="shared" si="189"/>
        <v>25</v>
      </c>
      <c r="J1572" s="492">
        <v>17</v>
      </c>
      <c r="K1572" s="492">
        <f t="shared" ref="K1572:K1574" si="191">I1572*J1572</f>
        <v>425</v>
      </c>
      <c r="L1572" s="536"/>
      <c r="M1572" s="536"/>
      <c r="N1572" s="536"/>
    </row>
    <row r="1573" s="456" customFormat="1" ht="20.25" spans="1:14">
      <c r="A1573" s="488">
        <v>45668</v>
      </c>
      <c r="B1573" s="456" t="s">
        <v>161</v>
      </c>
      <c r="C1573" s="490">
        <v>45668</v>
      </c>
      <c r="D1573" s="491"/>
      <c r="E1573" s="491"/>
      <c r="F1573" s="493" t="s">
        <v>132</v>
      </c>
      <c r="G1573" s="491">
        <v>1</v>
      </c>
      <c r="H1573" s="431">
        <v>279</v>
      </c>
      <c r="I1573" s="491">
        <f t="shared" si="189"/>
        <v>279</v>
      </c>
      <c r="J1573" s="492">
        <v>3.7</v>
      </c>
      <c r="K1573" s="492">
        <f t="shared" si="191"/>
        <v>1032.3</v>
      </c>
      <c r="L1573" s="536"/>
      <c r="M1573" s="536"/>
      <c r="N1573" s="536"/>
    </row>
    <row r="1574" s="456" customFormat="1" ht="20.25" spans="1:14">
      <c r="A1574" s="488">
        <v>45668</v>
      </c>
      <c r="B1574" s="456" t="s">
        <v>161</v>
      </c>
      <c r="C1574" s="490">
        <v>45668</v>
      </c>
      <c r="D1574" s="491"/>
      <c r="E1574" s="491"/>
      <c r="F1574" s="493" t="s">
        <v>137</v>
      </c>
      <c r="G1574" s="491">
        <v>1</v>
      </c>
      <c r="H1574" s="431">
        <v>50</v>
      </c>
      <c r="I1574" s="491">
        <f t="shared" si="189"/>
        <v>50</v>
      </c>
      <c r="J1574" s="492">
        <v>0.9</v>
      </c>
      <c r="K1574" s="492">
        <f t="shared" si="191"/>
        <v>45</v>
      </c>
      <c r="L1574" s="536" t="s">
        <v>116</v>
      </c>
      <c r="M1574" s="536"/>
      <c r="N1574" s="536"/>
    </row>
    <row r="1575" s="456" customFormat="1" ht="20.25" spans="1:14">
      <c r="A1575" s="488">
        <v>45668</v>
      </c>
      <c r="B1575" s="456" t="s">
        <v>161</v>
      </c>
      <c r="C1575" s="490">
        <v>45668</v>
      </c>
      <c r="D1575" s="491"/>
      <c r="E1575" s="491"/>
      <c r="F1575" s="493" t="s">
        <v>211</v>
      </c>
      <c r="G1575" s="491">
        <v>1</v>
      </c>
      <c r="H1575" s="431">
        <v>2.5</v>
      </c>
      <c r="I1575" s="491">
        <f t="shared" si="189"/>
        <v>2.5</v>
      </c>
      <c r="J1575" s="492"/>
      <c r="K1575" s="492"/>
      <c r="L1575" s="536"/>
      <c r="M1575" s="536"/>
      <c r="N1575" s="536"/>
    </row>
    <row r="1576" s="456" customFormat="1" ht="20.25" spans="1:14">
      <c r="A1576" s="488">
        <v>45668</v>
      </c>
      <c r="B1576" s="456" t="s">
        <v>161</v>
      </c>
      <c r="C1576" s="490">
        <v>45668</v>
      </c>
      <c r="D1576" s="491"/>
      <c r="E1576" s="491"/>
      <c r="F1576" s="493" t="s">
        <v>212</v>
      </c>
      <c r="G1576" s="491">
        <v>1</v>
      </c>
      <c r="H1576" s="431">
        <f>SUM(H1568:H1575)</f>
        <v>1052.5</v>
      </c>
      <c r="I1576" s="491">
        <f t="shared" si="189"/>
        <v>1052.5</v>
      </c>
      <c r="J1576" s="492">
        <v>1</v>
      </c>
      <c r="K1576" s="492">
        <f>I1576*J1576</f>
        <v>1052.5</v>
      </c>
      <c r="L1576" s="536">
        <f>SUM(K1568:K1576)</f>
        <v>2554.8</v>
      </c>
      <c r="M1576" s="536"/>
      <c r="N1576" s="536"/>
    </row>
    <row r="1577" s="457" customFormat="1" ht="20.25" spans="1:14">
      <c r="A1577" s="494">
        <v>45673</v>
      </c>
      <c r="B1577" s="457" t="s">
        <v>187</v>
      </c>
      <c r="C1577" s="504" t="s">
        <v>564</v>
      </c>
      <c r="D1577" s="504"/>
      <c r="E1577" s="505"/>
      <c r="F1577" s="496" t="s">
        <v>251</v>
      </c>
      <c r="G1577" s="463">
        <v>2</v>
      </c>
      <c r="H1577" s="432">
        <v>240</v>
      </c>
      <c r="I1577" s="463">
        <f t="shared" ref="I1577:I1616" si="192">G1577*H1577</f>
        <v>480</v>
      </c>
      <c r="J1577" s="497"/>
      <c r="K1577" s="497"/>
    </row>
    <row r="1578" s="457" customFormat="1" ht="20.25" spans="1:14">
      <c r="A1578" s="494">
        <v>45673</v>
      </c>
      <c r="B1578" s="457" t="s">
        <v>187</v>
      </c>
      <c r="C1578" s="504" t="s">
        <v>564</v>
      </c>
      <c r="D1578" s="504"/>
      <c r="E1578" s="505"/>
      <c r="F1578" s="496" t="s">
        <v>13</v>
      </c>
      <c r="G1578" s="463">
        <v>2</v>
      </c>
      <c r="H1578" s="432">
        <v>240</v>
      </c>
      <c r="I1578" s="463">
        <f t="shared" si="192"/>
        <v>480</v>
      </c>
      <c r="J1578" s="497"/>
      <c r="K1578" s="497"/>
    </row>
    <row r="1579" s="457" customFormat="1" ht="20.25" spans="1:14">
      <c r="A1579" s="494">
        <v>45673</v>
      </c>
      <c r="B1579" s="457" t="s">
        <v>187</v>
      </c>
      <c r="C1579" s="504" t="s">
        <v>564</v>
      </c>
      <c r="D1579" s="504"/>
      <c r="E1579" s="505"/>
      <c r="F1579" s="496" t="s">
        <v>533</v>
      </c>
      <c r="G1579" s="463">
        <v>2</v>
      </c>
      <c r="H1579" s="432">
        <v>61</v>
      </c>
      <c r="I1579" s="463">
        <f t="shared" si="192"/>
        <v>122</v>
      </c>
      <c r="J1579" s="497"/>
      <c r="K1579" s="497"/>
    </row>
    <row r="1580" s="457" customFormat="1" ht="20.25" spans="1:14">
      <c r="A1580" s="494">
        <v>45673</v>
      </c>
      <c r="B1580" s="457" t="s">
        <v>187</v>
      </c>
      <c r="C1580" s="504" t="s">
        <v>564</v>
      </c>
      <c r="D1580" s="504"/>
      <c r="E1580" s="505"/>
      <c r="F1580" s="496" t="s">
        <v>547</v>
      </c>
      <c r="G1580" s="463">
        <v>2</v>
      </c>
      <c r="H1580" s="432">
        <v>257</v>
      </c>
      <c r="I1580" s="463">
        <f t="shared" si="192"/>
        <v>514</v>
      </c>
      <c r="J1580" s="497"/>
      <c r="K1580" s="497"/>
      <c r="L1580" s="537" t="s">
        <v>116</v>
      </c>
      <c r="M1580" s="537" t="s">
        <v>314</v>
      </c>
    </row>
    <row r="1581" s="457" customFormat="1" ht="20.25" spans="1:14">
      <c r="A1581" s="494">
        <v>45673</v>
      </c>
      <c r="B1581" s="457" t="s">
        <v>187</v>
      </c>
      <c r="C1581" s="504" t="s">
        <v>564</v>
      </c>
      <c r="D1581" s="504"/>
      <c r="E1581" s="505"/>
      <c r="F1581" s="496" t="s">
        <v>115</v>
      </c>
      <c r="G1581" s="463">
        <v>2</v>
      </c>
      <c r="H1581" s="432">
        <v>150</v>
      </c>
      <c r="I1581" s="463">
        <f t="shared" si="192"/>
        <v>300</v>
      </c>
      <c r="J1581" s="497"/>
      <c r="K1581" s="497"/>
    </row>
    <row r="1582" s="457" customFormat="1" ht="20.25" spans="1:14">
      <c r="A1582" s="494">
        <v>45673</v>
      </c>
      <c r="B1582" s="457" t="s">
        <v>187</v>
      </c>
      <c r="C1582" s="504" t="s">
        <v>564</v>
      </c>
      <c r="D1582" s="504"/>
      <c r="E1582" s="505"/>
      <c r="F1582" s="496">
        <v>808</v>
      </c>
      <c r="G1582" s="463">
        <v>2</v>
      </c>
      <c r="H1582" s="432">
        <v>30</v>
      </c>
      <c r="I1582" s="463">
        <f t="shared" si="192"/>
        <v>60</v>
      </c>
      <c r="J1582" s="497">
        <v>10</v>
      </c>
      <c r="K1582" s="497">
        <f>I1582*J1582</f>
        <v>600</v>
      </c>
    </row>
    <row r="1583" s="457" customFormat="1" ht="20.25" spans="1:14">
      <c r="A1583" s="494">
        <v>45673</v>
      </c>
      <c r="B1583" s="457" t="s">
        <v>187</v>
      </c>
      <c r="C1583" s="504" t="s">
        <v>564</v>
      </c>
      <c r="D1583" s="504"/>
      <c r="E1583" s="505"/>
      <c r="F1583" s="496" t="s">
        <v>152</v>
      </c>
      <c r="G1583" s="463">
        <v>2</v>
      </c>
      <c r="H1583" s="432">
        <v>83</v>
      </c>
      <c r="I1583" s="463">
        <f t="shared" si="192"/>
        <v>166</v>
      </c>
      <c r="J1583" s="497">
        <v>7.8</v>
      </c>
      <c r="K1583" s="497">
        <f>I1583*J1583</f>
        <v>1294.8</v>
      </c>
    </row>
    <row r="1584" s="457" customFormat="1" ht="20.25" spans="1:14">
      <c r="A1584" s="494">
        <v>45673</v>
      </c>
      <c r="B1584" s="457" t="s">
        <v>187</v>
      </c>
      <c r="C1584" s="504" t="s">
        <v>564</v>
      </c>
      <c r="D1584" s="504"/>
      <c r="E1584" s="505"/>
      <c r="F1584" s="496" t="s">
        <v>125</v>
      </c>
      <c r="G1584" s="463">
        <v>2</v>
      </c>
      <c r="H1584" s="432">
        <v>139</v>
      </c>
      <c r="I1584" s="463">
        <f t="shared" si="192"/>
        <v>278</v>
      </c>
      <c r="J1584" s="497">
        <v>6.2</v>
      </c>
      <c r="K1584" s="497">
        <f>I1584*J1584</f>
        <v>1723.6</v>
      </c>
    </row>
    <row r="1585" s="457" customFormat="1" ht="20.25" spans="1:14">
      <c r="A1585" s="494">
        <v>45673</v>
      </c>
      <c r="B1585" s="457" t="s">
        <v>187</v>
      </c>
      <c r="C1585" s="504" t="s">
        <v>564</v>
      </c>
      <c r="D1585" s="504"/>
      <c r="E1585" s="505"/>
      <c r="F1585" s="496" t="s">
        <v>17</v>
      </c>
      <c r="G1585" s="463">
        <v>2</v>
      </c>
      <c r="H1585" s="432">
        <f>SUM(H1577:H1584)</f>
        <v>1200</v>
      </c>
      <c r="I1585" s="463">
        <f t="shared" si="192"/>
        <v>2400</v>
      </c>
      <c r="J1585" s="497">
        <v>1</v>
      </c>
      <c r="K1585" s="497">
        <f>I1585*J1585</f>
        <v>2400</v>
      </c>
      <c r="L1585" s="457">
        <f>SUM(K1577:K1585)</f>
        <v>6018.4</v>
      </c>
    </row>
    <row r="1586" s="456" customFormat="1" ht="20.25" spans="1:14">
      <c r="A1586" s="488">
        <v>45673</v>
      </c>
      <c r="B1586" s="456" t="s">
        <v>188</v>
      </c>
      <c r="C1586" s="528" t="s">
        <v>564</v>
      </c>
      <c r="D1586" s="528"/>
      <c r="E1586" s="529"/>
      <c r="F1586" s="493" t="s">
        <v>251</v>
      </c>
      <c r="G1586" s="491">
        <v>2</v>
      </c>
      <c r="H1586" s="431">
        <v>200</v>
      </c>
      <c r="I1586" s="491">
        <f t="shared" si="192"/>
        <v>400</v>
      </c>
      <c r="J1586" s="492"/>
      <c r="K1586" s="492"/>
    </row>
    <row r="1587" s="456" customFormat="1" ht="20.25" spans="1:14">
      <c r="A1587" s="488">
        <v>45673</v>
      </c>
      <c r="B1587" s="456" t="s">
        <v>188</v>
      </c>
      <c r="C1587" s="528" t="s">
        <v>564</v>
      </c>
      <c r="D1587" s="528"/>
      <c r="E1587" s="529"/>
      <c r="F1587" s="493" t="s">
        <v>129</v>
      </c>
      <c r="G1587" s="491">
        <v>2</v>
      </c>
      <c r="H1587" s="431">
        <v>150</v>
      </c>
      <c r="I1587" s="491">
        <f t="shared" si="192"/>
        <v>300</v>
      </c>
      <c r="J1587" s="492"/>
      <c r="K1587" s="492"/>
    </row>
    <row r="1588" s="456" customFormat="1" ht="20.25" spans="1:14">
      <c r="A1588" s="488">
        <v>45673</v>
      </c>
      <c r="B1588" s="456" t="s">
        <v>188</v>
      </c>
      <c r="C1588" s="528" t="s">
        <v>564</v>
      </c>
      <c r="D1588" s="528"/>
      <c r="E1588" s="529"/>
      <c r="F1588" s="493">
        <v>808</v>
      </c>
      <c r="G1588" s="491">
        <v>2</v>
      </c>
      <c r="H1588" s="431">
        <v>200</v>
      </c>
      <c r="I1588" s="491">
        <f t="shared" si="192"/>
        <v>400</v>
      </c>
      <c r="J1588" s="492">
        <v>10</v>
      </c>
      <c r="K1588" s="492">
        <f>I1588*J1588</f>
        <v>4000</v>
      </c>
    </row>
    <row r="1589" s="456" customFormat="1" ht="20.25" spans="1:14">
      <c r="A1589" s="488">
        <v>45673</v>
      </c>
      <c r="B1589" s="456" t="s">
        <v>188</v>
      </c>
      <c r="C1589" s="528" t="s">
        <v>564</v>
      </c>
      <c r="D1589" s="528"/>
      <c r="E1589" s="529"/>
      <c r="F1589" s="493" t="s">
        <v>125</v>
      </c>
      <c r="G1589" s="491">
        <v>2</v>
      </c>
      <c r="H1589" s="431">
        <v>60</v>
      </c>
      <c r="I1589" s="491">
        <f t="shared" si="192"/>
        <v>120</v>
      </c>
      <c r="J1589" s="492">
        <v>6.2</v>
      </c>
      <c r="K1589" s="492">
        <f>I1589*J1589</f>
        <v>744</v>
      </c>
    </row>
    <row r="1590" s="456" customFormat="1" ht="20.25" spans="1:14">
      <c r="A1590" s="488">
        <v>45673</v>
      </c>
      <c r="B1590" s="456" t="s">
        <v>188</v>
      </c>
      <c r="C1590" s="528" t="s">
        <v>564</v>
      </c>
      <c r="D1590" s="528"/>
      <c r="E1590" s="529"/>
      <c r="F1590" s="493" t="s">
        <v>152</v>
      </c>
      <c r="G1590" s="491">
        <v>2</v>
      </c>
      <c r="H1590" s="431">
        <v>125</v>
      </c>
      <c r="I1590" s="491">
        <f t="shared" si="192"/>
        <v>250</v>
      </c>
      <c r="J1590" s="492">
        <v>7.8</v>
      </c>
      <c r="K1590" s="492">
        <f>I1590*J1590</f>
        <v>1950</v>
      </c>
    </row>
    <row r="1591" s="456" customFormat="1" ht="20.25" spans="1:14">
      <c r="A1591" s="488">
        <v>45673</v>
      </c>
      <c r="B1591" s="456" t="s">
        <v>188</v>
      </c>
      <c r="C1591" s="528" t="s">
        <v>564</v>
      </c>
      <c r="D1591" s="528"/>
      <c r="E1591" s="529"/>
      <c r="F1591" s="493" t="s">
        <v>533</v>
      </c>
      <c r="G1591" s="491">
        <v>2</v>
      </c>
      <c r="H1591" s="431">
        <v>51</v>
      </c>
      <c r="I1591" s="491">
        <f t="shared" si="192"/>
        <v>102</v>
      </c>
      <c r="J1591" s="492"/>
      <c r="K1591" s="492"/>
      <c r="L1591" s="536"/>
      <c r="M1591" s="536"/>
      <c r="N1591" s="536" t="s">
        <v>495</v>
      </c>
    </row>
    <row r="1592" s="456" customFormat="1" ht="20.25" spans="1:14">
      <c r="A1592" s="488">
        <v>45673</v>
      </c>
      <c r="B1592" s="456" t="s">
        <v>188</v>
      </c>
      <c r="C1592" s="528" t="s">
        <v>564</v>
      </c>
      <c r="D1592" s="528"/>
      <c r="E1592" s="529"/>
      <c r="F1592" s="493" t="s">
        <v>547</v>
      </c>
      <c r="G1592" s="491">
        <v>2</v>
      </c>
      <c r="H1592" s="431">
        <v>214</v>
      </c>
      <c r="I1592" s="491">
        <f t="shared" si="192"/>
        <v>428</v>
      </c>
      <c r="J1592" s="492"/>
      <c r="K1592" s="492"/>
      <c r="L1592" s="536"/>
      <c r="M1592" s="536" t="s">
        <v>126</v>
      </c>
      <c r="N1592" s="536"/>
    </row>
    <row r="1593" s="456" customFormat="1" ht="20.25" spans="1:14">
      <c r="A1593" s="488">
        <v>45673</v>
      </c>
      <c r="B1593" s="456" t="s">
        <v>188</v>
      </c>
      <c r="C1593" s="528" t="s">
        <v>564</v>
      </c>
      <c r="D1593" s="528"/>
      <c r="E1593" s="529"/>
      <c r="F1593" s="493" t="s">
        <v>130</v>
      </c>
      <c r="G1593" s="491">
        <v>2</v>
      </c>
      <c r="H1593" s="431">
        <f>SUM(H1586:H1592)</f>
        <v>1000</v>
      </c>
      <c r="I1593" s="491">
        <f t="shared" si="192"/>
        <v>2000</v>
      </c>
      <c r="J1593" s="492">
        <v>1</v>
      </c>
      <c r="K1593" s="492">
        <f t="shared" ref="K1593:K1599" si="193">I1593*J1593</f>
        <v>2000</v>
      </c>
      <c r="L1593" s="536">
        <f>SUM(K1586:K1593)</f>
        <v>8694</v>
      </c>
      <c r="M1593" s="536"/>
      <c r="N1593" s="536"/>
    </row>
    <row r="1594" s="457" customFormat="1" ht="21" customHeight="1" spans="1:14">
      <c r="A1594" s="494">
        <v>45673</v>
      </c>
      <c r="B1594" s="457" t="s">
        <v>309</v>
      </c>
      <c r="C1594" s="495">
        <v>45673</v>
      </c>
      <c r="D1594" s="463"/>
      <c r="E1594" s="463"/>
      <c r="F1594" s="496" t="s">
        <v>16</v>
      </c>
      <c r="G1594" s="463">
        <v>1</v>
      </c>
      <c r="H1594" s="432">
        <v>150</v>
      </c>
      <c r="I1594" s="463">
        <f t="shared" si="192"/>
        <v>150</v>
      </c>
      <c r="J1594" s="497">
        <v>13.5</v>
      </c>
      <c r="K1594" s="497"/>
    </row>
    <row r="1595" s="457" customFormat="1" ht="20.25" spans="1:14">
      <c r="A1595" s="494">
        <v>45673</v>
      </c>
      <c r="B1595" s="457" t="s">
        <v>309</v>
      </c>
      <c r="C1595" s="495">
        <v>45673</v>
      </c>
      <c r="D1595" s="463"/>
      <c r="E1595" s="463"/>
      <c r="F1595" s="496" t="s">
        <v>533</v>
      </c>
      <c r="G1595" s="463">
        <v>1</v>
      </c>
      <c r="H1595" s="432">
        <v>147</v>
      </c>
      <c r="I1595" s="463">
        <f t="shared" si="192"/>
        <v>147</v>
      </c>
      <c r="J1595" s="497">
        <v>16</v>
      </c>
      <c r="K1595" s="497"/>
    </row>
    <row r="1596" s="457" customFormat="1" ht="20.25" spans="1:14">
      <c r="A1596" s="494">
        <v>45673</v>
      </c>
      <c r="B1596" s="457" t="s">
        <v>309</v>
      </c>
      <c r="C1596" s="495">
        <v>45673</v>
      </c>
      <c r="D1596" s="463"/>
      <c r="E1596" s="463"/>
      <c r="F1596" s="496" t="s">
        <v>534</v>
      </c>
      <c r="G1596" s="463">
        <v>1</v>
      </c>
      <c r="H1596" s="432">
        <v>253</v>
      </c>
      <c r="I1596" s="463">
        <f t="shared" si="192"/>
        <v>253</v>
      </c>
      <c r="J1596" s="497">
        <v>14.7</v>
      </c>
      <c r="K1596" s="497"/>
      <c r="M1596" s="537" t="s">
        <v>325</v>
      </c>
      <c r="N1596" s="537" t="s">
        <v>326</v>
      </c>
    </row>
    <row r="1597" s="457" customFormat="1" ht="20.25" spans="1:14">
      <c r="A1597" s="494">
        <v>45673</v>
      </c>
      <c r="B1597" s="457" t="s">
        <v>309</v>
      </c>
      <c r="C1597" s="495">
        <v>45673</v>
      </c>
      <c r="D1597" s="463"/>
      <c r="E1597" s="463"/>
      <c r="F1597" s="496" t="s">
        <v>406</v>
      </c>
      <c r="G1597" s="463">
        <v>1</v>
      </c>
      <c r="H1597" s="432">
        <v>50</v>
      </c>
      <c r="I1597" s="463">
        <f t="shared" si="192"/>
        <v>50</v>
      </c>
      <c r="J1597" s="497">
        <v>10</v>
      </c>
      <c r="K1597" s="497">
        <f t="shared" si="193"/>
        <v>500</v>
      </c>
      <c r="M1597" s="457" t="s">
        <v>182</v>
      </c>
    </row>
    <row r="1598" s="457" customFormat="1" ht="20.25" spans="1:14">
      <c r="A1598" s="494">
        <v>45673</v>
      </c>
      <c r="B1598" s="457" t="s">
        <v>309</v>
      </c>
      <c r="C1598" s="495">
        <v>45673</v>
      </c>
      <c r="D1598" s="463"/>
      <c r="E1598" s="463"/>
      <c r="F1598" s="496" t="s">
        <v>152</v>
      </c>
      <c r="G1598" s="463">
        <v>1</v>
      </c>
      <c r="H1598" s="432">
        <v>155</v>
      </c>
      <c r="I1598" s="463">
        <f t="shared" si="192"/>
        <v>155</v>
      </c>
      <c r="J1598" s="497">
        <v>7.8</v>
      </c>
      <c r="K1598" s="497">
        <f t="shared" si="193"/>
        <v>1209</v>
      </c>
    </row>
    <row r="1599" s="457" customFormat="1" ht="20.25" spans="1:14">
      <c r="A1599" s="494">
        <v>45673</v>
      </c>
      <c r="B1599" s="457" t="s">
        <v>309</v>
      </c>
      <c r="C1599" s="495">
        <v>45673</v>
      </c>
      <c r="D1599" s="463"/>
      <c r="E1599" s="463"/>
      <c r="F1599" s="496" t="s">
        <v>125</v>
      </c>
      <c r="G1599" s="463">
        <v>1</v>
      </c>
      <c r="H1599" s="432">
        <v>95</v>
      </c>
      <c r="I1599" s="463">
        <f t="shared" si="192"/>
        <v>95</v>
      </c>
      <c r="J1599" s="497">
        <v>6.2</v>
      </c>
      <c r="K1599" s="497">
        <f t="shared" si="193"/>
        <v>589</v>
      </c>
    </row>
    <row r="1600" s="457" customFormat="1" ht="20.25" spans="1:14">
      <c r="A1600" s="494">
        <v>45673</v>
      </c>
      <c r="B1600" s="457" t="s">
        <v>309</v>
      </c>
      <c r="C1600" s="495">
        <v>45673</v>
      </c>
      <c r="D1600" s="463"/>
      <c r="E1600" s="463"/>
      <c r="F1600" s="496" t="s">
        <v>183</v>
      </c>
      <c r="G1600" s="463">
        <v>1</v>
      </c>
      <c r="H1600" s="432">
        <v>150</v>
      </c>
      <c r="I1600" s="463">
        <f t="shared" si="192"/>
        <v>150</v>
      </c>
      <c r="J1600" s="497"/>
      <c r="K1600" s="497"/>
      <c r="M1600" s="457" t="s">
        <v>184</v>
      </c>
      <c r="N1600" s="457" t="s">
        <v>185</v>
      </c>
    </row>
    <row r="1601" s="457" customFormat="1" ht="20.25" spans="1:18">
      <c r="A1601" s="494">
        <v>45673</v>
      </c>
      <c r="B1601" s="457" t="s">
        <v>309</v>
      </c>
      <c r="C1601" s="495">
        <v>45673</v>
      </c>
      <c r="D1601" s="463"/>
      <c r="E1601" s="463"/>
      <c r="F1601" s="496" t="s">
        <v>186</v>
      </c>
      <c r="G1601" s="463">
        <v>1</v>
      </c>
      <c r="H1601" s="432">
        <f>SUM(H1594:H1600)</f>
        <v>1000</v>
      </c>
      <c r="I1601" s="463">
        <f t="shared" si="192"/>
        <v>1000</v>
      </c>
      <c r="J1601" s="497">
        <v>1</v>
      </c>
      <c r="K1601" s="497">
        <f>I1601*J1601</f>
        <v>1000</v>
      </c>
      <c r="L1601" s="457">
        <f>SUM(K1594:K1601)</f>
        <v>3298</v>
      </c>
      <c r="R1601" s="457" t="s">
        <v>359</v>
      </c>
    </row>
    <row r="1602" s="454" customFormat="1" ht="33" customHeight="1" spans="1:18">
      <c r="A1602" s="601">
        <v>25.2</v>
      </c>
      <c r="B1602" s="481"/>
      <c r="C1602" s="481"/>
      <c r="D1602" s="481"/>
      <c r="E1602" s="481"/>
      <c r="F1602" s="481"/>
      <c r="G1602" s="481"/>
      <c r="H1602" s="481"/>
      <c r="I1602" s="481"/>
      <c r="J1602" s="632" t="s">
        <v>28</v>
      </c>
      <c r="K1602" s="595">
        <f>SUM(K1605:K1666)</f>
        <v>8954.284</v>
      </c>
      <c r="L1602" s="454" t="s">
        <v>29</v>
      </c>
      <c r="M1602" s="601" t="e">
        <f>#REF!</f>
        <v>#REF!</v>
      </c>
      <c r="N1602" s="593" t="s">
        <v>30</v>
      </c>
      <c r="O1602" s="601">
        <f>K1612+K1620</f>
        <v>1152</v>
      </c>
      <c r="P1602" s="481" t="s">
        <v>31</v>
      </c>
      <c r="Q1602" s="601" t="e">
        <f>K1635+#REF!</f>
        <v>#REF!</v>
      </c>
    </row>
    <row r="1603" s="454" customFormat="1" ht="18" customHeight="1" spans="1:18">
      <c r="A1603" s="601"/>
      <c r="B1603" s="481"/>
      <c r="C1603" s="481"/>
      <c r="D1603" s="481"/>
      <c r="E1603" s="481"/>
      <c r="F1603" s="481"/>
      <c r="G1603" s="481"/>
      <c r="H1603" s="481"/>
      <c r="I1603" s="481"/>
      <c r="J1603" s="481" t="s">
        <v>32</v>
      </c>
      <c r="K1603" s="481"/>
      <c r="L1603" s="454" t="s">
        <v>33</v>
      </c>
      <c r="M1603" s="601">
        <f>K1634</f>
        <v>787.5</v>
      </c>
      <c r="N1603" s="634" t="s">
        <v>34</v>
      </c>
      <c r="O1603" s="595" t="e">
        <f>M1602+M1603+O1602+Q1602</f>
        <v>#REF!</v>
      </c>
    </row>
    <row r="1604" s="455" customFormat="1" ht="15" customHeight="1" spans="1:18">
      <c r="A1604" s="604" t="s">
        <v>35</v>
      </c>
      <c r="B1604" s="605" t="s">
        <v>36</v>
      </c>
      <c r="C1604" s="486" t="s">
        <v>37</v>
      </c>
      <c r="D1604" s="486"/>
      <c r="E1604" s="486"/>
      <c r="F1604" s="486" t="s">
        <v>38</v>
      </c>
      <c r="G1604" s="486" t="s">
        <v>4</v>
      </c>
      <c r="H1604" s="486" t="s">
        <v>5</v>
      </c>
      <c r="I1604" s="486" t="s">
        <v>6</v>
      </c>
      <c r="J1604" s="486" t="s">
        <v>7</v>
      </c>
      <c r="K1604" s="486" t="s">
        <v>8</v>
      </c>
      <c r="L1604" s="486" t="s">
        <v>39</v>
      </c>
      <c r="M1604" s="486" t="s">
        <v>40</v>
      </c>
      <c r="N1604" s="487"/>
      <c r="O1604" s="487"/>
    </row>
    <row r="1605" s="456" customFormat="1" ht="20.25" spans="1:18">
      <c r="A1605" s="488">
        <v>45706</v>
      </c>
      <c r="B1605" s="456" t="s">
        <v>565</v>
      </c>
      <c r="C1605" s="490">
        <v>45706</v>
      </c>
      <c r="D1605" s="491"/>
      <c r="E1605" s="491"/>
      <c r="F1605" s="456" t="s">
        <v>16</v>
      </c>
      <c r="G1605" s="489">
        <v>1</v>
      </c>
      <c r="H1605" s="489">
        <v>99.5</v>
      </c>
      <c r="I1605" s="491">
        <f t="shared" ref="I1605:I1620" si="194">G1605*H1605</f>
        <v>99.5</v>
      </c>
      <c r="J1605" s="492"/>
      <c r="K1605" s="492"/>
      <c r="L1605" s="646"/>
    </row>
    <row r="1606" s="456" customFormat="1" ht="20.25" spans="1:18">
      <c r="A1606" s="488">
        <v>45707</v>
      </c>
      <c r="B1606" s="456" t="s">
        <v>565</v>
      </c>
      <c r="C1606" s="490">
        <v>45706</v>
      </c>
      <c r="D1606" s="491"/>
      <c r="E1606" s="491"/>
      <c r="F1606" s="456" t="s">
        <v>533</v>
      </c>
      <c r="G1606" s="489">
        <v>1</v>
      </c>
      <c r="H1606" s="489">
        <v>154.5</v>
      </c>
      <c r="I1606" s="491">
        <f t="shared" si="194"/>
        <v>154.5</v>
      </c>
      <c r="J1606" s="492"/>
      <c r="K1606" s="492"/>
      <c r="L1606" s="646"/>
    </row>
    <row r="1607" s="456" customFormat="1" ht="20.25" spans="1:18">
      <c r="A1607" s="488">
        <v>45707</v>
      </c>
      <c r="B1607" s="456" t="s">
        <v>565</v>
      </c>
      <c r="C1607" s="490">
        <v>45706</v>
      </c>
      <c r="D1607" s="491"/>
      <c r="E1607" s="491"/>
      <c r="F1607" s="456" t="s">
        <v>547</v>
      </c>
      <c r="G1607" s="489">
        <v>1</v>
      </c>
      <c r="H1607" s="489">
        <v>39</v>
      </c>
      <c r="I1607" s="491">
        <f t="shared" si="194"/>
        <v>39</v>
      </c>
      <c r="J1607" s="492"/>
      <c r="K1607" s="492"/>
      <c r="L1607" s="646"/>
    </row>
    <row r="1608" s="456" customFormat="1" ht="20.25" spans="1:18">
      <c r="A1608" s="488">
        <v>45707</v>
      </c>
      <c r="B1608" s="456" t="s">
        <v>565</v>
      </c>
      <c r="C1608" s="490">
        <v>45706</v>
      </c>
      <c r="D1608" s="491"/>
      <c r="E1608" s="491"/>
      <c r="F1608" s="456" t="s">
        <v>352</v>
      </c>
      <c r="G1608" s="489">
        <v>1</v>
      </c>
      <c r="H1608" s="489">
        <v>110</v>
      </c>
      <c r="I1608" s="491">
        <f t="shared" si="194"/>
        <v>110</v>
      </c>
      <c r="J1608" s="492"/>
      <c r="K1608" s="492"/>
      <c r="L1608" s="652" t="s">
        <v>116</v>
      </c>
    </row>
    <row r="1609" s="456" customFormat="1" ht="20.25" spans="1:18">
      <c r="A1609" s="488">
        <v>45707</v>
      </c>
      <c r="B1609" s="456" t="s">
        <v>565</v>
      </c>
      <c r="C1609" s="490">
        <v>45706</v>
      </c>
      <c r="D1609" s="491"/>
      <c r="E1609" s="491"/>
      <c r="F1609" s="456" t="s">
        <v>115</v>
      </c>
      <c r="G1609" s="489">
        <v>1</v>
      </c>
      <c r="H1609" s="489">
        <v>55</v>
      </c>
      <c r="I1609" s="491">
        <f t="shared" si="194"/>
        <v>55</v>
      </c>
      <c r="J1609" s="492"/>
      <c r="K1609" s="492"/>
      <c r="L1609" s="646"/>
    </row>
    <row r="1610" s="456" customFormat="1" ht="20.25" spans="1:18">
      <c r="A1610" s="488">
        <v>45707</v>
      </c>
      <c r="B1610" s="456" t="s">
        <v>565</v>
      </c>
      <c r="C1610" s="490">
        <v>45706</v>
      </c>
      <c r="D1610" s="491"/>
      <c r="E1610" s="491"/>
      <c r="F1610" s="493">
        <v>808</v>
      </c>
      <c r="G1610" s="489">
        <v>1</v>
      </c>
      <c r="H1610" s="489">
        <v>28.5</v>
      </c>
      <c r="I1610" s="491">
        <f t="shared" si="194"/>
        <v>28.5</v>
      </c>
      <c r="J1610" s="492">
        <v>10</v>
      </c>
      <c r="K1610" s="492">
        <f t="shared" ref="K1610:K1612" si="195">I1610*J1610</f>
        <v>285</v>
      </c>
      <c r="L1610" s="646"/>
    </row>
    <row r="1611" s="456" customFormat="1" ht="20.25" spans="1:18">
      <c r="A1611" s="488">
        <v>45707</v>
      </c>
      <c r="B1611" s="456" t="s">
        <v>565</v>
      </c>
      <c r="C1611" s="490">
        <v>45706</v>
      </c>
      <c r="D1611" s="491"/>
      <c r="E1611" s="491"/>
      <c r="F1611" s="493" t="s">
        <v>125</v>
      </c>
      <c r="G1611" s="489">
        <v>1</v>
      </c>
      <c r="H1611" s="489">
        <v>65.5</v>
      </c>
      <c r="I1611" s="491">
        <f t="shared" si="194"/>
        <v>65.5</v>
      </c>
      <c r="J1611" s="492">
        <v>6.2</v>
      </c>
      <c r="K1611" s="492">
        <f t="shared" si="195"/>
        <v>406.1</v>
      </c>
      <c r="L1611" s="646"/>
    </row>
    <row r="1612" s="456" customFormat="1" ht="19" customHeight="1" spans="1:18">
      <c r="A1612" s="488">
        <v>45707</v>
      </c>
      <c r="B1612" s="456" t="s">
        <v>565</v>
      </c>
      <c r="C1612" s="490">
        <v>45706</v>
      </c>
      <c r="D1612" s="491"/>
      <c r="E1612" s="491"/>
      <c r="F1612" s="456" t="s">
        <v>435</v>
      </c>
      <c r="G1612" s="489">
        <v>1</v>
      </c>
      <c r="H1612" s="489">
        <f>SUM(H1605:H1611)</f>
        <v>552</v>
      </c>
      <c r="I1612" s="491">
        <f t="shared" si="194"/>
        <v>552</v>
      </c>
      <c r="J1612" s="492">
        <v>1</v>
      </c>
      <c r="K1612" s="492">
        <f t="shared" si="195"/>
        <v>552</v>
      </c>
      <c r="L1612" s="456">
        <f>SUM(K1605:K1612)</f>
        <v>1243.1</v>
      </c>
    </row>
    <row r="1613" s="457" customFormat="1" ht="20.25" spans="1:18">
      <c r="A1613" s="494">
        <v>45707</v>
      </c>
      <c r="B1613" s="457" t="s">
        <v>455</v>
      </c>
      <c r="C1613" s="495">
        <v>45706</v>
      </c>
      <c r="D1613" s="463"/>
      <c r="E1613" s="463"/>
      <c r="F1613" s="496" t="s">
        <v>16</v>
      </c>
      <c r="G1613" s="463">
        <v>1</v>
      </c>
      <c r="H1613" s="432">
        <v>90</v>
      </c>
      <c r="I1613" s="463">
        <f t="shared" si="194"/>
        <v>90</v>
      </c>
      <c r="J1613" s="497"/>
      <c r="K1613" s="497"/>
      <c r="L1613" s="537"/>
      <c r="M1613" s="537"/>
      <c r="N1613" s="537"/>
    </row>
    <row r="1614" s="457" customFormat="1" ht="20.25" spans="1:18">
      <c r="A1614" s="494">
        <v>45707</v>
      </c>
      <c r="B1614" s="457" t="s">
        <v>455</v>
      </c>
      <c r="C1614" s="495">
        <v>45706</v>
      </c>
      <c r="D1614" s="463"/>
      <c r="E1614" s="463"/>
      <c r="F1614" s="496" t="s">
        <v>300</v>
      </c>
      <c r="G1614" s="463">
        <v>1</v>
      </c>
      <c r="H1614" s="432">
        <v>90</v>
      </c>
      <c r="I1614" s="463">
        <f t="shared" si="194"/>
        <v>90</v>
      </c>
      <c r="J1614" s="497"/>
      <c r="K1614" s="497"/>
      <c r="L1614" s="537"/>
      <c r="M1614" s="537"/>
      <c r="N1614" s="537"/>
    </row>
    <row r="1615" s="457" customFormat="1" ht="20.25" spans="1:18">
      <c r="A1615" s="494">
        <v>45707</v>
      </c>
      <c r="B1615" s="457" t="s">
        <v>455</v>
      </c>
      <c r="C1615" s="495">
        <v>45706</v>
      </c>
      <c r="D1615" s="463"/>
      <c r="E1615" s="463"/>
      <c r="F1615" s="496" t="s">
        <v>546</v>
      </c>
      <c r="G1615" s="463">
        <v>1</v>
      </c>
      <c r="H1615" s="432">
        <v>128</v>
      </c>
      <c r="I1615" s="463">
        <f t="shared" si="194"/>
        <v>128</v>
      </c>
      <c r="J1615" s="497"/>
      <c r="K1615" s="497"/>
      <c r="L1615" s="537"/>
      <c r="M1615" s="537"/>
      <c r="N1615" s="537"/>
    </row>
    <row r="1616" s="457" customFormat="1" ht="20.25" spans="1:18">
      <c r="A1616" s="494">
        <v>45707</v>
      </c>
      <c r="B1616" s="457" t="s">
        <v>455</v>
      </c>
      <c r="C1616" s="495">
        <v>45706</v>
      </c>
      <c r="D1616" s="463"/>
      <c r="E1616" s="463"/>
      <c r="F1616" s="496">
        <v>808</v>
      </c>
      <c r="G1616" s="463">
        <v>1</v>
      </c>
      <c r="H1616" s="432">
        <v>60</v>
      </c>
      <c r="I1616" s="463">
        <f t="shared" si="194"/>
        <v>60</v>
      </c>
      <c r="J1616" s="497">
        <v>10</v>
      </c>
      <c r="K1616" s="497">
        <f>I1616*J1616</f>
        <v>600</v>
      </c>
      <c r="L1616" s="537" t="s">
        <v>436</v>
      </c>
      <c r="M1616" s="537"/>
      <c r="N1616" s="537"/>
    </row>
    <row r="1617" s="457" customFormat="1" ht="20.25" spans="1:15">
      <c r="A1617" s="494">
        <v>45707</v>
      </c>
      <c r="B1617" s="457" t="s">
        <v>455</v>
      </c>
      <c r="C1617" s="495">
        <v>45706</v>
      </c>
      <c r="D1617" s="463"/>
      <c r="E1617" s="463"/>
      <c r="F1617" s="496" t="s">
        <v>125</v>
      </c>
      <c r="G1617" s="463">
        <v>1</v>
      </c>
      <c r="H1617" s="432">
        <v>130</v>
      </c>
      <c r="I1617" s="463">
        <f t="shared" si="194"/>
        <v>130</v>
      </c>
      <c r="J1617" s="497">
        <v>6.2</v>
      </c>
      <c r="K1617" s="497">
        <f>I1617*J1617</f>
        <v>806</v>
      </c>
      <c r="L1617" s="537">
        <f>SUBTOTAL(9,K1265:K1443)</f>
        <v>115373.538</v>
      </c>
      <c r="M1617" s="537"/>
      <c r="N1617" s="537"/>
    </row>
    <row r="1618" s="457" customFormat="1" ht="20.25" spans="1:15">
      <c r="A1618" s="494">
        <v>45707</v>
      </c>
      <c r="B1618" s="457" t="s">
        <v>455</v>
      </c>
      <c r="C1618" s="495">
        <v>45706</v>
      </c>
      <c r="D1618" s="463"/>
      <c r="E1618" s="463"/>
      <c r="F1618" s="496" t="s">
        <v>12</v>
      </c>
      <c r="G1618" s="463">
        <v>1</v>
      </c>
      <c r="H1618" s="432">
        <v>12</v>
      </c>
      <c r="I1618" s="463">
        <f t="shared" si="194"/>
        <v>12</v>
      </c>
      <c r="J1618" s="497">
        <v>7.8</v>
      </c>
      <c r="K1618" s="497">
        <f>I1618*J1618</f>
        <v>93.6</v>
      </c>
      <c r="L1618" s="537"/>
      <c r="M1618" s="537"/>
      <c r="N1618" s="537"/>
    </row>
    <row r="1619" s="457" customFormat="1" ht="20.25" spans="1:15">
      <c r="A1619" s="494">
        <v>45707</v>
      </c>
      <c r="B1619" s="457" t="s">
        <v>455</v>
      </c>
      <c r="C1619" s="495">
        <v>45706</v>
      </c>
      <c r="D1619" s="463"/>
      <c r="E1619" s="463"/>
      <c r="F1619" s="496" t="s">
        <v>240</v>
      </c>
      <c r="G1619" s="463">
        <v>1</v>
      </c>
      <c r="H1619" s="432">
        <v>90</v>
      </c>
      <c r="I1619" s="463">
        <f t="shared" si="194"/>
        <v>90</v>
      </c>
      <c r="J1619" s="497"/>
      <c r="K1619" s="497"/>
      <c r="L1619" s="537"/>
      <c r="M1619" s="537"/>
      <c r="N1619" s="537"/>
    </row>
    <row r="1620" s="457" customFormat="1" ht="20.25" spans="1:15">
      <c r="A1620" s="494">
        <v>45707</v>
      </c>
      <c r="B1620" s="457" t="s">
        <v>455</v>
      </c>
      <c r="C1620" s="495">
        <v>45706</v>
      </c>
      <c r="D1620" s="463"/>
      <c r="E1620" s="463"/>
      <c r="F1620" s="496" t="s">
        <v>301</v>
      </c>
      <c r="G1620" s="463">
        <v>1</v>
      </c>
      <c r="H1620" s="432">
        <f>SUM(H1613:H1619)</f>
        <v>600</v>
      </c>
      <c r="I1620" s="463">
        <f t="shared" si="194"/>
        <v>600</v>
      </c>
      <c r="J1620" s="497">
        <v>1</v>
      </c>
      <c r="K1620" s="497">
        <f>I1620*J1620</f>
        <v>600</v>
      </c>
      <c r="L1620" s="537">
        <f>SUM(K1613:K1620)</f>
        <v>2099.6</v>
      </c>
      <c r="M1620" s="537"/>
      <c r="N1620" s="537"/>
    </row>
    <row r="1621" s="456" customFormat="1" ht="20.25" spans="1:15">
      <c r="A1621" s="488">
        <v>45710</v>
      </c>
      <c r="B1621" s="456" t="s">
        <v>423</v>
      </c>
      <c r="C1621" s="490">
        <v>45709</v>
      </c>
      <c r="D1621" s="491"/>
      <c r="E1621" s="491"/>
      <c r="F1621" s="456" t="s">
        <v>566</v>
      </c>
      <c r="G1621" s="489">
        <v>1</v>
      </c>
      <c r="H1621" s="489">
        <v>673</v>
      </c>
      <c r="I1621" s="491">
        <f t="shared" ref="I1621:I1650" si="196">G1621*H1621</f>
        <v>673</v>
      </c>
      <c r="J1621" s="492"/>
      <c r="K1621" s="492"/>
      <c r="L1621" s="646"/>
    </row>
    <row r="1622" s="456" customFormat="1" ht="20.25" spans="1:15">
      <c r="A1622" s="488">
        <v>45710</v>
      </c>
      <c r="B1622" s="456" t="s">
        <v>423</v>
      </c>
      <c r="C1622" s="490">
        <v>45709</v>
      </c>
      <c r="D1622" s="491"/>
      <c r="E1622" s="491"/>
      <c r="F1622" s="456" t="s">
        <v>567</v>
      </c>
      <c r="G1622" s="489">
        <v>1</v>
      </c>
      <c r="H1622" s="489">
        <v>3</v>
      </c>
      <c r="I1622" s="491">
        <f t="shared" si="196"/>
        <v>3</v>
      </c>
      <c r="J1622" s="492"/>
      <c r="K1622" s="492"/>
      <c r="L1622" s="646"/>
    </row>
    <row r="1623" s="456" customFormat="1" ht="20.25" spans="1:15">
      <c r="A1623" s="488">
        <v>45710</v>
      </c>
      <c r="B1623" s="456" t="s">
        <v>423</v>
      </c>
      <c r="C1623" s="490">
        <v>45709</v>
      </c>
      <c r="D1623" s="491"/>
      <c r="E1623" s="491"/>
      <c r="F1623" s="456" t="s">
        <v>191</v>
      </c>
      <c r="G1623" s="489">
        <v>1</v>
      </c>
      <c r="H1623" s="489">
        <v>20.5</v>
      </c>
      <c r="I1623" s="491">
        <f t="shared" si="196"/>
        <v>20.5</v>
      </c>
      <c r="J1623" s="492">
        <v>17</v>
      </c>
      <c r="K1623" s="492">
        <f t="shared" ref="K1623:K1628" si="197">I1623*J1623</f>
        <v>348.5</v>
      </c>
      <c r="L1623" s="646"/>
      <c r="M1623" s="456" t="s">
        <v>568</v>
      </c>
    </row>
    <row r="1624" s="456" customFormat="1" ht="20.25" spans="1:15">
      <c r="A1624" s="488">
        <v>45710</v>
      </c>
      <c r="B1624" s="456" t="s">
        <v>423</v>
      </c>
      <c r="C1624" s="490">
        <v>45709</v>
      </c>
      <c r="D1624" s="491"/>
      <c r="E1624" s="491"/>
      <c r="F1624" s="456" t="s">
        <v>137</v>
      </c>
      <c r="G1624" s="489">
        <v>1</v>
      </c>
      <c r="H1624" s="489">
        <v>65</v>
      </c>
      <c r="I1624" s="491">
        <f t="shared" si="196"/>
        <v>65</v>
      </c>
      <c r="J1624" s="492">
        <v>0.9</v>
      </c>
      <c r="K1624" s="492">
        <f t="shared" si="197"/>
        <v>58.5</v>
      </c>
      <c r="L1624" s="537" t="s">
        <v>116</v>
      </c>
      <c r="M1624" s="456" t="s">
        <v>569</v>
      </c>
    </row>
    <row r="1625" s="456" customFormat="1" ht="20.25" spans="1:15">
      <c r="A1625" s="488">
        <v>45710</v>
      </c>
      <c r="B1625" s="456" t="s">
        <v>423</v>
      </c>
      <c r="C1625" s="490">
        <v>45709</v>
      </c>
      <c r="D1625" s="491"/>
      <c r="E1625" s="491"/>
      <c r="F1625" s="456" t="s">
        <v>132</v>
      </c>
      <c r="G1625" s="489">
        <v>1</v>
      </c>
      <c r="H1625" s="489">
        <v>4</v>
      </c>
      <c r="I1625" s="491">
        <f t="shared" si="196"/>
        <v>4</v>
      </c>
      <c r="J1625" s="492">
        <v>3.7</v>
      </c>
      <c r="K1625" s="492">
        <f t="shared" si="197"/>
        <v>14.8</v>
      </c>
      <c r="L1625" s="646"/>
      <c r="M1625" s="456" t="s">
        <v>570</v>
      </c>
    </row>
    <row r="1626" s="456" customFormat="1" ht="20.25" spans="1:15">
      <c r="A1626" s="488">
        <v>45710</v>
      </c>
      <c r="B1626" s="456" t="s">
        <v>423</v>
      </c>
      <c r="C1626" s="490">
        <v>45709</v>
      </c>
      <c r="D1626" s="491"/>
      <c r="E1626" s="491"/>
      <c r="F1626" s="493" t="s">
        <v>125</v>
      </c>
      <c r="G1626" s="489">
        <v>1</v>
      </c>
      <c r="H1626" s="489">
        <v>4.5</v>
      </c>
      <c r="I1626" s="491">
        <f t="shared" si="196"/>
        <v>4.5</v>
      </c>
      <c r="J1626" s="492">
        <v>6.2</v>
      </c>
      <c r="K1626" s="492">
        <f t="shared" si="197"/>
        <v>27.9</v>
      </c>
      <c r="L1626" s="646"/>
    </row>
    <row r="1627" s="456" customFormat="1" ht="19" customHeight="1" spans="1:15">
      <c r="A1627" s="488">
        <v>45710</v>
      </c>
      <c r="B1627" s="456" t="s">
        <v>423</v>
      </c>
      <c r="C1627" s="490">
        <v>45709</v>
      </c>
      <c r="D1627" s="491"/>
      <c r="E1627" s="491"/>
      <c r="F1627" s="456" t="s">
        <v>571</v>
      </c>
      <c r="G1627" s="489">
        <v>1</v>
      </c>
      <c r="H1627" s="489">
        <f>SUM(H1621:H1626)</f>
        <v>770</v>
      </c>
      <c r="I1627" s="491">
        <f t="shared" si="196"/>
        <v>770</v>
      </c>
      <c r="J1627" s="492">
        <v>1</v>
      </c>
      <c r="K1627" s="492">
        <f t="shared" si="197"/>
        <v>770</v>
      </c>
    </row>
    <row r="1628" s="457" customFormat="1" ht="20.25" spans="1:15">
      <c r="A1628" s="488">
        <v>45710</v>
      </c>
      <c r="B1628" s="456" t="s">
        <v>423</v>
      </c>
      <c r="C1628" s="490">
        <v>45709</v>
      </c>
      <c r="D1628" s="491"/>
      <c r="E1628" s="491"/>
      <c r="F1628" s="498" t="s">
        <v>572</v>
      </c>
      <c r="G1628" s="491">
        <v>4</v>
      </c>
      <c r="H1628" s="431">
        <v>1</v>
      </c>
      <c r="I1628" s="491">
        <f t="shared" si="196"/>
        <v>4</v>
      </c>
      <c r="J1628" s="492">
        <v>12.5</v>
      </c>
      <c r="K1628" s="492">
        <f t="shared" si="197"/>
        <v>50</v>
      </c>
      <c r="L1628" s="537">
        <f>SUM(K1621:K1628)</f>
        <v>1269.7</v>
      </c>
      <c r="M1628" s="537"/>
      <c r="N1628" s="537"/>
    </row>
    <row r="1629" s="457" customFormat="1" ht="20.25" spans="1:15">
      <c r="A1629" s="494">
        <v>45710</v>
      </c>
      <c r="B1629" s="457" t="s">
        <v>461</v>
      </c>
      <c r="C1629" s="495">
        <v>45710</v>
      </c>
      <c r="D1629" s="463"/>
      <c r="E1629" s="463"/>
      <c r="F1629" s="496" t="s">
        <v>16</v>
      </c>
      <c r="G1629" s="463">
        <v>1</v>
      </c>
      <c r="H1629" s="432">
        <v>48</v>
      </c>
      <c r="I1629" s="463">
        <f t="shared" si="196"/>
        <v>48</v>
      </c>
      <c r="J1629" s="497"/>
      <c r="K1629" s="497"/>
      <c r="O1629" s="456"/>
    </row>
    <row r="1630" s="457" customFormat="1" ht="20.25" spans="1:15">
      <c r="A1630" s="494">
        <v>45710</v>
      </c>
      <c r="B1630" s="457" t="s">
        <v>461</v>
      </c>
      <c r="C1630" s="495">
        <v>45710</v>
      </c>
      <c r="D1630" s="463"/>
      <c r="E1630" s="463"/>
      <c r="F1630" s="496" t="s">
        <v>444</v>
      </c>
      <c r="G1630" s="463">
        <v>1</v>
      </c>
      <c r="H1630" s="432">
        <v>4.5</v>
      </c>
      <c r="I1630" s="463">
        <f t="shared" si="196"/>
        <v>4.5</v>
      </c>
      <c r="J1630" s="497"/>
      <c r="K1630" s="497"/>
      <c r="O1630" s="456"/>
    </row>
    <row r="1631" s="457" customFormat="1" ht="20.25" spans="1:15">
      <c r="A1631" s="494">
        <v>45710</v>
      </c>
      <c r="B1631" s="457" t="s">
        <v>461</v>
      </c>
      <c r="C1631" s="495">
        <v>45710</v>
      </c>
      <c r="D1631" s="463"/>
      <c r="E1631" s="463"/>
      <c r="F1631" s="496">
        <v>996</v>
      </c>
      <c r="G1631" s="463">
        <v>1</v>
      </c>
      <c r="H1631" s="432">
        <v>150</v>
      </c>
      <c r="I1631" s="463">
        <f t="shared" si="196"/>
        <v>150</v>
      </c>
      <c r="J1631" s="497"/>
      <c r="K1631" s="497"/>
      <c r="L1631" s="537"/>
      <c r="M1631" s="537"/>
      <c r="N1631" s="537"/>
      <c r="O1631" s="456"/>
    </row>
    <row r="1632" s="457" customFormat="1" ht="20.25" spans="1:15">
      <c r="A1632" s="494">
        <v>45710</v>
      </c>
      <c r="B1632" s="457" t="s">
        <v>461</v>
      </c>
      <c r="C1632" s="495">
        <v>45710</v>
      </c>
      <c r="D1632" s="463"/>
      <c r="E1632" s="463"/>
      <c r="F1632" s="496" t="s">
        <v>12</v>
      </c>
      <c r="G1632" s="463">
        <v>1</v>
      </c>
      <c r="H1632" s="432">
        <v>30</v>
      </c>
      <c r="I1632" s="463">
        <f t="shared" si="196"/>
        <v>30</v>
      </c>
      <c r="J1632" s="497">
        <v>7.8</v>
      </c>
      <c r="K1632" s="497">
        <f t="shared" ref="K1632:K1634" si="198">I1632*J1632</f>
        <v>234</v>
      </c>
      <c r="L1632" s="537"/>
      <c r="M1632" s="537"/>
      <c r="N1632" s="537"/>
      <c r="O1632" s="456"/>
    </row>
    <row r="1633" s="457" customFormat="1" ht="20.25" spans="1:15">
      <c r="A1633" s="494">
        <v>45710</v>
      </c>
      <c r="B1633" s="457" t="s">
        <v>461</v>
      </c>
      <c r="C1633" s="495">
        <v>45710</v>
      </c>
      <c r="D1633" s="463"/>
      <c r="E1633" s="463"/>
      <c r="F1633" s="496" t="s">
        <v>152</v>
      </c>
      <c r="G1633" s="463">
        <v>1</v>
      </c>
      <c r="H1633" s="432">
        <v>30</v>
      </c>
      <c r="I1633" s="463">
        <f t="shared" si="196"/>
        <v>30</v>
      </c>
      <c r="J1633" s="497">
        <v>7.8</v>
      </c>
      <c r="K1633" s="497">
        <f t="shared" si="198"/>
        <v>234</v>
      </c>
      <c r="L1633" s="537"/>
      <c r="M1633" s="537"/>
      <c r="N1633" s="537"/>
      <c r="O1633" s="456"/>
    </row>
    <row r="1634" s="457" customFormat="1" ht="20.25" spans="1:15">
      <c r="A1634" s="494">
        <v>45710</v>
      </c>
      <c r="B1634" s="457" t="s">
        <v>461</v>
      </c>
      <c r="C1634" s="495">
        <v>45710</v>
      </c>
      <c r="D1634" s="463"/>
      <c r="E1634" s="463"/>
      <c r="F1634" s="499" t="s">
        <v>456</v>
      </c>
      <c r="G1634" s="463">
        <v>1</v>
      </c>
      <c r="H1634" s="500">
        <f>SUM(H1629:H1633)</f>
        <v>262.5</v>
      </c>
      <c r="I1634" s="501">
        <f t="shared" si="196"/>
        <v>262.5</v>
      </c>
      <c r="J1634" s="502">
        <v>3</v>
      </c>
      <c r="K1634" s="502">
        <f t="shared" si="198"/>
        <v>787.5</v>
      </c>
      <c r="L1634" s="636">
        <f>SUM(K1629:K1634)</f>
        <v>1255.5</v>
      </c>
      <c r="M1634" s="537"/>
      <c r="N1634" s="537"/>
      <c r="O1634" s="456"/>
    </row>
    <row r="1635" s="456" customFormat="1" ht="20.25" spans="1:15">
      <c r="A1635" s="488">
        <v>45710</v>
      </c>
      <c r="B1635" s="456" t="s">
        <v>427</v>
      </c>
      <c r="C1635" s="490">
        <v>45710</v>
      </c>
      <c r="D1635" s="491"/>
      <c r="E1635" s="491"/>
      <c r="F1635" s="493" t="s">
        <v>16</v>
      </c>
      <c r="G1635" s="491">
        <v>1</v>
      </c>
      <c r="H1635" s="431">
        <v>24</v>
      </c>
      <c r="I1635" s="491">
        <f t="shared" si="196"/>
        <v>24</v>
      </c>
      <c r="J1635" s="492"/>
      <c r="K1635" s="492"/>
    </row>
    <row r="1636" s="456" customFormat="1" ht="20.25" spans="1:15">
      <c r="A1636" s="488">
        <v>45710</v>
      </c>
      <c r="B1636" s="456" t="s">
        <v>427</v>
      </c>
      <c r="C1636" s="490">
        <v>45710</v>
      </c>
      <c r="D1636" s="491"/>
      <c r="E1636" s="491"/>
      <c r="F1636" s="493">
        <v>996</v>
      </c>
      <c r="G1636" s="491">
        <v>1</v>
      </c>
      <c r="H1636" s="431">
        <v>75</v>
      </c>
      <c r="I1636" s="491">
        <f t="shared" si="196"/>
        <v>75</v>
      </c>
      <c r="J1636" s="492"/>
      <c r="K1636" s="492"/>
      <c r="L1636" s="536"/>
      <c r="M1636" s="536"/>
      <c r="N1636" s="536"/>
    </row>
    <row r="1637" s="456" customFormat="1" ht="20.25" spans="1:15">
      <c r="A1637" s="488">
        <v>45710</v>
      </c>
      <c r="B1637" s="456" t="s">
        <v>427</v>
      </c>
      <c r="C1637" s="490">
        <v>45710</v>
      </c>
      <c r="D1637" s="491"/>
      <c r="E1637" s="491"/>
      <c r="F1637" s="493" t="s">
        <v>12</v>
      </c>
      <c r="G1637" s="491">
        <v>1</v>
      </c>
      <c r="H1637" s="431">
        <v>15</v>
      </c>
      <c r="I1637" s="491">
        <f t="shared" si="196"/>
        <v>15</v>
      </c>
      <c r="J1637" s="492">
        <v>7.8</v>
      </c>
      <c r="K1637" s="492">
        <f t="shared" ref="K1637:K1639" si="199">I1637*J1637</f>
        <v>117</v>
      </c>
      <c r="L1637" s="536"/>
      <c r="M1637" s="536"/>
      <c r="N1637" s="536"/>
    </row>
    <row r="1638" s="456" customFormat="1" ht="20.25" spans="1:15">
      <c r="A1638" s="488">
        <v>45710</v>
      </c>
      <c r="B1638" s="456" t="s">
        <v>427</v>
      </c>
      <c r="C1638" s="490">
        <v>45710</v>
      </c>
      <c r="D1638" s="491"/>
      <c r="E1638" s="491"/>
      <c r="F1638" s="493" t="s">
        <v>152</v>
      </c>
      <c r="G1638" s="491">
        <v>1</v>
      </c>
      <c r="H1638" s="431">
        <v>15</v>
      </c>
      <c r="I1638" s="491">
        <f t="shared" si="196"/>
        <v>15</v>
      </c>
      <c r="J1638" s="492">
        <v>7.8</v>
      </c>
      <c r="K1638" s="492">
        <f t="shared" si="199"/>
        <v>117</v>
      </c>
      <c r="L1638" s="536"/>
      <c r="M1638" s="536"/>
      <c r="N1638" s="536"/>
    </row>
    <row r="1639" s="456" customFormat="1" ht="20.25" spans="1:15">
      <c r="A1639" s="488">
        <v>45710</v>
      </c>
      <c r="B1639" s="456" t="s">
        <v>427</v>
      </c>
      <c r="C1639" s="490">
        <v>45710</v>
      </c>
      <c r="D1639" s="491"/>
      <c r="E1639" s="491"/>
      <c r="F1639" s="493" t="s">
        <v>456</v>
      </c>
      <c r="G1639" s="491">
        <v>1</v>
      </c>
      <c r="H1639" s="431">
        <f>SUM(H1635:H1638)</f>
        <v>129</v>
      </c>
      <c r="I1639" s="491">
        <f t="shared" si="196"/>
        <v>129</v>
      </c>
      <c r="J1639" s="492">
        <v>3</v>
      </c>
      <c r="K1639" s="492">
        <f t="shared" si="199"/>
        <v>387</v>
      </c>
      <c r="L1639" s="536">
        <f>SUM(K1635:K1639)</f>
        <v>621</v>
      </c>
      <c r="M1639" s="536"/>
      <c r="N1639" s="536"/>
    </row>
    <row r="1640" s="457" customFormat="1" ht="20.25" spans="1:15">
      <c r="A1640" s="494">
        <v>45712</v>
      </c>
      <c r="B1640" s="457" t="s">
        <v>370</v>
      </c>
      <c r="C1640" s="495" t="s">
        <v>573</v>
      </c>
      <c r="D1640" s="463"/>
      <c r="E1640" s="463"/>
      <c r="F1640" s="496" t="s">
        <v>16</v>
      </c>
      <c r="G1640" s="463">
        <v>1</v>
      </c>
      <c r="H1640" s="432">
        <v>50</v>
      </c>
      <c r="I1640" s="463">
        <f t="shared" si="196"/>
        <v>50</v>
      </c>
      <c r="J1640" s="497">
        <v>13.6</v>
      </c>
      <c r="K1640" s="497"/>
      <c r="O1640" s="456"/>
    </row>
    <row r="1641" s="457" customFormat="1" ht="20.25" spans="1:15">
      <c r="A1641" s="494">
        <v>45712</v>
      </c>
      <c r="B1641" s="457" t="s">
        <v>370</v>
      </c>
      <c r="C1641" s="495" t="s">
        <v>573</v>
      </c>
      <c r="D1641" s="463"/>
      <c r="E1641" s="463"/>
      <c r="F1641" s="496" t="s">
        <v>574</v>
      </c>
      <c r="G1641" s="463">
        <v>1</v>
      </c>
      <c r="H1641" s="432">
        <v>25</v>
      </c>
      <c r="I1641" s="463">
        <f t="shared" si="196"/>
        <v>25</v>
      </c>
      <c r="J1641" s="497">
        <v>49</v>
      </c>
      <c r="K1641" s="497"/>
      <c r="L1641" s="537" t="s">
        <v>575</v>
      </c>
      <c r="M1641" s="537"/>
      <c r="N1641" s="537"/>
      <c r="O1641" s="456"/>
    </row>
    <row r="1642" s="457" customFormat="1" ht="20.25" spans="1:15">
      <c r="A1642" s="494">
        <v>45712</v>
      </c>
      <c r="B1642" s="457" t="s">
        <v>370</v>
      </c>
      <c r="C1642" s="495" t="s">
        <v>573</v>
      </c>
      <c r="D1642" s="463"/>
      <c r="E1642" s="463"/>
      <c r="F1642" s="496" t="s">
        <v>406</v>
      </c>
      <c r="G1642" s="463">
        <v>1</v>
      </c>
      <c r="H1642" s="432">
        <v>45</v>
      </c>
      <c r="I1642" s="463">
        <f t="shared" si="196"/>
        <v>45</v>
      </c>
      <c r="J1642" s="497">
        <v>10</v>
      </c>
      <c r="K1642" s="497">
        <f t="shared" ref="K1642:K1646" si="200">I1642*J1642</f>
        <v>450</v>
      </c>
      <c r="L1642" s="537" t="s">
        <v>576</v>
      </c>
      <c r="M1642" s="537"/>
      <c r="N1642" s="537"/>
      <c r="O1642" s="456"/>
    </row>
    <row r="1643" s="457" customFormat="1" ht="20.25" spans="1:15">
      <c r="A1643" s="494">
        <v>45712</v>
      </c>
      <c r="B1643" s="457" t="s">
        <v>370</v>
      </c>
      <c r="C1643" s="495" t="s">
        <v>573</v>
      </c>
      <c r="D1643" s="463"/>
      <c r="E1643" s="463"/>
      <c r="F1643" s="496" t="s">
        <v>125</v>
      </c>
      <c r="G1643" s="463">
        <v>1</v>
      </c>
      <c r="H1643" s="432">
        <v>50</v>
      </c>
      <c r="I1643" s="463">
        <f t="shared" si="196"/>
        <v>50</v>
      </c>
      <c r="J1643" s="497">
        <v>6.2</v>
      </c>
      <c r="K1643" s="497">
        <f t="shared" si="200"/>
        <v>310</v>
      </c>
      <c r="L1643" s="537"/>
      <c r="M1643" s="537"/>
      <c r="N1643" s="537"/>
      <c r="O1643" s="456"/>
    </row>
    <row r="1644" s="457" customFormat="1" ht="20.25" spans="1:15">
      <c r="A1644" s="494">
        <v>45712</v>
      </c>
      <c r="B1644" s="457" t="s">
        <v>370</v>
      </c>
      <c r="C1644" s="495" t="s">
        <v>573</v>
      </c>
      <c r="D1644" s="463"/>
      <c r="E1644" s="463"/>
      <c r="F1644" s="499" t="s">
        <v>412</v>
      </c>
      <c r="G1644" s="463">
        <v>1</v>
      </c>
      <c r="H1644" s="500">
        <f>SUM(H1640:H1643)</f>
        <v>170</v>
      </c>
      <c r="I1644" s="501">
        <f t="shared" si="196"/>
        <v>170</v>
      </c>
      <c r="J1644" s="502">
        <v>5</v>
      </c>
      <c r="K1644" s="502">
        <f t="shared" si="200"/>
        <v>850</v>
      </c>
      <c r="L1644" s="636">
        <f>SUM(K1640:K1645)</f>
        <v>1624</v>
      </c>
      <c r="M1644" s="537"/>
      <c r="N1644" s="537"/>
      <c r="O1644" s="456"/>
    </row>
    <row r="1645" s="457" customFormat="1" ht="20.25" spans="1:15">
      <c r="A1645" s="494">
        <v>45712</v>
      </c>
      <c r="B1645" s="457" t="s">
        <v>370</v>
      </c>
      <c r="C1645" s="495" t="s">
        <v>573</v>
      </c>
      <c r="D1645" s="463"/>
      <c r="E1645" s="463"/>
      <c r="F1645" s="498" t="s">
        <v>577</v>
      </c>
      <c r="G1645" s="463">
        <v>2</v>
      </c>
      <c r="H1645" s="432">
        <v>1</v>
      </c>
      <c r="I1645" s="463">
        <f t="shared" si="196"/>
        <v>2</v>
      </c>
      <c r="J1645" s="497">
        <v>7</v>
      </c>
      <c r="K1645" s="497">
        <f t="shared" si="200"/>
        <v>14</v>
      </c>
      <c r="L1645" s="537" t="s">
        <v>578</v>
      </c>
      <c r="M1645" s="537"/>
      <c r="N1645" s="537"/>
    </row>
    <row r="1646" s="456" customFormat="1" ht="20.25" spans="1:15">
      <c r="A1646" s="488">
        <v>45714</v>
      </c>
      <c r="B1646" s="456" t="s">
        <v>263</v>
      </c>
      <c r="C1646" s="490">
        <v>45714</v>
      </c>
      <c r="D1646" s="491"/>
      <c r="E1646" s="491"/>
      <c r="F1646" s="493" t="s">
        <v>16</v>
      </c>
      <c r="G1646" s="491">
        <v>1</v>
      </c>
      <c r="H1646" s="431">
        <v>7.65</v>
      </c>
      <c r="I1646" s="491">
        <f t="shared" si="196"/>
        <v>7.65</v>
      </c>
      <c r="J1646" s="492"/>
      <c r="K1646" s="492"/>
    </row>
    <row r="1647" s="456" customFormat="1" ht="20.25" spans="1:15">
      <c r="A1647" s="488">
        <v>45714</v>
      </c>
      <c r="B1647" s="456" t="s">
        <v>263</v>
      </c>
      <c r="C1647" s="490">
        <v>45714</v>
      </c>
      <c r="D1647" s="491"/>
      <c r="E1647" s="491"/>
      <c r="F1647" s="493" t="s">
        <v>345</v>
      </c>
      <c r="G1647" s="491">
        <v>1</v>
      </c>
      <c r="H1647" s="431">
        <v>7.65</v>
      </c>
      <c r="I1647" s="491">
        <f t="shared" si="196"/>
        <v>7.65</v>
      </c>
      <c r="J1647" s="492"/>
      <c r="K1647" s="492"/>
      <c r="L1647" s="536"/>
      <c r="M1647" s="536"/>
      <c r="N1647" s="536"/>
    </row>
    <row r="1648" s="456" customFormat="1" ht="20.25" spans="1:15">
      <c r="A1648" s="488">
        <v>45714</v>
      </c>
      <c r="B1648" s="456" t="s">
        <v>263</v>
      </c>
      <c r="C1648" s="490">
        <v>45714</v>
      </c>
      <c r="D1648" s="491"/>
      <c r="E1648" s="491"/>
      <c r="F1648" s="493" t="s">
        <v>553</v>
      </c>
      <c r="G1648" s="491">
        <v>1</v>
      </c>
      <c r="H1648" s="431">
        <v>10.88</v>
      </c>
      <c r="I1648" s="491">
        <f t="shared" ref="I1648:I1676" si="201">G1648*H1648</f>
        <v>10.88</v>
      </c>
      <c r="J1648" s="492"/>
      <c r="K1648" s="492"/>
      <c r="L1648" s="536"/>
      <c r="M1648" s="536"/>
      <c r="N1648" s="536"/>
    </row>
    <row r="1649" s="456" customFormat="1" ht="20.25" spans="1:14">
      <c r="A1649" s="488">
        <v>45714</v>
      </c>
      <c r="B1649" s="456" t="s">
        <v>263</v>
      </c>
      <c r="C1649" s="490">
        <v>45714</v>
      </c>
      <c r="D1649" s="491"/>
      <c r="E1649" s="491"/>
      <c r="F1649" s="493" t="s">
        <v>240</v>
      </c>
      <c r="G1649" s="491">
        <v>1</v>
      </c>
      <c r="H1649" s="431">
        <v>7.65</v>
      </c>
      <c r="I1649" s="491">
        <f t="shared" si="201"/>
        <v>7.65</v>
      </c>
      <c r="J1649" s="492"/>
      <c r="K1649" s="492"/>
      <c r="L1649" s="536"/>
      <c r="M1649" s="536"/>
      <c r="N1649" s="536"/>
    </row>
    <row r="1650" s="456" customFormat="1" ht="20.25" spans="1:14">
      <c r="A1650" s="488">
        <v>45714</v>
      </c>
      <c r="B1650" s="456" t="s">
        <v>263</v>
      </c>
      <c r="C1650" s="490">
        <v>45714</v>
      </c>
      <c r="D1650" s="491"/>
      <c r="E1650" s="491"/>
      <c r="F1650" s="493" t="s">
        <v>406</v>
      </c>
      <c r="G1650" s="491">
        <v>1</v>
      </c>
      <c r="H1650" s="431">
        <v>5.1</v>
      </c>
      <c r="I1650" s="491">
        <f t="shared" si="201"/>
        <v>5.1</v>
      </c>
      <c r="J1650" s="492">
        <v>10</v>
      </c>
      <c r="K1650" s="492">
        <f t="shared" ref="K1650:K1652" si="202">I1650*J1650</f>
        <v>51</v>
      </c>
      <c r="L1650" s="536" t="s">
        <v>126</v>
      </c>
      <c r="M1650" s="536"/>
      <c r="N1650" s="536"/>
    </row>
    <row r="1651" s="456" customFormat="1" ht="20.25" spans="1:14">
      <c r="A1651" s="488">
        <v>45714</v>
      </c>
      <c r="B1651" s="456" t="s">
        <v>263</v>
      </c>
      <c r="C1651" s="490">
        <v>45714</v>
      </c>
      <c r="D1651" s="491"/>
      <c r="E1651" s="491"/>
      <c r="F1651" s="493" t="s">
        <v>125</v>
      </c>
      <c r="G1651" s="491">
        <v>1</v>
      </c>
      <c r="H1651" s="431">
        <v>12.07</v>
      </c>
      <c r="I1651" s="491">
        <f t="shared" si="201"/>
        <v>12.07</v>
      </c>
      <c r="J1651" s="492">
        <v>6.2</v>
      </c>
      <c r="K1651" s="492">
        <f t="shared" si="202"/>
        <v>74.834</v>
      </c>
      <c r="L1651" s="536"/>
      <c r="M1651" s="536"/>
      <c r="N1651" s="536"/>
    </row>
    <row r="1652" s="456" customFormat="1" ht="20.25" spans="1:14">
      <c r="A1652" s="488">
        <v>45714</v>
      </c>
      <c r="B1652" s="456" t="s">
        <v>263</v>
      </c>
      <c r="C1652" s="490">
        <v>45714</v>
      </c>
      <c r="D1652" s="491"/>
      <c r="E1652" s="491"/>
      <c r="F1652" s="493" t="s">
        <v>579</v>
      </c>
      <c r="G1652" s="491">
        <v>1</v>
      </c>
      <c r="H1652" s="431">
        <f>SUM(H1646:H1651)</f>
        <v>51</v>
      </c>
      <c r="I1652" s="491">
        <f t="shared" si="201"/>
        <v>51</v>
      </c>
      <c r="J1652" s="492">
        <v>1</v>
      </c>
      <c r="K1652" s="492">
        <f t="shared" si="202"/>
        <v>51</v>
      </c>
      <c r="L1652" s="660">
        <f>SUM(K1646:K1652)</f>
        <v>176.834</v>
      </c>
      <c r="M1652" s="536"/>
      <c r="N1652" s="536"/>
    </row>
    <row r="1653" s="457" customFormat="1" ht="20.25" spans="1:14">
      <c r="A1653" s="494">
        <v>45714</v>
      </c>
      <c r="B1653" s="457" t="s">
        <v>269</v>
      </c>
      <c r="C1653" s="504">
        <v>45714</v>
      </c>
      <c r="D1653" s="504"/>
      <c r="E1653" s="505"/>
      <c r="F1653" s="496" t="s">
        <v>251</v>
      </c>
      <c r="G1653" s="463">
        <v>1</v>
      </c>
      <c r="H1653" s="432">
        <v>10.8</v>
      </c>
      <c r="I1653" s="463">
        <f t="shared" si="201"/>
        <v>10.8</v>
      </c>
      <c r="J1653" s="497"/>
      <c r="K1653" s="497"/>
    </row>
    <row r="1654" s="457" customFormat="1" ht="20.25" spans="1:14">
      <c r="A1654" s="494">
        <v>45714</v>
      </c>
      <c r="B1654" s="457" t="s">
        <v>269</v>
      </c>
      <c r="C1654" s="504">
        <v>45714</v>
      </c>
      <c r="D1654" s="504"/>
      <c r="E1654" s="505"/>
      <c r="F1654" s="496" t="s">
        <v>13</v>
      </c>
      <c r="G1654" s="463">
        <v>1</v>
      </c>
      <c r="H1654" s="432">
        <v>10.8</v>
      </c>
      <c r="I1654" s="463">
        <f t="shared" si="201"/>
        <v>10.8</v>
      </c>
      <c r="J1654" s="497"/>
      <c r="K1654" s="497"/>
    </row>
    <row r="1655" s="457" customFormat="1" ht="20.25" spans="1:14">
      <c r="A1655" s="494">
        <v>45714</v>
      </c>
      <c r="B1655" s="457" t="s">
        <v>269</v>
      </c>
      <c r="C1655" s="504">
        <v>45714</v>
      </c>
      <c r="D1655" s="504"/>
      <c r="E1655" s="505"/>
      <c r="F1655" s="496" t="s">
        <v>580</v>
      </c>
      <c r="G1655" s="463">
        <v>1</v>
      </c>
      <c r="H1655" s="432">
        <v>2.75</v>
      </c>
      <c r="I1655" s="463">
        <f t="shared" si="201"/>
        <v>2.75</v>
      </c>
      <c r="J1655" s="497"/>
      <c r="K1655" s="497"/>
    </row>
    <row r="1656" s="457" customFormat="1" ht="20.25" spans="1:14">
      <c r="A1656" s="494">
        <v>45714</v>
      </c>
      <c r="B1656" s="457" t="s">
        <v>269</v>
      </c>
      <c r="C1656" s="504">
        <v>45714</v>
      </c>
      <c r="D1656" s="504"/>
      <c r="E1656" s="505"/>
      <c r="F1656" s="496" t="s">
        <v>547</v>
      </c>
      <c r="G1656" s="463">
        <v>1</v>
      </c>
      <c r="H1656" s="432">
        <v>11.6</v>
      </c>
      <c r="I1656" s="463">
        <f t="shared" si="201"/>
        <v>11.6</v>
      </c>
      <c r="J1656" s="497"/>
      <c r="K1656" s="497"/>
      <c r="L1656" s="537" t="s">
        <v>116</v>
      </c>
      <c r="M1656" s="537" t="s">
        <v>314</v>
      </c>
    </row>
    <row r="1657" s="457" customFormat="1" ht="20.25" spans="1:14">
      <c r="A1657" s="494">
        <v>45714</v>
      </c>
      <c r="B1657" s="457" t="s">
        <v>269</v>
      </c>
      <c r="C1657" s="504">
        <v>45714</v>
      </c>
      <c r="D1657" s="504"/>
      <c r="E1657" s="505"/>
      <c r="F1657" s="496" t="s">
        <v>115</v>
      </c>
      <c r="G1657" s="463">
        <v>1</v>
      </c>
      <c r="H1657" s="432">
        <v>6.75</v>
      </c>
      <c r="I1657" s="463">
        <f t="shared" si="201"/>
        <v>6.75</v>
      </c>
      <c r="J1657" s="497"/>
      <c r="K1657" s="497"/>
    </row>
    <row r="1658" s="457" customFormat="1" ht="20.25" spans="1:14">
      <c r="A1658" s="494">
        <v>45714</v>
      </c>
      <c r="B1658" s="457" t="s">
        <v>269</v>
      </c>
      <c r="C1658" s="504">
        <v>45714</v>
      </c>
      <c r="D1658" s="504"/>
      <c r="E1658" s="505"/>
      <c r="F1658" s="496">
        <v>808</v>
      </c>
      <c r="G1658" s="463">
        <v>1</v>
      </c>
      <c r="H1658" s="432">
        <v>1.35</v>
      </c>
      <c r="I1658" s="463">
        <f t="shared" si="201"/>
        <v>1.35</v>
      </c>
      <c r="J1658" s="497">
        <v>10</v>
      </c>
      <c r="K1658" s="497">
        <f t="shared" ref="K1658:K1661" si="203">I1658*J1658</f>
        <v>13.5</v>
      </c>
    </row>
    <row r="1659" s="457" customFormat="1" ht="20.25" spans="1:14">
      <c r="A1659" s="494">
        <v>45714</v>
      </c>
      <c r="B1659" s="457" t="s">
        <v>269</v>
      </c>
      <c r="C1659" s="504">
        <v>45714</v>
      </c>
      <c r="D1659" s="504"/>
      <c r="E1659" s="505"/>
      <c r="F1659" s="496" t="s">
        <v>152</v>
      </c>
      <c r="G1659" s="463">
        <v>1</v>
      </c>
      <c r="H1659" s="432">
        <v>2.5</v>
      </c>
      <c r="I1659" s="463">
        <f t="shared" si="201"/>
        <v>2.5</v>
      </c>
      <c r="J1659" s="497">
        <v>7.8</v>
      </c>
      <c r="K1659" s="497">
        <f t="shared" si="203"/>
        <v>19.5</v>
      </c>
      <c r="L1659" s="536" t="s">
        <v>116</v>
      </c>
    </row>
    <row r="1660" s="457" customFormat="1" ht="20.25" spans="1:14">
      <c r="A1660" s="494">
        <v>45714</v>
      </c>
      <c r="B1660" s="457" t="s">
        <v>269</v>
      </c>
      <c r="C1660" s="504">
        <v>45714</v>
      </c>
      <c r="D1660" s="504"/>
      <c r="E1660" s="505"/>
      <c r="F1660" s="496" t="s">
        <v>125</v>
      </c>
      <c r="G1660" s="463">
        <v>1</v>
      </c>
      <c r="H1660" s="432">
        <v>7.5</v>
      </c>
      <c r="I1660" s="463">
        <f t="shared" si="201"/>
        <v>7.5</v>
      </c>
      <c r="J1660" s="497">
        <v>6.2</v>
      </c>
      <c r="K1660" s="497">
        <f t="shared" si="203"/>
        <v>46.5</v>
      </c>
    </row>
    <row r="1661" s="457" customFormat="1" ht="20.25" spans="1:14">
      <c r="A1661" s="494">
        <v>45714</v>
      </c>
      <c r="B1661" s="457" t="s">
        <v>269</v>
      </c>
      <c r="C1661" s="504">
        <v>45714</v>
      </c>
      <c r="D1661" s="504"/>
      <c r="E1661" s="505"/>
      <c r="F1661" s="496" t="s">
        <v>17</v>
      </c>
      <c r="G1661" s="463">
        <v>1</v>
      </c>
      <c r="H1661" s="432">
        <f>SUM(H1653:H1660)</f>
        <v>54.05</v>
      </c>
      <c r="I1661" s="463">
        <f t="shared" si="201"/>
        <v>54.05</v>
      </c>
      <c r="J1661" s="497">
        <v>1</v>
      </c>
      <c r="K1661" s="497">
        <f t="shared" si="203"/>
        <v>54.05</v>
      </c>
      <c r="L1661" s="506">
        <f>SUM(K1653:K1661)</f>
        <v>133.55</v>
      </c>
    </row>
    <row r="1662" s="456" customFormat="1" ht="20.25" spans="1:14">
      <c r="A1662" s="488">
        <v>45715</v>
      </c>
      <c r="B1662" s="456" t="s">
        <v>270</v>
      </c>
      <c r="C1662" s="490">
        <v>45715</v>
      </c>
      <c r="D1662" s="491"/>
      <c r="E1662" s="491"/>
      <c r="F1662" s="493" t="s">
        <v>581</v>
      </c>
      <c r="G1662" s="491">
        <v>1</v>
      </c>
      <c r="H1662" s="431">
        <v>120</v>
      </c>
      <c r="I1662" s="491">
        <f t="shared" si="201"/>
        <v>120</v>
      </c>
      <c r="J1662" s="492"/>
      <c r="K1662" s="492"/>
      <c r="L1662" s="536"/>
      <c r="M1662" s="536"/>
      <c r="N1662" s="536"/>
    </row>
    <row r="1663" s="456" customFormat="1" ht="20.25" spans="1:14">
      <c r="A1663" s="488">
        <v>45715</v>
      </c>
      <c r="B1663" s="456" t="s">
        <v>270</v>
      </c>
      <c r="C1663" s="490">
        <v>45715</v>
      </c>
      <c r="D1663" s="491"/>
      <c r="E1663" s="491"/>
      <c r="F1663" s="493" t="s">
        <v>129</v>
      </c>
      <c r="G1663" s="491">
        <v>1</v>
      </c>
      <c r="H1663" s="431">
        <v>6</v>
      </c>
      <c r="I1663" s="491">
        <f t="shared" si="201"/>
        <v>6</v>
      </c>
      <c r="J1663" s="492"/>
      <c r="K1663" s="492"/>
      <c r="L1663" s="536"/>
      <c r="M1663" s="536"/>
      <c r="N1663" s="536"/>
    </row>
    <row r="1664" s="456" customFormat="1" ht="20.25" spans="1:14">
      <c r="A1664" s="488">
        <v>45715</v>
      </c>
      <c r="B1664" s="456" t="s">
        <v>270</v>
      </c>
      <c r="C1664" s="490">
        <v>45715</v>
      </c>
      <c r="D1664" s="491"/>
      <c r="E1664" s="491"/>
      <c r="F1664" s="493" t="s">
        <v>152</v>
      </c>
      <c r="G1664" s="491">
        <v>1</v>
      </c>
      <c r="H1664" s="431">
        <v>30</v>
      </c>
      <c r="I1664" s="491">
        <f t="shared" si="201"/>
        <v>30</v>
      </c>
      <c r="J1664" s="492">
        <v>7.8</v>
      </c>
      <c r="K1664" s="492">
        <f>I1664*J1664</f>
        <v>234</v>
      </c>
      <c r="L1664" s="536"/>
      <c r="M1664" s="536"/>
      <c r="N1664" s="536"/>
    </row>
    <row r="1665" s="456" customFormat="1" ht="20.25" spans="1:15">
      <c r="A1665" s="488">
        <v>45715</v>
      </c>
      <c r="B1665" s="456" t="s">
        <v>270</v>
      </c>
      <c r="C1665" s="490">
        <v>45715</v>
      </c>
      <c r="D1665" s="491"/>
      <c r="E1665" s="491"/>
      <c r="F1665" s="493" t="s">
        <v>132</v>
      </c>
      <c r="G1665" s="491">
        <v>1</v>
      </c>
      <c r="H1665" s="431">
        <v>30</v>
      </c>
      <c r="I1665" s="491">
        <f t="shared" si="201"/>
        <v>30</v>
      </c>
      <c r="J1665" s="492">
        <v>3.7</v>
      </c>
      <c r="K1665" s="492">
        <f>I1665*J1665</f>
        <v>111</v>
      </c>
      <c r="L1665" s="536"/>
      <c r="M1665" s="536"/>
      <c r="N1665" s="536"/>
    </row>
    <row r="1666" s="456" customFormat="1" ht="20.25" spans="1:15">
      <c r="A1666" s="488">
        <v>45715</v>
      </c>
      <c r="B1666" s="456" t="s">
        <v>270</v>
      </c>
      <c r="C1666" s="490">
        <v>45715</v>
      </c>
      <c r="D1666" s="491"/>
      <c r="E1666" s="491"/>
      <c r="F1666" s="493" t="s">
        <v>257</v>
      </c>
      <c r="G1666" s="491">
        <v>1</v>
      </c>
      <c r="H1666" s="431">
        <f>SUM(H1662:H1665)</f>
        <v>186</v>
      </c>
      <c r="I1666" s="491">
        <f t="shared" si="201"/>
        <v>186</v>
      </c>
      <c r="J1666" s="492">
        <v>1</v>
      </c>
      <c r="K1666" s="492">
        <f>I1666*J1666</f>
        <v>186</v>
      </c>
      <c r="L1666" s="536">
        <f>SUM(K1663:K1666)</f>
        <v>531</v>
      </c>
      <c r="M1666" s="536"/>
      <c r="N1666" s="536"/>
    </row>
    <row r="1667" s="457" customFormat="1" ht="20.25" spans="1:15">
      <c r="A1667" s="488"/>
      <c r="C1667" s="504"/>
      <c r="D1667" s="504"/>
      <c r="E1667" s="505"/>
      <c r="F1667" s="661" t="s">
        <v>582</v>
      </c>
      <c r="G1667" s="662"/>
      <c r="H1667" s="508"/>
      <c r="I1667" s="463"/>
      <c r="J1667" s="497"/>
      <c r="K1667" s="497"/>
      <c r="L1667" s="537"/>
      <c r="M1667" s="537"/>
      <c r="N1667" s="537"/>
      <c r="O1667" s="456"/>
    </row>
    <row r="1668" s="459" customFormat="1" ht="20.25" spans="1:15">
      <c r="A1668" s="517"/>
      <c r="C1668" s="519"/>
      <c r="D1668" s="520"/>
      <c r="E1668" s="520"/>
      <c r="F1668" s="498"/>
      <c r="G1668" s="520"/>
      <c r="H1668" s="521"/>
      <c r="I1668" s="520"/>
      <c r="J1668" s="515"/>
      <c r="K1668" s="515"/>
      <c r="L1668" s="606"/>
      <c r="M1668" s="606"/>
      <c r="N1668" s="606"/>
    </row>
    <row r="1669" s="459" customFormat="1" ht="20.25" spans="1:15">
      <c r="A1669" s="517"/>
      <c r="C1669" s="519"/>
      <c r="D1669" s="520"/>
      <c r="E1669" s="520"/>
      <c r="F1669" s="498"/>
      <c r="G1669" s="520"/>
      <c r="H1669" s="521"/>
      <c r="I1669" s="520"/>
      <c r="J1669" s="515"/>
      <c r="K1669" s="515"/>
      <c r="L1669" s="606"/>
      <c r="M1669" s="606"/>
      <c r="N1669" s="606"/>
    </row>
    <row r="1670" s="459" customFormat="1" ht="20.25" spans="1:15">
      <c r="A1670" s="517"/>
      <c r="C1670" s="519"/>
      <c r="D1670" s="520"/>
      <c r="E1670" s="520"/>
      <c r="F1670" s="498"/>
      <c r="G1670" s="520"/>
      <c r="H1670" s="521"/>
      <c r="I1670" s="520"/>
      <c r="J1670" s="515"/>
      <c r="K1670" s="515"/>
      <c r="L1670" s="606"/>
      <c r="M1670" s="606"/>
      <c r="N1670" s="606"/>
    </row>
    <row r="1671" s="459" customFormat="1" ht="20.25" spans="1:15">
      <c r="A1671" s="517"/>
      <c r="C1671" s="519"/>
      <c r="D1671" s="520"/>
      <c r="E1671" s="520"/>
      <c r="F1671" s="498"/>
      <c r="G1671" s="520"/>
      <c r="H1671" s="521"/>
      <c r="I1671" s="520"/>
      <c r="J1671" s="515"/>
      <c r="K1671" s="515"/>
      <c r="L1671" s="606"/>
      <c r="M1671" s="606"/>
      <c r="N1671" s="606"/>
    </row>
    <row r="1672" s="459" customFormat="1" ht="20.25" spans="1:15">
      <c r="A1672" s="517"/>
      <c r="C1672" s="519"/>
      <c r="D1672" s="520"/>
      <c r="E1672" s="520"/>
      <c r="F1672" s="498"/>
      <c r="G1672" s="520"/>
      <c r="H1672" s="521"/>
      <c r="I1672" s="520"/>
      <c r="J1672" s="515"/>
      <c r="K1672" s="515"/>
      <c r="L1672" s="606"/>
      <c r="M1672" s="606"/>
      <c r="N1672" s="606"/>
    </row>
    <row r="1673" s="459" customFormat="1" ht="20.25" spans="1:15">
      <c r="A1673" s="517"/>
      <c r="C1673" s="519"/>
      <c r="D1673" s="520"/>
      <c r="E1673" s="520"/>
      <c r="F1673" s="498"/>
      <c r="G1673" s="520"/>
      <c r="H1673" s="521"/>
      <c r="I1673" s="520"/>
      <c r="J1673" s="515"/>
      <c r="K1673" s="515"/>
      <c r="L1673" s="606"/>
      <c r="M1673" s="606"/>
      <c r="N1673" s="606"/>
    </row>
    <row r="1674" s="456" customFormat="1" ht="20.25" spans="1:15">
      <c r="A1674" s="488"/>
      <c r="C1674" s="490"/>
      <c r="D1674" s="491"/>
      <c r="E1674" s="491"/>
      <c r="F1674" s="493"/>
      <c r="G1674" s="491"/>
      <c r="H1674" s="431"/>
      <c r="I1674" s="491"/>
      <c r="J1674" s="492"/>
      <c r="K1674" s="492"/>
      <c r="L1674" s="536"/>
      <c r="M1674" s="536"/>
      <c r="N1674" s="536"/>
    </row>
    <row r="1675" s="456" customFormat="1" ht="20.25" spans="1:15">
      <c r="A1675" s="488"/>
      <c r="C1675" s="490"/>
      <c r="D1675" s="491"/>
      <c r="E1675" s="491"/>
      <c r="F1675" s="493"/>
      <c r="G1675" s="491"/>
      <c r="H1675" s="431"/>
      <c r="I1675" s="491"/>
      <c r="J1675" s="492"/>
      <c r="K1675" s="492"/>
      <c r="L1675" s="536"/>
      <c r="M1675" s="536"/>
      <c r="N1675" s="536"/>
    </row>
    <row r="1676" s="456" customFormat="1" ht="20.25" spans="1:15">
      <c r="A1676" s="488"/>
      <c r="C1676" s="490"/>
      <c r="D1676" s="491"/>
      <c r="E1676" s="491"/>
      <c r="F1676" s="493"/>
      <c r="G1676" s="491"/>
      <c r="H1676" s="431"/>
      <c r="I1676" s="491"/>
      <c r="J1676" s="492"/>
      <c r="K1676" s="492"/>
      <c r="L1676" s="536"/>
      <c r="M1676" s="536"/>
      <c r="N1676" s="536"/>
    </row>
    <row r="1677" s="456" customFormat="1" ht="20.25" spans="1:15">
      <c r="A1677" s="488"/>
      <c r="C1677" s="490"/>
      <c r="D1677" s="491"/>
      <c r="E1677" s="491"/>
      <c r="F1677" s="493"/>
      <c r="G1677" s="491"/>
      <c r="H1677" s="431"/>
      <c r="I1677" s="491"/>
      <c r="J1677" s="492"/>
      <c r="K1677" s="492"/>
      <c r="L1677" s="536"/>
      <c r="M1677" s="536"/>
      <c r="N1677" s="536"/>
    </row>
    <row r="1678" s="456" customFormat="1" ht="20.25" spans="1:15">
      <c r="A1678" s="488"/>
      <c r="C1678" s="490"/>
      <c r="D1678" s="491"/>
      <c r="E1678" s="491"/>
      <c r="F1678" s="493"/>
      <c r="G1678" s="491"/>
      <c r="H1678" s="431"/>
      <c r="I1678" s="491"/>
      <c r="J1678" s="492"/>
      <c r="K1678" s="492"/>
      <c r="L1678" s="536"/>
      <c r="M1678" s="536"/>
      <c r="N1678" s="536"/>
    </row>
    <row r="1679" s="456" customFormat="1" ht="20.25" spans="1:15">
      <c r="A1679" s="488"/>
      <c r="C1679" s="490"/>
      <c r="D1679" s="491"/>
      <c r="E1679" s="491"/>
      <c r="F1679" s="493"/>
      <c r="G1679" s="491"/>
      <c r="H1679" s="431"/>
      <c r="I1679" s="491"/>
      <c r="J1679" s="492"/>
      <c r="K1679" s="492"/>
      <c r="L1679" s="536"/>
      <c r="M1679" s="536"/>
      <c r="N1679" s="536"/>
    </row>
    <row r="1680" s="456" customFormat="1" ht="20.25" spans="1:15">
      <c r="A1680" s="488"/>
      <c r="C1680" s="490"/>
      <c r="D1680" s="491"/>
      <c r="E1680" s="491"/>
      <c r="F1680" s="493"/>
      <c r="G1680" s="491"/>
      <c r="H1680" s="431"/>
      <c r="I1680" s="491"/>
      <c r="J1680" s="492"/>
      <c r="K1680" s="492"/>
      <c r="L1680" s="536"/>
      <c r="M1680" s="536"/>
      <c r="N1680" s="536"/>
    </row>
    <row r="1681" s="457" customFormat="1" ht="20.25" spans="1:15">
      <c r="A1681" s="488"/>
      <c r="C1681" s="504"/>
      <c r="D1681" s="504"/>
      <c r="E1681" s="505"/>
      <c r="F1681" s="650"/>
      <c r="G1681" s="650"/>
      <c r="H1681" s="432"/>
      <c r="I1681" s="463"/>
      <c r="J1681" s="497"/>
      <c r="K1681" s="497"/>
      <c r="L1681" s="537"/>
      <c r="M1681" s="537"/>
      <c r="N1681" s="537"/>
      <c r="O1681" s="456"/>
    </row>
    <row r="1682" s="457" customFormat="1" ht="20.25" spans="1:15">
      <c r="A1682" s="494"/>
      <c r="C1682" s="495"/>
      <c r="D1682" s="463"/>
      <c r="E1682" s="463"/>
      <c r="F1682" s="496"/>
      <c r="G1682" s="463"/>
      <c r="H1682" s="432"/>
      <c r="I1682" s="463"/>
      <c r="J1682" s="497"/>
      <c r="K1682" s="497"/>
      <c r="L1682" s="537"/>
      <c r="M1682" s="537"/>
      <c r="N1682" s="537"/>
      <c r="O1682" s="456"/>
    </row>
    <row r="1683" s="457" customFormat="1" ht="20.25" spans="1:15">
      <c r="A1683" s="494"/>
      <c r="C1683" s="495"/>
      <c r="D1683" s="463"/>
      <c r="E1683" s="463"/>
      <c r="F1683" s="496"/>
      <c r="G1683" s="463"/>
      <c r="H1683" s="432"/>
      <c r="I1683" s="463"/>
      <c r="J1683" s="497"/>
      <c r="K1683" s="497"/>
      <c r="L1683" s="537"/>
      <c r="M1683" s="537"/>
      <c r="N1683" s="537"/>
      <c r="O1683" s="456"/>
    </row>
    <row r="1684" s="457" customFormat="1" ht="20.25" spans="1:15">
      <c r="A1684" s="494"/>
      <c r="C1684" s="495"/>
      <c r="D1684" s="463"/>
      <c r="E1684" s="463"/>
      <c r="F1684" s="496"/>
      <c r="G1684" s="463"/>
      <c r="H1684" s="432"/>
      <c r="I1684" s="463"/>
      <c r="J1684" s="497"/>
      <c r="K1684" s="497"/>
      <c r="L1684" s="537"/>
      <c r="M1684" s="537"/>
      <c r="N1684" s="537"/>
      <c r="O1684" s="456"/>
    </row>
    <row r="1685" s="457" customFormat="1" ht="20.25" spans="1:15">
      <c r="A1685" s="494"/>
      <c r="C1685" s="495"/>
      <c r="D1685" s="463"/>
      <c r="E1685" s="463"/>
      <c r="F1685" s="496"/>
      <c r="G1685" s="463"/>
      <c r="H1685" s="432"/>
      <c r="I1685" s="463"/>
      <c r="J1685" s="497"/>
      <c r="K1685" s="497"/>
      <c r="L1685" s="537"/>
      <c r="M1685" s="537"/>
      <c r="N1685" s="537"/>
      <c r="O1685" s="456"/>
    </row>
    <row r="1686" s="457" customFormat="1" ht="20.25" spans="1:15">
      <c r="A1686" s="494"/>
      <c r="C1686" s="495"/>
      <c r="D1686" s="463"/>
      <c r="E1686" s="463"/>
      <c r="F1686" s="496"/>
      <c r="G1686" s="463"/>
      <c r="H1686" s="432"/>
      <c r="I1686" s="463"/>
      <c r="J1686" s="497"/>
      <c r="K1686" s="497"/>
      <c r="L1686" s="537"/>
      <c r="M1686" s="537"/>
      <c r="N1686" s="537"/>
      <c r="O1686" s="456"/>
    </row>
    <row r="1687" s="457" customFormat="1" ht="20.25" spans="1:15">
      <c r="A1687" s="494"/>
      <c r="C1687" s="495"/>
      <c r="D1687" s="463"/>
      <c r="E1687" s="463"/>
      <c r="F1687" s="496"/>
      <c r="G1687" s="463"/>
      <c r="H1687" s="432"/>
      <c r="I1687" s="463"/>
      <c r="J1687" s="497"/>
      <c r="K1687" s="497"/>
      <c r="L1687" s="537"/>
      <c r="M1687" s="537"/>
      <c r="N1687" s="537"/>
      <c r="O1687" s="456"/>
    </row>
    <row r="1688" s="457" customFormat="1" ht="20.25" spans="1:15">
      <c r="A1688" s="494"/>
      <c r="C1688" s="495"/>
      <c r="D1688" s="463"/>
      <c r="E1688" s="463"/>
      <c r="F1688" s="496"/>
      <c r="G1688" s="463"/>
      <c r="H1688" s="432"/>
      <c r="I1688" s="463"/>
      <c r="J1688" s="497"/>
      <c r="K1688" s="497"/>
      <c r="L1688" s="537"/>
      <c r="M1688" s="537"/>
      <c r="N1688" s="537"/>
      <c r="O1688" s="456"/>
    </row>
    <row r="1689" s="457" customFormat="1" ht="20.25" spans="1:15">
      <c r="A1689" s="494"/>
      <c r="C1689" s="495"/>
      <c r="D1689" s="463"/>
      <c r="E1689" s="463"/>
      <c r="F1689" s="496"/>
      <c r="G1689" s="463"/>
      <c r="H1689" s="432"/>
      <c r="I1689" s="463"/>
      <c r="J1689" s="497"/>
      <c r="K1689" s="497"/>
      <c r="L1689" s="537"/>
      <c r="M1689" s="537"/>
      <c r="N1689" s="537"/>
      <c r="O1689" s="456"/>
    </row>
    <row r="1690" s="457" customFormat="1" ht="20.25" spans="1:15">
      <c r="A1690" s="494"/>
      <c r="C1690" s="495"/>
      <c r="D1690" s="463"/>
      <c r="E1690" s="463"/>
      <c r="F1690" s="496"/>
      <c r="G1690" s="463"/>
      <c r="H1690" s="432"/>
      <c r="I1690" s="463"/>
      <c r="J1690" s="497"/>
      <c r="K1690" s="497"/>
      <c r="L1690" s="537"/>
      <c r="M1690" s="537"/>
      <c r="N1690" s="537"/>
      <c r="O1690" s="456"/>
    </row>
    <row r="1691" s="457" customFormat="1" ht="20.25" spans="1:15">
      <c r="A1691" s="494"/>
      <c r="C1691" s="495"/>
      <c r="D1691" s="463"/>
      <c r="E1691" s="463"/>
      <c r="F1691" s="496"/>
      <c r="G1691" s="463"/>
      <c r="H1691" s="432"/>
      <c r="I1691" s="463"/>
      <c r="J1691" s="497"/>
      <c r="K1691" s="497"/>
      <c r="L1691" s="537"/>
      <c r="M1691" s="537"/>
      <c r="N1691" s="537"/>
      <c r="O1691" s="456"/>
    </row>
    <row r="1692" s="457" customFormat="1" ht="20.25" spans="1:15">
      <c r="A1692" s="494"/>
      <c r="C1692" s="495"/>
      <c r="D1692" s="463"/>
      <c r="E1692" s="463"/>
      <c r="F1692" s="496"/>
      <c r="G1692" s="463"/>
      <c r="H1692" s="432"/>
      <c r="I1692" s="463"/>
      <c r="J1692" s="497"/>
      <c r="K1692" s="497"/>
      <c r="L1692" s="537"/>
      <c r="M1692" s="537"/>
      <c r="N1692" s="537"/>
      <c r="O1692" s="456"/>
    </row>
    <row r="1693" s="457" customFormat="1" ht="20.25" spans="1:15">
      <c r="A1693" s="494"/>
      <c r="C1693" s="495"/>
      <c r="D1693" s="463"/>
      <c r="E1693" s="463"/>
      <c r="F1693" s="496"/>
      <c r="G1693" s="463"/>
      <c r="H1693" s="432"/>
      <c r="I1693" s="463"/>
      <c r="J1693" s="497"/>
      <c r="K1693" s="497"/>
      <c r="L1693" s="537"/>
      <c r="M1693" s="537"/>
      <c r="N1693" s="537"/>
      <c r="O1693" s="456"/>
    </row>
    <row r="1694" s="457" customFormat="1" ht="20.25" spans="1:15">
      <c r="A1694" s="494"/>
      <c r="C1694" s="495"/>
      <c r="D1694" s="463"/>
      <c r="E1694" s="463"/>
      <c r="F1694" s="496"/>
      <c r="G1694" s="463"/>
      <c r="H1694" s="432"/>
      <c r="I1694" s="463"/>
      <c r="J1694" s="497"/>
      <c r="K1694" s="497"/>
      <c r="L1694" s="537"/>
      <c r="M1694" s="537"/>
      <c r="N1694" s="537"/>
      <c r="O1694" s="456"/>
    </row>
    <row r="1695" s="457" customFormat="1" ht="20.25" spans="1:15">
      <c r="A1695" s="494"/>
      <c r="C1695" s="495"/>
      <c r="D1695" s="463"/>
      <c r="E1695" s="463"/>
      <c r="F1695" s="496"/>
      <c r="G1695" s="463"/>
      <c r="H1695" s="432"/>
      <c r="I1695" s="463"/>
      <c r="J1695" s="497"/>
      <c r="K1695" s="497"/>
      <c r="L1695" s="537"/>
      <c r="M1695" s="537"/>
      <c r="N1695" s="537"/>
      <c r="O1695" s="456"/>
    </row>
    <row r="1696" s="457" customFormat="1" ht="20.25" spans="1:15">
      <c r="A1696" s="494"/>
      <c r="C1696" s="495"/>
      <c r="D1696" s="463"/>
      <c r="E1696" s="463"/>
      <c r="F1696" s="496"/>
      <c r="G1696" s="463"/>
      <c r="H1696" s="432"/>
      <c r="I1696" s="463"/>
      <c r="J1696" s="497"/>
      <c r="K1696" s="497"/>
      <c r="L1696" s="537"/>
      <c r="M1696" s="537"/>
      <c r="N1696" s="537"/>
      <c r="O1696" s="456"/>
    </row>
    <row r="1697" s="457" customFormat="1" ht="20.25" spans="1:18">
      <c r="A1697" s="494"/>
      <c r="C1697" s="495"/>
      <c r="D1697" s="463"/>
      <c r="E1697" s="463"/>
      <c r="F1697" s="496"/>
      <c r="G1697" s="463"/>
      <c r="H1697" s="432"/>
      <c r="I1697" s="463"/>
      <c r="J1697" s="497"/>
      <c r="K1697" s="497"/>
      <c r="L1697" s="537"/>
      <c r="M1697" s="537"/>
      <c r="N1697" s="537"/>
      <c r="O1697" s="456"/>
    </row>
    <row r="1698" s="457" customFormat="1" ht="20.25" spans="1:18">
      <c r="A1698" s="494"/>
      <c r="C1698" s="495"/>
      <c r="D1698" s="463"/>
      <c r="E1698" s="463"/>
      <c r="F1698" s="496"/>
      <c r="G1698" s="463"/>
      <c r="H1698" s="432"/>
      <c r="I1698" s="463"/>
      <c r="J1698" s="497"/>
      <c r="K1698" s="497"/>
      <c r="L1698" s="537"/>
      <c r="M1698" s="537"/>
      <c r="N1698" s="537"/>
      <c r="O1698" s="456"/>
    </row>
    <row r="1699" s="457" customFormat="1" ht="20.25" spans="1:18">
      <c r="A1699" s="494"/>
      <c r="C1699" s="495"/>
      <c r="D1699" s="463"/>
      <c r="E1699" s="463"/>
      <c r="F1699" s="496"/>
      <c r="G1699" s="463"/>
      <c r="H1699" s="432"/>
      <c r="I1699" s="463"/>
      <c r="J1699" s="497"/>
      <c r="K1699" s="497"/>
      <c r="L1699" s="537"/>
      <c r="M1699" s="537"/>
      <c r="N1699" s="537"/>
      <c r="O1699" s="456"/>
    </row>
    <row r="1700" s="457" customFormat="1" ht="20.25" spans="1:18">
      <c r="A1700" s="494"/>
      <c r="C1700" s="495"/>
      <c r="D1700" s="463"/>
      <c r="E1700" s="463"/>
      <c r="F1700" s="496"/>
      <c r="G1700" s="463"/>
      <c r="H1700" s="432"/>
      <c r="I1700" s="463"/>
      <c r="J1700" s="497"/>
      <c r="K1700" s="497"/>
      <c r="L1700" s="537"/>
      <c r="M1700" s="537"/>
      <c r="N1700" s="537"/>
      <c r="O1700" s="456"/>
    </row>
    <row r="1701" s="457" customFormat="1" ht="20.25" spans="1:18">
      <c r="A1701" s="494"/>
      <c r="C1701" s="495"/>
      <c r="D1701" s="463"/>
      <c r="E1701" s="463"/>
      <c r="F1701" s="496"/>
      <c r="G1701" s="463"/>
      <c r="H1701" s="432"/>
      <c r="I1701" s="463"/>
      <c r="J1701" s="497"/>
      <c r="K1701" s="497"/>
      <c r="L1701" s="537"/>
      <c r="M1701" s="537"/>
      <c r="N1701" s="537"/>
      <c r="O1701" s="456"/>
    </row>
    <row r="1702" s="457" customFormat="1" ht="20.25" spans="1:18">
      <c r="A1702" s="494"/>
      <c r="C1702" s="495"/>
      <c r="D1702" s="463"/>
      <c r="E1702" s="463"/>
      <c r="F1702" s="496"/>
      <c r="G1702" s="463"/>
      <c r="H1702" s="432"/>
      <c r="I1702" s="463"/>
      <c r="J1702" s="497"/>
      <c r="K1702" s="497"/>
      <c r="L1702" s="537"/>
      <c r="M1702" s="537"/>
      <c r="N1702" s="537"/>
      <c r="O1702" s="456"/>
    </row>
    <row r="1703" s="457" customFormat="1" ht="20.25" spans="1:18">
      <c r="A1703" s="494"/>
      <c r="C1703" s="495"/>
      <c r="D1703" s="463"/>
      <c r="E1703" s="463"/>
      <c r="F1703" s="496"/>
      <c r="G1703" s="463"/>
      <c r="H1703" s="432"/>
      <c r="I1703" s="463"/>
      <c r="J1703" s="497"/>
      <c r="K1703" s="497"/>
      <c r="L1703" s="537"/>
      <c r="M1703" s="537"/>
      <c r="N1703" s="537"/>
      <c r="O1703" s="456"/>
    </row>
    <row r="1704" s="457" customFormat="1" ht="20.25" spans="1:18">
      <c r="A1704" s="494"/>
      <c r="C1704" s="495"/>
      <c r="D1704" s="463"/>
      <c r="E1704" s="463"/>
      <c r="F1704" s="496"/>
      <c r="G1704" s="463"/>
      <c r="H1704" s="432"/>
      <c r="I1704" s="463"/>
      <c r="J1704" s="497"/>
      <c r="K1704" s="497"/>
      <c r="L1704" s="537"/>
      <c r="M1704" s="537"/>
      <c r="N1704" s="537"/>
      <c r="O1704" s="456"/>
    </row>
    <row r="1705" s="455" customFormat="1" ht="15" customHeight="1" spans="1:18">
      <c r="A1705" s="494"/>
      <c r="B1705" s="457"/>
      <c r="C1705" s="495"/>
      <c r="D1705" s="463"/>
      <c r="E1705" s="463"/>
      <c r="F1705" s="496"/>
      <c r="G1705" s="463"/>
      <c r="H1705" s="432"/>
      <c r="I1705" s="463"/>
      <c r="J1705" s="497"/>
      <c r="K1705" s="497"/>
      <c r="L1705" s="537"/>
      <c r="M1705" s="537"/>
      <c r="N1705" s="537"/>
      <c r="O1705" s="456"/>
      <c r="P1705" s="457"/>
      <c r="Q1705" s="457"/>
      <c r="R1705" s="457"/>
    </row>
    <row r="1706" s="461" customFormat="1" ht="20.25" spans="1:18">
      <c r="A1706" s="494"/>
      <c r="B1706" s="457"/>
      <c r="C1706" s="495"/>
      <c r="D1706" s="463"/>
      <c r="E1706" s="463"/>
      <c r="F1706" s="496"/>
      <c r="G1706" s="463"/>
      <c r="H1706" s="432"/>
      <c r="I1706" s="463"/>
      <c r="J1706" s="497"/>
      <c r="K1706" s="497"/>
      <c r="L1706" s="537"/>
      <c r="M1706" s="537"/>
      <c r="N1706" s="537"/>
      <c r="O1706" s="456"/>
      <c r="P1706" s="457"/>
      <c r="Q1706" s="457"/>
      <c r="R1706" s="457"/>
    </row>
    <row r="1707" s="461" customFormat="1" ht="20.25" spans="1:18">
      <c r="A1707" s="494"/>
      <c r="B1707" s="457"/>
      <c r="C1707" s="495"/>
      <c r="D1707" s="463"/>
      <c r="E1707" s="463"/>
      <c r="F1707" s="496"/>
      <c r="G1707" s="463"/>
      <c r="H1707" s="432"/>
      <c r="I1707" s="463"/>
      <c r="J1707" s="497"/>
      <c r="K1707" s="497"/>
      <c r="L1707" s="537"/>
      <c r="M1707" s="537"/>
      <c r="N1707" s="537"/>
      <c r="O1707" s="456"/>
      <c r="P1707" s="457"/>
      <c r="Q1707" s="457"/>
      <c r="R1707" s="457"/>
    </row>
    <row r="1708" s="461" customFormat="1" ht="20.25" spans="1:18">
      <c r="A1708" s="494"/>
      <c r="B1708" s="457"/>
      <c r="C1708" s="495"/>
      <c r="D1708" s="463"/>
      <c r="E1708" s="463"/>
      <c r="F1708" s="496"/>
      <c r="G1708" s="463"/>
      <c r="H1708" s="432"/>
      <c r="I1708" s="463"/>
      <c r="J1708" s="497"/>
      <c r="K1708" s="497"/>
      <c r="L1708" s="537"/>
      <c r="M1708" s="537"/>
      <c r="N1708" s="537"/>
      <c r="O1708" s="456"/>
      <c r="P1708" s="457"/>
      <c r="Q1708" s="457"/>
      <c r="R1708" s="457"/>
    </row>
    <row r="1709" s="461" customFormat="1" ht="20.25" spans="1:18">
      <c r="A1709" s="494"/>
      <c r="B1709" s="457"/>
      <c r="C1709" s="495"/>
      <c r="D1709" s="463"/>
      <c r="E1709" s="463"/>
      <c r="F1709" s="496"/>
      <c r="G1709" s="463"/>
      <c r="H1709" s="432"/>
      <c r="I1709" s="463"/>
      <c r="J1709" s="497"/>
      <c r="K1709" s="497"/>
      <c r="L1709" s="537"/>
      <c r="M1709" s="537"/>
      <c r="N1709" s="537"/>
      <c r="O1709" s="456"/>
      <c r="P1709" s="457"/>
      <c r="Q1709" s="457"/>
      <c r="R1709" s="457"/>
    </row>
    <row r="1710" s="461" customFormat="1" ht="20.25" spans="1:18">
      <c r="A1710" s="494"/>
      <c r="B1710" s="457"/>
      <c r="C1710" s="495"/>
      <c r="D1710" s="463"/>
      <c r="E1710" s="463"/>
      <c r="F1710" s="496"/>
      <c r="G1710" s="463"/>
      <c r="H1710" s="432"/>
      <c r="I1710" s="463"/>
      <c r="J1710" s="497"/>
      <c r="K1710" s="497"/>
      <c r="L1710" s="537"/>
      <c r="M1710" s="537"/>
      <c r="N1710" s="537"/>
      <c r="O1710" s="456"/>
      <c r="P1710" s="457"/>
      <c r="Q1710" s="457"/>
      <c r="R1710" s="457"/>
    </row>
    <row r="1711" s="461" customFormat="1" ht="20.25" spans="1:18">
      <c r="A1711" s="494"/>
      <c r="B1711" s="457"/>
      <c r="C1711" s="495"/>
      <c r="D1711" s="463"/>
      <c r="E1711" s="463"/>
      <c r="F1711" s="496"/>
      <c r="G1711" s="463"/>
      <c r="H1711" s="432"/>
      <c r="I1711" s="463"/>
      <c r="J1711" s="497"/>
      <c r="K1711" s="497"/>
      <c r="L1711" s="537"/>
      <c r="M1711" s="537"/>
      <c r="N1711" s="537"/>
      <c r="O1711" s="456"/>
      <c r="P1711" s="457"/>
      <c r="Q1711" s="457"/>
      <c r="R1711" s="457"/>
    </row>
    <row r="1712" s="461" customFormat="1" ht="20.25" spans="1:18">
      <c r="A1712" s="494"/>
      <c r="B1712" s="457"/>
      <c r="C1712" s="495"/>
      <c r="D1712" s="463"/>
      <c r="E1712" s="463"/>
      <c r="F1712" s="496"/>
      <c r="G1712" s="463"/>
      <c r="H1712" s="432"/>
      <c r="I1712" s="463"/>
      <c r="J1712" s="497"/>
      <c r="K1712" s="497"/>
      <c r="L1712" s="537"/>
      <c r="M1712" s="537"/>
      <c r="N1712" s="537"/>
      <c r="O1712" s="456"/>
      <c r="P1712" s="457"/>
      <c r="Q1712" s="457"/>
      <c r="R1712" s="457"/>
    </row>
    <row r="1713" s="461" customFormat="1" ht="20.25" spans="1:18">
      <c r="A1713" s="494"/>
      <c r="B1713" s="457"/>
      <c r="C1713" s="495"/>
      <c r="D1713" s="463"/>
      <c r="E1713" s="463"/>
      <c r="F1713" s="496"/>
      <c r="G1713" s="463"/>
      <c r="H1713" s="432"/>
      <c r="I1713" s="463"/>
      <c r="J1713" s="497"/>
      <c r="K1713" s="497"/>
      <c r="L1713" s="537"/>
      <c r="M1713" s="537"/>
      <c r="N1713" s="537"/>
      <c r="O1713" s="456"/>
      <c r="P1713" s="457"/>
      <c r="Q1713" s="457"/>
      <c r="R1713" s="457"/>
    </row>
    <row r="1714" s="461" customFormat="1" ht="20.25" spans="1:18">
      <c r="A1714" s="494"/>
      <c r="B1714" s="457"/>
      <c r="C1714" s="495"/>
      <c r="D1714" s="463"/>
      <c r="E1714" s="463"/>
      <c r="F1714" s="496"/>
      <c r="G1714" s="463"/>
      <c r="H1714" s="432"/>
      <c r="I1714" s="463"/>
      <c r="J1714" s="497"/>
      <c r="K1714" s="497"/>
      <c r="L1714" s="537"/>
      <c r="M1714" s="537"/>
      <c r="N1714" s="537"/>
      <c r="O1714" s="456"/>
      <c r="P1714" s="457"/>
      <c r="Q1714" s="457"/>
      <c r="R1714" s="457"/>
    </row>
    <row r="1715" ht="20.25" spans="1:18">
      <c r="A1715" s="494"/>
      <c r="B1715" s="457"/>
      <c r="C1715" s="495"/>
      <c r="D1715" s="463"/>
      <c r="E1715" s="463"/>
      <c r="F1715" s="496"/>
      <c r="G1715" s="463"/>
      <c r="H1715" s="432"/>
      <c r="I1715" s="463"/>
      <c r="J1715" s="497"/>
      <c r="K1715" s="497"/>
      <c r="L1715" s="537"/>
      <c r="M1715" s="537"/>
      <c r="N1715" s="537"/>
      <c r="O1715" s="456"/>
      <c r="P1715" s="457"/>
      <c r="Q1715" s="457"/>
      <c r="R1715" s="457"/>
    </row>
    <row r="1716" ht="20.25" spans="1:18">
      <c r="B1716" s="457"/>
      <c r="C1716" s="495"/>
      <c r="D1716" s="463"/>
      <c r="E1716" s="463"/>
      <c r="F1716" s="496"/>
      <c r="G1716" s="463"/>
      <c r="H1716" s="432"/>
      <c r="I1716" s="463"/>
      <c r="J1716" s="497"/>
      <c r="K1716" s="497"/>
      <c r="L1716" s="537"/>
      <c r="M1716" s="537"/>
      <c r="N1716" s="537"/>
      <c r="O1716" s="456"/>
      <c r="P1716" s="457"/>
      <c r="Q1716" s="457"/>
      <c r="R1716" s="457"/>
    </row>
    <row r="1717" ht="20.25" spans="1:18">
      <c r="B1717" s="457"/>
      <c r="C1717" s="495"/>
      <c r="D1717" s="463"/>
      <c r="E1717" s="463"/>
      <c r="F1717" s="496"/>
      <c r="G1717" s="463"/>
      <c r="H1717" s="432"/>
      <c r="I1717" s="463"/>
      <c r="J1717" s="497"/>
      <c r="K1717" s="497"/>
      <c r="L1717" s="537"/>
      <c r="M1717" s="537"/>
      <c r="N1717" s="537"/>
      <c r="O1717" s="456"/>
      <c r="P1717" s="457"/>
      <c r="Q1717" s="457"/>
      <c r="R1717" s="457"/>
    </row>
    <row r="1718" ht="20.25" spans="1:18">
      <c r="B1718" s="457"/>
      <c r="C1718" s="495"/>
      <c r="D1718" s="463"/>
      <c r="E1718" s="463"/>
      <c r="F1718" s="496"/>
      <c r="G1718" s="463"/>
      <c r="H1718" s="432"/>
      <c r="I1718" s="463"/>
      <c r="J1718" s="497"/>
      <c r="K1718" s="497"/>
      <c r="L1718" s="537"/>
      <c r="M1718" s="537"/>
      <c r="N1718" s="537"/>
      <c r="O1718" s="456"/>
      <c r="P1718" s="457"/>
      <c r="Q1718" s="457"/>
      <c r="R1718" s="457"/>
    </row>
    <row r="1719" ht="20.25" spans="1:18">
      <c r="B1719" s="457"/>
      <c r="C1719" s="495"/>
      <c r="D1719" s="463"/>
      <c r="E1719" s="463"/>
      <c r="F1719" s="496"/>
      <c r="G1719" s="463"/>
      <c r="H1719" s="432"/>
      <c r="I1719" s="463"/>
      <c r="J1719" s="497"/>
      <c r="K1719" s="497"/>
      <c r="L1719" s="537"/>
      <c r="M1719" s="537"/>
      <c r="N1719" s="537"/>
      <c r="O1719" s="456"/>
      <c r="P1719" s="457"/>
      <c r="Q1719" s="457"/>
      <c r="R1719" s="457"/>
    </row>
    <row r="1720" ht="20.25" spans="1:18">
      <c r="B1720" s="457"/>
      <c r="C1720" s="495"/>
      <c r="D1720" s="463"/>
      <c r="E1720" s="463"/>
      <c r="F1720" s="496"/>
      <c r="G1720" s="463"/>
      <c r="H1720" s="432"/>
      <c r="I1720" s="463"/>
      <c r="J1720" s="497"/>
      <c r="K1720" s="497"/>
      <c r="L1720" s="537"/>
      <c r="M1720" s="537"/>
      <c r="N1720" s="537"/>
      <c r="O1720" s="456"/>
      <c r="P1720" s="457"/>
      <c r="Q1720" s="457"/>
      <c r="R1720" s="457"/>
    </row>
    <row r="1721" ht="20.25" spans="1:18">
      <c r="B1721" s="457"/>
      <c r="C1721" s="495"/>
      <c r="D1721" s="463"/>
      <c r="E1721" s="463"/>
      <c r="F1721" s="496"/>
      <c r="G1721" s="463"/>
      <c r="H1721" s="432"/>
      <c r="I1721" s="463"/>
      <c r="J1721" s="497"/>
      <c r="K1721" s="497"/>
      <c r="L1721" s="537"/>
      <c r="M1721" s="537"/>
      <c r="N1721" s="537"/>
      <c r="O1721" s="456"/>
      <c r="P1721" s="457"/>
      <c r="Q1721" s="457"/>
      <c r="R1721" s="457"/>
    </row>
    <row r="1722" ht="20.25" spans="1:18">
      <c r="B1722" s="457"/>
      <c r="C1722" s="495"/>
      <c r="D1722" s="463"/>
      <c r="E1722" s="463"/>
      <c r="F1722" s="496"/>
      <c r="G1722" s="463"/>
      <c r="H1722" s="432"/>
      <c r="I1722" s="463"/>
      <c r="J1722" s="497"/>
      <c r="K1722" s="497"/>
      <c r="L1722" s="537"/>
      <c r="M1722" s="537"/>
      <c r="N1722" s="537"/>
      <c r="O1722" s="456"/>
      <c r="P1722" s="457"/>
      <c r="Q1722" s="457"/>
      <c r="R1722" s="457"/>
    </row>
    <row r="1723" ht="20.25" spans="1:18">
      <c r="B1723" s="457"/>
      <c r="C1723" s="495"/>
      <c r="D1723" s="463"/>
      <c r="E1723" s="463"/>
      <c r="F1723" s="496"/>
      <c r="G1723" s="463"/>
      <c r="H1723" s="432"/>
      <c r="I1723" s="463"/>
      <c r="J1723" s="497"/>
      <c r="K1723" s="497"/>
      <c r="L1723" s="537"/>
      <c r="M1723" s="537"/>
      <c r="N1723" s="537"/>
      <c r="O1723" s="456"/>
      <c r="P1723" s="457"/>
      <c r="Q1723" s="457"/>
      <c r="R1723" s="457"/>
    </row>
  </sheetData>
  <autoFilter xmlns:etc="http://www.wps.cn/officeDocument/2017/etCustomData" ref="A3:R696" etc:filterBottomFollowUsedRange="0">
    <extLst/>
  </autoFilter>
  <mergeCells count="1720">
    <mergeCell ref="A1:I1"/>
    <mergeCell ref="B2:I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1"/>
    <mergeCell ref="C332:E332"/>
    <mergeCell ref="C333:E333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A345:I345"/>
    <mergeCell ref="B346:I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C433:E433"/>
    <mergeCell ref="C434:E434"/>
    <mergeCell ref="C435:E435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C450:E450"/>
    <mergeCell ref="C451:E451"/>
    <mergeCell ref="C452:E452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A481:E481"/>
    <mergeCell ref="C482:E482"/>
    <mergeCell ref="C483:E483"/>
    <mergeCell ref="C484:E484"/>
    <mergeCell ref="C485:E485"/>
    <mergeCell ref="C486:E486"/>
    <mergeCell ref="C487:E487"/>
    <mergeCell ref="C488:E488"/>
    <mergeCell ref="C489:E489"/>
    <mergeCell ref="C490:E490"/>
    <mergeCell ref="C491:E491"/>
    <mergeCell ref="C492:E492"/>
    <mergeCell ref="A493:I493"/>
    <mergeCell ref="B494:I494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C503:E503"/>
    <mergeCell ref="C504:E504"/>
    <mergeCell ref="C505:E505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30:E530"/>
    <mergeCell ref="C531:E531"/>
    <mergeCell ref="C532:E532"/>
    <mergeCell ref="C533:E533"/>
    <mergeCell ref="C534:E534"/>
    <mergeCell ref="C535:E535"/>
    <mergeCell ref="C536:E536"/>
    <mergeCell ref="C537:E537"/>
    <mergeCell ref="C538:E538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C551:E551"/>
    <mergeCell ref="C552:E552"/>
    <mergeCell ref="C553:E553"/>
    <mergeCell ref="C554:E554"/>
    <mergeCell ref="C555:E555"/>
    <mergeCell ref="C556:E556"/>
    <mergeCell ref="C557:E557"/>
    <mergeCell ref="C558:E558"/>
    <mergeCell ref="C559:E559"/>
    <mergeCell ref="C560:E560"/>
    <mergeCell ref="C561:E561"/>
    <mergeCell ref="C562:E562"/>
    <mergeCell ref="C563:E563"/>
    <mergeCell ref="C564:E564"/>
    <mergeCell ref="C565:E565"/>
    <mergeCell ref="C566:E566"/>
    <mergeCell ref="C567:E567"/>
    <mergeCell ref="C568:E568"/>
    <mergeCell ref="C569:E569"/>
    <mergeCell ref="C570:E570"/>
    <mergeCell ref="C571:E571"/>
    <mergeCell ref="C572:E572"/>
    <mergeCell ref="C573:E573"/>
    <mergeCell ref="C574:E574"/>
    <mergeCell ref="C575:E575"/>
    <mergeCell ref="C576:E576"/>
    <mergeCell ref="C577:E577"/>
    <mergeCell ref="C578:E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89:E589"/>
    <mergeCell ref="C590:E590"/>
    <mergeCell ref="C591:E591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C619:E619"/>
    <mergeCell ref="C620:E620"/>
    <mergeCell ref="C621:E621"/>
    <mergeCell ref="C622:E622"/>
    <mergeCell ref="C623:E623"/>
    <mergeCell ref="C624:E624"/>
    <mergeCell ref="C625:E625"/>
    <mergeCell ref="C626:E626"/>
    <mergeCell ref="C627:E627"/>
    <mergeCell ref="C628:E628"/>
    <mergeCell ref="C629:E629"/>
    <mergeCell ref="C630:E630"/>
    <mergeCell ref="C631:E631"/>
    <mergeCell ref="C632:E632"/>
    <mergeCell ref="C633:E633"/>
    <mergeCell ref="C634:E634"/>
    <mergeCell ref="C635:E635"/>
    <mergeCell ref="C636:E636"/>
    <mergeCell ref="C637:E637"/>
    <mergeCell ref="C638:E638"/>
    <mergeCell ref="C639:E639"/>
    <mergeCell ref="C640:E640"/>
    <mergeCell ref="C641:E641"/>
    <mergeCell ref="C642:E642"/>
    <mergeCell ref="C643:E643"/>
    <mergeCell ref="C644:E644"/>
    <mergeCell ref="C645:E645"/>
    <mergeCell ref="C646:E646"/>
    <mergeCell ref="C647:E647"/>
    <mergeCell ref="C648:E648"/>
    <mergeCell ref="C649:E649"/>
    <mergeCell ref="C650:E650"/>
    <mergeCell ref="C651:E651"/>
    <mergeCell ref="C652:E652"/>
    <mergeCell ref="C653:E653"/>
    <mergeCell ref="C654:E654"/>
    <mergeCell ref="C655:E655"/>
    <mergeCell ref="C656:E656"/>
    <mergeCell ref="C657:E657"/>
    <mergeCell ref="C658:E658"/>
    <mergeCell ref="C659:E659"/>
    <mergeCell ref="C660:E660"/>
    <mergeCell ref="C661:E661"/>
    <mergeCell ref="C662:E662"/>
    <mergeCell ref="C663:E663"/>
    <mergeCell ref="C664:E664"/>
    <mergeCell ref="C665:E665"/>
    <mergeCell ref="C666:E666"/>
    <mergeCell ref="C667:E667"/>
    <mergeCell ref="C668:E668"/>
    <mergeCell ref="C669:E669"/>
    <mergeCell ref="C670:E670"/>
    <mergeCell ref="C671:E671"/>
    <mergeCell ref="C672:E672"/>
    <mergeCell ref="C673:E673"/>
    <mergeCell ref="C674:E674"/>
    <mergeCell ref="C675:E675"/>
    <mergeCell ref="C676:E676"/>
    <mergeCell ref="C677:E677"/>
    <mergeCell ref="C678:E678"/>
    <mergeCell ref="C679:E679"/>
    <mergeCell ref="C680:E680"/>
    <mergeCell ref="C681:E681"/>
    <mergeCell ref="C682:E682"/>
    <mergeCell ref="C683:E683"/>
    <mergeCell ref="C684:E684"/>
    <mergeCell ref="C685:E685"/>
    <mergeCell ref="C686:E686"/>
    <mergeCell ref="C687:E687"/>
    <mergeCell ref="C688:E688"/>
    <mergeCell ref="C689:E689"/>
    <mergeCell ref="C690:E690"/>
    <mergeCell ref="C691:E691"/>
    <mergeCell ref="C692:E692"/>
    <mergeCell ref="C693:E693"/>
    <mergeCell ref="C694:E694"/>
    <mergeCell ref="C695:E695"/>
    <mergeCell ref="C696:E696"/>
    <mergeCell ref="C697:E697"/>
    <mergeCell ref="A698:I698"/>
    <mergeCell ref="B699:I699"/>
    <mergeCell ref="C700:E700"/>
    <mergeCell ref="C701:E701"/>
    <mergeCell ref="C702:E702"/>
    <mergeCell ref="C703:E703"/>
    <mergeCell ref="C704:E704"/>
    <mergeCell ref="C705:E705"/>
    <mergeCell ref="C706:E706"/>
    <mergeCell ref="C707:E707"/>
    <mergeCell ref="C708:E708"/>
    <mergeCell ref="C709:E709"/>
    <mergeCell ref="C710:E710"/>
    <mergeCell ref="C711:E711"/>
    <mergeCell ref="C712:E712"/>
    <mergeCell ref="C713:E713"/>
    <mergeCell ref="C714:E714"/>
    <mergeCell ref="C715:E715"/>
    <mergeCell ref="C716:E716"/>
    <mergeCell ref="C717:E717"/>
    <mergeCell ref="C718:E718"/>
    <mergeCell ref="C719:E719"/>
    <mergeCell ref="C720:E720"/>
    <mergeCell ref="C721:E721"/>
    <mergeCell ref="C722:E722"/>
    <mergeCell ref="C723:E723"/>
    <mergeCell ref="C724:E724"/>
    <mergeCell ref="C725:E725"/>
    <mergeCell ref="C726:E726"/>
    <mergeCell ref="C727:E727"/>
    <mergeCell ref="C728:E728"/>
    <mergeCell ref="C729:E729"/>
    <mergeCell ref="C730:E730"/>
    <mergeCell ref="C731:E731"/>
    <mergeCell ref="C732:E732"/>
    <mergeCell ref="C733:E733"/>
    <mergeCell ref="C734:E734"/>
    <mergeCell ref="C735:E735"/>
    <mergeCell ref="C736:E736"/>
    <mergeCell ref="C737:E737"/>
    <mergeCell ref="C738:E738"/>
    <mergeCell ref="C739:E739"/>
    <mergeCell ref="C740:E740"/>
    <mergeCell ref="C741:E741"/>
    <mergeCell ref="C742:E742"/>
    <mergeCell ref="C743:E743"/>
    <mergeCell ref="C744:E744"/>
    <mergeCell ref="C745:E745"/>
    <mergeCell ref="C746:E746"/>
    <mergeCell ref="C747:E747"/>
    <mergeCell ref="C748:E748"/>
    <mergeCell ref="C749:E749"/>
    <mergeCell ref="C750:E750"/>
    <mergeCell ref="C751:E751"/>
    <mergeCell ref="C752:E752"/>
    <mergeCell ref="C753:E753"/>
    <mergeCell ref="C754:E754"/>
    <mergeCell ref="C755:E755"/>
    <mergeCell ref="C756:E756"/>
    <mergeCell ref="C757:E757"/>
    <mergeCell ref="C758:E758"/>
    <mergeCell ref="C759:E759"/>
    <mergeCell ref="C760:E760"/>
    <mergeCell ref="C761:E761"/>
    <mergeCell ref="C762:E762"/>
    <mergeCell ref="C763:E763"/>
    <mergeCell ref="C764:E764"/>
    <mergeCell ref="C765:E765"/>
    <mergeCell ref="C766:E766"/>
    <mergeCell ref="C767:E767"/>
    <mergeCell ref="C768:E768"/>
    <mergeCell ref="C769:E769"/>
    <mergeCell ref="C770:E770"/>
    <mergeCell ref="C771:E771"/>
    <mergeCell ref="C772:E772"/>
    <mergeCell ref="C773:E773"/>
    <mergeCell ref="C774:E774"/>
    <mergeCell ref="C775:E775"/>
    <mergeCell ref="C776:E776"/>
    <mergeCell ref="C777:E777"/>
    <mergeCell ref="C778:E778"/>
    <mergeCell ref="C779:E779"/>
    <mergeCell ref="C780:E780"/>
    <mergeCell ref="C781:E781"/>
    <mergeCell ref="C782:E782"/>
    <mergeCell ref="C783:E783"/>
    <mergeCell ref="C784:E784"/>
    <mergeCell ref="C785:E785"/>
    <mergeCell ref="C786:E786"/>
    <mergeCell ref="C787:E787"/>
    <mergeCell ref="C788:E788"/>
    <mergeCell ref="C789:E789"/>
    <mergeCell ref="C790:E790"/>
    <mergeCell ref="C791:E791"/>
    <mergeCell ref="C792:E792"/>
    <mergeCell ref="C793:E793"/>
    <mergeCell ref="C794:E794"/>
    <mergeCell ref="C795:E795"/>
    <mergeCell ref="C796:E796"/>
    <mergeCell ref="C797:E797"/>
    <mergeCell ref="C798:E798"/>
    <mergeCell ref="C799:E799"/>
    <mergeCell ref="C800:E800"/>
    <mergeCell ref="C801:E801"/>
    <mergeCell ref="C802:E802"/>
    <mergeCell ref="C803:E803"/>
    <mergeCell ref="C804:E804"/>
    <mergeCell ref="C805:E805"/>
    <mergeCell ref="C806:E806"/>
    <mergeCell ref="C807:E807"/>
    <mergeCell ref="C808:E808"/>
    <mergeCell ref="C809:E809"/>
    <mergeCell ref="C810:E810"/>
    <mergeCell ref="C811:E811"/>
    <mergeCell ref="C812:E812"/>
    <mergeCell ref="C813:E813"/>
    <mergeCell ref="C814:E814"/>
    <mergeCell ref="C815:E815"/>
    <mergeCell ref="C816:E816"/>
    <mergeCell ref="C817:E817"/>
    <mergeCell ref="C818:E818"/>
    <mergeCell ref="C819:E819"/>
    <mergeCell ref="C820:E820"/>
    <mergeCell ref="C821:E821"/>
    <mergeCell ref="C822:E822"/>
    <mergeCell ref="C823:E823"/>
    <mergeCell ref="C824:E824"/>
    <mergeCell ref="C825:E825"/>
    <mergeCell ref="C826:E826"/>
    <mergeCell ref="C827:E827"/>
    <mergeCell ref="C828:E828"/>
    <mergeCell ref="C829:E829"/>
    <mergeCell ref="C830:E830"/>
    <mergeCell ref="C831:E831"/>
    <mergeCell ref="A832:I832"/>
    <mergeCell ref="B833:I833"/>
    <mergeCell ref="C834:E834"/>
    <mergeCell ref="C835:E835"/>
    <mergeCell ref="C836:E836"/>
    <mergeCell ref="C837:E837"/>
    <mergeCell ref="C838:E838"/>
    <mergeCell ref="C839:E839"/>
    <mergeCell ref="C840:E840"/>
    <mergeCell ref="C841:E841"/>
    <mergeCell ref="C842:E842"/>
    <mergeCell ref="C843:E843"/>
    <mergeCell ref="C844:E844"/>
    <mergeCell ref="C845:E845"/>
    <mergeCell ref="C846:E846"/>
    <mergeCell ref="C847:E847"/>
    <mergeCell ref="C848:E848"/>
    <mergeCell ref="C849:E849"/>
    <mergeCell ref="C850:E850"/>
    <mergeCell ref="C851:E851"/>
    <mergeCell ref="C852:E852"/>
    <mergeCell ref="C853:E853"/>
    <mergeCell ref="C854:E854"/>
    <mergeCell ref="C855:E855"/>
    <mergeCell ref="C856:E856"/>
    <mergeCell ref="C857:E857"/>
    <mergeCell ref="C858:E858"/>
    <mergeCell ref="C859:E859"/>
    <mergeCell ref="C860:E860"/>
    <mergeCell ref="C861:E861"/>
    <mergeCell ref="C862:E862"/>
    <mergeCell ref="C863:E863"/>
    <mergeCell ref="C864:E864"/>
    <mergeCell ref="C865:E865"/>
    <mergeCell ref="C866:E866"/>
    <mergeCell ref="C867:E867"/>
    <mergeCell ref="C868:E868"/>
    <mergeCell ref="C869:E869"/>
    <mergeCell ref="C870:E870"/>
    <mergeCell ref="C871:E871"/>
    <mergeCell ref="C873:E873"/>
    <mergeCell ref="C874:E874"/>
    <mergeCell ref="C875:E875"/>
    <mergeCell ref="C876:E876"/>
    <mergeCell ref="C877:E877"/>
    <mergeCell ref="C878:E878"/>
    <mergeCell ref="C879:E879"/>
    <mergeCell ref="C880:E880"/>
    <mergeCell ref="C881:E881"/>
    <mergeCell ref="C882:E882"/>
    <mergeCell ref="C883:E883"/>
    <mergeCell ref="C884:E884"/>
    <mergeCell ref="C885:E885"/>
    <mergeCell ref="C886:E886"/>
    <mergeCell ref="C887:E887"/>
    <mergeCell ref="C888:E888"/>
    <mergeCell ref="C889:E889"/>
    <mergeCell ref="C890:E890"/>
    <mergeCell ref="C891:E891"/>
    <mergeCell ref="C892:E892"/>
    <mergeCell ref="C893:E893"/>
    <mergeCell ref="C894:E894"/>
    <mergeCell ref="A895:G895"/>
    <mergeCell ref="A896:I896"/>
    <mergeCell ref="B897:I897"/>
    <mergeCell ref="C898:E898"/>
    <mergeCell ref="C899:E899"/>
    <mergeCell ref="C900:E900"/>
    <mergeCell ref="C901:E901"/>
    <mergeCell ref="C902:E902"/>
    <mergeCell ref="C903:E903"/>
    <mergeCell ref="C904:E904"/>
    <mergeCell ref="C905:E905"/>
    <mergeCell ref="C906:E906"/>
    <mergeCell ref="C907:E907"/>
    <mergeCell ref="C908:E908"/>
    <mergeCell ref="C909:E909"/>
    <mergeCell ref="C910:E910"/>
    <mergeCell ref="C911:E911"/>
    <mergeCell ref="C912:E912"/>
    <mergeCell ref="C913:E913"/>
    <mergeCell ref="C914:E914"/>
    <mergeCell ref="C915:E915"/>
    <mergeCell ref="C916:E916"/>
    <mergeCell ref="C917:E917"/>
    <mergeCell ref="C918:E918"/>
    <mergeCell ref="C919:E919"/>
    <mergeCell ref="C920:E920"/>
    <mergeCell ref="C921:E921"/>
    <mergeCell ref="C922:E922"/>
    <mergeCell ref="C923:E923"/>
    <mergeCell ref="C924:E924"/>
    <mergeCell ref="C925:E925"/>
    <mergeCell ref="C926:E926"/>
    <mergeCell ref="C927:E927"/>
    <mergeCell ref="C928:E928"/>
    <mergeCell ref="C929:E929"/>
    <mergeCell ref="C930:E930"/>
    <mergeCell ref="C931:E931"/>
    <mergeCell ref="C932:E932"/>
    <mergeCell ref="C933:E933"/>
    <mergeCell ref="C934:E934"/>
    <mergeCell ref="C935:E935"/>
    <mergeCell ref="C936:E936"/>
    <mergeCell ref="C937:E937"/>
    <mergeCell ref="C938:E938"/>
    <mergeCell ref="C939:E939"/>
    <mergeCell ref="C940:E940"/>
    <mergeCell ref="C941:E941"/>
    <mergeCell ref="C942:E942"/>
    <mergeCell ref="C943:E943"/>
    <mergeCell ref="C944:E944"/>
    <mergeCell ref="C945:E945"/>
    <mergeCell ref="C946:E946"/>
    <mergeCell ref="C947:E947"/>
    <mergeCell ref="C948:E948"/>
    <mergeCell ref="C949:E949"/>
    <mergeCell ref="C950:E950"/>
    <mergeCell ref="C951:E951"/>
    <mergeCell ref="C952:E952"/>
    <mergeCell ref="C953:E953"/>
    <mergeCell ref="C954:E954"/>
    <mergeCell ref="C955:E955"/>
    <mergeCell ref="C956:E956"/>
    <mergeCell ref="C957:E957"/>
    <mergeCell ref="C958:E958"/>
    <mergeCell ref="C959:E959"/>
    <mergeCell ref="C960:E960"/>
    <mergeCell ref="C961:E961"/>
    <mergeCell ref="C962:E962"/>
    <mergeCell ref="C963:E963"/>
    <mergeCell ref="C964:E964"/>
    <mergeCell ref="C965:E965"/>
    <mergeCell ref="C966:E966"/>
    <mergeCell ref="C967:E967"/>
    <mergeCell ref="C968:E968"/>
    <mergeCell ref="C969:E969"/>
    <mergeCell ref="C970:E970"/>
    <mergeCell ref="C971:E971"/>
    <mergeCell ref="C972:E972"/>
    <mergeCell ref="C973:E973"/>
    <mergeCell ref="C974:E974"/>
    <mergeCell ref="C975:E975"/>
    <mergeCell ref="C976:E976"/>
    <mergeCell ref="C977:E977"/>
    <mergeCell ref="C978:E978"/>
    <mergeCell ref="C979:E979"/>
    <mergeCell ref="C980:E980"/>
    <mergeCell ref="C981:E981"/>
    <mergeCell ref="C982:E982"/>
    <mergeCell ref="C983:E983"/>
    <mergeCell ref="C984:E984"/>
    <mergeCell ref="C985:E985"/>
    <mergeCell ref="C986:E986"/>
    <mergeCell ref="C987:E987"/>
    <mergeCell ref="C988:E988"/>
    <mergeCell ref="C989:E989"/>
    <mergeCell ref="A990:I990"/>
    <mergeCell ref="B991:I991"/>
    <mergeCell ref="C992:E992"/>
    <mergeCell ref="C993:E993"/>
    <mergeCell ref="C994:E994"/>
    <mergeCell ref="C995:E995"/>
    <mergeCell ref="C996:E996"/>
    <mergeCell ref="C997:E997"/>
    <mergeCell ref="C998:E998"/>
    <mergeCell ref="C999:E999"/>
    <mergeCell ref="C1000:E1000"/>
    <mergeCell ref="C1001:E1001"/>
    <mergeCell ref="C1002:E1002"/>
    <mergeCell ref="C1003:E1003"/>
    <mergeCell ref="C1004:E1004"/>
    <mergeCell ref="C1005:E1005"/>
    <mergeCell ref="C1006:E1006"/>
    <mergeCell ref="C1007:E1007"/>
    <mergeCell ref="C1008:E1008"/>
    <mergeCell ref="C1009:E1009"/>
    <mergeCell ref="C1010:E1010"/>
    <mergeCell ref="C1011:E1011"/>
    <mergeCell ref="C1012:E1012"/>
    <mergeCell ref="C1013:E1013"/>
    <mergeCell ref="C1014:E1014"/>
    <mergeCell ref="C1015:E1015"/>
    <mergeCell ref="C1016:E1016"/>
    <mergeCell ref="C1017:E1017"/>
    <mergeCell ref="C1018:E1018"/>
    <mergeCell ref="C1019:E1019"/>
    <mergeCell ref="C1020:E1020"/>
    <mergeCell ref="C1021:E1021"/>
    <mergeCell ref="C1022:E1022"/>
    <mergeCell ref="C1023:E1023"/>
    <mergeCell ref="C1024:E1024"/>
    <mergeCell ref="C1025:E1025"/>
    <mergeCell ref="C1026:E1026"/>
    <mergeCell ref="C1027:E1027"/>
    <mergeCell ref="C1028:E1028"/>
    <mergeCell ref="C1029:E1029"/>
    <mergeCell ref="C1030:E1030"/>
    <mergeCell ref="C1031:E1031"/>
    <mergeCell ref="C1032:E1032"/>
    <mergeCell ref="C1033:E1033"/>
    <mergeCell ref="C1034:E1034"/>
    <mergeCell ref="C1035:E1035"/>
    <mergeCell ref="C1036:E1036"/>
    <mergeCell ref="C1037:E1037"/>
    <mergeCell ref="C1038:E1038"/>
    <mergeCell ref="C1039:E1039"/>
    <mergeCell ref="C1040:E1040"/>
    <mergeCell ref="C1041:E1041"/>
    <mergeCell ref="C1042:E1042"/>
    <mergeCell ref="C1043:E1043"/>
    <mergeCell ref="C1044:E1044"/>
    <mergeCell ref="C1045:E1045"/>
    <mergeCell ref="C1046:E1046"/>
    <mergeCell ref="C1047:E1047"/>
    <mergeCell ref="C1048:E1048"/>
    <mergeCell ref="C1049:E1049"/>
    <mergeCell ref="C1050:E1050"/>
    <mergeCell ref="C1051:E1051"/>
    <mergeCell ref="C1052:E1052"/>
    <mergeCell ref="C1053:E1053"/>
    <mergeCell ref="C1054:E1054"/>
    <mergeCell ref="C1055:E1055"/>
    <mergeCell ref="C1056:E1056"/>
    <mergeCell ref="C1057:E1057"/>
    <mergeCell ref="C1058:E1058"/>
    <mergeCell ref="C1059:E1059"/>
    <mergeCell ref="C1060:E1060"/>
    <mergeCell ref="C1061:E1061"/>
    <mergeCell ref="C1062:E1062"/>
    <mergeCell ref="C1063:E1063"/>
    <mergeCell ref="C1064:E1064"/>
    <mergeCell ref="C1065:E1065"/>
    <mergeCell ref="C1066:E1066"/>
    <mergeCell ref="C1067:E1067"/>
    <mergeCell ref="C1068:E1068"/>
    <mergeCell ref="C1069:E1069"/>
    <mergeCell ref="C1070:E1070"/>
    <mergeCell ref="C1071:E1071"/>
    <mergeCell ref="C1072:E1072"/>
    <mergeCell ref="C1073:E1073"/>
    <mergeCell ref="C1074:E1074"/>
    <mergeCell ref="C1075:E1075"/>
    <mergeCell ref="C1076:E1076"/>
    <mergeCell ref="C1077:E1077"/>
    <mergeCell ref="C1078:E1078"/>
    <mergeCell ref="C1079:E1079"/>
    <mergeCell ref="C1080:E1080"/>
    <mergeCell ref="C1081:E1081"/>
    <mergeCell ref="C1082:E1082"/>
    <mergeCell ref="C1083:E1083"/>
    <mergeCell ref="C1084:E1084"/>
    <mergeCell ref="C1085:E1085"/>
    <mergeCell ref="C1086:E1086"/>
    <mergeCell ref="C1087:E1087"/>
    <mergeCell ref="C1088:E1088"/>
    <mergeCell ref="C1089:E1089"/>
    <mergeCell ref="C1090:E1090"/>
    <mergeCell ref="C1091:E1091"/>
    <mergeCell ref="C1092:E1092"/>
    <mergeCell ref="C1093:E1093"/>
    <mergeCell ref="C1094:E1094"/>
    <mergeCell ref="C1095:E1095"/>
    <mergeCell ref="C1096:E1096"/>
    <mergeCell ref="C1097:E1097"/>
    <mergeCell ref="C1098:E1098"/>
    <mergeCell ref="C1099:E1099"/>
    <mergeCell ref="C1100:E1100"/>
    <mergeCell ref="C1101:E1101"/>
    <mergeCell ref="C1102:E1102"/>
    <mergeCell ref="C1103:E1103"/>
    <mergeCell ref="C1104:E1104"/>
    <mergeCell ref="C1105:E1105"/>
    <mergeCell ref="C1106:E1106"/>
    <mergeCell ref="C1107:E1107"/>
    <mergeCell ref="C1108:E1108"/>
    <mergeCell ref="C1109:E1109"/>
    <mergeCell ref="C1110:E1110"/>
    <mergeCell ref="C1111:E1111"/>
    <mergeCell ref="C1112:E1112"/>
    <mergeCell ref="C1113:E1113"/>
    <mergeCell ref="C1114:E1114"/>
    <mergeCell ref="C1115:E1115"/>
    <mergeCell ref="C1116:E1116"/>
    <mergeCell ref="C1117:E1117"/>
    <mergeCell ref="C1118:E1118"/>
    <mergeCell ref="C1119:E1119"/>
    <mergeCell ref="C1120:E1120"/>
    <mergeCell ref="C1121:E1121"/>
    <mergeCell ref="C1122:E1122"/>
    <mergeCell ref="C1123:E1123"/>
    <mergeCell ref="C1124:E1124"/>
    <mergeCell ref="C1125:E1125"/>
    <mergeCell ref="C1126:E1126"/>
    <mergeCell ref="C1127:E1127"/>
    <mergeCell ref="C1128:E1128"/>
    <mergeCell ref="C1129:E1129"/>
    <mergeCell ref="C1130:E1130"/>
    <mergeCell ref="C1131:E1131"/>
    <mergeCell ref="C1132:E1132"/>
    <mergeCell ref="C1133:E1133"/>
    <mergeCell ref="C1134:E1134"/>
    <mergeCell ref="C1135:E1135"/>
    <mergeCell ref="C1136:E1136"/>
    <mergeCell ref="C1137:E1137"/>
    <mergeCell ref="C1138:E1138"/>
    <mergeCell ref="C1139:E1139"/>
    <mergeCell ref="C1140:E1140"/>
    <mergeCell ref="C1141:E1141"/>
    <mergeCell ref="C1142:E1142"/>
    <mergeCell ref="C1143:E1143"/>
    <mergeCell ref="C1144:E1144"/>
    <mergeCell ref="C1145:E1145"/>
    <mergeCell ref="C1146:E1146"/>
    <mergeCell ref="C1147:E1147"/>
    <mergeCell ref="C1148:E1148"/>
    <mergeCell ref="C1149:E1149"/>
    <mergeCell ref="C1150:E1150"/>
    <mergeCell ref="C1151:E1151"/>
    <mergeCell ref="C1152:E1152"/>
    <mergeCell ref="C1153:E1153"/>
    <mergeCell ref="C1154:E1154"/>
    <mergeCell ref="C1155:E1155"/>
    <mergeCell ref="C1156:E1156"/>
    <mergeCell ref="C1157:E1157"/>
    <mergeCell ref="C1158:E1158"/>
    <mergeCell ref="C1159:E1159"/>
    <mergeCell ref="C1160:E1160"/>
    <mergeCell ref="C1161:E1161"/>
    <mergeCell ref="C1162:E1162"/>
    <mergeCell ref="C1163:E1163"/>
    <mergeCell ref="C1164:E1164"/>
    <mergeCell ref="C1165:E1165"/>
    <mergeCell ref="C1166:E1166"/>
    <mergeCell ref="C1167:E1167"/>
    <mergeCell ref="C1168:E1168"/>
    <mergeCell ref="C1169:E1169"/>
    <mergeCell ref="C1170:E1170"/>
    <mergeCell ref="C1171:E1171"/>
    <mergeCell ref="C1172:E1172"/>
    <mergeCell ref="C1173:E1173"/>
    <mergeCell ref="C1174:E1174"/>
    <mergeCell ref="C1175:E1175"/>
    <mergeCell ref="A1176:I1176"/>
    <mergeCell ref="B1177:I1177"/>
    <mergeCell ref="C1178:E1178"/>
    <mergeCell ref="C1179:E1179"/>
    <mergeCell ref="C1180:E1180"/>
    <mergeCell ref="C1181:E1181"/>
    <mergeCell ref="C1182:E1182"/>
    <mergeCell ref="C1183:E1183"/>
    <mergeCell ref="C1184:E1184"/>
    <mergeCell ref="C1185:E1185"/>
    <mergeCell ref="C1186:E1186"/>
    <mergeCell ref="C1187:E1187"/>
    <mergeCell ref="C1188:E1188"/>
    <mergeCell ref="C1189:E1189"/>
    <mergeCell ref="C1190:E1190"/>
    <mergeCell ref="C1191:E1191"/>
    <mergeCell ref="C1192:E1192"/>
    <mergeCell ref="C1193:E1193"/>
    <mergeCell ref="C1194:E1194"/>
    <mergeCell ref="C1195:E1195"/>
    <mergeCell ref="C1196:E1196"/>
    <mergeCell ref="C1197:E1197"/>
    <mergeCell ref="C1198:E1198"/>
    <mergeCell ref="C1199:E1199"/>
    <mergeCell ref="C1200:E1200"/>
    <mergeCell ref="C1201:E1201"/>
    <mergeCell ref="C1202:E1202"/>
    <mergeCell ref="C1203:E1203"/>
    <mergeCell ref="C1204:E1204"/>
    <mergeCell ref="C1205:E1205"/>
    <mergeCell ref="C1206:E1206"/>
    <mergeCell ref="C1207:E1207"/>
    <mergeCell ref="C1208:E1208"/>
    <mergeCell ref="C1209:E1209"/>
    <mergeCell ref="C1210:E1210"/>
    <mergeCell ref="C1211:E1211"/>
    <mergeCell ref="C1212:E1212"/>
    <mergeCell ref="C1213:E1213"/>
    <mergeCell ref="C1214:E1214"/>
    <mergeCell ref="C1215:E1215"/>
    <mergeCell ref="C1216:E1216"/>
    <mergeCell ref="C1217:E1217"/>
    <mergeCell ref="C1218:E1218"/>
    <mergeCell ref="C1219:E1219"/>
    <mergeCell ref="C1220:E1220"/>
    <mergeCell ref="C1221:E1221"/>
    <mergeCell ref="C1222:E1222"/>
    <mergeCell ref="C1223:E1223"/>
    <mergeCell ref="C1224:E1224"/>
    <mergeCell ref="C1225:E1225"/>
    <mergeCell ref="C1226:E1226"/>
    <mergeCell ref="C1227:E1227"/>
    <mergeCell ref="C1228:E1228"/>
    <mergeCell ref="C1229:E1229"/>
    <mergeCell ref="C1230:E1230"/>
    <mergeCell ref="C1231:E1231"/>
    <mergeCell ref="C1232:E1232"/>
    <mergeCell ref="C1233:E1233"/>
    <mergeCell ref="C1234:E1234"/>
    <mergeCell ref="C1235:E1235"/>
    <mergeCell ref="C1236:E1236"/>
    <mergeCell ref="C1237:E1237"/>
    <mergeCell ref="C1238:E1238"/>
    <mergeCell ref="C1239:E1239"/>
    <mergeCell ref="C1240:E1240"/>
    <mergeCell ref="C1241:E1241"/>
    <mergeCell ref="C1242:E1242"/>
    <mergeCell ref="C1243:E1243"/>
    <mergeCell ref="C1244:E1244"/>
    <mergeCell ref="C1245:E1245"/>
    <mergeCell ref="C1246:E1246"/>
    <mergeCell ref="C1247:E1247"/>
    <mergeCell ref="C1248:E1248"/>
    <mergeCell ref="C1249:E1249"/>
    <mergeCell ref="C1250:E1250"/>
    <mergeCell ref="C1251:E1251"/>
    <mergeCell ref="C1252:E1252"/>
    <mergeCell ref="C1253:E1253"/>
    <mergeCell ref="C1254:E1254"/>
    <mergeCell ref="C1255:E1255"/>
    <mergeCell ref="C1256:E1256"/>
    <mergeCell ref="C1257:E1257"/>
    <mergeCell ref="C1258:E1258"/>
    <mergeCell ref="C1259:E1259"/>
    <mergeCell ref="C1260:E1260"/>
    <mergeCell ref="C1261:E1261"/>
    <mergeCell ref="C1262:E1262"/>
    <mergeCell ref="C1263:E1263"/>
    <mergeCell ref="C1264:E1264"/>
    <mergeCell ref="C1265:E1265"/>
    <mergeCell ref="C1266:E1266"/>
    <mergeCell ref="C1267:E1267"/>
    <mergeCell ref="C1268:E1268"/>
    <mergeCell ref="C1269:E1269"/>
    <mergeCell ref="C1270:E1270"/>
    <mergeCell ref="C1271:E1271"/>
    <mergeCell ref="C1272:E1272"/>
    <mergeCell ref="C1273:E1273"/>
    <mergeCell ref="C1274:E1274"/>
    <mergeCell ref="C1275:E1275"/>
    <mergeCell ref="C1276:E1276"/>
    <mergeCell ref="C1277:E1277"/>
    <mergeCell ref="C1278:E1278"/>
    <mergeCell ref="C1279:E1279"/>
    <mergeCell ref="C1280:E1280"/>
    <mergeCell ref="C1281:E1281"/>
    <mergeCell ref="C1282:E1282"/>
    <mergeCell ref="C1283:E1283"/>
    <mergeCell ref="C1284:E1284"/>
    <mergeCell ref="C1285:E1285"/>
    <mergeCell ref="C1286:E1286"/>
    <mergeCell ref="C1287:E1287"/>
    <mergeCell ref="C1288:E1288"/>
    <mergeCell ref="C1289:E1289"/>
    <mergeCell ref="C1290:E1290"/>
    <mergeCell ref="C1291:E1291"/>
    <mergeCell ref="C1292:E1292"/>
    <mergeCell ref="C1293:E1293"/>
    <mergeCell ref="C1294:E1294"/>
    <mergeCell ref="C1295:E1295"/>
    <mergeCell ref="C1296:E1296"/>
    <mergeCell ref="C1297:E1297"/>
    <mergeCell ref="C1298:E1298"/>
    <mergeCell ref="C1299:E1299"/>
    <mergeCell ref="C1300:E1300"/>
    <mergeCell ref="C1301:E1301"/>
    <mergeCell ref="C1302:E1302"/>
    <mergeCell ref="C1303:E1303"/>
    <mergeCell ref="C1304:E1304"/>
    <mergeCell ref="C1305:E1305"/>
    <mergeCell ref="C1306:E1306"/>
    <mergeCell ref="C1307:E1307"/>
    <mergeCell ref="C1308:E1308"/>
    <mergeCell ref="C1309:E1309"/>
    <mergeCell ref="C1310:E1310"/>
    <mergeCell ref="C1311:E1311"/>
    <mergeCell ref="C1312:E1312"/>
    <mergeCell ref="C1313:E1313"/>
    <mergeCell ref="C1314:E1314"/>
    <mergeCell ref="C1315:E1315"/>
    <mergeCell ref="C1316:E1316"/>
    <mergeCell ref="C1317:E1317"/>
    <mergeCell ref="C1318:E1318"/>
    <mergeCell ref="A1319:I1319"/>
    <mergeCell ref="B1320:I1320"/>
    <mergeCell ref="C1321:E1321"/>
    <mergeCell ref="C1322:E1322"/>
    <mergeCell ref="C1323:E1323"/>
    <mergeCell ref="C1324:E1324"/>
    <mergeCell ref="C1325:E1325"/>
    <mergeCell ref="C1326:E1326"/>
    <mergeCell ref="C1327:E1327"/>
    <mergeCell ref="C1328:E1328"/>
    <mergeCell ref="C1329:E1329"/>
    <mergeCell ref="C1330:E1330"/>
    <mergeCell ref="C1331:E1331"/>
    <mergeCell ref="C1332:E1332"/>
    <mergeCell ref="C1333:E1333"/>
    <mergeCell ref="C1334:E1334"/>
    <mergeCell ref="C1335:E1335"/>
    <mergeCell ref="C1336:E1336"/>
    <mergeCell ref="C1337:E1337"/>
    <mergeCell ref="C1338:E1338"/>
    <mergeCell ref="C1339:E1339"/>
    <mergeCell ref="C1340:E1340"/>
    <mergeCell ref="C1341:E1341"/>
    <mergeCell ref="C1342:E1342"/>
    <mergeCell ref="C1343:E1343"/>
    <mergeCell ref="C1344:E1344"/>
    <mergeCell ref="C1345:E1345"/>
    <mergeCell ref="C1346:E1346"/>
    <mergeCell ref="C1347:E1347"/>
    <mergeCell ref="C1348:E1348"/>
    <mergeCell ref="C1349:E1349"/>
    <mergeCell ref="C1350:E1350"/>
    <mergeCell ref="C1351:E1351"/>
    <mergeCell ref="C1352:E1352"/>
    <mergeCell ref="C1353:E1353"/>
    <mergeCell ref="C1354:E1354"/>
    <mergeCell ref="C1355:E1355"/>
    <mergeCell ref="C1356:E1356"/>
    <mergeCell ref="C1357:E1357"/>
    <mergeCell ref="C1358:E1358"/>
    <mergeCell ref="C1359:E1359"/>
    <mergeCell ref="C1360:E1360"/>
    <mergeCell ref="C1361:E1361"/>
    <mergeCell ref="C1362:E1362"/>
    <mergeCell ref="C1363:E1363"/>
    <mergeCell ref="C1364:E1364"/>
    <mergeCell ref="C1365:E1365"/>
    <mergeCell ref="C1366:E1366"/>
    <mergeCell ref="C1367:E1367"/>
    <mergeCell ref="C1368:E1368"/>
    <mergeCell ref="C1369:E1369"/>
    <mergeCell ref="C1370:E1370"/>
    <mergeCell ref="C1371:E1371"/>
    <mergeCell ref="C1372:E1372"/>
    <mergeCell ref="C1373:E1373"/>
    <mergeCell ref="C1374:E1374"/>
    <mergeCell ref="C1375:E1375"/>
    <mergeCell ref="C1376:E1376"/>
    <mergeCell ref="C1377:E1377"/>
    <mergeCell ref="C1378:E1378"/>
    <mergeCell ref="C1379:E1379"/>
    <mergeCell ref="C1380:E1380"/>
    <mergeCell ref="C1381:E1381"/>
    <mergeCell ref="C1382:E1382"/>
    <mergeCell ref="C1383:E1383"/>
    <mergeCell ref="C1384:E1384"/>
    <mergeCell ref="C1385:E1385"/>
    <mergeCell ref="C1386:E1386"/>
    <mergeCell ref="C1387:E1387"/>
    <mergeCell ref="C1388:E1388"/>
    <mergeCell ref="C1389:E1389"/>
    <mergeCell ref="C1390:E1390"/>
    <mergeCell ref="C1391:E1391"/>
    <mergeCell ref="C1392:E1392"/>
    <mergeCell ref="C1393:E1393"/>
    <mergeCell ref="C1394:E1394"/>
    <mergeCell ref="C1395:E1395"/>
    <mergeCell ref="C1396:E1396"/>
    <mergeCell ref="C1397:E1397"/>
    <mergeCell ref="C1398:E1398"/>
    <mergeCell ref="C1399:E1399"/>
    <mergeCell ref="C1400:E1400"/>
    <mergeCell ref="C1401:E1401"/>
    <mergeCell ref="C1402:E1402"/>
    <mergeCell ref="C1403:E1403"/>
    <mergeCell ref="C1404:E1404"/>
    <mergeCell ref="C1405:E1405"/>
    <mergeCell ref="C1406:E1406"/>
    <mergeCell ref="C1407:E1407"/>
    <mergeCell ref="C1408:E1408"/>
    <mergeCell ref="C1409:E1409"/>
    <mergeCell ref="C1410:E1410"/>
    <mergeCell ref="C1411:E1411"/>
    <mergeCell ref="C1412:E1412"/>
    <mergeCell ref="C1413:E1413"/>
    <mergeCell ref="C1414:E1414"/>
    <mergeCell ref="C1415:E1415"/>
    <mergeCell ref="C1416:E1416"/>
    <mergeCell ref="C1417:E1417"/>
    <mergeCell ref="C1418:E1418"/>
    <mergeCell ref="C1419:E1419"/>
    <mergeCell ref="C1420:E1420"/>
    <mergeCell ref="C1421:E1421"/>
    <mergeCell ref="C1422:E1422"/>
    <mergeCell ref="C1423:E1423"/>
    <mergeCell ref="C1424:E1424"/>
    <mergeCell ref="C1425:E1425"/>
    <mergeCell ref="C1426:E1426"/>
    <mergeCell ref="C1427:E1427"/>
    <mergeCell ref="C1428:E1428"/>
    <mergeCell ref="C1429:E1429"/>
    <mergeCell ref="C1430:E1430"/>
    <mergeCell ref="C1431:E1431"/>
    <mergeCell ref="C1432:E1432"/>
    <mergeCell ref="C1433:E1433"/>
    <mergeCell ref="C1434:E1434"/>
    <mergeCell ref="C1435:E1435"/>
    <mergeCell ref="C1436:E1436"/>
    <mergeCell ref="C1437:E1437"/>
    <mergeCell ref="C1438:E1438"/>
    <mergeCell ref="C1439:E1439"/>
    <mergeCell ref="C1440:E1440"/>
    <mergeCell ref="C1441:E1441"/>
    <mergeCell ref="C1442:E1442"/>
    <mergeCell ref="C1443:E1443"/>
    <mergeCell ref="C1444:E1444"/>
    <mergeCell ref="C1445:E1445"/>
    <mergeCell ref="C1446:E1446"/>
    <mergeCell ref="C1447:E1447"/>
    <mergeCell ref="C1448:E1448"/>
    <mergeCell ref="C1449:E1449"/>
    <mergeCell ref="C1450:E1450"/>
    <mergeCell ref="C1451:E1451"/>
    <mergeCell ref="C1452:E1452"/>
    <mergeCell ref="C1453:E1453"/>
    <mergeCell ref="C1454:E1454"/>
    <mergeCell ref="C1455:E1455"/>
    <mergeCell ref="C1456:E1456"/>
    <mergeCell ref="C1457:E1457"/>
    <mergeCell ref="C1458:E1458"/>
    <mergeCell ref="C1459:E1459"/>
    <mergeCell ref="C1460:E1460"/>
    <mergeCell ref="C1461:E1461"/>
    <mergeCell ref="C1462:E1462"/>
    <mergeCell ref="C1463:E1463"/>
    <mergeCell ref="C1464:E1464"/>
    <mergeCell ref="C1465:E1465"/>
    <mergeCell ref="C1466:E1466"/>
    <mergeCell ref="C1467:E1467"/>
    <mergeCell ref="C1468:E1468"/>
    <mergeCell ref="C1469:E1469"/>
    <mergeCell ref="C1470:E1470"/>
    <mergeCell ref="C1471:E1471"/>
    <mergeCell ref="C1472:E1472"/>
    <mergeCell ref="C1473:E1473"/>
    <mergeCell ref="C1474:E1474"/>
    <mergeCell ref="C1475:E1475"/>
    <mergeCell ref="C1476:E1476"/>
    <mergeCell ref="C1477:E1477"/>
    <mergeCell ref="C1478:E1478"/>
    <mergeCell ref="C1479:E1479"/>
    <mergeCell ref="C1480:E1480"/>
    <mergeCell ref="C1481:E1481"/>
    <mergeCell ref="C1482:E1482"/>
    <mergeCell ref="C1483:E1483"/>
    <mergeCell ref="C1484:E1484"/>
    <mergeCell ref="C1485:E1485"/>
    <mergeCell ref="C1486:E1486"/>
    <mergeCell ref="C1487:E1487"/>
    <mergeCell ref="C1488:E1488"/>
    <mergeCell ref="C1489:E1489"/>
    <mergeCell ref="C1490:E1490"/>
    <mergeCell ref="C1491:E1491"/>
    <mergeCell ref="C1492:E1492"/>
    <mergeCell ref="C1493:E1493"/>
    <mergeCell ref="C1494:E1494"/>
    <mergeCell ref="C1495:E1495"/>
    <mergeCell ref="C1496:E1496"/>
    <mergeCell ref="C1497:E1497"/>
    <mergeCell ref="C1498:E1498"/>
    <mergeCell ref="C1499:E1499"/>
    <mergeCell ref="C1500:E1500"/>
    <mergeCell ref="C1501:E1501"/>
    <mergeCell ref="C1502:E1502"/>
    <mergeCell ref="C1503:E1503"/>
    <mergeCell ref="C1504:E1504"/>
    <mergeCell ref="C1505:E1505"/>
    <mergeCell ref="C1506:E1506"/>
    <mergeCell ref="C1507:E1507"/>
    <mergeCell ref="C1508:E1508"/>
    <mergeCell ref="C1509:E1509"/>
    <mergeCell ref="C1510:E1510"/>
    <mergeCell ref="C1511:E1511"/>
    <mergeCell ref="C1512:E1512"/>
    <mergeCell ref="C1513:E1513"/>
    <mergeCell ref="C1514:E1514"/>
    <mergeCell ref="C1515:E1515"/>
    <mergeCell ref="C1516:E1516"/>
    <mergeCell ref="C1517:E1517"/>
    <mergeCell ref="C1518:E1518"/>
    <mergeCell ref="C1519:E1519"/>
    <mergeCell ref="C1520:E1520"/>
    <mergeCell ref="C1521:E1521"/>
    <mergeCell ref="C1522:E1522"/>
    <mergeCell ref="C1523:E1523"/>
    <mergeCell ref="A1526:I1526"/>
    <mergeCell ref="B1527:I1527"/>
    <mergeCell ref="C1528:E1528"/>
    <mergeCell ref="C1529:E1529"/>
    <mergeCell ref="C1530:E1530"/>
    <mergeCell ref="C1531:E1531"/>
    <mergeCell ref="C1532:E1532"/>
    <mergeCell ref="C1533:E1533"/>
    <mergeCell ref="C1534:E1534"/>
    <mergeCell ref="C1535:E1535"/>
    <mergeCell ref="C1536:E1536"/>
    <mergeCell ref="C1537:E1537"/>
    <mergeCell ref="C1538:E1538"/>
    <mergeCell ref="C1539:E1539"/>
    <mergeCell ref="C1540:E1540"/>
    <mergeCell ref="C1541:E1541"/>
    <mergeCell ref="C1542:E1542"/>
    <mergeCell ref="C1543:E1543"/>
    <mergeCell ref="C1544:E1544"/>
    <mergeCell ref="C1545:E1545"/>
    <mergeCell ref="C1546:E1546"/>
    <mergeCell ref="C1547:E1547"/>
    <mergeCell ref="C1548:E1548"/>
    <mergeCell ref="C1549:E1549"/>
    <mergeCell ref="C1550:E1550"/>
    <mergeCell ref="C1551:E1551"/>
    <mergeCell ref="C1552:E1552"/>
    <mergeCell ref="C1553:E1553"/>
    <mergeCell ref="C1554:E1554"/>
    <mergeCell ref="C1555:E1555"/>
    <mergeCell ref="C1556:E1556"/>
    <mergeCell ref="C1557:E1557"/>
    <mergeCell ref="C1558:E1558"/>
    <mergeCell ref="C1559:E1559"/>
    <mergeCell ref="C1560:E1560"/>
    <mergeCell ref="C1561:E1561"/>
    <mergeCell ref="C1562:E1562"/>
    <mergeCell ref="C1563:E1563"/>
    <mergeCell ref="C1564:E1564"/>
    <mergeCell ref="C1565:E1565"/>
    <mergeCell ref="C1566:E1566"/>
    <mergeCell ref="C1567:E1567"/>
    <mergeCell ref="C1568:E1568"/>
    <mergeCell ref="C1569:E1569"/>
    <mergeCell ref="C1570:E1570"/>
    <mergeCell ref="C1571:E1571"/>
    <mergeCell ref="C1572:E1572"/>
    <mergeCell ref="C1573:E1573"/>
    <mergeCell ref="C1574:E1574"/>
    <mergeCell ref="C1575:E1575"/>
    <mergeCell ref="C1576:E1576"/>
    <mergeCell ref="C1577:E1577"/>
    <mergeCell ref="C1578:E1578"/>
    <mergeCell ref="C1579:E1579"/>
    <mergeCell ref="C1580:E1580"/>
    <mergeCell ref="C1581:E1581"/>
    <mergeCell ref="C1582:E1582"/>
    <mergeCell ref="C1583:E1583"/>
    <mergeCell ref="C1584:E1584"/>
    <mergeCell ref="C1585:E1585"/>
    <mergeCell ref="C1586:E1586"/>
    <mergeCell ref="C1587:E1587"/>
    <mergeCell ref="C1588:E1588"/>
    <mergeCell ref="C1589:E1589"/>
    <mergeCell ref="C1590:E1590"/>
    <mergeCell ref="C1591:E1591"/>
    <mergeCell ref="C1592:E1592"/>
    <mergeCell ref="C1593:E1593"/>
    <mergeCell ref="C1594:E1594"/>
    <mergeCell ref="C1595:E1595"/>
    <mergeCell ref="C1596:E1596"/>
    <mergeCell ref="C1597:E1597"/>
    <mergeCell ref="C1598:E1598"/>
    <mergeCell ref="C1599:E1599"/>
    <mergeCell ref="C1600:E1600"/>
    <mergeCell ref="C1601:E1601"/>
    <mergeCell ref="A1602:I1602"/>
    <mergeCell ref="B1603:I1603"/>
    <mergeCell ref="C1604:E1604"/>
    <mergeCell ref="C1605:E1605"/>
    <mergeCell ref="C1606:E1606"/>
    <mergeCell ref="C1607:E1607"/>
    <mergeCell ref="C1608:E1608"/>
    <mergeCell ref="C1609:E1609"/>
    <mergeCell ref="C1610:E1610"/>
    <mergeCell ref="C1611:E1611"/>
    <mergeCell ref="C1612:E1612"/>
    <mergeCell ref="C1613:E1613"/>
    <mergeCell ref="C1614:E1614"/>
    <mergeCell ref="C1615:E1615"/>
    <mergeCell ref="C1616:E1616"/>
    <mergeCell ref="C1617:E1617"/>
    <mergeCell ref="C1618:E1618"/>
    <mergeCell ref="C1619:E1619"/>
    <mergeCell ref="C1620:E1620"/>
    <mergeCell ref="C1621:E1621"/>
    <mergeCell ref="C1622:E1622"/>
    <mergeCell ref="C1623:E1623"/>
    <mergeCell ref="C1624:E1624"/>
    <mergeCell ref="C1625:E1625"/>
    <mergeCell ref="C1626:E1626"/>
    <mergeCell ref="C1627:E1627"/>
    <mergeCell ref="C1628:E1628"/>
    <mergeCell ref="C1629:E1629"/>
    <mergeCell ref="C1630:E1630"/>
    <mergeCell ref="C1631:E1631"/>
    <mergeCell ref="C1632:E1632"/>
    <mergeCell ref="C1633:E1633"/>
    <mergeCell ref="C1634:E1634"/>
    <mergeCell ref="C1635:E1635"/>
    <mergeCell ref="C1636:E1636"/>
    <mergeCell ref="C1637:E1637"/>
    <mergeCell ref="C1638:E1638"/>
    <mergeCell ref="C1639:E1639"/>
    <mergeCell ref="C1640:E1640"/>
    <mergeCell ref="C1641:E1641"/>
    <mergeCell ref="C1642:E1642"/>
    <mergeCell ref="C1643:E1643"/>
    <mergeCell ref="C1644:E1644"/>
    <mergeCell ref="C1645:E1645"/>
    <mergeCell ref="C1646:E1646"/>
    <mergeCell ref="C1647:E1647"/>
    <mergeCell ref="C1648:E1648"/>
    <mergeCell ref="C1649:E1649"/>
    <mergeCell ref="C1650:E1650"/>
    <mergeCell ref="C1651:E1651"/>
    <mergeCell ref="C1652:E1652"/>
    <mergeCell ref="C1653:E1653"/>
    <mergeCell ref="C1654:E1654"/>
    <mergeCell ref="C1655:E1655"/>
    <mergeCell ref="C1656:E1656"/>
    <mergeCell ref="C1657:E1657"/>
    <mergeCell ref="C1658:E1658"/>
    <mergeCell ref="C1659:E1659"/>
    <mergeCell ref="C1660:E1660"/>
    <mergeCell ref="C1661:E1661"/>
    <mergeCell ref="C1662:E1662"/>
    <mergeCell ref="C1663:E1663"/>
    <mergeCell ref="C1664:E1664"/>
    <mergeCell ref="C1665:E1665"/>
    <mergeCell ref="C1666:E1666"/>
    <mergeCell ref="C1667:E1667"/>
    <mergeCell ref="C1668:E1668"/>
    <mergeCell ref="C1669:E1669"/>
    <mergeCell ref="C1670:E1670"/>
    <mergeCell ref="C1671:E1671"/>
    <mergeCell ref="C1672:E1672"/>
    <mergeCell ref="C1673:E1673"/>
    <mergeCell ref="C1674:E1674"/>
    <mergeCell ref="C1675:E1675"/>
    <mergeCell ref="C1676:E1676"/>
    <mergeCell ref="C1677:E1677"/>
    <mergeCell ref="C1678:E1678"/>
    <mergeCell ref="C1679:E1679"/>
    <mergeCell ref="C1680:E1680"/>
    <mergeCell ref="C1682:E1682"/>
    <mergeCell ref="C1683:E1683"/>
    <mergeCell ref="C1684:E1684"/>
    <mergeCell ref="C1685:E1685"/>
    <mergeCell ref="C1686:E1686"/>
    <mergeCell ref="C1687:E1687"/>
    <mergeCell ref="C1688:E1688"/>
    <mergeCell ref="C1689:E1689"/>
    <mergeCell ref="C1690:E1690"/>
    <mergeCell ref="C1691:E1691"/>
    <mergeCell ref="C1692:E1692"/>
    <mergeCell ref="C1693:E1693"/>
    <mergeCell ref="C1694:E1694"/>
    <mergeCell ref="C1695:E1695"/>
    <mergeCell ref="C1696:E1696"/>
    <mergeCell ref="C1697:E1697"/>
    <mergeCell ref="C1698:E1698"/>
    <mergeCell ref="C1699:E1699"/>
    <mergeCell ref="C1700:E1700"/>
    <mergeCell ref="C1701:E1701"/>
    <mergeCell ref="C1702:E1702"/>
    <mergeCell ref="C1703:E1703"/>
    <mergeCell ref="C1704:E1704"/>
    <mergeCell ref="C1705:E1705"/>
    <mergeCell ref="C1706:E1706"/>
    <mergeCell ref="C1707:E1707"/>
    <mergeCell ref="C1708:E1708"/>
    <mergeCell ref="C1709:E1709"/>
    <mergeCell ref="C1710:E1710"/>
    <mergeCell ref="C1711:E1711"/>
    <mergeCell ref="C1712:E1712"/>
    <mergeCell ref="C1713:E1713"/>
    <mergeCell ref="C1714:E1714"/>
    <mergeCell ref="C1715:E1715"/>
    <mergeCell ref="C1716:E1716"/>
    <mergeCell ref="C1717:E1717"/>
    <mergeCell ref="C1718:E1718"/>
    <mergeCell ref="C1719:E1719"/>
    <mergeCell ref="C1720:E1720"/>
    <mergeCell ref="C1721:E1721"/>
    <mergeCell ref="C1722:E1722"/>
    <mergeCell ref="C1723:E1723"/>
    <mergeCell ref="M1089:M1090"/>
    <mergeCell ref="N348:N349"/>
    <mergeCell ref="N350:N351"/>
    <mergeCell ref="Q707:Q71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920"/>
  <sheetViews>
    <sheetView zoomScale="63" zoomScaleNormal="63" topLeftCell="A1876" workbookViewId="0">
      <selection activeCell="C1903" sqref="C1903:K1909"/>
    </sheetView>
  </sheetViews>
  <sheetFormatPr defaultColWidth="9" defaultRowHeight="20.25"/>
  <cols>
    <col min="1" max="1" width="12.625" style="457"/>
    <col min="2" max="2" width="14.1083333333333" style="442" customWidth="1"/>
    <col min="3" max="3" width="5.75" style="457" customWidth="1"/>
    <col min="4" max="4" width="5.53333333333333" style="457" customWidth="1"/>
    <col min="5" max="5" width="18.025" style="457" customWidth="1"/>
    <col min="6" max="6" width="41.25" customWidth="1"/>
    <col min="8" max="9" width="10.625"/>
    <col min="10" max="10" width="12.375"/>
    <col min="11" max="11" width="16"/>
    <col min="12" max="12" width="21.0666666666667" customWidth="1"/>
    <col min="13" max="13" width="29.4583333333333" customWidth="1"/>
    <col min="14" max="14" width="52.6833333333333" customWidth="1"/>
    <col min="15" max="15" width="14.375"/>
    <col min="17" max="17" width="9.875"/>
    <col min="18" max="18" width="23.0333333333333" customWidth="1"/>
  </cols>
  <sheetData>
    <row r="1" s="454" customFormat="1" ht="33" customHeight="1" spans="1:17">
      <c r="A1" s="466" t="s">
        <v>583</v>
      </c>
      <c r="B1" s="467" t="s">
        <v>584</v>
      </c>
      <c r="C1" s="468"/>
      <c r="D1" s="468"/>
      <c r="E1" s="469">
        <f>K1+K67+K291+K564+K712+K943+K1109+K1186+K1356+K1514</f>
        <v>490046.284</v>
      </c>
      <c r="F1" s="470" t="s">
        <v>585</v>
      </c>
      <c r="G1" s="471">
        <f>O1+O67+O291+O564+O712+O943+O1109+O1186+O1356+O1514</f>
        <v>167177.445</v>
      </c>
      <c r="H1" s="472"/>
      <c r="I1" s="473"/>
      <c r="J1" s="474" t="s">
        <v>28</v>
      </c>
      <c r="K1" s="475">
        <f>SUM(K4:K65)</f>
        <v>8954.284</v>
      </c>
      <c r="L1" s="476" t="s">
        <v>29</v>
      </c>
      <c r="M1" s="477">
        <f>材料!L299</f>
        <v>4650.334</v>
      </c>
      <c r="N1" s="470" t="s">
        <v>30</v>
      </c>
      <c r="O1" s="477">
        <f>K11+K19+K26+K33+K38+K43+K51+K60+K65</f>
        <v>4237.55</v>
      </c>
      <c r="P1" s="478" t="s">
        <v>31</v>
      </c>
      <c r="Q1" s="477"/>
    </row>
    <row r="2" s="454" customFormat="1" ht="18" customHeight="1" spans="1:17">
      <c r="A2" s="479"/>
      <c r="B2" s="480"/>
      <c r="C2" s="480"/>
      <c r="D2" s="480"/>
      <c r="E2" s="480"/>
      <c r="F2" s="481"/>
      <c r="G2" s="481"/>
      <c r="H2" s="481"/>
      <c r="I2" s="481"/>
      <c r="J2" s="478" t="s">
        <v>32</v>
      </c>
      <c r="K2" s="478"/>
      <c r="L2" s="476" t="s">
        <v>33</v>
      </c>
      <c r="M2" s="477">
        <f>K27+K44</f>
        <v>64</v>
      </c>
      <c r="N2" s="482" t="s">
        <v>34</v>
      </c>
      <c r="O2" s="475">
        <f>M1+M2+O1+Q1</f>
        <v>8951.884</v>
      </c>
      <c r="P2" s="476"/>
      <c r="Q2" s="476"/>
    </row>
    <row r="3" s="455" customFormat="1" ht="24" customHeight="1" spans="1:17">
      <c r="A3" s="483" t="s">
        <v>35</v>
      </c>
      <c r="B3" s="484" t="s">
        <v>36</v>
      </c>
      <c r="C3" s="485" t="s">
        <v>37</v>
      </c>
      <c r="D3" s="485"/>
      <c r="E3" s="485"/>
      <c r="F3" s="486" t="s">
        <v>38</v>
      </c>
      <c r="G3" s="486" t="s">
        <v>4</v>
      </c>
      <c r="H3" s="486" t="s">
        <v>5</v>
      </c>
      <c r="I3" s="486" t="s">
        <v>6</v>
      </c>
      <c r="J3" s="486" t="s">
        <v>7</v>
      </c>
      <c r="K3" s="486" t="s">
        <v>8</v>
      </c>
      <c r="L3" s="486" t="s">
        <v>39</v>
      </c>
      <c r="M3" s="486" t="s">
        <v>40</v>
      </c>
      <c r="N3" s="487"/>
      <c r="O3" s="487"/>
    </row>
    <row r="4" s="456" customFormat="1" spans="1:17">
      <c r="A4" s="488">
        <v>45706</v>
      </c>
      <c r="B4" s="489" t="s">
        <v>565</v>
      </c>
      <c r="C4" s="490">
        <v>45706</v>
      </c>
      <c r="D4" s="491"/>
      <c r="E4" s="491"/>
      <c r="F4" s="456" t="s">
        <v>16</v>
      </c>
      <c r="G4" s="489">
        <v>1</v>
      </c>
      <c r="H4" s="489">
        <v>99.5</v>
      </c>
      <c r="I4" s="491">
        <f t="shared" ref="I4:I65" si="0">G4*H4</f>
        <v>99.5</v>
      </c>
      <c r="J4" s="492"/>
      <c r="K4" s="492"/>
    </row>
    <row r="5" s="456" customFormat="1" spans="1:17">
      <c r="A5" s="488">
        <v>45707</v>
      </c>
      <c r="B5" s="489" t="s">
        <v>565</v>
      </c>
      <c r="C5" s="490">
        <v>45706</v>
      </c>
      <c r="D5" s="491"/>
      <c r="E5" s="491"/>
      <c r="F5" s="456" t="s">
        <v>533</v>
      </c>
      <c r="G5" s="489">
        <v>1</v>
      </c>
      <c r="H5" s="489">
        <v>154.5</v>
      </c>
      <c r="I5" s="491">
        <f t="shared" si="0"/>
        <v>154.5</v>
      </c>
      <c r="J5" s="492"/>
      <c r="K5" s="492"/>
    </row>
    <row r="6" s="456" customFormat="1" spans="1:17">
      <c r="A6" s="488">
        <v>45707</v>
      </c>
      <c r="B6" s="489" t="s">
        <v>565</v>
      </c>
      <c r="C6" s="490">
        <v>45706</v>
      </c>
      <c r="D6" s="491"/>
      <c r="E6" s="491"/>
      <c r="F6" s="456" t="s">
        <v>547</v>
      </c>
      <c r="G6" s="489">
        <v>1</v>
      </c>
      <c r="H6" s="489">
        <v>39</v>
      </c>
      <c r="I6" s="491">
        <f t="shared" si="0"/>
        <v>39</v>
      </c>
      <c r="J6" s="492"/>
      <c r="K6" s="492"/>
    </row>
    <row r="7" s="456" customFormat="1" spans="1:17">
      <c r="A7" s="488">
        <v>45707</v>
      </c>
      <c r="B7" s="489" t="s">
        <v>565</v>
      </c>
      <c r="C7" s="490">
        <v>45706</v>
      </c>
      <c r="D7" s="491"/>
      <c r="E7" s="491"/>
      <c r="F7" s="456" t="s">
        <v>352</v>
      </c>
      <c r="G7" s="489">
        <v>1</v>
      </c>
      <c r="H7" s="489">
        <v>110</v>
      </c>
      <c r="I7" s="491">
        <f t="shared" si="0"/>
        <v>110</v>
      </c>
      <c r="J7" s="492"/>
      <c r="K7" s="492"/>
      <c r="L7" s="456" t="s">
        <v>116</v>
      </c>
    </row>
    <row r="8" s="456" customFormat="1" spans="1:17">
      <c r="A8" s="488">
        <v>45707</v>
      </c>
      <c r="B8" s="489" t="s">
        <v>565</v>
      </c>
      <c r="C8" s="490">
        <v>45706</v>
      </c>
      <c r="D8" s="491"/>
      <c r="E8" s="491"/>
      <c r="F8" s="456" t="s">
        <v>115</v>
      </c>
      <c r="G8" s="489">
        <v>1</v>
      </c>
      <c r="H8" s="489">
        <v>55</v>
      </c>
      <c r="I8" s="491">
        <f t="shared" si="0"/>
        <v>55</v>
      </c>
      <c r="J8" s="492"/>
      <c r="K8" s="492"/>
    </row>
    <row r="9" s="456" customFormat="1" spans="1:17">
      <c r="A9" s="488">
        <v>45707</v>
      </c>
      <c r="B9" s="489" t="s">
        <v>565</v>
      </c>
      <c r="C9" s="490">
        <v>45706</v>
      </c>
      <c r="D9" s="491"/>
      <c r="E9" s="491"/>
      <c r="F9" s="493">
        <v>808</v>
      </c>
      <c r="G9" s="489">
        <v>1</v>
      </c>
      <c r="H9" s="489">
        <v>28.5</v>
      </c>
      <c r="I9" s="491">
        <f t="shared" si="0"/>
        <v>28.5</v>
      </c>
      <c r="J9" s="492">
        <v>10</v>
      </c>
      <c r="K9" s="492">
        <f t="shared" ref="K9:K11" si="1">I9*J9</f>
        <v>285</v>
      </c>
    </row>
    <row r="10" s="456" customFormat="1" spans="1:17">
      <c r="A10" s="488">
        <v>45707</v>
      </c>
      <c r="B10" s="489" t="s">
        <v>565</v>
      </c>
      <c r="C10" s="490">
        <v>45706</v>
      </c>
      <c r="D10" s="491"/>
      <c r="E10" s="491"/>
      <c r="F10" s="493" t="s">
        <v>125</v>
      </c>
      <c r="G10" s="489">
        <v>1</v>
      </c>
      <c r="H10" s="489">
        <v>65.5</v>
      </c>
      <c r="I10" s="491">
        <f t="shared" si="0"/>
        <v>65.5</v>
      </c>
      <c r="J10" s="492">
        <v>6.2</v>
      </c>
      <c r="K10" s="492">
        <f t="shared" si="1"/>
        <v>406.1</v>
      </c>
    </row>
    <row r="11" s="456" customFormat="1" ht="19" customHeight="1" spans="1:17">
      <c r="A11" s="488">
        <v>45707</v>
      </c>
      <c r="B11" s="489" t="s">
        <v>565</v>
      </c>
      <c r="C11" s="490">
        <v>45706</v>
      </c>
      <c r="D11" s="491"/>
      <c r="E11" s="491"/>
      <c r="F11" s="456" t="s">
        <v>435</v>
      </c>
      <c r="G11" s="489">
        <v>1</v>
      </c>
      <c r="H11" s="489">
        <f>SUM(H4:H10)</f>
        <v>552</v>
      </c>
      <c r="I11" s="491">
        <f t="shared" si="0"/>
        <v>552</v>
      </c>
      <c r="J11" s="492">
        <v>1</v>
      </c>
      <c r="K11" s="492">
        <f t="shared" si="1"/>
        <v>552</v>
      </c>
      <c r="L11" s="456">
        <f>SUM(K4:K11)</f>
        <v>1243.1</v>
      </c>
    </row>
    <row r="12" s="457" customFormat="1" spans="1:17">
      <c r="A12" s="494">
        <v>45707</v>
      </c>
      <c r="B12" s="442" t="s">
        <v>455</v>
      </c>
      <c r="C12" s="495">
        <v>45706</v>
      </c>
      <c r="D12" s="463"/>
      <c r="E12" s="463"/>
      <c r="F12" s="496" t="s">
        <v>16</v>
      </c>
      <c r="G12" s="463">
        <v>1</v>
      </c>
      <c r="H12" s="432">
        <v>90</v>
      </c>
      <c r="I12" s="463">
        <f t="shared" si="0"/>
        <v>90</v>
      </c>
      <c r="J12" s="497"/>
      <c r="K12" s="497"/>
    </row>
    <row r="13" s="457" customFormat="1" spans="1:17">
      <c r="A13" s="494">
        <v>45707</v>
      </c>
      <c r="B13" s="442" t="s">
        <v>455</v>
      </c>
      <c r="C13" s="495">
        <v>45706</v>
      </c>
      <c r="D13" s="463"/>
      <c r="E13" s="463"/>
      <c r="F13" s="496" t="s">
        <v>300</v>
      </c>
      <c r="G13" s="463">
        <v>1</v>
      </c>
      <c r="H13" s="432">
        <v>90</v>
      </c>
      <c r="I13" s="463">
        <f t="shared" si="0"/>
        <v>90</v>
      </c>
      <c r="J13" s="497"/>
      <c r="K13" s="497"/>
    </row>
    <row r="14" s="457" customFormat="1" spans="1:17">
      <c r="A14" s="494">
        <v>45707</v>
      </c>
      <c r="B14" s="442" t="s">
        <v>455</v>
      </c>
      <c r="C14" s="495">
        <v>45706</v>
      </c>
      <c r="D14" s="463"/>
      <c r="E14" s="463"/>
      <c r="F14" s="496" t="s">
        <v>546</v>
      </c>
      <c r="G14" s="463">
        <v>1</v>
      </c>
      <c r="H14" s="432">
        <v>128</v>
      </c>
      <c r="I14" s="463">
        <f t="shared" si="0"/>
        <v>128</v>
      </c>
      <c r="J14" s="497"/>
      <c r="K14" s="497"/>
    </row>
    <row r="15" s="457" customFormat="1" spans="1:17">
      <c r="A15" s="494">
        <v>45707</v>
      </c>
      <c r="B15" s="442" t="s">
        <v>455</v>
      </c>
      <c r="C15" s="495">
        <v>45706</v>
      </c>
      <c r="D15" s="463"/>
      <c r="E15" s="463"/>
      <c r="F15" s="496">
        <v>808</v>
      </c>
      <c r="G15" s="463">
        <v>1</v>
      </c>
      <c r="H15" s="432">
        <v>60</v>
      </c>
      <c r="I15" s="463">
        <f t="shared" si="0"/>
        <v>60</v>
      </c>
      <c r="J15" s="497">
        <v>10</v>
      </c>
      <c r="K15" s="497">
        <f t="shared" ref="K15:K17" si="2">I15*J15</f>
        <v>600</v>
      </c>
      <c r="L15" s="457" t="s">
        <v>436</v>
      </c>
    </row>
    <row r="16" s="457" customFormat="1" spans="1:17">
      <c r="A16" s="494">
        <v>45707</v>
      </c>
      <c r="B16" s="442" t="s">
        <v>455</v>
      </c>
      <c r="C16" s="495">
        <v>45706</v>
      </c>
      <c r="D16" s="463"/>
      <c r="E16" s="463"/>
      <c r="F16" s="496" t="s">
        <v>125</v>
      </c>
      <c r="G16" s="463">
        <v>1</v>
      </c>
      <c r="H16" s="432">
        <v>130</v>
      </c>
      <c r="I16" s="463">
        <f t="shared" si="0"/>
        <v>130</v>
      </c>
      <c r="J16" s="497">
        <v>6.2</v>
      </c>
      <c r="K16" s="497">
        <f t="shared" si="2"/>
        <v>806</v>
      </c>
      <c r="L16" s="457" t="e">
        <f>SUBTOTAL(9,#REF!)</f>
        <v>#REF!</v>
      </c>
    </row>
    <row r="17" s="457" customFormat="1" spans="1:15">
      <c r="A17" s="494">
        <v>45707</v>
      </c>
      <c r="B17" s="442" t="s">
        <v>455</v>
      </c>
      <c r="C17" s="495">
        <v>45706</v>
      </c>
      <c r="D17" s="463"/>
      <c r="E17" s="463"/>
      <c r="F17" s="496" t="s">
        <v>12</v>
      </c>
      <c r="G17" s="463">
        <v>1</v>
      </c>
      <c r="H17" s="432">
        <v>12</v>
      </c>
      <c r="I17" s="463">
        <f t="shared" si="0"/>
        <v>12</v>
      </c>
      <c r="J17" s="497">
        <v>7.8</v>
      </c>
      <c r="K17" s="497">
        <f t="shared" si="2"/>
        <v>93.6</v>
      </c>
    </row>
    <row r="18" s="457" customFormat="1" spans="1:15">
      <c r="A18" s="494">
        <v>45707</v>
      </c>
      <c r="B18" s="442" t="s">
        <v>455</v>
      </c>
      <c r="C18" s="495">
        <v>45706</v>
      </c>
      <c r="D18" s="463"/>
      <c r="E18" s="463"/>
      <c r="F18" s="496" t="s">
        <v>240</v>
      </c>
      <c r="G18" s="463">
        <v>1</v>
      </c>
      <c r="H18" s="432">
        <v>90</v>
      </c>
      <c r="I18" s="463">
        <f t="shared" si="0"/>
        <v>90</v>
      </c>
      <c r="J18" s="497"/>
      <c r="K18" s="497"/>
    </row>
    <row r="19" s="457" customFormat="1" spans="1:15">
      <c r="A19" s="494">
        <v>45707</v>
      </c>
      <c r="B19" s="442" t="s">
        <v>455</v>
      </c>
      <c r="C19" s="495">
        <v>45706</v>
      </c>
      <c r="D19" s="463"/>
      <c r="E19" s="463"/>
      <c r="F19" s="496" t="s">
        <v>301</v>
      </c>
      <c r="G19" s="463">
        <v>1</v>
      </c>
      <c r="H19" s="432">
        <f>SUM(H12:H18)</f>
        <v>600</v>
      </c>
      <c r="I19" s="463">
        <f t="shared" si="0"/>
        <v>600</v>
      </c>
      <c r="J19" s="497">
        <v>1</v>
      </c>
      <c r="K19" s="497">
        <f t="shared" ref="K19:K27" si="3">I19*J19</f>
        <v>600</v>
      </c>
      <c r="L19" s="457">
        <f>SUM(K12:K19)</f>
        <v>2099.6</v>
      </c>
    </row>
    <row r="20" s="456" customFormat="1" spans="1:15">
      <c r="A20" s="488">
        <v>45710</v>
      </c>
      <c r="B20" s="489" t="s">
        <v>423</v>
      </c>
      <c r="C20" s="490">
        <v>45709</v>
      </c>
      <c r="D20" s="491"/>
      <c r="E20" s="491"/>
      <c r="F20" s="456" t="s">
        <v>566</v>
      </c>
      <c r="G20" s="489">
        <v>1</v>
      </c>
      <c r="H20" s="489">
        <v>673</v>
      </c>
      <c r="I20" s="491">
        <f t="shared" si="0"/>
        <v>673</v>
      </c>
      <c r="J20" s="492"/>
      <c r="K20" s="492"/>
    </row>
    <row r="21" s="456" customFormat="1" spans="1:15">
      <c r="A21" s="488">
        <v>45710</v>
      </c>
      <c r="B21" s="489" t="s">
        <v>423</v>
      </c>
      <c r="C21" s="490">
        <v>45709</v>
      </c>
      <c r="D21" s="491"/>
      <c r="E21" s="491"/>
      <c r="F21" s="456" t="s">
        <v>567</v>
      </c>
      <c r="G21" s="489">
        <v>1</v>
      </c>
      <c r="H21" s="489">
        <v>3</v>
      </c>
      <c r="I21" s="491">
        <f t="shared" si="0"/>
        <v>3</v>
      </c>
      <c r="J21" s="492"/>
      <c r="K21" s="492"/>
    </row>
    <row r="22" s="456" customFormat="1" spans="1:15">
      <c r="A22" s="488">
        <v>45710</v>
      </c>
      <c r="B22" s="489" t="s">
        <v>423</v>
      </c>
      <c r="C22" s="490">
        <v>45709</v>
      </c>
      <c r="D22" s="491"/>
      <c r="E22" s="491"/>
      <c r="F22" s="456" t="s">
        <v>191</v>
      </c>
      <c r="G22" s="489">
        <v>1</v>
      </c>
      <c r="H22" s="489">
        <v>20.5</v>
      </c>
      <c r="I22" s="491">
        <f t="shared" si="0"/>
        <v>20.5</v>
      </c>
      <c r="J22" s="492">
        <v>17</v>
      </c>
      <c r="K22" s="492">
        <f t="shared" si="3"/>
        <v>348.5</v>
      </c>
      <c r="M22" s="456" t="s">
        <v>568</v>
      </c>
    </row>
    <row r="23" s="456" customFormat="1" spans="1:15">
      <c r="A23" s="488">
        <v>45710</v>
      </c>
      <c r="B23" s="489" t="s">
        <v>423</v>
      </c>
      <c r="C23" s="490">
        <v>45709</v>
      </c>
      <c r="D23" s="491"/>
      <c r="E23" s="491"/>
      <c r="F23" s="456" t="s">
        <v>137</v>
      </c>
      <c r="G23" s="489">
        <v>1</v>
      </c>
      <c r="H23" s="489">
        <v>65</v>
      </c>
      <c r="I23" s="491">
        <f t="shared" si="0"/>
        <v>65</v>
      </c>
      <c r="J23" s="492">
        <v>0.9</v>
      </c>
      <c r="K23" s="492">
        <f t="shared" si="3"/>
        <v>58.5</v>
      </c>
      <c r="L23" s="457" t="s">
        <v>116</v>
      </c>
      <c r="M23" s="456" t="s">
        <v>569</v>
      </c>
    </row>
    <row r="24" s="456" customFormat="1" spans="1:15">
      <c r="A24" s="488">
        <v>45710</v>
      </c>
      <c r="B24" s="489" t="s">
        <v>423</v>
      </c>
      <c r="C24" s="490">
        <v>45709</v>
      </c>
      <c r="D24" s="491"/>
      <c r="E24" s="491"/>
      <c r="F24" s="456" t="s">
        <v>132</v>
      </c>
      <c r="G24" s="489">
        <v>1</v>
      </c>
      <c r="H24" s="489">
        <v>4</v>
      </c>
      <c r="I24" s="491">
        <f t="shared" si="0"/>
        <v>4</v>
      </c>
      <c r="J24" s="492">
        <v>3.7</v>
      </c>
      <c r="K24" s="492">
        <f t="shared" si="3"/>
        <v>14.8</v>
      </c>
      <c r="M24" s="456" t="s">
        <v>570</v>
      </c>
    </row>
    <row r="25" s="456" customFormat="1" spans="1:15">
      <c r="A25" s="488">
        <v>45710</v>
      </c>
      <c r="B25" s="489" t="s">
        <v>423</v>
      </c>
      <c r="C25" s="490">
        <v>45709</v>
      </c>
      <c r="D25" s="491"/>
      <c r="E25" s="491"/>
      <c r="F25" s="493" t="s">
        <v>125</v>
      </c>
      <c r="G25" s="489">
        <v>1</v>
      </c>
      <c r="H25" s="489">
        <v>4.5</v>
      </c>
      <c r="I25" s="491">
        <f t="shared" si="0"/>
        <v>4.5</v>
      </c>
      <c r="J25" s="492">
        <v>6.2</v>
      </c>
      <c r="K25" s="492">
        <f t="shared" si="3"/>
        <v>27.9</v>
      </c>
    </row>
    <row r="26" s="456" customFormat="1" ht="19" customHeight="1" spans="1:15">
      <c r="A26" s="488">
        <v>45710</v>
      </c>
      <c r="B26" s="489" t="s">
        <v>423</v>
      </c>
      <c r="C26" s="490">
        <v>45709</v>
      </c>
      <c r="D26" s="491"/>
      <c r="E26" s="491"/>
      <c r="F26" s="456" t="s">
        <v>571</v>
      </c>
      <c r="G26" s="489">
        <v>1</v>
      </c>
      <c r="H26" s="489">
        <f>SUM(H20:H25)</f>
        <v>770</v>
      </c>
      <c r="I26" s="491">
        <f t="shared" si="0"/>
        <v>770</v>
      </c>
      <c r="J26" s="492">
        <v>1</v>
      </c>
      <c r="K26" s="492">
        <f t="shared" si="3"/>
        <v>770</v>
      </c>
    </row>
    <row r="27" s="457" customFormat="1" spans="1:15">
      <c r="A27" s="488">
        <v>45710</v>
      </c>
      <c r="B27" s="489" t="s">
        <v>423</v>
      </c>
      <c r="C27" s="490">
        <v>45709</v>
      </c>
      <c r="D27" s="491"/>
      <c r="E27" s="491"/>
      <c r="F27" s="498" t="s">
        <v>572</v>
      </c>
      <c r="G27" s="491">
        <v>4</v>
      </c>
      <c r="H27" s="431">
        <v>1</v>
      </c>
      <c r="I27" s="491">
        <f t="shared" si="0"/>
        <v>4</v>
      </c>
      <c r="J27" s="492">
        <v>12.5</v>
      </c>
      <c r="K27" s="492">
        <f t="shared" si="3"/>
        <v>50</v>
      </c>
      <c r="L27" s="457">
        <f>SUM(K20:K27)</f>
        <v>1269.7</v>
      </c>
    </row>
    <row r="28" s="457" customFormat="1" spans="1:15">
      <c r="A28" s="494">
        <v>45710</v>
      </c>
      <c r="B28" s="442" t="s">
        <v>461</v>
      </c>
      <c r="C28" s="495">
        <v>45710</v>
      </c>
      <c r="D28" s="463"/>
      <c r="E28" s="463"/>
      <c r="F28" s="496" t="s">
        <v>16</v>
      </c>
      <c r="G28" s="463">
        <v>1</v>
      </c>
      <c r="H28" s="432">
        <v>48</v>
      </c>
      <c r="I28" s="463">
        <f t="shared" si="0"/>
        <v>48</v>
      </c>
      <c r="J28" s="497"/>
      <c r="K28" s="497"/>
      <c r="O28" s="456"/>
    </row>
    <row r="29" s="457" customFormat="1" spans="1:15">
      <c r="A29" s="494">
        <v>45710</v>
      </c>
      <c r="B29" s="442" t="s">
        <v>461</v>
      </c>
      <c r="C29" s="495">
        <v>45710</v>
      </c>
      <c r="D29" s="463"/>
      <c r="E29" s="463"/>
      <c r="F29" s="496" t="s">
        <v>444</v>
      </c>
      <c r="G29" s="463">
        <v>1</v>
      </c>
      <c r="H29" s="432">
        <v>4.5</v>
      </c>
      <c r="I29" s="463">
        <f t="shared" si="0"/>
        <v>4.5</v>
      </c>
      <c r="J29" s="497"/>
      <c r="K29" s="497"/>
      <c r="O29" s="456"/>
    </row>
    <row r="30" s="457" customFormat="1" spans="1:15">
      <c r="A30" s="494">
        <v>45710</v>
      </c>
      <c r="B30" s="442" t="s">
        <v>461</v>
      </c>
      <c r="C30" s="495">
        <v>45710</v>
      </c>
      <c r="D30" s="463"/>
      <c r="E30" s="463"/>
      <c r="F30" s="496">
        <v>996</v>
      </c>
      <c r="G30" s="463">
        <v>1</v>
      </c>
      <c r="H30" s="432">
        <v>150</v>
      </c>
      <c r="I30" s="463">
        <f t="shared" si="0"/>
        <v>150</v>
      </c>
      <c r="J30" s="497"/>
      <c r="K30" s="497"/>
      <c r="O30" s="456"/>
    </row>
    <row r="31" s="457" customFormat="1" spans="1:15">
      <c r="A31" s="494">
        <v>45710</v>
      </c>
      <c r="B31" s="442" t="s">
        <v>461</v>
      </c>
      <c r="C31" s="495">
        <v>45710</v>
      </c>
      <c r="D31" s="463"/>
      <c r="E31" s="463"/>
      <c r="F31" s="496" t="s">
        <v>12</v>
      </c>
      <c r="G31" s="463">
        <v>1</v>
      </c>
      <c r="H31" s="432">
        <v>30</v>
      </c>
      <c r="I31" s="463">
        <f t="shared" si="0"/>
        <v>30</v>
      </c>
      <c r="J31" s="497">
        <v>7.8</v>
      </c>
      <c r="K31" s="497">
        <f t="shared" ref="K31:K33" si="4">I31*J31</f>
        <v>234</v>
      </c>
      <c r="O31" s="456"/>
    </row>
    <row r="32" s="457" customFormat="1" spans="1:15">
      <c r="A32" s="494">
        <v>45710</v>
      </c>
      <c r="B32" s="442" t="s">
        <v>461</v>
      </c>
      <c r="C32" s="495">
        <v>45710</v>
      </c>
      <c r="D32" s="463"/>
      <c r="E32" s="463"/>
      <c r="F32" s="496" t="s">
        <v>152</v>
      </c>
      <c r="G32" s="463">
        <v>1</v>
      </c>
      <c r="H32" s="432">
        <v>30</v>
      </c>
      <c r="I32" s="463">
        <f t="shared" si="0"/>
        <v>30</v>
      </c>
      <c r="J32" s="497">
        <v>7.8</v>
      </c>
      <c r="K32" s="497">
        <f t="shared" si="4"/>
        <v>234</v>
      </c>
      <c r="O32" s="456"/>
    </row>
    <row r="33" s="457" customFormat="1" spans="1:15">
      <c r="A33" s="494">
        <v>45710</v>
      </c>
      <c r="B33" s="442" t="s">
        <v>461</v>
      </c>
      <c r="C33" s="495">
        <v>45710</v>
      </c>
      <c r="D33" s="463"/>
      <c r="E33" s="463"/>
      <c r="F33" s="499" t="s">
        <v>456</v>
      </c>
      <c r="G33" s="463">
        <v>1</v>
      </c>
      <c r="H33" s="500">
        <f>SUM(H28:H32)</f>
        <v>262.5</v>
      </c>
      <c r="I33" s="501">
        <f t="shared" si="0"/>
        <v>262.5</v>
      </c>
      <c r="J33" s="502">
        <v>3</v>
      </c>
      <c r="K33" s="502">
        <f t="shared" si="4"/>
        <v>787.5</v>
      </c>
      <c r="L33" s="464">
        <f>SUM(K28:K33)</f>
        <v>1255.5</v>
      </c>
      <c r="O33" s="456"/>
    </row>
    <row r="34" s="456" customFormat="1" spans="1:15">
      <c r="A34" s="488">
        <v>45710</v>
      </c>
      <c r="B34" s="489" t="s">
        <v>427</v>
      </c>
      <c r="C34" s="490">
        <v>45710</v>
      </c>
      <c r="D34" s="491"/>
      <c r="E34" s="491"/>
      <c r="F34" s="493" t="s">
        <v>16</v>
      </c>
      <c r="G34" s="491">
        <v>1</v>
      </c>
      <c r="H34" s="431">
        <v>24</v>
      </c>
      <c r="I34" s="491">
        <f t="shared" si="0"/>
        <v>24</v>
      </c>
      <c r="J34" s="492"/>
      <c r="K34" s="492"/>
    </row>
    <row r="35" s="456" customFormat="1" spans="1:15">
      <c r="A35" s="488">
        <v>45710</v>
      </c>
      <c r="B35" s="489" t="s">
        <v>427</v>
      </c>
      <c r="C35" s="490">
        <v>45710</v>
      </c>
      <c r="D35" s="491"/>
      <c r="E35" s="491"/>
      <c r="F35" s="493">
        <v>996</v>
      </c>
      <c r="G35" s="491">
        <v>1</v>
      </c>
      <c r="H35" s="431">
        <v>75</v>
      </c>
      <c r="I35" s="491">
        <f t="shared" si="0"/>
        <v>75</v>
      </c>
      <c r="J35" s="492"/>
      <c r="K35" s="492"/>
    </row>
    <row r="36" s="456" customFormat="1" spans="1:15">
      <c r="A36" s="488">
        <v>45710</v>
      </c>
      <c r="B36" s="489" t="s">
        <v>427</v>
      </c>
      <c r="C36" s="490">
        <v>45710</v>
      </c>
      <c r="D36" s="491"/>
      <c r="E36" s="491"/>
      <c r="F36" s="493" t="s">
        <v>12</v>
      </c>
      <c r="G36" s="491">
        <v>1</v>
      </c>
      <c r="H36" s="431">
        <v>15</v>
      </c>
      <c r="I36" s="491">
        <f t="shared" si="0"/>
        <v>15</v>
      </c>
      <c r="J36" s="492">
        <v>7.8</v>
      </c>
      <c r="K36" s="492">
        <f t="shared" ref="K36:K38" si="5">I36*J36</f>
        <v>117</v>
      </c>
    </row>
    <row r="37" s="456" customFormat="1" spans="1:15">
      <c r="A37" s="488">
        <v>45710</v>
      </c>
      <c r="B37" s="489" t="s">
        <v>427</v>
      </c>
      <c r="C37" s="490">
        <v>45710</v>
      </c>
      <c r="D37" s="491"/>
      <c r="E37" s="491"/>
      <c r="F37" s="493" t="s">
        <v>152</v>
      </c>
      <c r="G37" s="491">
        <v>1</v>
      </c>
      <c r="H37" s="431">
        <v>15</v>
      </c>
      <c r="I37" s="491">
        <f t="shared" si="0"/>
        <v>15</v>
      </c>
      <c r="J37" s="492">
        <v>7.8</v>
      </c>
      <c r="K37" s="492">
        <f t="shared" si="5"/>
        <v>117</v>
      </c>
    </row>
    <row r="38" s="456" customFormat="1" spans="1:15">
      <c r="A38" s="488">
        <v>45710</v>
      </c>
      <c r="B38" s="489" t="s">
        <v>427</v>
      </c>
      <c r="C38" s="490">
        <v>45710</v>
      </c>
      <c r="D38" s="491"/>
      <c r="E38" s="491"/>
      <c r="F38" s="493" t="s">
        <v>456</v>
      </c>
      <c r="G38" s="491">
        <v>1</v>
      </c>
      <c r="H38" s="431">
        <f>SUM(H34:H37)</f>
        <v>129</v>
      </c>
      <c r="I38" s="491">
        <f t="shared" si="0"/>
        <v>129</v>
      </c>
      <c r="J38" s="492">
        <v>3</v>
      </c>
      <c r="K38" s="492">
        <f t="shared" si="5"/>
        <v>387</v>
      </c>
      <c r="L38" s="456">
        <f>SUM(K34:K38)</f>
        <v>621</v>
      </c>
    </row>
    <row r="39" s="457" customFormat="1" spans="1:15">
      <c r="A39" s="494">
        <v>45712</v>
      </c>
      <c r="B39" s="442" t="s">
        <v>370</v>
      </c>
      <c r="C39" s="495" t="s">
        <v>573</v>
      </c>
      <c r="D39" s="463"/>
      <c r="E39" s="463"/>
      <c r="F39" s="496" t="s">
        <v>16</v>
      </c>
      <c r="G39" s="463">
        <v>1</v>
      </c>
      <c r="H39" s="432">
        <v>50</v>
      </c>
      <c r="I39" s="463">
        <f t="shared" si="0"/>
        <v>50</v>
      </c>
      <c r="J39" s="497">
        <v>13.6</v>
      </c>
      <c r="K39" s="497"/>
      <c r="O39" s="456"/>
    </row>
    <row r="40" s="457" customFormat="1" spans="1:15">
      <c r="A40" s="494">
        <v>45712</v>
      </c>
      <c r="B40" s="442" t="s">
        <v>370</v>
      </c>
      <c r="C40" s="495" t="s">
        <v>573</v>
      </c>
      <c r="D40" s="463"/>
      <c r="E40" s="463"/>
      <c r="F40" s="496" t="s">
        <v>574</v>
      </c>
      <c r="G40" s="463">
        <v>1</v>
      </c>
      <c r="H40" s="432">
        <v>25</v>
      </c>
      <c r="I40" s="463">
        <f t="shared" si="0"/>
        <v>25</v>
      </c>
      <c r="J40" s="497">
        <v>49</v>
      </c>
      <c r="K40" s="497"/>
      <c r="L40" s="457" t="s">
        <v>575</v>
      </c>
      <c r="O40" s="456"/>
    </row>
    <row r="41" s="457" customFormat="1" spans="1:15">
      <c r="A41" s="494">
        <v>45712</v>
      </c>
      <c r="B41" s="442" t="s">
        <v>370</v>
      </c>
      <c r="C41" s="495" t="s">
        <v>573</v>
      </c>
      <c r="D41" s="463"/>
      <c r="E41" s="463"/>
      <c r="F41" s="496" t="s">
        <v>406</v>
      </c>
      <c r="G41" s="463">
        <v>1</v>
      </c>
      <c r="H41" s="432">
        <v>45</v>
      </c>
      <c r="I41" s="463">
        <f t="shared" si="0"/>
        <v>45</v>
      </c>
      <c r="J41" s="497">
        <v>10</v>
      </c>
      <c r="K41" s="497">
        <f t="shared" ref="K41:K44" si="6">I41*J41</f>
        <v>450</v>
      </c>
      <c r="L41" s="457" t="s">
        <v>576</v>
      </c>
      <c r="O41" s="456"/>
    </row>
    <row r="42" s="457" customFormat="1" spans="1:15">
      <c r="A42" s="494">
        <v>45712</v>
      </c>
      <c r="B42" s="442" t="s">
        <v>370</v>
      </c>
      <c r="C42" s="495" t="s">
        <v>573</v>
      </c>
      <c r="D42" s="463"/>
      <c r="E42" s="463"/>
      <c r="F42" s="496" t="s">
        <v>125</v>
      </c>
      <c r="G42" s="463">
        <v>1</v>
      </c>
      <c r="H42" s="432">
        <v>50</v>
      </c>
      <c r="I42" s="463">
        <f t="shared" si="0"/>
        <v>50</v>
      </c>
      <c r="J42" s="497">
        <v>6.2</v>
      </c>
      <c r="K42" s="497">
        <f t="shared" si="6"/>
        <v>310</v>
      </c>
      <c r="O42" s="456"/>
    </row>
    <row r="43" s="457" customFormat="1" spans="1:15">
      <c r="A43" s="494">
        <v>45712</v>
      </c>
      <c r="B43" s="442" t="s">
        <v>370</v>
      </c>
      <c r="C43" s="495" t="s">
        <v>573</v>
      </c>
      <c r="D43" s="463"/>
      <c r="E43" s="463"/>
      <c r="F43" s="499" t="s">
        <v>412</v>
      </c>
      <c r="G43" s="463">
        <v>1</v>
      </c>
      <c r="H43" s="500">
        <f>SUM(H39:H42)</f>
        <v>170</v>
      </c>
      <c r="I43" s="501">
        <f t="shared" si="0"/>
        <v>170</v>
      </c>
      <c r="J43" s="502">
        <v>5</v>
      </c>
      <c r="K43" s="502">
        <f t="shared" si="6"/>
        <v>850</v>
      </c>
      <c r="L43" s="464">
        <f>SUM(K39:K43)</f>
        <v>1610</v>
      </c>
      <c r="O43" s="456"/>
    </row>
    <row r="44" s="457" customFormat="1" spans="1:15">
      <c r="A44" s="494">
        <v>45712</v>
      </c>
      <c r="B44" s="442" t="s">
        <v>370</v>
      </c>
      <c r="C44" s="495" t="s">
        <v>573</v>
      </c>
      <c r="D44" s="463"/>
      <c r="E44" s="463"/>
      <c r="F44" s="498" t="s">
        <v>577</v>
      </c>
      <c r="G44" s="463">
        <v>2</v>
      </c>
      <c r="H44" s="432">
        <v>1</v>
      </c>
      <c r="I44" s="463">
        <f t="shared" si="0"/>
        <v>2</v>
      </c>
      <c r="J44" s="497">
        <v>7</v>
      </c>
      <c r="K44" s="497">
        <f t="shared" si="6"/>
        <v>14</v>
      </c>
      <c r="L44" s="457" t="s">
        <v>578</v>
      </c>
    </row>
    <row r="45" s="456" customFormat="1" spans="1:15">
      <c r="A45" s="488">
        <v>45714</v>
      </c>
      <c r="B45" s="489" t="s">
        <v>263</v>
      </c>
      <c r="C45" s="490">
        <v>45714</v>
      </c>
      <c r="D45" s="491"/>
      <c r="E45" s="491"/>
      <c r="F45" s="493" t="s">
        <v>16</v>
      </c>
      <c r="G45" s="491">
        <v>1</v>
      </c>
      <c r="H45" s="431">
        <v>7.65</v>
      </c>
      <c r="I45" s="491">
        <f t="shared" si="0"/>
        <v>7.65</v>
      </c>
      <c r="J45" s="492"/>
      <c r="K45" s="492"/>
    </row>
    <row r="46" s="456" customFormat="1" spans="1:15">
      <c r="A46" s="488">
        <v>45714</v>
      </c>
      <c r="B46" s="489" t="s">
        <v>263</v>
      </c>
      <c r="C46" s="490">
        <v>45714</v>
      </c>
      <c r="D46" s="491"/>
      <c r="E46" s="491"/>
      <c r="F46" s="493" t="s">
        <v>345</v>
      </c>
      <c r="G46" s="491">
        <v>1</v>
      </c>
      <c r="H46" s="431">
        <v>7.65</v>
      </c>
      <c r="I46" s="491">
        <f t="shared" si="0"/>
        <v>7.65</v>
      </c>
      <c r="J46" s="492"/>
      <c r="K46" s="492"/>
    </row>
    <row r="47" s="456" customFormat="1" spans="1:15">
      <c r="A47" s="488">
        <v>45714</v>
      </c>
      <c r="B47" s="489" t="s">
        <v>263</v>
      </c>
      <c r="C47" s="490">
        <v>45714</v>
      </c>
      <c r="D47" s="491"/>
      <c r="E47" s="491"/>
      <c r="F47" s="493" t="s">
        <v>553</v>
      </c>
      <c r="G47" s="491">
        <v>1</v>
      </c>
      <c r="H47" s="431">
        <v>10.88</v>
      </c>
      <c r="I47" s="491">
        <f t="shared" si="0"/>
        <v>10.88</v>
      </c>
      <c r="J47" s="492"/>
      <c r="K47" s="492"/>
    </row>
    <row r="48" s="456" customFormat="1" spans="1:15">
      <c r="A48" s="488">
        <v>45714</v>
      </c>
      <c r="B48" s="489" t="s">
        <v>263</v>
      </c>
      <c r="C48" s="490">
        <v>45714</v>
      </c>
      <c r="D48" s="491"/>
      <c r="E48" s="491"/>
      <c r="F48" s="493" t="s">
        <v>240</v>
      </c>
      <c r="G48" s="491">
        <v>1</v>
      </c>
      <c r="H48" s="431">
        <v>7.65</v>
      </c>
      <c r="I48" s="491">
        <f t="shared" si="0"/>
        <v>7.65</v>
      </c>
      <c r="J48" s="492"/>
      <c r="K48" s="492"/>
    </row>
    <row r="49" s="456" customFormat="1" spans="1:15">
      <c r="A49" s="488">
        <v>45714</v>
      </c>
      <c r="B49" s="489" t="s">
        <v>263</v>
      </c>
      <c r="C49" s="490">
        <v>45714</v>
      </c>
      <c r="D49" s="491"/>
      <c r="E49" s="491"/>
      <c r="F49" s="493" t="s">
        <v>406</v>
      </c>
      <c r="G49" s="491">
        <v>1</v>
      </c>
      <c r="H49" s="431">
        <v>5.1</v>
      </c>
      <c r="I49" s="491">
        <f t="shared" si="0"/>
        <v>5.1</v>
      </c>
      <c r="J49" s="492">
        <v>10</v>
      </c>
      <c r="K49" s="492">
        <f t="shared" ref="K49:K51" si="7">I49*J49</f>
        <v>51</v>
      </c>
      <c r="L49" s="456" t="s">
        <v>126</v>
      </c>
    </row>
    <row r="50" s="456" customFormat="1" spans="1:15">
      <c r="A50" s="488">
        <v>45714</v>
      </c>
      <c r="B50" s="489" t="s">
        <v>263</v>
      </c>
      <c r="C50" s="490">
        <v>45714</v>
      </c>
      <c r="D50" s="491"/>
      <c r="E50" s="491"/>
      <c r="F50" s="493" t="s">
        <v>125</v>
      </c>
      <c r="G50" s="491">
        <v>1</v>
      </c>
      <c r="H50" s="431">
        <v>12.07</v>
      </c>
      <c r="I50" s="491">
        <f t="shared" si="0"/>
        <v>12.07</v>
      </c>
      <c r="J50" s="492">
        <v>6.2</v>
      </c>
      <c r="K50" s="492">
        <f t="shared" si="7"/>
        <v>74.834</v>
      </c>
    </row>
    <row r="51" s="456" customFormat="1" spans="1:15">
      <c r="A51" s="488">
        <v>45714</v>
      </c>
      <c r="B51" s="489" t="s">
        <v>263</v>
      </c>
      <c r="C51" s="490">
        <v>45714</v>
      </c>
      <c r="D51" s="491"/>
      <c r="E51" s="491"/>
      <c r="F51" s="493" t="s">
        <v>579</v>
      </c>
      <c r="G51" s="491">
        <v>1</v>
      </c>
      <c r="H51" s="431">
        <f>SUM(H45:H50)</f>
        <v>51</v>
      </c>
      <c r="I51" s="491">
        <f t="shared" si="0"/>
        <v>51</v>
      </c>
      <c r="J51" s="492">
        <v>1</v>
      </c>
      <c r="K51" s="492">
        <f t="shared" si="7"/>
        <v>51</v>
      </c>
      <c r="L51" s="503">
        <f>SUM(K45:K51)</f>
        <v>176.834</v>
      </c>
    </row>
    <row r="52" s="457" customFormat="1" spans="1:15">
      <c r="A52" s="494">
        <v>45714</v>
      </c>
      <c r="B52" s="442" t="s">
        <v>269</v>
      </c>
      <c r="C52" s="504">
        <v>45714</v>
      </c>
      <c r="D52" s="504"/>
      <c r="E52" s="505"/>
      <c r="F52" s="496" t="s">
        <v>251</v>
      </c>
      <c r="G52" s="463">
        <v>1</v>
      </c>
      <c r="H52" s="432">
        <v>10.8</v>
      </c>
      <c r="I52" s="463">
        <f t="shared" si="0"/>
        <v>10.8</v>
      </c>
      <c r="J52" s="497"/>
      <c r="K52" s="497"/>
    </row>
    <row r="53" s="457" customFormat="1" spans="1:15">
      <c r="A53" s="494">
        <v>45714</v>
      </c>
      <c r="B53" s="442" t="s">
        <v>269</v>
      </c>
      <c r="C53" s="504">
        <v>45714</v>
      </c>
      <c r="D53" s="504"/>
      <c r="E53" s="505"/>
      <c r="F53" s="496" t="s">
        <v>13</v>
      </c>
      <c r="G53" s="463">
        <v>1</v>
      </c>
      <c r="H53" s="432">
        <v>10.8</v>
      </c>
      <c r="I53" s="463">
        <f t="shared" si="0"/>
        <v>10.8</v>
      </c>
      <c r="J53" s="497"/>
      <c r="K53" s="497"/>
    </row>
    <row r="54" s="457" customFormat="1" spans="1:15">
      <c r="A54" s="494">
        <v>45714</v>
      </c>
      <c r="B54" s="442" t="s">
        <v>269</v>
      </c>
      <c r="C54" s="504">
        <v>45714</v>
      </c>
      <c r="D54" s="504"/>
      <c r="E54" s="505"/>
      <c r="F54" s="496" t="s">
        <v>580</v>
      </c>
      <c r="G54" s="463">
        <v>1</v>
      </c>
      <c r="H54" s="432">
        <v>2.75</v>
      </c>
      <c r="I54" s="463">
        <f t="shared" si="0"/>
        <v>2.75</v>
      </c>
      <c r="J54" s="497"/>
      <c r="K54" s="497"/>
    </row>
    <row r="55" s="457" customFormat="1" spans="1:15">
      <c r="A55" s="494">
        <v>45714</v>
      </c>
      <c r="B55" s="442" t="s">
        <v>269</v>
      </c>
      <c r="C55" s="504">
        <v>45714</v>
      </c>
      <c r="D55" s="504"/>
      <c r="E55" s="505"/>
      <c r="F55" s="496" t="s">
        <v>547</v>
      </c>
      <c r="G55" s="463">
        <v>1</v>
      </c>
      <c r="H55" s="432">
        <v>11.6</v>
      </c>
      <c r="I55" s="463">
        <f t="shared" si="0"/>
        <v>11.6</v>
      </c>
      <c r="J55" s="497"/>
      <c r="K55" s="497"/>
      <c r="L55" s="457" t="s">
        <v>116</v>
      </c>
      <c r="M55" s="457" t="s">
        <v>314</v>
      </c>
    </row>
    <row r="56" s="457" customFormat="1" spans="1:15">
      <c r="A56" s="494">
        <v>45714</v>
      </c>
      <c r="B56" s="442" t="s">
        <v>269</v>
      </c>
      <c r="C56" s="504">
        <v>45714</v>
      </c>
      <c r="D56" s="504"/>
      <c r="E56" s="505"/>
      <c r="F56" s="496" t="s">
        <v>115</v>
      </c>
      <c r="G56" s="463">
        <v>1</v>
      </c>
      <c r="H56" s="432">
        <v>6.75</v>
      </c>
      <c r="I56" s="463">
        <f t="shared" si="0"/>
        <v>6.75</v>
      </c>
      <c r="J56" s="497"/>
      <c r="K56" s="497"/>
    </row>
    <row r="57" s="457" customFormat="1" spans="1:15">
      <c r="A57" s="494">
        <v>45714</v>
      </c>
      <c r="B57" s="442" t="s">
        <v>269</v>
      </c>
      <c r="C57" s="504">
        <v>45714</v>
      </c>
      <c r="D57" s="504"/>
      <c r="E57" s="505"/>
      <c r="F57" s="496">
        <v>808</v>
      </c>
      <c r="G57" s="463">
        <v>1</v>
      </c>
      <c r="H57" s="432">
        <v>1.35</v>
      </c>
      <c r="I57" s="463">
        <f t="shared" si="0"/>
        <v>1.35</v>
      </c>
      <c r="J57" s="497">
        <v>10</v>
      </c>
      <c r="K57" s="497">
        <f t="shared" ref="K57:K60" si="8">I57*J57</f>
        <v>13.5</v>
      </c>
    </row>
    <row r="58" s="457" customFormat="1" spans="1:15">
      <c r="A58" s="494">
        <v>45714</v>
      </c>
      <c r="B58" s="442" t="s">
        <v>269</v>
      </c>
      <c r="C58" s="504">
        <v>45714</v>
      </c>
      <c r="D58" s="504"/>
      <c r="E58" s="505"/>
      <c r="F58" s="496" t="s">
        <v>152</v>
      </c>
      <c r="G58" s="463">
        <v>1</v>
      </c>
      <c r="H58" s="432">
        <v>2.5</v>
      </c>
      <c r="I58" s="463">
        <f t="shared" si="0"/>
        <v>2.5</v>
      </c>
      <c r="J58" s="497">
        <v>7.8</v>
      </c>
      <c r="K58" s="497">
        <f t="shared" si="8"/>
        <v>19.5</v>
      </c>
      <c r="L58" s="456" t="s">
        <v>116</v>
      </c>
    </row>
    <row r="59" s="457" customFormat="1" spans="1:15">
      <c r="A59" s="494">
        <v>45714</v>
      </c>
      <c r="B59" s="442" t="s">
        <v>269</v>
      </c>
      <c r="C59" s="504">
        <v>45714</v>
      </c>
      <c r="D59" s="504"/>
      <c r="E59" s="505"/>
      <c r="F59" s="496" t="s">
        <v>125</v>
      </c>
      <c r="G59" s="463">
        <v>1</v>
      </c>
      <c r="H59" s="432">
        <v>7.5</v>
      </c>
      <c r="I59" s="463">
        <f t="shared" si="0"/>
        <v>7.5</v>
      </c>
      <c r="J59" s="497">
        <v>6.2</v>
      </c>
      <c r="K59" s="497">
        <f t="shared" si="8"/>
        <v>46.5</v>
      </c>
    </row>
    <row r="60" s="457" customFormat="1" spans="1:15">
      <c r="A60" s="494">
        <v>45714</v>
      </c>
      <c r="B60" s="442" t="s">
        <v>269</v>
      </c>
      <c r="C60" s="504">
        <v>45714</v>
      </c>
      <c r="D60" s="504"/>
      <c r="E60" s="505"/>
      <c r="F60" s="496" t="s">
        <v>17</v>
      </c>
      <c r="G60" s="463">
        <v>1</v>
      </c>
      <c r="H60" s="432">
        <f>SUM(H52:H59)</f>
        <v>54.05</v>
      </c>
      <c r="I60" s="463">
        <f t="shared" si="0"/>
        <v>54.05</v>
      </c>
      <c r="J60" s="497">
        <v>1</v>
      </c>
      <c r="K60" s="497">
        <f t="shared" si="8"/>
        <v>54.05</v>
      </c>
      <c r="L60" s="506">
        <f>SUM(K52:K60)</f>
        <v>133.55</v>
      </c>
    </row>
    <row r="61" s="457" customFormat="1" spans="1:15">
      <c r="A61" s="488">
        <v>45715</v>
      </c>
      <c r="B61" s="489" t="s">
        <v>270</v>
      </c>
      <c r="C61" s="490">
        <v>45715</v>
      </c>
      <c r="D61" s="491"/>
      <c r="E61" s="491"/>
      <c r="F61" s="493" t="s">
        <v>581</v>
      </c>
      <c r="G61" s="491">
        <v>1</v>
      </c>
      <c r="H61" s="431">
        <v>120</v>
      </c>
      <c r="I61" s="491">
        <f t="shared" si="0"/>
        <v>120</v>
      </c>
      <c r="J61" s="497"/>
      <c r="K61" s="497"/>
      <c r="O61" s="456"/>
    </row>
    <row r="62" s="456" customFormat="1" spans="1:15">
      <c r="A62" s="488">
        <v>45715</v>
      </c>
      <c r="B62" s="489" t="s">
        <v>270</v>
      </c>
      <c r="C62" s="490">
        <v>45715</v>
      </c>
      <c r="D62" s="491"/>
      <c r="E62" s="491"/>
      <c r="F62" s="493" t="s">
        <v>129</v>
      </c>
      <c r="G62" s="491">
        <v>1</v>
      </c>
      <c r="H62" s="431">
        <v>6</v>
      </c>
      <c r="I62" s="491">
        <f t="shared" si="0"/>
        <v>6</v>
      </c>
      <c r="J62" s="492"/>
      <c r="K62" s="492"/>
    </row>
    <row r="63" s="456" customFormat="1" spans="1:15">
      <c r="A63" s="488">
        <v>45715</v>
      </c>
      <c r="B63" s="489" t="s">
        <v>270</v>
      </c>
      <c r="C63" s="490">
        <v>45715</v>
      </c>
      <c r="D63" s="491"/>
      <c r="E63" s="491"/>
      <c r="F63" s="493" t="s">
        <v>152</v>
      </c>
      <c r="G63" s="491">
        <v>1</v>
      </c>
      <c r="H63" s="431">
        <v>30</v>
      </c>
      <c r="I63" s="491">
        <f t="shared" si="0"/>
        <v>30</v>
      </c>
      <c r="J63" s="492">
        <v>7.8</v>
      </c>
      <c r="K63" s="492">
        <f t="shared" ref="K63:K65" si="9">I63*J63</f>
        <v>234</v>
      </c>
    </row>
    <row r="64" s="456" customFormat="1" spans="1:15">
      <c r="A64" s="488">
        <v>45715</v>
      </c>
      <c r="B64" s="489" t="s">
        <v>270</v>
      </c>
      <c r="C64" s="490">
        <v>45715</v>
      </c>
      <c r="D64" s="491"/>
      <c r="E64" s="491"/>
      <c r="F64" s="493" t="s">
        <v>132</v>
      </c>
      <c r="G64" s="491">
        <v>1</v>
      </c>
      <c r="H64" s="431">
        <v>30</v>
      </c>
      <c r="I64" s="491">
        <f t="shared" si="0"/>
        <v>30</v>
      </c>
      <c r="J64" s="492">
        <v>3.7</v>
      </c>
      <c r="K64" s="492">
        <f t="shared" si="9"/>
        <v>111</v>
      </c>
    </row>
    <row r="65" s="456" customFormat="1" spans="1:17">
      <c r="A65" s="488">
        <v>45715</v>
      </c>
      <c r="B65" s="489" t="s">
        <v>270</v>
      </c>
      <c r="C65" s="490">
        <v>45715</v>
      </c>
      <c r="D65" s="491"/>
      <c r="E65" s="491"/>
      <c r="F65" s="493" t="s">
        <v>257</v>
      </c>
      <c r="G65" s="491">
        <v>1</v>
      </c>
      <c r="H65" s="431">
        <f>SUM(H61:H64)</f>
        <v>186</v>
      </c>
      <c r="I65" s="491">
        <f t="shared" si="0"/>
        <v>186</v>
      </c>
      <c r="J65" s="492">
        <v>1</v>
      </c>
      <c r="K65" s="492">
        <f t="shared" si="9"/>
        <v>186</v>
      </c>
      <c r="L65" s="456">
        <f>SUM(K62:K65)</f>
        <v>531</v>
      </c>
    </row>
    <row r="66" s="457" customFormat="1" spans="1:17">
      <c r="A66" s="488"/>
      <c r="B66" s="442"/>
      <c r="C66" s="504"/>
      <c r="D66" s="504"/>
      <c r="E66" s="505"/>
      <c r="F66" s="507" t="s">
        <v>586</v>
      </c>
      <c r="G66" s="507"/>
      <c r="H66" s="508"/>
      <c r="I66" s="463"/>
      <c r="J66" s="497"/>
      <c r="K66" s="497"/>
      <c r="O66" s="456"/>
    </row>
    <row r="67" s="458" customFormat="1" ht="33" customHeight="1" spans="1:17">
      <c r="A67" s="509" t="s">
        <v>27</v>
      </c>
      <c r="B67" s="510"/>
      <c r="C67" s="510"/>
      <c r="D67" s="510"/>
      <c r="E67" s="510"/>
      <c r="F67" s="510"/>
      <c r="G67" s="510"/>
      <c r="H67" s="510"/>
      <c r="I67" s="510"/>
      <c r="J67" s="511" t="s">
        <v>28</v>
      </c>
      <c r="K67" s="512">
        <f>SUM(K70:K289)</f>
        <v>69508.15</v>
      </c>
      <c r="L67" s="458" t="s">
        <v>29</v>
      </c>
      <c r="M67" s="509">
        <f>材料!L264+K129+K245</f>
        <v>41888.85</v>
      </c>
      <c r="N67" s="513" t="s">
        <v>30</v>
      </c>
      <c r="O67" s="509">
        <f>K81+K88+K98+K107+K114+K120+K132+K139+K144+K152+K161+K167+K178+K188+K195+K206+K214+K219+K224+K232+K243+K259+K254+K264+K277+K288</f>
        <v>21768.8</v>
      </c>
      <c r="P67" s="510" t="s">
        <v>31</v>
      </c>
      <c r="Q67" s="509">
        <f>K70+K123+K124+K125+K126+K127+K196+K197+K244+K265+K266+K267+K268+K289</f>
        <v>5368</v>
      </c>
    </row>
    <row r="68" s="458" customFormat="1" ht="18" customHeight="1" spans="1:17">
      <c r="A68" s="509"/>
      <c r="B68" s="510"/>
      <c r="C68" s="510"/>
      <c r="D68" s="510"/>
      <c r="E68" s="510"/>
      <c r="F68" s="510"/>
      <c r="G68" s="510"/>
      <c r="H68" s="510"/>
      <c r="I68" s="510"/>
      <c r="J68" s="510" t="s">
        <v>32</v>
      </c>
      <c r="K68" s="510"/>
      <c r="L68" s="458" t="s">
        <v>33</v>
      </c>
      <c r="M68" s="509">
        <f>K99+K108+K115+K128+K198+K269+K270</f>
        <v>482.5</v>
      </c>
      <c r="N68" s="514" t="s">
        <v>34</v>
      </c>
      <c r="O68" s="512">
        <f>M67+M68+O67+Q67</f>
        <v>69508.15</v>
      </c>
    </row>
    <row r="69" s="442" customFormat="1" ht="15" customHeight="1" spans="1:17">
      <c r="A69" s="483" t="s">
        <v>35</v>
      </c>
      <c r="B69" s="484" t="s">
        <v>36</v>
      </c>
      <c r="C69" s="485" t="s">
        <v>37</v>
      </c>
      <c r="D69" s="485"/>
      <c r="E69" s="485"/>
      <c r="F69" s="485" t="s">
        <v>38</v>
      </c>
      <c r="G69" s="485" t="s">
        <v>4</v>
      </c>
      <c r="H69" s="485" t="s">
        <v>5</v>
      </c>
      <c r="I69" s="485" t="s">
        <v>6</v>
      </c>
      <c r="J69" s="485" t="s">
        <v>7</v>
      </c>
      <c r="K69" s="485" t="s">
        <v>8</v>
      </c>
      <c r="L69" s="485" t="s">
        <v>39</v>
      </c>
      <c r="M69" s="485" t="s">
        <v>40</v>
      </c>
      <c r="N69" s="427"/>
      <c r="O69" s="427"/>
    </row>
    <row r="70" s="457" customFormat="1" spans="1:17">
      <c r="A70" s="494">
        <v>45722</v>
      </c>
      <c r="B70" s="442" t="s">
        <v>497</v>
      </c>
      <c r="C70" s="495">
        <v>45721</v>
      </c>
      <c r="D70" s="463"/>
      <c r="E70" s="463"/>
      <c r="F70" s="498" t="s">
        <v>587</v>
      </c>
      <c r="G70" s="463">
        <v>2</v>
      </c>
      <c r="H70" s="432">
        <v>10</v>
      </c>
      <c r="I70" s="463">
        <f t="shared" ref="I70:I81" si="10">G70*H70</f>
        <v>20</v>
      </c>
      <c r="J70" s="515">
        <v>18</v>
      </c>
      <c r="K70" s="516">
        <f>I70*J70</f>
        <v>360</v>
      </c>
      <c r="L70" s="457" t="s">
        <v>588</v>
      </c>
    </row>
    <row r="71" s="457" customFormat="1" spans="1:17">
      <c r="A71" s="494">
        <v>45722</v>
      </c>
      <c r="B71" s="442" t="s">
        <v>497</v>
      </c>
      <c r="C71" s="495">
        <v>45721</v>
      </c>
      <c r="D71" s="463"/>
      <c r="E71" s="463"/>
      <c r="F71" s="496" t="s">
        <v>42</v>
      </c>
      <c r="G71" s="463">
        <v>1</v>
      </c>
      <c r="H71" s="432">
        <v>100</v>
      </c>
      <c r="I71" s="463">
        <f t="shared" si="10"/>
        <v>100</v>
      </c>
      <c r="J71" s="497"/>
      <c r="K71" s="497"/>
    </row>
    <row r="72" s="457" customFormat="1" spans="1:17">
      <c r="A72" s="494">
        <v>45722</v>
      </c>
      <c r="B72" s="442" t="s">
        <v>497</v>
      </c>
      <c r="C72" s="495">
        <v>45721</v>
      </c>
      <c r="D72" s="463"/>
      <c r="E72" s="463"/>
      <c r="F72" s="496" t="s">
        <v>207</v>
      </c>
      <c r="G72" s="463">
        <v>1</v>
      </c>
      <c r="H72" s="432">
        <v>200</v>
      </c>
      <c r="I72" s="463">
        <f t="shared" si="10"/>
        <v>200</v>
      </c>
      <c r="J72" s="497"/>
      <c r="K72" s="497"/>
    </row>
    <row r="73" s="457" customFormat="1" spans="1:17">
      <c r="A73" s="494">
        <v>45722</v>
      </c>
      <c r="B73" s="442" t="s">
        <v>497</v>
      </c>
      <c r="C73" s="495">
        <v>45721</v>
      </c>
      <c r="D73" s="463"/>
      <c r="E73" s="463"/>
      <c r="F73" s="496" t="s">
        <v>86</v>
      </c>
      <c r="G73" s="463">
        <v>1</v>
      </c>
      <c r="H73" s="432">
        <v>42</v>
      </c>
      <c r="I73" s="463">
        <f t="shared" si="10"/>
        <v>42</v>
      </c>
      <c r="J73" s="497"/>
      <c r="K73" s="497"/>
    </row>
    <row r="74" s="457" customFormat="1" spans="1:17">
      <c r="A74" s="494">
        <v>45722</v>
      </c>
      <c r="B74" s="442" t="s">
        <v>497</v>
      </c>
      <c r="C74" s="495">
        <v>45721</v>
      </c>
      <c r="D74" s="463"/>
      <c r="E74" s="463"/>
      <c r="F74" s="496" t="s">
        <v>589</v>
      </c>
      <c r="G74" s="463">
        <v>1</v>
      </c>
      <c r="H74" s="432">
        <v>69</v>
      </c>
      <c r="I74" s="463">
        <f t="shared" si="10"/>
        <v>69</v>
      </c>
      <c r="J74" s="497"/>
      <c r="K74" s="497"/>
    </row>
    <row r="75" s="457" customFormat="1" spans="1:17">
      <c r="A75" s="494">
        <v>45722</v>
      </c>
      <c r="B75" s="442" t="s">
        <v>497</v>
      </c>
      <c r="C75" s="495">
        <v>45721</v>
      </c>
      <c r="D75" s="463"/>
      <c r="E75" s="463"/>
      <c r="F75" s="496" t="s">
        <v>481</v>
      </c>
      <c r="G75" s="463">
        <v>1</v>
      </c>
      <c r="H75" s="432">
        <v>115</v>
      </c>
      <c r="I75" s="463">
        <f t="shared" si="10"/>
        <v>115</v>
      </c>
      <c r="J75" s="497"/>
      <c r="K75" s="497"/>
    </row>
    <row r="76" s="457" customFormat="1" spans="1:17">
      <c r="A76" s="494">
        <v>45722</v>
      </c>
      <c r="B76" s="442" t="s">
        <v>497</v>
      </c>
      <c r="C76" s="495">
        <v>45721</v>
      </c>
      <c r="D76" s="463"/>
      <c r="E76" s="463"/>
      <c r="F76" s="496" t="s">
        <v>553</v>
      </c>
      <c r="G76" s="463">
        <v>1</v>
      </c>
      <c r="H76" s="432">
        <v>79</v>
      </c>
      <c r="I76" s="463">
        <f t="shared" si="10"/>
        <v>79</v>
      </c>
      <c r="J76" s="497"/>
      <c r="K76" s="497"/>
    </row>
    <row r="77" s="457" customFormat="1" spans="1:17">
      <c r="A77" s="494">
        <v>45722</v>
      </c>
      <c r="B77" s="442" t="s">
        <v>497</v>
      </c>
      <c r="C77" s="495">
        <v>45721</v>
      </c>
      <c r="D77" s="463"/>
      <c r="E77" s="463"/>
      <c r="F77" s="496" t="s">
        <v>208</v>
      </c>
      <c r="G77" s="463">
        <v>1</v>
      </c>
      <c r="H77" s="432">
        <v>25</v>
      </c>
      <c r="I77" s="463">
        <f t="shared" si="10"/>
        <v>25</v>
      </c>
      <c r="J77" s="497">
        <v>17</v>
      </c>
      <c r="K77" s="497">
        <f t="shared" ref="K77:K79" si="11">I77*J77</f>
        <v>425</v>
      </c>
    </row>
    <row r="78" s="457" customFormat="1" spans="1:17">
      <c r="A78" s="494">
        <v>45722</v>
      </c>
      <c r="B78" s="442" t="s">
        <v>497</v>
      </c>
      <c r="C78" s="495">
        <v>45721</v>
      </c>
      <c r="D78" s="463"/>
      <c r="E78" s="463"/>
      <c r="F78" s="496" t="s">
        <v>132</v>
      </c>
      <c r="G78" s="463">
        <v>1</v>
      </c>
      <c r="H78" s="432">
        <v>370</v>
      </c>
      <c r="I78" s="463">
        <f t="shared" si="10"/>
        <v>370</v>
      </c>
      <c r="J78" s="497">
        <v>3.7</v>
      </c>
      <c r="K78" s="497">
        <f t="shared" si="11"/>
        <v>1369</v>
      </c>
    </row>
    <row r="79" s="457" customFormat="1" spans="1:17">
      <c r="A79" s="494">
        <v>45722</v>
      </c>
      <c r="B79" s="442" t="s">
        <v>497</v>
      </c>
      <c r="C79" s="495">
        <v>45721</v>
      </c>
      <c r="D79" s="463"/>
      <c r="E79" s="463"/>
      <c r="F79" s="496" t="s">
        <v>137</v>
      </c>
      <c r="G79" s="463">
        <v>1</v>
      </c>
      <c r="H79" s="432">
        <v>50</v>
      </c>
      <c r="I79" s="463">
        <f t="shared" si="10"/>
        <v>50</v>
      </c>
      <c r="J79" s="497">
        <v>0.9</v>
      </c>
      <c r="K79" s="497">
        <f t="shared" si="11"/>
        <v>45</v>
      </c>
      <c r="L79" s="457" t="s">
        <v>116</v>
      </c>
    </row>
    <row r="80" s="457" customFormat="1" spans="1:17">
      <c r="A80" s="494">
        <v>45722</v>
      </c>
      <c r="B80" s="442" t="s">
        <v>497</v>
      </c>
      <c r="C80" s="495">
        <v>45721</v>
      </c>
      <c r="D80" s="463"/>
      <c r="E80" s="463"/>
      <c r="F80" s="496" t="s">
        <v>211</v>
      </c>
      <c r="G80" s="463">
        <v>1</v>
      </c>
      <c r="H80" s="432">
        <v>2.5</v>
      </c>
      <c r="I80" s="463">
        <f t="shared" si="10"/>
        <v>2.5</v>
      </c>
      <c r="J80" s="497"/>
      <c r="K80" s="497"/>
    </row>
    <row r="81" s="457" customFormat="1" spans="1:15">
      <c r="A81" s="494">
        <v>45722</v>
      </c>
      <c r="B81" s="442" t="s">
        <v>497</v>
      </c>
      <c r="C81" s="495">
        <v>45721</v>
      </c>
      <c r="D81" s="463"/>
      <c r="E81" s="463"/>
      <c r="F81" s="499" t="s">
        <v>212</v>
      </c>
      <c r="G81" s="501">
        <v>1</v>
      </c>
      <c r="H81" s="500">
        <f>SUM(H71:H80)</f>
        <v>1052.5</v>
      </c>
      <c r="I81" s="501">
        <f t="shared" si="10"/>
        <v>1052.5</v>
      </c>
      <c r="J81" s="502">
        <v>1</v>
      </c>
      <c r="K81" s="502">
        <f>I81*J81</f>
        <v>1052.5</v>
      </c>
      <c r="L81" s="457">
        <f>SUM(K70:K81)</f>
        <v>3251.5</v>
      </c>
    </row>
    <row r="82" s="459" customFormat="1" spans="1:15">
      <c r="A82" s="517"/>
      <c r="B82" s="518"/>
      <c r="C82" s="519"/>
      <c r="D82" s="520"/>
      <c r="E82" s="520"/>
      <c r="F82" s="498" t="s">
        <v>590</v>
      </c>
      <c r="G82" s="520"/>
      <c r="H82" s="521"/>
      <c r="I82" s="520"/>
      <c r="J82" s="515"/>
      <c r="K82" s="515"/>
    </row>
    <row r="83" s="459" customFormat="1" spans="1:15">
      <c r="A83" s="517"/>
      <c r="B83" s="518"/>
      <c r="C83" s="519"/>
      <c r="D83" s="520"/>
      <c r="E83" s="520"/>
      <c r="F83" s="522" t="s">
        <v>591</v>
      </c>
      <c r="G83" s="520"/>
      <c r="H83" s="521"/>
      <c r="I83" s="520"/>
      <c r="J83" s="515"/>
      <c r="K83" s="515"/>
    </row>
    <row r="84" s="456" customFormat="1" spans="1:15">
      <c r="A84" s="488">
        <v>45726</v>
      </c>
      <c r="B84" s="489" t="s">
        <v>419</v>
      </c>
      <c r="C84" s="490">
        <v>45726</v>
      </c>
      <c r="D84" s="491"/>
      <c r="E84" s="491"/>
      <c r="F84" s="493" t="s">
        <v>16</v>
      </c>
      <c r="G84" s="491">
        <v>1</v>
      </c>
      <c r="H84" s="431">
        <v>48</v>
      </c>
      <c r="I84" s="491">
        <f t="shared" ref="I84:I89" si="12">G84*H84</f>
        <v>48</v>
      </c>
      <c r="J84" s="492"/>
      <c r="K84" s="492"/>
    </row>
    <row r="85" s="456" customFormat="1" spans="1:15">
      <c r="A85" s="488">
        <v>45726</v>
      </c>
      <c r="B85" s="489" t="s">
        <v>419</v>
      </c>
      <c r="C85" s="490">
        <v>45726</v>
      </c>
      <c r="D85" s="491"/>
      <c r="E85" s="491"/>
      <c r="F85" s="493">
        <v>996</v>
      </c>
      <c r="G85" s="491">
        <v>1</v>
      </c>
      <c r="H85" s="431">
        <v>150</v>
      </c>
      <c r="I85" s="491">
        <f t="shared" si="12"/>
        <v>150</v>
      </c>
      <c r="J85" s="492"/>
      <c r="K85" s="492"/>
    </row>
    <row r="86" s="456" customFormat="1" spans="1:15">
      <c r="A86" s="488">
        <v>45726</v>
      </c>
      <c r="B86" s="489" t="s">
        <v>419</v>
      </c>
      <c r="C86" s="490">
        <v>45726</v>
      </c>
      <c r="D86" s="491"/>
      <c r="E86" s="491"/>
      <c r="F86" s="493" t="s">
        <v>12</v>
      </c>
      <c r="G86" s="491">
        <v>1</v>
      </c>
      <c r="H86" s="431">
        <v>30</v>
      </c>
      <c r="I86" s="491">
        <f t="shared" si="12"/>
        <v>30</v>
      </c>
      <c r="J86" s="492">
        <v>7.8</v>
      </c>
      <c r="K86" s="492">
        <f t="shared" ref="K86:K89" si="13">I86*J86</f>
        <v>234</v>
      </c>
    </row>
    <row r="87" s="456" customFormat="1" spans="1:15">
      <c r="A87" s="488">
        <v>45726</v>
      </c>
      <c r="B87" s="489" t="s">
        <v>419</v>
      </c>
      <c r="C87" s="490">
        <v>45726</v>
      </c>
      <c r="D87" s="491"/>
      <c r="E87" s="491"/>
      <c r="F87" s="493" t="s">
        <v>152</v>
      </c>
      <c r="G87" s="491">
        <v>1</v>
      </c>
      <c r="H87" s="431">
        <v>30</v>
      </c>
      <c r="I87" s="491">
        <f t="shared" si="12"/>
        <v>30</v>
      </c>
      <c r="J87" s="492">
        <v>7.8</v>
      </c>
      <c r="K87" s="492">
        <f t="shared" si="13"/>
        <v>234</v>
      </c>
    </row>
    <row r="88" s="456" customFormat="1" spans="1:15">
      <c r="A88" s="488">
        <v>45726</v>
      </c>
      <c r="B88" s="489" t="s">
        <v>419</v>
      </c>
      <c r="C88" s="490">
        <v>45726</v>
      </c>
      <c r="D88" s="491"/>
      <c r="E88" s="491"/>
      <c r="F88" s="493" t="s">
        <v>456</v>
      </c>
      <c r="G88" s="491">
        <v>1</v>
      </c>
      <c r="H88" s="431">
        <f>SUM(H84:H87)</f>
        <v>258</v>
      </c>
      <c r="I88" s="491">
        <f t="shared" si="12"/>
        <v>258</v>
      </c>
      <c r="J88" s="492">
        <v>3</v>
      </c>
      <c r="K88" s="492">
        <f t="shared" si="13"/>
        <v>774</v>
      </c>
    </row>
    <row r="89" s="457" customFormat="1" spans="1:15">
      <c r="A89" s="488">
        <v>45726</v>
      </c>
      <c r="B89" s="489" t="s">
        <v>419</v>
      </c>
      <c r="C89" s="490">
        <v>45721</v>
      </c>
      <c r="D89" s="491"/>
      <c r="E89" s="491"/>
      <c r="F89" s="522" t="s">
        <v>592</v>
      </c>
      <c r="G89" s="523">
        <v>1</v>
      </c>
      <c r="H89" s="524">
        <v>5</v>
      </c>
      <c r="I89" s="523">
        <f t="shared" si="12"/>
        <v>5</v>
      </c>
      <c r="J89" s="492">
        <v>6.4</v>
      </c>
      <c r="K89" s="525">
        <f t="shared" si="13"/>
        <v>32</v>
      </c>
      <c r="L89" s="464">
        <f>SUM(K84:K89)</f>
        <v>1274</v>
      </c>
      <c r="O89" s="456"/>
    </row>
    <row r="90" s="457" customFormat="1" spans="1:15">
      <c r="A90" s="494">
        <v>45727</v>
      </c>
      <c r="B90" s="442" t="s">
        <v>369</v>
      </c>
      <c r="C90" s="504">
        <v>45727</v>
      </c>
      <c r="D90" s="504"/>
      <c r="E90" s="505"/>
      <c r="F90" s="496" t="s">
        <v>251</v>
      </c>
      <c r="G90" s="463">
        <v>1</v>
      </c>
      <c r="H90" s="432">
        <v>240</v>
      </c>
      <c r="I90" s="463">
        <f t="shared" ref="I90:I121" si="14">G90*H90</f>
        <v>240</v>
      </c>
      <c r="J90" s="497"/>
      <c r="K90" s="497"/>
    </row>
    <row r="91" s="457" customFormat="1" spans="1:15">
      <c r="A91" s="494">
        <v>45727</v>
      </c>
      <c r="B91" s="442" t="s">
        <v>369</v>
      </c>
      <c r="C91" s="504">
        <v>45727</v>
      </c>
      <c r="D91" s="504"/>
      <c r="E91" s="505"/>
      <c r="F91" s="496" t="s">
        <v>13</v>
      </c>
      <c r="G91" s="463">
        <v>1</v>
      </c>
      <c r="H91" s="432">
        <v>240</v>
      </c>
      <c r="I91" s="463">
        <f t="shared" si="14"/>
        <v>240</v>
      </c>
      <c r="J91" s="497"/>
      <c r="K91" s="497"/>
    </row>
    <row r="92" s="457" customFormat="1" spans="1:15">
      <c r="A92" s="494">
        <v>45727</v>
      </c>
      <c r="B92" s="442" t="s">
        <v>369</v>
      </c>
      <c r="C92" s="504">
        <v>45727</v>
      </c>
      <c r="D92" s="504"/>
      <c r="E92" s="505"/>
      <c r="F92" s="496" t="s">
        <v>533</v>
      </c>
      <c r="G92" s="463">
        <v>1</v>
      </c>
      <c r="H92" s="432">
        <v>61</v>
      </c>
      <c r="I92" s="463">
        <f t="shared" si="14"/>
        <v>61</v>
      </c>
      <c r="J92" s="497"/>
      <c r="K92" s="497"/>
    </row>
    <row r="93" s="457" customFormat="1" spans="1:15">
      <c r="A93" s="494">
        <v>45727</v>
      </c>
      <c r="B93" s="442" t="s">
        <v>369</v>
      </c>
      <c r="C93" s="504">
        <v>45727</v>
      </c>
      <c r="D93" s="504"/>
      <c r="E93" s="505"/>
      <c r="F93" s="496" t="s">
        <v>547</v>
      </c>
      <c r="G93" s="463">
        <v>1</v>
      </c>
      <c r="H93" s="432">
        <v>257</v>
      </c>
      <c r="I93" s="463">
        <f t="shared" si="14"/>
        <v>257</v>
      </c>
      <c r="J93" s="497"/>
      <c r="K93" s="497"/>
      <c r="L93" s="457" t="s">
        <v>116</v>
      </c>
      <c r="M93" s="457" t="s">
        <v>314</v>
      </c>
    </row>
    <row r="94" s="457" customFormat="1" spans="1:15">
      <c r="A94" s="494">
        <v>45727</v>
      </c>
      <c r="B94" s="442" t="s">
        <v>369</v>
      </c>
      <c r="C94" s="504">
        <v>45727</v>
      </c>
      <c r="D94" s="504"/>
      <c r="E94" s="505"/>
      <c r="F94" s="496" t="s">
        <v>115</v>
      </c>
      <c r="G94" s="463">
        <v>1</v>
      </c>
      <c r="H94" s="432">
        <v>150</v>
      </c>
      <c r="I94" s="463">
        <f t="shared" si="14"/>
        <v>150</v>
      </c>
      <c r="J94" s="497"/>
      <c r="K94" s="497"/>
      <c r="L94" s="456" t="s">
        <v>593</v>
      </c>
      <c r="M94" s="456"/>
    </row>
    <row r="95" s="457" customFormat="1" spans="1:15">
      <c r="A95" s="494">
        <v>45727</v>
      </c>
      <c r="B95" s="442" t="s">
        <v>369</v>
      </c>
      <c r="C95" s="504">
        <v>45727</v>
      </c>
      <c r="D95" s="504"/>
      <c r="E95" s="505"/>
      <c r="F95" s="496">
        <v>808</v>
      </c>
      <c r="G95" s="463">
        <v>1</v>
      </c>
      <c r="H95" s="432">
        <v>30</v>
      </c>
      <c r="I95" s="463">
        <f t="shared" si="14"/>
        <v>30</v>
      </c>
      <c r="J95" s="497">
        <v>10</v>
      </c>
      <c r="K95" s="497">
        <f t="shared" ref="K95:K99" si="15">I95*J95</f>
        <v>300</v>
      </c>
    </row>
    <row r="96" s="457" customFormat="1" spans="1:15">
      <c r="A96" s="494">
        <v>45727</v>
      </c>
      <c r="B96" s="442" t="s">
        <v>369</v>
      </c>
      <c r="C96" s="504">
        <v>45727</v>
      </c>
      <c r="D96" s="504"/>
      <c r="E96" s="505"/>
      <c r="F96" s="496" t="s">
        <v>152</v>
      </c>
      <c r="G96" s="463">
        <v>1</v>
      </c>
      <c r="H96" s="432">
        <v>83</v>
      </c>
      <c r="I96" s="463">
        <f t="shared" si="14"/>
        <v>83</v>
      </c>
      <c r="J96" s="497">
        <v>7.8</v>
      </c>
      <c r="K96" s="497">
        <f t="shared" si="15"/>
        <v>647.4</v>
      </c>
    </row>
    <row r="97" s="457" customFormat="1" spans="1:19">
      <c r="A97" s="494">
        <v>45727</v>
      </c>
      <c r="B97" s="442" t="s">
        <v>369</v>
      </c>
      <c r="C97" s="504">
        <v>45727</v>
      </c>
      <c r="D97" s="504"/>
      <c r="E97" s="505"/>
      <c r="F97" s="496" t="s">
        <v>125</v>
      </c>
      <c r="G97" s="463">
        <v>1</v>
      </c>
      <c r="H97" s="432">
        <v>139</v>
      </c>
      <c r="I97" s="463">
        <f t="shared" si="14"/>
        <v>139</v>
      </c>
      <c r="J97" s="497">
        <v>6.4</v>
      </c>
      <c r="K97" s="497">
        <f t="shared" si="15"/>
        <v>889.6</v>
      </c>
    </row>
    <row r="98" s="457" customFormat="1" spans="1:19">
      <c r="A98" s="494">
        <v>45727</v>
      </c>
      <c r="B98" s="442" t="s">
        <v>369</v>
      </c>
      <c r="C98" s="504">
        <v>45727</v>
      </c>
      <c r="D98" s="504"/>
      <c r="E98" s="505"/>
      <c r="F98" s="498" t="s">
        <v>17</v>
      </c>
      <c r="G98" s="463">
        <v>1</v>
      </c>
      <c r="H98" s="432">
        <f>SUM(H90:H97)</f>
        <v>1200</v>
      </c>
      <c r="I98" s="463">
        <f t="shared" si="14"/>
        <v>1200</v>
      </c>
      <c r="J98" s="497">
        <v>1</v>
      </c>
      <c r="K98" s="497">
        <f t="shared" si="15"/>
        <v>1200</v>
      </c>
      <c r="O98" s="457" t="s">
        <v>594</v>
      </c>
      <c r="S98" s="526" t="s">
        <v>595</v>
      </c>
    </row>
    <row r="99" s="457" customFormat="1" spans="1:19">
      <c r="A99" s="494">
        <v>45727</v>
      </c>
      <c r="B99" s="442" t="s">
        <v>369</v>
      </c>
      <c r="C99" s="504">
        <v>45727</v>
      </c>
      <c r="D99" s="504"/>
      <c r="E99" s="505"/>
      <c r="F99" s="496" t="s">
        <v>596</v>
      </c>
      <c r="G99" s="463">
        <v>10</v>
      </c>
      <c r="H99" s="432">
        <v>1</v>
      </c>
      <c r="I99" s="463">
        <f t="shared" si="14"/>
        <v>10</v>
      </c>
      <c r="J99" s="497">
        <v>12.5</v>
      </c>
      <c r="K99" s="497">
        <f t="shared" si="15"/>
        <v>125</v>
      </c>
      <c r="L99" s="457">
        <f>SUM(K90:K99)</f>
        <v>3162</v>
      </c>
      <c r="O99" s="527" t="s">
        <v>597</v>
      </c>
      <c r="P99" s="527"/>
      <c r="Q99" s="527"/>
      <c r="R99" s="527"/>
      <c r="S99" s="526"/>
    </row>
    <row r="100" s="456" customFormat="1" spans="1:19">
      <c r="A100" s="488">
        <v>45727</v>
      </c>
      <c r="B100" s="489" t="s">
        <v>370</v>
      </c>
      <c r="C100" s="528">
        <v>45727</v>
      </c>
      <c r="D100" s="528"/>
      <c r="E100" s="529"/>
      <c r="F100" s="493" t="s">
        <v>251</v>
      </c>
      <c r="G100" s="491">
        <v>1</v>
      </c>
      <c r="H100" s="431">
        <v>200</v>
      </c>
      <c r="I100" s="491">
        <f t="shared" si="14"/>
        <v>200</v>
      </c>
      <c r="J100" s="492"/>
      <c r="K100" s="492"/>
    </row>
    <row r="101" s="456" customFormat="1" spans="1:19">
      <c r="A101" s="488">
        <v>45727</v>
      </c>
      <c r="B101" s="489" t="s">
        <v>370</v>
      </c>
      <c r="C101" s="528">
        <v>45727</v>
      </c>
      <c r="D101" s="528"/>
      <c r="E101" s="529"/>
      <c r="F101" s="493" t="s">
        <v>129</v>
      </c>
      <c r="G101" s="491">
        <v>1</v>
      </c>
      <c r="H101" s="431">
        <v>150</v>
      </c>
      <c r="I101" s="491">
        <f t="shared" si="14"/>
        <v>150</v>
      </c>
      <c r="J101" s="492"/>
      <c r="K101" s="492"/>
    </row>
    <row r="102" s="456" customFormat="1" spans="1:19">
      <c r="A102" s="488">
        <v>45727</v>
      </c>
      <c r="B102" s="489" t="s">
        <v>370</v>
      </c>
      <c r="C102" s="528">
        <v>45727</v>
      </c>
      <c r="D102" s="528"/>
      <c r="E102" s="529"/>
      <c r="F102" s="496">
        <v>808</v>
      </c>
      <c r="G102" s="491">
        <v>1</v>
      </c>
      <c r="H102" s="431">
        <v>200</v>
      </c>
      <c r="I102" s="491">
        <f t="shared" si="14"/>
        <v>200</v>
      </c>
      <c r="J102" s="492">
        <v>10</v>
      </c>
      <c r="K102" s="492">
        <f t="shared" ref="K102:K104" si="16">I102*J102</f>
        <v>2000</v>
      </c>
    </row>
    <row r="103" s="456" customFormat="1" spans="1:19">
      <c r="A103" s="488">
        <v>45727</v>
      </c>
      <c r="B103" s="489" t="s">
        <v>370</v>
      </c>
      <c r="C103" s="528">
        <v>45727</v>
      </c>
      <c r="D103" s="528"/>
      <c r="E103" s="529"/>
      <c r="F103" s="493" t="s">
        <v>125</v>
      </c>
      <c r="G103" s="491">
        <v>1</v>
      </c>
      <c r="H103" s="431">
        <v>60</v>
      </c>
      <c r="I103" s="491">
        <f t="shared" si="14"/>
        <v>60</v>
      </c>
      <c r="J103" s="492">
        <v>6.4</v>
      </c>
      <c r="K103" s="492">
        <f t="shared" si="16"/>
        <v>384</v>
      </c>
    </row>
    <row r="104" s="456" customFormat="1" spans="1:19">
      <c r="A104" s="488">
        <v>45727</v>
      </c>
      <c r="B104" s="489" t="s">
        <v>370</v>
      </c>
      <c r="C104" s="528">
        <v>45727</v>
      </c>
      <c r="D104" s="528"/>
      <c r="E104" s="529"/>
      <c r="F104" s="493" t="s">
        <v>152</v>
      </c>
      <c r="G104" s="491">
        <v>1</v>
      </c>
      <c r="H104" s="431">
        <v>125</v>
      </c>
      <c r="I104" s="491">
        <f t="shared" si="14"/>
        <v>125</v>
      </c>
      <c r="J104" s="492">
        <v>7.8</v>
      </c>
      <c r="K104" s="492">
        <f t="shared" si="16"/>
        <v>975</v>
      </c>
      <c r="N104" s="457"/>
    </row>
    <row r="105" s="456" customFormat="1" spans="1:19">
      <c r="A105" s="488">
        <v>45727</v>
      </c>
      <c r="B105" s="489" t="s">
        <v>370</v>
      </c>
      <c r="C105" s="528">
        <v>45727</v>
      </c>
      <c r="D105" s="528"/>
      <c r="E105" s="529"/>
      <c r="F105" s="493" t="s">
        <v>533</v>
      </c>
      <c r="G105" s="491">
        <v>1</v>
      </c>
      <c r="H105" s="431">
        <v>51</v>
      </c>
      <c r="I105" s="491">
        <f t="shared" si="14"/>
        <v>51</v>
      </c>
      <c r="J105" s="492"/>
      <c r="K105" s="492"/>
      <c r="N105" s="456" t="s">
        <v>598</v>
      </c>
    </row>
    <row r="106" s="456" customFormat="1" spans="1:19">
      <c r="A106" s="488">
        <v>45727</v>
      </c>
      <c r="B106" s="489" t="s">
        <v>370</v>
      </c>
      <c r="C106" s="528">
        <v>45727</v>
      </c>
      <c r="D106" s="528"/>
      <c r="E106" s="529"/>
      <c r="F106" s="493" t="s">
        <v>547</v>
      </c>
      <c r="G106" s="491">
        <v>1</v>
      </c>
      <c r="H106" s="431">
        <v>214</v>
      </c>
      <c r="I106" s="491">
        <f t="shared" si="14"/>
        <v>214</v>
      </c>
      <c r="J106" s="492"/>
      <c r="K106" s="492"/>
      <c r="M106" s="456" t="s">
        <v>126</v>
      </c>
    </row>
    <row r="107" s="456" customFormat="1" spans="1:19">
      <c r="A107" s="488">
        <v>45727</v>
      </c>
      <c r="B107" s="489" t="s">
        <v>370</v>
      </c>
      <c r="C107" s="528">
        <v>45727</v>
      </c>
      <c r="D107" s="528"/>
      <c r="E107" s="529"/>
      <c r="F107" s="499" t="s">
        <v>130</v>
      </c>
      <c r="G107" s="501">
        <v>1</v>
      </c>
      <c r="H107" s="500">
        <f>SUM(H100:H106)</f>
        <v>1000</v>
      </c>
      <c r="I107" s="501">
        <f t="shared" si="14"/>
        <v>1000</v>
      </c>
      <c r="J107" s="502">
        <v>1</v>
      </c>
      <c r="K107" s="502">
        <f>I107*J107</f>
        <v>1000</v>
      </c>
    </row>
    <row r="108" s="456" customFormat="1" spans="1:19">
      <c r="A108" s="488">
        <v>45727</v>
      </c>
      <c r="B108" s="489" t="s">
        <v>370</v>
      </c>
      <c r="C108" s="528">
        <v>45727</v>
      </c>
      <c r="D108" s="528"/>
      <c r="E108" s="529"/>
      <c r="F108" s="493" t="s">
        <v>596</v>
      </c>
      <c r="G108" s="491">
        <v>15</v>
      </c>
      <c r="H108" s="431">
        <v>1</v>
      </c>
      <c r="I108" s="491">
        <f t="shared" si="14"/>
        <v>15</v>
      </c>
      <c r="J108" s="492">
        <v>12.5</v>
      </c>
      <c r="K108" s="492">
        <f>I108*J108</f>
        <v>187.5</v>
      </c>
      <c r="L108" s="456">
        <f>SUM(K100:K108)</f>
        <v>4546.5</v>
      </c>
    </row>
    <row r="109" s="457" customFormat="1" spans="1:19">
      <c r="A109" s="494">
        <v>45728</v>
      </c>
      <c r="B109" s="442" t="s">
        <v>372</v>
      </c>
      <c r="C109" s="495">
        <v>45728</v>
      </c>
      <c r="D109" s="463"/>
      <c r="E109" s="463"/>
      <c r="F109" s="496" t="s">
        <v>42</v>
      </c>
      <c r="G109" s="463">
        <v>1</v>
      </c>
      <c r="H109" s="432">
        <v>150</v>
      </c>
      <c r="I109" s="463">
        <f t="shared" si="14"/>
        <v>150</v>
      </c>
      <c r="J109" s="497"/>
      <c r="K109" s="497"/>
    </row>
    <row r="110" s="457" customFormat="1" spans="1:19">
      <c r="A110" s="494">
        <v>45728</v>
      </c>
      <c r="B110" s="442" t="s">
        <v>372</v>
      </c>
      <c r="C110" s="495">
        <v>45728</v>
      </c>
      <c r="D110" s="463"/>
      <c r="E110" s="463"/>
      <c r="F110" s="496">
        <v>808</v>
      </c>
      <c r="G110" s="463">
        <v>1</v>
      </c>
      <c r="H110" s="432">
        <v>105</v>
      </c>
      <c r="I110" s="463">
        <f t="shared" si="14"/>
        <v>105</v>
      </c>
      <c r="J110" s="497">
        <v>10</v>
      </c>
      <c r="K110" s="497">
        <f>I110*J110</f>
        <v>1050</v>
      </c>
    </row>
    <row r="111" s="457" customFormat="1" spans="1:19">
      <c r="A111" s="494">
        <v>45728</v>
      </c>
      <c r="B111" s="442" t="s">
        <v>372</v>
      </c>
      <c r="C111" s="495">
        <v>45728</v>
      </c>
      <c r="D111" s="463"/>
      <c r="E111" s="463"/>
      <c r="F111" s="496" t="s">
        <v>599</v>
      </c>
      <c r="G111" s="463">
        <v>1</v>
      </c>
      <c r="H111" s="432">
        <v>62</v>
      </c>
      <c r="I111" s="463">
        <f t="shared" si="14"/>
        <v>62</v>
      </c>
      <c r="J111" s="497"/>
      <c r="K111" s="497"/>
      <c r="L111" s="457" t="s">
        <v>126</v>
      </c>
    </row>
    <row r="112" s="457" customFormat="1" spans="1:19">
      <c r="A112" s="494">
        <v>45728</v>
      </c>
      <c r="B112" s="442" t="s">
        <v>372</v>
      </c>
      <c r="C112" s="495">
        <v>45728</v>
      </c>
      <c r="D112" s="463"/>
      <c r="E112" s="463"/>
      <c r="F112" s="496" t="s">
        <v>553</v>
      </c>
      <c r="G112" s="463">
        <v>1</v>
      </c>
      <c r="H112" s="432">
        <v>89</v>
      </c>
      <c r="I112" s="463">
        <f t="shared" si="14"/>
        <v>89</v>
      </c>
      <c r="J112" s="497"/>
      <c r="K112" s="497"/>
      <c r="M112" s="457" t="s">
        <v>51</v>
      </c>
    </row>
    <row r="113" s="457" customFormat="1" spans="1:20">
      <c r="A113" s="494">
        <v>45728</v>
      </c>
      <c r="B113" s="442" t="s">
        <v>372</v>
      </c>
      <c r="C113" s="495">
        <v>45728</v>
      </c>
      <c r="D113" s="463"/>
      <c r="E113" s="463"/>
      <c r="F113" s="496" t="s">
        <v>125</v>
      </c>
      <c r="G113" s="463">
        <v>1</v>
      </c>
      <c r="H113" s="432">
        <v>94</v>
      </c>
      <c r="I113" s="463">
        <f t="shared" si="14"/>
        <v>94</v>
      </c>
      <c r="J113" s="497">
        <v>6.4</v>
      </c>
      <c r="K113" s="497">
        <f t="shared" ref="K113:K120" si="17">I113*J113</f>
        <v>601.6</v>
      </c>
    </row>
    <row r="114" s="457" customFormat="1" spans="1:20">
      <c r="A114" s="494">
        <v>45728</v>
      </c>
      <c r="B114" s="442" t="s">
        <v>372</v>
      </c>
      <c r="C114" s="495">
        <v>45728</v>
      </c>
      <c r="D114" s="463"/>
      <c r="E114" s="463"/>
      <c r="F114" s="499" t="s">
        <v>47</v>
      </c>
      <c r="G114" s="501">
        <v>1</v>
      </c>
      <c r="H114" s="500">
        <f>SUM(H109:H113)</f>
        <v>500</v>
      </c>
      <c r="I114" s="501">
        <f t="shared" si="14"/>
        <v>500</v>
      </c>
      <c r="J114" s="502">
        <v>1</v>
      </c>
      <c r="K114" s="502">
        <f t="shared" si="17"/>
        <v>500</v>
      </c>
    </row>
    <row r="115" s="456" customFormat="1" spans="1:20">
      <c r="A115" s="494">
        <v>45728</v>
      </c>
      <c r="B115" s="442" t="s">
        <v>372</v>
      </c>
      <c r="C115" s="495">
        <v>45728</v>
      </c>
      <c r="D115" s="463"/>
      <c r="E115" s="463"/>
      <c r="F115" s="496" t="s">
        <v>596</v>
      </c>
      <c r="G115" s="463">
        <v>4</v>
      </c>
      <c r="H115" s="432">
        <v>1</v>
      </c>
      <c r="I115" s="463">
        <f t="shared" si="14"/>
        <v>4</v>
      </c>
      <c r="J115" s="497">
        <v>12.5</v>
      </c>
      <c r="K115" s="497">
        <f t="shared" si="17"/>
        <v>50</v>
      </c>
      <c r="L115" s="456">
        <f>SUM(K109:K115)</f>
        <v>2201.6</v>
      </c>
      <c r="N115" s="456" t="s">
        <v>600</v>
      </c>
    </row>
    <row r="116" s="456" customFormat="1" spans="1:20">
      <c r="A116" s="488">
        <v>45728</v>
      </c>
      <c r="B116" s="489" t="s">
        <v>305</v>
      </c>
      <c r="C116" s="490">
        <v>45728</v>
      </c>
      <c r="D116" s="491"/>
      <c r="E116" s="491"/>
      <c r="F116" s="496" t="s">
        <v>132</v>
      </c>
      <c r="G116" s="491">
        <v>4</v>
      </c>
      <c r="H116" s="431">
        <v>90</v>
      </c>
      <c r="I116" s="491">
        <f t="shared" si="14"/>
        <v>360</v>
      </c>
      <c r="J116" s="492">
        <v>3.7</v>
      </c>
      <c r="K116" s="492">
        <f t="shared" si="17"/>
        <v>1332</v>
      </c>
    </row>
    <row r="117" s="456" customFormat="1" spans="1:20">
      <c r="A117" s="488">
        <v>45728</v>
      </c>
      <c r="B117" s="489" t="s">
        <v>305</v>
      </c>
      <c r="C117" s="490">
        <v>45728</v>
      </c>
      <c r="D117" s="491"/>
      <c r="E117" s="491"/>
      <c r="F117" s="493" t="s">
        <v>152</v>
      </c>
      <c r="G117" s="491">
        <v>4</v>
      </c>
      <c r="H117" s="431">
        <v>30</v>
      </c>
      <c r="I117" s="491">
        <f t="shared" si="14"/>
        <v>120</v>
      </c>
      <c r="J117" s="492">
        <v>7.3</v>
      </c>
      <c r="K117" s="492">
        <f t="shared" si="17"/>
        <v>876</v>
      </c>
    </row>
    <row r="118" s="456" customFormat="1" spans="1:20">
      <c r="A118" s="488">
        <v>45728</v>
      </c>
      <c r="B118" s="489" t="s">
        <v>305</v>
      </c>
      <c r="C118" s="490">
        <v>45728</v>
      </c>
      <c r="D118" s="491"/>
      <c r="E118" s="491"/>
      <c r="F118" s="493" t="s">
        <v>125</v>
      </c>
      <c r="G118" s="491">
        <v>4</v>
      </c>
      <c r="H118" s="431">
        <v>40</v>
      </c>
      <c r="I118" s="491">
        <f t="shared" si="14"/>
        <v>160</v>
      </c>
      <c r="J118" s="492">
        <v>6.4</v>
      </c>
      <c r="K118" s="492">
        <f t="shared" si="17"/>
        <v>1024</v>
      </c>
    </row>
    <row r="119" s="456" customFormat="1" spans="1:20">
      <c r="A119" s="488">
        <v>45728</v>
      </c>
      <c r="B119" s="489" t="s">
        <v>305</v>
      </c>
      <c r="C119" s="490">
        <v>45728</v>
      </c>
      <c r="D119" s="491"/>
      <c r="E119" s="491"/>
      <c r="F119" s="496">
        <v>808</v>
      </c>
      <c r="G119" s="491">
        <v>4</v>
      </c>
      <c r="H119" s="431">
        <v>20</v>
      </c>
      <c r="I119" s="491">
        <f t="shared" si="14"/>
        <v>80</v>
      </c>
      <c r="J119" s="492">
        <v>10</v>
      </c>
      <c r="K119" s="492">
        <f t="shared" si="17"/>
        <v>800</v>
      </c>
      <c r="N119" s="457"/>
    </row>
    <row r="120" s="456" customFormat="1" spans="1:20">
      <c r="A120" s="488">
        <v>45728</v>
      </c>
      <c r="B120" s="489" t="s">
        <v>305</v>
      </c>
      <c r="C120" s="490">
        <v>45728</v>
      </c>
      <c r="D120" s="491"/>
      <c r="E120" s="491"/>
      <c r="F120" s="499" t="s">
        <v>601</v>
      </c>
      <c r="G120" s="501">
        <v>4</v>
      </c>
      <c r="H120" s="500">
        <f>SUM(H116:H119)</f>
        <v>180</v>
      </c>
      <c r="I120" s="501">
        <f t="shared" si="14"/>
        <v>720</v>
      </c>
      <c r="J120" s="502">
        <v>0.7</v>
      </c>
      <c r="K120" s="502">
        <f t="shared" si="17"/>
        <v>504</v>
      </c>
      <c r="L120" s="456">
        <f>SUM(K116:K120)</f>
        <v>4536</v>
      </c>
    </row>
    <row r="121" s="456" customFormat="1" spans="1:20">
      <c r="A121" s="488">
        <v>45728</v>
      </c>
      <c r="B121" s="489" t="s">
        <v>305</v>
      </c>
      <c r="C121" s="490">
        <v>45728</v>
      </c>
      <c r="D121" s="491"/>
      <c r="E121" s="491"/>
      <c r="F121" s="493" t="s">
        <v>160</v>
      </c>
      <c r="G121" s="491">
        <v>4</v>
      </c>
      <c r="H121" s="431">
        <v>1</v>
      </c>
      <c r="I121" s="491">
        <f t="shared" si="14"/>
        <v>4</v>
      </c>
      <c r="J121" s="492"/>
      <c r="K121" s="492"/>
    </row>
    <row r="122" s="456" customFormat="1" spans="1:20">
      <c r="A122" s="488"/>
      <c r="B122" s="489"/>
      <c r="C122" s="490"/>
      <c r="D122" s="491"/>
      <c r="E122" s="491"/>
      <c r="F122" s="498" t="s">
        <v>602</v>
      </c>
      <c r="G122" s="491"/>
      <c r="H122" s="431"/>
      <c r="I122" s="491"/>
      <c r="J122" s="492"/>
      <c r="K122" s="492"/>
    </row>
    <row r="123" s="457" customFormat="1" spans="1:20">
      <c r="A123" s="494">
        <v>45729</v>
      </c>
      <c r="B123" s="442" t="s">
        <v>269</v>
      </c>
      <c r="C123" s="495">
        <v>45728</v>
      </c>
      <c r="D123" s="463"/>
      <c r="E123" s="463"/>
      <c r="F123" s="496" t="s">
        <v>603</v>
      </c>
      <c r="G123" s="463">
        <v>1</v>
      </c>
      <c r="H123" s="432">
        <v>18</v>
      </c>
      <c r="I123" s="463">
        <f>G123*H123</f>
        <v>18</v>
      </c>
      <c r="J123" s="497">
        <v>18</v>
      </c>
      <c r="K123" s="516">
        <f t="shared" ref="K123:K129" si="18">I123*J123</f>
        <v>324</v>
      </c>
      <c r="L123" s="457" t="s">
        <v>604</v>
      </c>
      <c r="M123" s="496"/>
      <c r="O123" s="530" t="s">
        <v>605</v>
      </c>
      <c r="S123" s="442" t="s">
        <v>326</v>
      </c>
      <c r="T123" s="457" t="s">
        <v>606</v>
      </c>
    </row>
    <row r="124" s="457" customFormat="1" spans="1:20">
      <c r="A124" s="494">
        <v>45729</v>
      </c>
      <c r="B124" s="442" t="s">
        <v>269</v>
      </c>
      <c r="C124" s="495">
        <v>45728</v>
      </c>
      <c r="D124" s="463"/>
      <c r="E124" s="463"/>
      <c r="F124" s="496" t="s">
        <v>607</v>
      </c>
      <c r="G124" s="463">
        <v>2</v>
      </c>
      <c r="H124" s="432">
        <v>18</v>
      </c>
      <c r="I124" s="463">
        <f>G124*H124</f>
        <v>36</v>
      </c>
      <c r="J124" s="497">
        <v>18</v>
      </c>
      <c r="K124" s="516">
        <f t="shared" si="18"/>
        <v>648</v>
      </c>
      <c r="L124" s="457" t="s">
        <v>608</v>
      </c>
      <c r="M124" s="496"/>
      <c r="O124" s="518"/>
      <c r="S124" s="442"/>
      <c r="T124" s="457" t="s">
        <v>609</v>
      </c>
    </row>
    <row r="125" s="457" customFormat="1" spans="1:20">
      <c r="A125" s="494">
        <v>45729</v>
      </c>
      <c r="B125" s="442" t="s">
        <v>269</v>
      </c>
      <c r="C125" s="495">
        <v>45728</v>
      </c>
      <c r="D125" s="463"/>
      <c r="E125" s="463"/>
      <c r="F125" s="496" t="s">
        <v>610</v>
      </c>
      <c r="G125" s="463">
        <v>1</v>
      </c>
      <c r="H125" s="432">
        <v>18</v>
      </c>
      <c r="I125" s="463">
        <f>G125*H125</f>
        <v>18</v>
      </c>
      <c r="J125" s="497">
        <v>20</v>
      </c>
      <c r="K125" s="516">
        <f t="shared" si="18"/>
        <v>360</v>
      </c>
      <c r="L125" s="457" t="s">
        <v>611</v>
      </c>
      <c r="M125" s="496"/>
      <c r="O125" s="518"/>
      <c r="S125" s="442"/>
      <c r="T125" s="457" t="s">
        <v>612</v>
      </c>
    </row>
    <row r="126" s="457" customFormat="1" spans="1:20">
      <c r="A126" s="494">
        <v>45729</v>
      </c>
      <c r="B126" s="442" t="s">
        <v>269</v>
      </c>
      <c r="C126" s="495">
        <v>45728</v>
      </c>
      <c r="D126" s="463"/>
      <c r="E126" s="463"/>
      <c r="F126" s="496" t="s">
        <v>613</v>
      </c>
      <c r="G126" s="463">
        <v>1</v>
      </c>
      <c r="H126" s="432">
        <v>20</v>
      </c>
      <c r="I126" s="463">
        <f>G126*H126</f>
        <v>20</v>
      </c>
      <c r="J126" s="497">
        <v>18</v>
      </c>
      <c r="K126" s="516">
        <f t="shared" si="18"/>
        <v>360</v>
      </c>
      <c r="L126" s="457" t="s">
        <v>614</v>
      </c>
      <c r="M126" s="496"/>
      <c r="N126" s="457">
        <f>SUM(K123:K127)</f>
        <v>2932</v>
      </c>
      <c r="O126" s="518"/>
      <c r="S126" s="442"/>
      <c r="T126" s="457" t="s">
        <v>615</v>
      </c>
    </row>
    <row r="127" s="457" customFormat="1" spans="1:20">
      <c r="A127" s="494">
        <v>45729</v>
      </c>
      <c r="B127" s="442" t="s">
        <v>269</v>
      </c>
      <c r="C127" s="495">
        <v>45728</v>
      </c>
      <c r="D127" s="463"/>
      <c r="E127" s="463"/>
      <c r="F127" s="496" t="s">
        <v>284</v>
      </c>
      <c r="G127" s="463">
        <v>4</v>
      </c>
      <c r="H127" s="432">
        <v>20</v>
      </c>
      <c r="I127" s="463">
        <f>G127*H127</f>
        <v>80</v>
      </c>
      <c r="J127" s="497">
        <v>15.5</v>
      </c>
      <c r="K127" s="516">
        <f t="shared" si="18"/>
        <v>1240</v>
      </c>
      <c r="L127" s="457" t="s">
        <v>616</v>
      </c>
      <c r="M127" s="442"/>
      <c r="O127" s="518"/>
      <c r="S127" s="442"/>
      <c r="T127" s="457" t="s">
        <v>617</v>
      </c>
    </row>
    <row r="128" s="457" customFormat="1" spans="1:20">
      <c r="A128" s="494">
        <v>45729</v>
      </c>
      <c r="B128" s="442" t="s">
        <v>269</v>
      </c>
      <c r="C128" s="495">
        <v>45728</v>
      </c>
      <c r="D128" s="463"/>
      <c r="E128" s="463"/>
      <c r="F128" s="522" t="s">
        <v>618</v>
      </c>
      <c r="G128" s="463">
        <v>1</v>
      </c>
      <c r="H128" s="432">
        <v>1</v>
      </c>
      <c r="I128" s="463">
        <f t="shared" ref="I128:I144" si="19">G128*H128</f>
        <v>1</v>
      </c>
      <c r="J128" s="497">
        <v>5.5</v>
      </c>
      <c r="K128" s="497">
        <f t="shared" si="18"/>
        <v>5.5</v>
      </c>
    </row>
    <row r="129" s="457" customFormat="1" spans="1:14">
      <c r="A129" s="494">
        <v>45729</v>
      </c>
      <c r="B129" s="442" t="s">
        <v>269</v>
      </c>
      <c r="C129" s="495">
        <v>45728</v>
      </c>
      <c r="D129" s="463"/>
      <c r="E129" s="463"/>
      <c r="F129" s="522" t="s">
        <v>619</v>
      </c>
      <c r="G129" s="463">
        <v>3</v>
      </c>
      <c r="H129" s="432">
        <v>1</v>
      </c>
      <c r="I129" s="463">
        <f t="shared" si="19"/>
        <v>3</v>
      </c>
      <c r="J129" s="497">
        <v>120</v>
      </c>
      <c r="K129" s="497">
        <f t="shared" si="18"/>
        <v>360</v>
      </c>
      <c r="M129" s="457">
        <f>SUM(K123:K129)</f>
        <v>3297.5</v>
      </c>
    </row>
    <row r="130" s="456" customFormat="1" spans="1:14">
      <c r="A130" s="488">
        <v>45729</v>
      </c>
      <c r="B130" s="489" t="s">
        <v>270</v>
      </c>
      <c r="C130" s="528">
        <v>45728</v>
      </c>
      <c r="D130" s="528"/>
      <c r="E130" s="529"/>
      <c r="F130" s="493" t="s">
        <v>477</v>
      </c>
      <c r="G130" s="491">
        <v>1</v>
      </c>
      <c r="H130" s="431">
        <v>300</v>
      </c>
      <c r="I130" s="491">
        <f t="shared" si="19"/>
        <v>300</v>
      </c>
      <c r="J130" s="492"/>
      <c r="K130" s="492"/>
    </row>
    <row r="131" s="456" customFormat="1" spans="1:14">
      <c r="A131" s="488">
        <v>45729</v>
      </c>
      <c r="B131" s="489" t="s">
        <v>270</v>
      </c>
      <c r="C131" s="528">
        <v>45728</v>
      </c>
      <c r="D131" s="528"/>
      <c r="E131" s="529"/>
      <c r="F131" s="496">
        <v>808</v>
      </c>
      <c r="G131" s="491">
        <v>1</v>
      </c>
      <c r="H131" s="431">
        <v>450</v>
      </c>
      <c r="I131" s="491">
        <f t="shared" si="19"/>
        <v>450</v>
      </c>
      <c r="J131" s="492">
        <v>10</v>
      </c>
      <c r="K131" s="492">
        <f>I131*J131</f>
        <v>4500</v>
      </c>
      <c r="N131" s="457"/>
    </row>
    <row r="132" s="456" customFormat="1" spans="1:14">
      <c r="A132" s="488">
        <v>45729</v>
      </c>
      <c r="B132" s="489" t="s">
        <v>270</v>
      </c>
      <c r="C132" s="528">
        <v>45728</v>
      </c>
      <c r="D132" s="528"/>
      <c r="E132" s="529"/>
      <c r="F132" s="493" t="s">
        <v>109</v>
      </c>
      <c r="G132" s="489">
        <v>1</v>
      </c>
      <c r="H132" s="531">
        <f>SUM(H130:H131)</f>
        <v>750</v>
      </c>
      <c r="I132" s="491">
        <f t="shared" si="19"/>
        <v>750</v>
      </c>
      <c r="J132" s="492">
        <v>1</v>
      </c>
      <c r="K132" s="492">
        <f>I132*J132</f>
        <v>750</v>
      </c>
      <c r="L132" s="456">
        <f>SUM(K130:K132)</f>
        <v>5250</v>
      </c>
    </row>
    <row r="133" s="457" customFormat="1" spans="1:14">
      <c r="A133" s="494">
        <v>45729</v>
      </c>
      <c r="B133" s="442" t="s">
        <v>272</v>
      </c>
      <c r="C133" s="495">
        <v>45728</v>
      </c>
      <c r="D133" s="463"/>
      <c r="E133" s="463"/>
      <c r="F133" s="496" t="s">
        <v>16</v>
      </c>
      <c r="G133" s="463">
        <v>1</v>
      </c>
      <c r="H133" s="432">
        <v>7.5</v>
      </c>
      <c r="I133" s="463">
        <f t="shared" si="19"/>
        <v>7.5</v>
      </c>
      <c r="J133" s="497"/>
      <c r="K133" s="497"/>
    </row>
    <row r="134" s="457" customFormat="1" spans="1:14">
      <c r="A134" s="494">
        <v>45729</v>
      </c>
      <c r="B134" s="442" t="s">
        <v>272</v>
      </c>
      <c r="C134" s="495">
        <v>45728</v>
      </c>
      <c r="D134" s="463"/>
      <c r="E134" s="463"/>
      <c r="F134" s="496" t="s">
        <v>300</v>
      </c>
      <c r="G134" s="463">
        <v>1</v>
      </c>
      <c r="H134" s="432">
        <v>10</v>
      </c>
      <c r="I134" s="463">
        <f t="shared" si="19"/>
        <v>10</v>
      </c>
      <c r="J134" s="497"/>
      <c r="K134" s="497"/>
    </row>
    <row r="135" s="457" customFormat="1" spans="1:14">
      <c r="A135" s="494">
        <v>45729</v>
      </c>
      <c r="B135" s="442" t="s">
        <v>272</v>
      </c>
      <c r="C135" s="495">
        <v>45728</v>
      </c>
      <c r="D135" s="463"/>
      <c r="E135" s="463"/>
      <c r="F135" s="496" t="s">
        <v>546</v>
      </c>
      <c r="G135" s="463">
        <v>1</v>
      </c>
      <c r="H135" s="432">
        <v>10.5</v>
      </c>
      <c r="I135" s="463">
        <f t="shared" si="19"/>
        <v>10.5</v>
      </c>
      <c r="J135" s="497"/>
      <c r="K135" s="497"/>
    </row>
    <row r="136" s="457" customFormat="1" spans="1:14">
      <c r="A136" s="494">
        <v>45729</v>
      </c>
      <c r="B136" s="442" t="s">
        <v>272</v>
      </c>
      <c r="C136" s="495">
        <v>45728</v>
      </c>
      <c r="D136" s="463"/>
      <c r="E136" s="463"/>
      <c r="F136" s="496">
        <v>808</v>
      </c>
      <c r="G136" s="463">
        <v>1</v>
      </c>
      <c r="H136" s="432">
        <v>6</v>
      </c>
      <c r="I136" s="463">
        <f t="shared" si="19"/>
        <v>6</v>
      </c>
      <c r="J136" s="497">
        <v>10</v>
      </c>
      <c r="K136" s="497">
        <f>I136*J136</f>
        <v>60</v>
      </c>
      <c r="L136" s="457" t="s">
        <v>436</v>
      </c>
    </row>
    <row r="137" s="457" customFormat="1" spans="1:14">
      <c r="A137" s="494">
        <v>45729</v>
      </c>
      <c r="B137" s="442" t="s">
        <v>272</v>
      </c>
      <c r="C137" s="495">
        <v>45728</v>
      </c>
      <c r="D137" s="463"/>
      <c r="E137" s="463"/>
      <c r="F137" s="496" t="s">
        <v>125</v>
      </c>
      <c r="G137" s="463">
        <v>1</v>
      </c>
      <c r="H137" s="432">
        <v>10.5</v>
      </c>
      <c r="I137" s="463">
        <f t="shared" si="19"/>
        <v>10.5</v>
      </c>
      <c r="J137" s="497">
        <v>6.4</v>
      </c>
      <c r="K137" s="497">
        <f>I137*J137</f>
        <v>67.2</v>
      </c>
      <c r="N137" s="456"/>
    </row>
    <row r="138" s="457" customFormat="1" spans="1:14">
      <c r="A138" s="494">
        <v>45729</v>
      </c>
      <c r="B138" s="442" t="s">
        <v>272</v>
      </c>
      <c r="C138" s="495">
        <v>45728</v>
      </c>
      <c r="D138" s="463"/>
      <c r="E138" s="463"/>
      <c r="F138" s="496" t="s">
        <v>240</v>
      </c>
      <c r="G138" s="463">
        <v>1</v>
      </c>
      <c r="H138" s="432">
        <v>7.5</v>
      </c>
      <c r="I138" s="463">
        <f t="shared" si="19"/>
        <v>7.5</v>
      </c>
      <c r="J138" s="497"/>
      <c r="K138" s="497"/>
    </row>
    <row r="139" s="457" customFormat="1" spans="1:14">
      <c r="A139" s="494">
        <v>45729</v>
      </c>
      <c r="B139" s="442" t="s">
        <v>272</v>
      </c>
      <c r="C139" s="495">
        <v>45728</v>
      </c>
      <c r="D139" s="463"/>
      <c r="E139" s="463"/>
      <c r="F139" s="499" t="s">
        <v>620</v>
      </c>
      <c r="G139" s="501">
        <v>1</v>
      </c>
      <c r="H139" s="500">
        <f>SUM(H133:H138)</f>
        <v>52</v>
      </c>
      <c r="I139" s="501">
        <f t="shared" si="19"/>
        <v>52</v>
      </c>
      <c r="J139" s="502">
        <v>1</v>
      </c>
      <c r="K139" s="502">
        <f>I139*J139</f>
        <v>52</v>
      </c>
      <c r="L139" s="457">
        <f>SUM(K133:K139)</f>
        <v>179.2</v>
      </c>
    </row>
    <row r="140" s="456" customFormat="1" spans="1:14">
      <c r="A140" s="488">
        <v>45729</v>
      </c>
      <c r="B140" s="489" t="s">
        <v>180</v>
      </c>
      <c r="C140" s="490">
        <v>45729</v>
      </c>
      <c r="D140" s="491"/>
      <c r="E140" s="491"/>
      <c r="F140" s="493" t="s">
        <v>16</v>
      </c>
      <c r="G140" s="491">
        <v>1</v>
      </c>
      <c r="H140" s="431">
        <v>3</v>
      </c>
      <c r="I140" s="491">
        <f t="shared" si="19"/>
        <v>3</v>
      </c>
      <c r="J140" s="492">
        <v>12.5</v>
      </c>
      <c r="K140" s="492"/>
      <c r="N140" s="457"/>
    </row>
    <row r="141" s="456" customFormat="1" spans="1:14">
      <c r="A141" s="488">
        <v>45729</v>
      </c>
      <c r="B141" s="489" t="s">
        <v>180</v>
      </c>
      <c r="C141" s="490">
        <v>45729</v>
      </c>
      <c r="D141" s="491"/>
      <c r="E141" s="491"/>
      <c r="F141" s="493" t="s">
        <v>513</v>
      </c>
      <c r="G141" s="491">
        <v>1</v>
      </c>
      <c r="H141" s="431">
        <v>20</v>
      </c>
      <c r="I141" s="491">
        <f t="shared" si="19"/>
        <v>20</v>
      </c>
      <c r="J141" s="492">
        <v>15</v>
      </c>
      <c r="K141" s="492">
        <f>I141*J141</f>
        <v>300</v>
      </c>
      <c r="N141" s="457"/>
    </row>
    <row r="142" s="456" customFormat="1" spans="1:14">
      <c r="A142" s="488">
        <v>45729</v>
      </c>
      <c r="B142" s="489" t="s">
        <v>180</v>
      </c>
      <c r="C142" s="490">
        <v>45729</v>
      </c>
      <c r="D142" s="491"/>
      <c r="E142" s="491"/>
      <c r="F142" s="493" t="s">
        <v>152</v>
      </c>
      <c r="G142" s="491">
        <v>1</v>
      </c>
      <c r="H142" s="431">
        <v>73</v>
      </c>
      <c r="I142" s="491">
        <f t="shared" si="19"/>
        <v>73</v>
      </c>
      <c r="J142" s="492">
        <v>7.3</v>
      </c>
      <c r="K142" s="492">
        <f>I142*J142</f>
        <v>532.9</v>
      </c>
      <c r="N142" s="457"/>
    </row>
    <row r="143" s="456" customFormat="1" spans="1:14">
      <c r="A143" s="488">
        <v>45729</v>
      </c>
      <c r="B143" s="489" t="s">
        <v>180</v>
      </c>
      <c r="C143" s="490">
        <v>45729</v>
      </c>
      <c r="D143" s="491"/>
      <c r="E143" s="491"/>
      <c r="F143" s="493" t="s">
        <v>125</v>
      </c>
      <c r="G143" s="491">
        <v>1</v>
      </c>
      <c r="H143" s="431">
        <v>64</v>
      </c>
      <c r="I143" s="491">
        <f t="shared" si="19"/>
        <v>64</v>
      </c>
      <c r="J143" s="492">
        <v>6.4</v>
      </c>
      <c r="K143" s="492">
        <f>I143*J143</f>
        <v>409.6</v>
      </c>
      <c r="N143" s="457"/>
    </row>
    <row r="144" s="456" customFormat="1" spans="1:14">
      <c r="A144" s="488">
        <v>45729</v>
      </c>
      <c r="B144" s="489" t="s">
        <v>180</v>
      </c>
      <c r="C144" s="490">
        <v>45729</v>
      </c>
      <c r="D144" s="491"/>
      <c r="E144" s="491"/>
      <c r="F144" s="499" t="s">
        <v>389</v>
      </c>
      <c r="G144" s="501">
        <v>1</v>
      </c>
      <c r="H144" s="500">
        <f>SUM(H140:H143)</f>
        <v>160</v>
      </c>
      <c r="I144" s="501">
        <f t="shared" si="19"/>
        <v>160</v>
      </c>
      <c r="J144" s="502">
        <v>1</v>
      </c>
      <c r="K144" s="502">
        <f>I144*J144</f>
        <v>160</v>
      </c>
      <c r="L144" s="456">
        <f>SUM(K140:K144)</f>
        <v>1402.5</v>
      </c>
      <c r="N144" s="457"/>
    </row>
    <row r="145" s="457" customFormat="1" spans="1:13">
      <c r="A145" s="494">
        <v>45729</v>
      </c>
      <c r="B145" s="442" t="s">
        <v>277</v>
      </c>
      <c r="C145" s="495">
        <v>45729</v>
      </c>
      <c r="D145" s="463"/>
      <c r="E145" s="463"/>
      <c r="F145" s="496" t="s">
        <v>16</v>
      </c>
      <c r="G145" s="463">
        <v>1</v>
      </c>
      <c r="H145" s="432">
        <v>90</v>
      </c>
      <c r="I145" s="463">
        <f t="shared" ref="I145:I167" si="20">G145*H145</f>
        <v>90</v>
      </c>
      <c r="J145" s="497"/>
      <c r="K145" s="497"/>
    </row>
    <row r="146" s="457" customFormat="1" spans="1:13">
      <c r="A146" s="494">
        <v>45729</v>
      </c>
      <c r="B146" s="442" t="s">
        <v>277</v>
      </c>
      <c r="C146" s="495">
        <v>45729</v>
      </c>
      <c r="D146" s="463"/>
      <c r="E146" s="463"/>
      <c r="F146" s="496" t="s">
        <v>300</v>
      </c>
      <c r="G146" s="463">
        <v>1</v>
      </c>
      <c r="H146" s="432">
        <v>90</v>
      </c>
      <c r="I146" s="463">
        <f t="shared" si="20"/>
        <v>90</v>
      </c>
      <c r="J146" s="497"/>
      <c r="K146" s="497"/>
    </row>
    <row r="147" s="457" customFormat="1" spans="1:13">
      <c r="A147" s="494">
        <v>45729</v>
      </c>
      <c r="B147" s="442" t="s">
        <v>277</v>
      </c>
      <c r="C147" s="495">
        <v>45729</v>
      </c>
      <c r="D147" s="463"/>
      <c r="E147" s="463"/>
      <c r="F147" s="496" t="s">
        <v>546</v>
      </c>
      <c r="G147" s="463">
        <v>1</v>
      </c>
      <c r="H147" s="432">
        <v>128</v>
      </c>
      <c r="I147" s="463">
        <f t="shared" si="20"/>
        <v>128</v>
      </c>
      <c r="J147" s="497"/>
      <c r="K147" s="497"/>
    </row>
    <row r="148" s="457" customFormat="1" spans="1:13">
      <c r="A148" s="494">
        <v>45729</v>
      </c>
      <c r="B148" s="442" t="s">
        <v>277</v>
      </c>
      <c r="C148" s="495">
        <v>45729</v>
      </c>
      <c r="D148" s="463"/>
      <c r="E148" s="463"/>
      <c r="F148" s="496">
        <v>808</v>
      </c>
      <c r="G148" s="463">
        <v>1</v>
      </c>
      <c r="H148" s="432">
        <v>60</v>
      </c>
      <c r="I148" s="463">
        <f t="shared" si="20"/>
        <v>60</v>
      </c>
      <c r="J148" s="497">
        <v>10</v>
      </c>
      <c r="K148" s="497">
        <f t="shared" ref="K148:K150" si="21">I148*J148</f>
        <v>600</v>
      </c>
      <c r="L148" s="457" t="s">
        <v>436</v>
      </c>
    </row>
    <row r="149" s="457" customFormat="1" spans="1:13">
      <c r="A149" s="494">
        <v>45729</v>
      </c>
      <c r="B149" s="442" t="s">
        <v>277</v>
      </c>
      <c r="C149" s="495">
        <v>45729</v>
      </c>
      <c r="D149" s="463"/>
      <c r="E149" s="463"/>
      <c r="F149" s="496" t="s">
        <v>125</v>
      </c>
      <c r="G149" s="463">
        <v>1</v>
      </c>
      <c r="H149" s="432">
        <v>130</v>
      </c>
      <c r="I149" s="463">
        <f t="shared" si="20"/>
        <v>130</v>
      </c>
      <c r="J149" s="497">
        <v>6.4</v>
      </c>
      <c r="K149" s="497">
        <f t="shared" si="21"/>
        <v>832</v>
      </c>
    </row>
    <row r="150" s="457" customFormat="1" spans="1:13">
      <c r="A150" s="494">
        <v>45729</v>
      </c>
      <c r="B150" s="442" t="s">
        <v>277</v>
      </c>
      <c r="C150" s="495">
        <v>45729</v>
      </c>
      <c r="D150" s="463"/>
      <c r="E150" s="463"/>
      <c r="F150" s="496" t="s">
        <v>12</v>
      </c>
      <c r="G150" s="463">
        <v>1</v>
      </c>
      <c r="H150" s="432">
        <v>12</v>
      </c>
      <c r="I150" s="463">
        <f t="shared" si="20"/>
        <v>12</v>
      </c>
      <c r="J150" s="497">
        <v>7.8</v>
      </c>
      <c r="K150" s="497">
        <f t="shared" si="21"/>
        <v>93.6</v>
      </c>
    </row>
    <row r="151" s="457" customFormat="1" spans="1:13">
      <c r="A151" s="494">
        <v>45729</v>
      </c>
      <c r="B151" s="442" t="s">
        <v>277</v>
      </c>
      <c r="C151" s="495">
        <v>45729</v>
      </c>
      <c r="D151" s="463"/>
      <c r="E151" s="463"/>
      <c r="F151" s="496" t="s">
        <v>240</v>
      </c>
      <c r="G151" s="463">
        <v>1</v>
      </c>
      <c r="H151" s="432">
        <v>90</v>
      </c>
      <c r="I151" s="463">
        <f t="shared" si="20"/>
        <v>90</v>
      </c>
      <c r="J151" s="497"/>
      <c r="K151" s="497"/>
    </row>
    <row r="152" s="457" customFormat="1" spans="1:13">
      <c r="A152" s="494">
        <v>45729</v>
      </c>
      <c r="B152" s="442" t="s">
        <v>277</v>
      </c>
      <c r="C152" s="495">
        <v>45729</v>
      </c>
      <c r="D152" s="463"/>
      <c r="E152" s="463"/>
      <c r="F152" s="499" t="s">
        <v>301</v>
      </c>
      <c r="G152" s="501">
        <v>1</v>
      </c>
      <c r="H152" s="500">
        <f>SUM(H145:H151)</f>
        <v>600</v>
      </c>
      <c r="I152" s="501">
        <f t="shared" si="20"/>
        <v>600</v>
      </c>
      <c r="J152" s="502">
        <v>1</v>
      </c>
      <c r="K152" s="502">
        <f>I152*J152</f>
        <v>600</v>
      </c>
      <c r="L152" s="457">
        <f>SUM(K145:K152)</f>
        <v>2125.6</v>
      </c>
    </row>
    <row r="153" s="456" customFormat="1" spans="1:13">
      <c r="A153" s="488">
        <v>45729</v>
      </c>
      <c r="B153" s="489" t="s">
        <v>79</v>
      </c>
      <c r="C153" s="490">
        <v>45729</v>
      </c>
      <c r="D153" s="491"/>
      <c r="E153" s="491"/>
      <c r="F153" s="493" t="s">
        <v>42</v>
      </c>
      <c r="G153" s="491">
        <v>1</v>
      </c>
      <c r="H153" s="431">
        <v>5</v>
      </c>
      <c r="I153" s="491">
        <f t="shared" si="20"/>
        <v>5</v>
      </c>
      <c r="J153" s="492"/>
      <c r="K153" s="492"/>
    </row>
    <row r="154" s="456" customFormat="1" spans="1:13">
      <c r="A154" s="488">
        <v>45729</v>
      </c>
      <c r="B154" s="489" t="s">
        <v>79</v>
      </c>
      <c r="C154" s="490">
        <v>45729</v>
      </c>
      <c r="D154" s="491"/>
      <c r="E154" s="491"/>
      <c r="F154" s="493" t="s">
        <v>207</v>
      </c>
      <c r="G154" s="491">
        <v>1</v>
      </c>
      <c r="H154" s="431">
        <v>12.5</v>
      </c>
      <c r="I154" s="491">
        <f t="shared" si="20"/>
        <v>12.5</v>
      </c>
      <c r="J154" s="492"/>
      <c r="K154" s="492"/>
    </row>
    <row r="155" s="456" customFormat="1" spans="1:13">
      <c r="A155" s="488">
        <v>45729</v>
      </c>
      <c r="B155" s="489" t="s">
        <v>79</v>
      </c>
      <c r="C155" s="490">
        <v>45729</v>
      </c>
      <c r="D155" s="491"/>
      <c r="E155" s="491"/>
      <c r="F155" s="493" t="s">
        <v>589</v>
      </c>
      <c r="G155" s="491">
        <v>1</v>
      </c>
      <c r="H155" s="431">
        <v>6</v>
      </c>
      <c r="I155" s="491">
        <f t="shared" si="20"/>
        <v>6</v>
      </c>
      <c r="J155" s="492"/>
      <c r="K155" s="492"/>
    </row>
    <row r="156" s="456" customFormat="1" spans="1:13">
      <c r="A156" s="488">
        <v>45729</v>
      </c>
      <c r="B156" s="489" t="s">
        <v>79</v>
      </c>
      <c r="C156" s="490">
        <v>45729</v>
      </c>
      <c r="D156" s="491"/>
      <c r="E156" s="491"/>
      <c r="F156" s="493" t="s">
        <v>553</v>
      </c>
      <c r="G156" s="491">
        <v>1</v>
      </c>
      <c r="H156" s="431">
        <v>12.5</v>
      </c>
      <c r="I156" s="491">
        <f t="shared" si="20"/>
        <v>12.5</v>
      </c>
      <c r="J156" s="492"/>
      <c r="K156" s="492"/>
    </row>
    <row r="157" s="456" customFormat="1" spans="1:13">
      <c r="A157" s="488">
        <v>45729</v>
      </c>
      <c r="B157" s="489" t="s">
        <v>79</v>
      </c>
      <c r="C157" s="490">
        <v>45729</v>
      </c>
      <c r="D157" s="491"/>
      <c r="E157" s="491"/>
      <c r="F157" s="493" t="s">
        <v>208</v>
      </c>
      <c r="G157" s="491">
        <v>1</v>
      </c>
      <c r="H157" s="431">
        <v>1.3</v>
      </c>
      <c r="I157" s="491">
        <f t="shared" si="20"/>
        <v>1.3</v>
      </c>
      <c r="J157" s="492">
        <v>17</v>
      </c>
      <c r="K157" s="492">
        <f t="shared" ref="K157:K159" si="22">I157*J157</f>
        <v>22.1</v>
      </c>
      <c r="M157" s="459" t="s">
        <v>621</v>
      </c>
    </row>
    <row r="158" s="456" customFormat="1" spans="1:13">
      <c r="A158" s="488">
        <v>45729</v>
      </c>
      <c r="B158" s="489" t="s">
        <v>79</v>
      </c>
      <c r="C158" s="490">
        <v>45729</v>
      </c>
      <c r="D158" s="491"/>
      <c r="E158" s="491"/>
      <c r="F158" s="493" t="s">
        <v>132</v>
      </c>
      <c r="G158" s="491">
        <v>1</v>
      </c>
      <c r="H158" s="431">
        <v>13</v>
      </c>
      <c r="I158" s="491">
        <f t="shared" si="20"/>
        <v>13</v>
      </c>
      <c r="J158" s="492">
        <v>3.7</v>
      </c>
      <c r="K158" s="492">
        <f t="shared" si="22"/>
        <v>48.1</v>
      </c>
    </row>
    <row r="159" s="456" customFormat="1" spans="1:13">
      <c r="A159" s="488">
        <v>45729</v>
      </c>
      <c r="B159" s="489" t="s">
        <v>79</v>
      </c>
      <c r="C159" s="490">
        <v>45729</v>
      </c>
      <c r="D159" s="491"/>
      <c r="E159" s="491"/>
      <c r="F159" s="493" t="s">
        <v>137</v>
      </c>
      <c r="G159" s="491">
        <v>1</v>
      </c>
      <c r="H159" s="431">
        <v>2.5</v>
      </c>
      <c r="I159" s="491">
        <f t="shared" si="20"/>
        <v>2.5</v>
      </c>
      <c r="J159" s="492">
        <v>0.9</v>
      </c>
      <c r="K159" s="492">
        <f t="shared" si="22"/>
        <v>2.25</v>
      </c>
      <c r="L159" s="456" t="s">
        <v>116</v>
      </c>
    </row>
    <row r="160" s="456" customFormat="1" spans="1:13">
      <c r="A160" s="488">
        <v>45729</v>
      </c>
      <c r="B160" s="489" t="s">
        <v>79</v>
      </c>
      <c r="C160" s="490">
        <v>45729</v>
      </c>
      <c r="D160" s="491"/>
      <c r="E160" s="491"/>
      <c r="F160" s="493" t="s">
        <v>211</v>
      </c>
      <c r="G160" s="491">
        <v>1</v>
      </c>
      <c r="H160" s="431">
        <v>0.13</v>
      </c>
      <c r="I160" s="491">
        <f t="shared" si="20"/>
        <v>0.13</v>
      </c>
      <c r="J160" s="492"/>
      <c r="K160" s="492"/>
    </row>
    <row r="161" s="456" customFormat="1" spans="1:14">
      <c r="A161" s="488">
        <v>45729</v>
      </c>
      <c r="B161" s="489" t="s">
        <v>79</v>
      </c>
      <c r="C161" s="490">
        <v>45729</v>
      </c>
      <c r="D161" s="491"/>
      <c r="E161" s="491"/>
      <c r="F161" s="499" t="s">
        <v>212</v>
      </c>
      <c r="G161" s="501">
        <v>1</v>
      </c>
      <c r="H161" s="500">
        <v>53</v>
      </c>
      <c r="I161" s="501">
        <f t="shared" si="20"/>
        <v>53</v>
      </c>
      <c r="J161" s="502">
        <v>1</v>
      </c>
      <c r="K161" s="502">
        <f t="shared" ref="K161:K167" si="23">I161*J161</f>
        <v>53</v>
      </c>
      <c r="L161" s="464">
        <f>SUM(K153:K161)</f>
        <v>125.45</v>
      </c>
    </row>
    <row r="162" s="457" customFormat="1" spans="1:14">
      <c r="A162" s="494">
        <v>45729</v>
      </c>
      <c r="B162" s="442" t="s">
        <v>85</v>
      </c>
      <c r="C162" s="495">
        <v>45729</v>
      </c>
      <c r="D162" s="463"/>
      <c r="E162" s="463"/>
      <c r="F162" s="496" t="s">
        <v>176</v>
      </c>
      <c r="G162" s="463">
        <v>1</v>
      </c>
      <c r="H162" s="432">
        <v>200</v>
      </c>
      <c r="I162" s="463">
        <f t="shared" si="20"/>
        <v>200</v>
      </c>
      <c r="J162" s="497"/>
      <c r="K162" s="497"/>
    </row>
    <row r="163" s="457" customFormat="1" spans="1:14">
      <c r="A163" s="494">
        <v>45729</v>
      </c>
      <c r="B163" s="442" t="s">
        <v>85</v>
      </c>
      <c r="C163" s="495">
        <v>45729</v>
      </c>
      <c r="D163" s="463"/>
      <c r="E163" s="463"/>
      <c r="F163" s="496" t="s">
        <v>170</v>
      </c>
      <c r="G163" s="463">
        <v>1</v>
      </c>
      <c r="H163" s="432">
        <v>25</v>
      </c>
      <c r="I163" s="463">
        <f t="shared" si="20"/>
        <v>25</v>
      </c>
      <c r="J163" s="497">
        <v>75</v>
      </c>
      <c r="K163" s="497">
        <f t="shared" si="23"/>
        <v>1875</v>
      </c>
    </row>
    <row r="164" s="457" customFormat="1" spans="1:14">
      <c r="A164" s="494">
        <v>45729</v>
      </c>
      <c r="B164" s="442" t="s">
        <v>85</v>
      </c>
      <c r="C164" s="495">
        <v>45729</v>
      </c>
      <c r="D164" s="463"/>
      <c r="E164" s="463"/>
      <c r="F164" s="496" t="s">
        <v>171</v>
      </c>
      <c r="G164" s="463">
        <v>1</v>
      </c>
      <c r="H164" s="432">
        <v>100</v>
      </c>
      <c r="I164" s="463">
        <f t="shared" si="20"/>
        <v>100</v>
      </c>
      <c r="J164" s="497"/>
      <c r="K164" s="497"/>
    </row>
    <row r="165" s="457" customFormat="1" spans="1:14">
      <c r="A165" s="494">
        <v>45729</v>
      </c>
      <c r="B165" s="442" t="s">
        <v>85</v>
      </c>
      <c r="C165" s="495">
        <v>45729</v>
      </c>
      <c r="D165" s="463"/>
      <c r="E165" s="463"/>
      <c r="F165" s="496">
        <v>808</v>
      </c>
      <c r="G165" s="463">
        <v>1</v>
      </c>
      <c r="H165" s="432">
        <v>300</v>
      </c>
      <c r="I165" s="463">
        <f t="shared" si="20"/>
        <v>300</v>
      </c>
      <c r="J165" s="497">
        <v>10</v>
      </c>
      <c r="K165" s="497">
        <f t="shared" si="23"/>
        <v>3000</v>
      </c>
    </row>
    <row r="166" s="457" customFormat="1" spans="1:14">
      <c r="A166" s="494">
        <v>45729</v>
      </c>
      <c r="B166" s="442" t="s">
        <v>85</v>
      </c>
      <c r="C166" s="495">
        <v>45729</v>
      </c>
      <c r="D166" s="463"/>
      <c r="E166" s="463"/>
      <c r="F166" s="496" t="s">
        <v>125</v>
      </c>
      <c r="G166" s="463">
        <v>1</v>
      </c>
      <c r="H166" s="432">
        <v>125</v>
      </c>
      <c r="I166" s="463">
        <f t="shared" si="20"/>
        <v>125</v>
      </c>
      <c r="J166" s="497">
        <v>6.4</v>
      </c>
      <c r="K166" s="497">
        <f t="shared" si="23"/>
        <v>800</v>
      </c>
      <c r="M166" s="457" t="s">
        <v>204</v>
      </c>
    </row>
    <row r="167" s="457" customFormat="1" spans="1:14">
      <c r="A167" s="494">
        <v>45729</v>
      </c>
      <c r="B167" s="442" t="s">
        <v>85</v>
      </c>
      <c r="C167" s="495">
        <v>45729</v>
      </c>
      <c r="D167" s="463"/>
      <c r="E167" s="463"/>
      <c r="F167" s="499" t="s">
        <v>179</v>
      </c>
      <c r="G167" s="501">
        <v>1</v>
      </c>
      <c r="H167" s="500">
        <f>SUM(H162:H166)</f>
        <v>750</v>
      </c>
      <c r="I167" s="501">
        <f t="shared" si="20"/>
        <v>750</v>
      </c>
      <c r="J167" s="502">
        <v>7.5</v>
      </c>
      <c r="K167" s="502">
        <f t="shared" si="23"/>
        <v>5625</v>
      </c>
      <c r="L167" s="457">
        <f>SUM(K162:K167)</f>
        <v>11300</v>
      </c>
    </row>
    <row r="168" s="456" customFormat="1" spans="1:14">
      <c r="A168" s="488">
        <v>45730</v>
      </c>
      <c r="B168" s="489" t="s">
        <v>281</v>
      </c>
      <c r="C168" s="528">
        <v>45730</v>
      </c>
      <c r="D168" s="528"/>
      <c r="E168" s="529"/>
      <c r="F168" s="493" t="s">
        <v>303</v>
      </c>
      <c r="G168" s="491">
        <v>1</v>
      </c>
      <c r="H168" s="431">
        <v>150</v>
      </c>
      <c r="I168" s="491">
        <f t="shared" ref="I168:I194" si="24">G168*H168</f>
        <v>150</v>
      </c>
      <c r="J168" s="492"/>
      <c r="K168" s="492"/>
    </row>
    <row r="169" s="456" customFormat="1" spans="1:14">
      <c r="A169" s="488">
        <v>45730</v>
      </c>
      <c r="B169" s="489" t="s">
        <v>281</v>
      </c>
      <c r="C169" s="528">
        <v>45730</v>
      </c>
      <c r="D169" s="528"/>
      <c r="E169" s="529"/>
      <c r="F169" s="493" t="s">
        <v>129</v>
      </c>
      <c r="G169" s="491">
        <v>1</v>
      </c>
      <c r="H169" s="431">
        <v>120</v>
      </c>
      <c r="I169" s="491">
        <f t="shared" si="24"/>
        <v>120</v>
      </c>
      <c r="J169" s="492"/>
      <c r="K169" s="492"/>
    </row>
    <row r="170" s="456" customFormat="1" spans="1:14">
      <c r="A170" s="488">
        <v>45730</v>
      </c>
      <c r="B170" s="489" t="s">
        <v>281</v>
      </c>
      <c r="C170" s="528">
        <v>45730</v>
      </c>
      <c r="D170" s="528"/>
      <c r="E170" s="529"/>
      <c r="F170" s="493" t="s">
        <v>208</v>
      </c>
      <c r="G170" s="491">
        <v>1</v>
      </c>
      <c r="H170" s="431">
        <v>30</v>
      </c>
      <c r="I170" s="491">
        <f t="shared" si="24"/>
        <v>30</v>
      </c>
      <c r="J170" s="492">
        <v>17</v>
      </c>
      <c r="K170" s="492">
        <f t="shared" ref="K170:K172" si="25">I170*J170</f>
        <v>510</v>
      </c>
    </row>
    <row r="171" s="456" customFormat="1" spans="1:14">
      <c r="A171" s="488">
        <v>45730</v>
      </c>
      <c r="B171" s="489" t="s">
        <v>281</v>
      </c>
      <c r="C171" s="528">
        <v>45730</v>
      </c>
      <c r="D171" s="528"/>
      <c r="E171" s="529"/>
      <c r="F171" s="496">
        <v>808</v>
      </c>
      <c r="G171" s="491">
        <v>1</v>
      </c>
      <c r="H171" s="431">
        <v>100</v>
      </c>
      <c r="I171" s="491">
        <f t="shared" si="24"/>
        <v>100</v>
      </c>
      <c r="J171" s="492">
        <v>10</v>
      </c>
      <c r="K171" s="492">
        <f t="shared" si="25"/>
        <v>1000</v>
      </c>
    </row>
    <row r="172" s="456" customFormat="1" spans="1:14">
      <c r="A172" s="488">
        <v>45730</v>
      </c>
      <c r="B172" s="489" t="s">
        <v>281</v>
      </c>
      <c r="C172" s="528">
        <v>45730</v>
      </c>
      <c r="D172" s="528"/>
      <c r="E172" s="529"/>
      <c r="F172" s="493" t="s">
        <v>132</v>
      </c>
      <c r="G172" s="491">
        <v>1</v>
      </c>
      <c r="H172" s="431">
        <v>200</v>
      </c>
      <c r="I172" s="491">
        <f t="shared" si="24"/>
        <v>200</v>
      </c>
      <c r="J172" s="492">
        <v>3.7</v>
      </c>
      <c r="K172" s="492">
        <f t="shared" si="25"/>
        <v>740</v>
      </c>
    </row>
    <row r="173" s="456" customFormat="1" spans="1:14">
      <c r="A173" s="488">
        <v>45730</v>
      </c>
      <c r="B173" s="489" t="s">
        <v>281</v>
      </c>
      <c r="C173" s="528">
        <v>45730</v>
      </c>
      <c r="D173" s="528"/>
      <c r="E173" s="529"/>
      <c r="F173" s="493" t="s">
        <v>599</v>
      </c>
      <c r="G173" s="491">
        <v>1</v>
      </c>
      <c r="H173" s="431">
        <v>103</v>
      </c>
      <c r="I173" s="491">
        <f t="shared" si="24"/>
        <v>103</v>
      </c>
      <c r="J173" s="492"/>
      <c r="K173" s="492"/>
    </row>
    <row r="174" s="456" customFormat="1" spans="1:14">
      <c r="A174" s="488">
        <v>45730</v>
      </c>
      <c r="B174" s="489" t="s">
        <v>281</v>
      </c>
      <c r="C174" s="528">
        <v>45730</v>
      </c>
      <c r="D174" s="528"/>
      <c r="E174" s="529"/>
      <c r="F174" s="493" t="s">
        <v>553</v>
      </c>
      <c r="G174" s="491">
        <v>1</v>
      </c>
      <c r="H174" s="431">
        <v>145</v>
      </c>
      <c r="I174" s="491">
        <f t="shared" si="24"/>
        <v>145</v>
      </c>
      <c r="J174" s="492"/>
      <c r="K174" s="492"/>
      <c r="M174" s="456" t="s">
        <v>126</v>
      </c>
    </row>
    <row r="175" s="456" customFormat="1" spans="1:14">
      <c r="A175" s="488">
        <v>45730</v>
      </c>
      <c r="B175" s="489" t="s">
        <v>281</v>
      </c>
      <c r="C175" s="528">
        <v>45730</v>
      </c>
      <c r="D175" s="528"/>
      <c r="E175" s="529"/>
      <c r="F175" s="493" t="s">
        <v>373</v>
      </c>
      <c r="G175" s="491">
        <v>1</v>
      </c>
      <c r="H175" s="431">
        <v>3</v>
      </c>
      <c r="I175" s="491">
        <f t="shared" si="24"/>
        <v>3</v>
      </c>
      <c r="J175" s="492"/>
      <c r="K175" s="492"/>
    </row>
    <row r="176" s="456" customFormat="1" spans="1:14">
      <c r="A176" s="488">
        <v>45730</v>
      </c>
      <c r="B176" s="489" t="s">
        <v>281</v>
      </c>
      <c r="C176" s="528">
        <v>45730</v>
      </c>
      <c r="D176" s="528"/>
      <c r="E176" s="529"/>
      <c r="F176" s="493" t="s">
        <v>152</v>
      </c>
      <c r="G176" s="491">
        <v>1</v>
      </c>
      <c r="H176" s="431">
        <v>75</v>
      </c>
      <c r="I176" s="491">
        <f t="shared" si="24"/>
        <v>75</v>
      </c>
      <c r="J176" s="492">
        <v>7.3</v>
      </c>
      <c r="K176" s="492">
        <f t="shared" ref="K176:K178" si="26">I176*J176</f>
        <v>547.5</v>
      </c>
      <c r="N176" s="456">
        <f>SUBTOTAL(9,K87:K283)</f>
        <v>63301.05</v>
      </c>
    </row>
    <row r="177" s="456" customFormat="1" spans="1:14">
      <c r="A177" s="488">
        <v>45730</v>
      </c>
      <c r="B177" s="489" t="s">
        <v>281</v>
      </c>
      <c r="C177" s="528">
        <v>45730</v>
      </c>
      <c r="D177" s="528"/>
      <c r="E177" s="529"/>
      <c r="F177" s="493" t="s">
        <v>125</v>
      </c>
      <c r="G177" s="491">
        <v>1</v>
      </c>
      <c r="H177" s="431">
        <v>77</v>
      </c>
      <c r="I177" s="491">
        <f t="shared" si="24"/>
        <v>77</v>
      </c>
      <c r="J177" s="492">
        <v>6.4</v>
      </c>
      <c r="K177" s="492">
        <f t="shared" si="26"/>
        <v>492.8</v>
      </c>
    </row>
    <row r="178" s="456" customFormat="1" spans="1:14">
      <c r="A178" s="488">
        <v>45730</v>
      </c>
      <c r="B178" s="489" t="s">
        <v>281</v>
      </c>
      <c r="C178" s="528">
        <v>45730</v>
      </c>
      <c r="D178" s="528"/>
      <c r="E178" s="529"/>
      <c r="F178" s="499" t="s">
        <v>304</v>
      </c>
      <c r="G178" s="501">
        <v>1</v>
      </c>
      <c r="H178" s="500">
        <f>SUM(H168:H177)</f>
        <v>1003</v>
      </c>
      <c r="I178" s="501">
        <f t="shared" si="24"/>
        <v>1003</v>
      </c>
      <c r="J178" s="502">
        <v>1</v>
      </c>
      <c r="K178" s="502">
        <f t="shared" si="26"/>
        <v>1003</v>
      </c>
      <c r="L178" s="464">
        <f>SUM(K168:K178)</f>
        <v>4293.3</v>
      </c>
    </row>
    <row r="179" s="457" customFormat="1" spans="1:14">
      <c r="A179" s="494">
        <v>45730</v>
      </c>
      <c r="B179" s="442" t="s">
        <v>88</v>
      </c>
      <c r="C179" s="495">
        <v>45730</v>
      </c>
      <c r="D179" s="463"/>
      <c r="E179" s="463"/>
      <c r="F179" s="496" t="s">
        <v>42</v>
      </c>
      <c r="G179" s="463">
        <v>1</v>
      </c>
      <c r="H179" s="432">
        <v>65</v>
      </c>
      <c r="I179" s="463">
        <f t="shared" si="24"/>
        <v>65</v>
      </c>
      <c r="J179" s="497"/>
      <c r="K179" s="497"/>
    </row>
    <row r="180" s="457" customFormat="1" spans="1:14">
      <c r="A180" s="494">
        <v>45730</v>
      </c>
      <c r="B180" s="442" t="s">
        <v>88</v>
      </c>
      <c r="C180" s="495">
        <v>45730</v>
      </c>
      <c r="D180" s="463"/>
      <c r="E180" s="463"/>
      <c r="F180" s="496" t="s">
        <v>207</v>
      </c>
      <c r="G180" s="463">
        <v>1</v>
      </c>
      <c r="H180" s="432">
        <v>135</v>
      </c>
      <c r="I180" s="463">
        <f t="shared" si="24"/>
        <v>135</v>
      </c>
      <c r="J180" s="497"/>
      <c r="K180" s="497"/>
    </row>
    <row r="181" s="457" customFormat="1" spans="1:14">
      <c r="A181" s="494">
        <v>45730</v>
      </c>
      <c r="B181" s="442" t="s">
        <v>88</v>
      </c>
      <c r="C181" s="495">
        <v>45730</v>
      </c>
      <c r="D181" s="463"/>
      <c r="E181" s="463"/>
      <c r="F181" s="496" t="s">
        <v>599</v>
      </c>
      <c r="G181" s="463">
        <v>1</v>
      </c>
      <c r="H181" s="432">
        <v>50</v>
      </c>
      <c r="I181" s="463">
        <f t="shared" si="24"/>
        <v>50</v>
      </c>
      <c r="J181" s="497"/>
      <c r="K181" s="497"/>
    </row>
    <row r="182" s="457" customFormat="1" spans="1:14">
      <c r="A182" s="494">
        <v>45730</v>
      </c>
      <c r="B182" s="442" t="s">
        <v>88</v>
      </c>
      <c r="C182" s="495">
        <v>45730</v>
      </c>
      <c r="D182" s="463"/>
      <c r="E182" s="463"/>
      <c r="F182" s="496" t="s">
        <v>553</v>
      </c>
      <c r="G182" s="463">
        <v>1</v>
      </c>
      <c r="H182" s="432">
        <v>57</v>
      </c>
      <c r="I182" s="463">
        <f t="shared" si="24"/>
        <v>57</v>
      </c>
      <c r="J182" s="497"/>
      <c r="K182" s="497"/>
    </row>
    <row r="183" s="457" customFormat="1" spans="1:14">
      <c r="A183" s="494">
        <v>45730</v>
      </c>
      <c r="B183" s="442" t="s">
        <v>88</v>
      </c>
      <c r="C183" s="495">
        <v>45730</v>
      </c>
      <c r="D183" s="463"/>
      <c r="E183" s="463"/>
      <c r="F183" s="496" t="s">
        <v>208</v>
      </c>
      <c r="G183" s="463">
        <v>1</v>
      </c>
      <c r="H183" s="432">
        <v>2.8</v>
      </c>
      <c r="I183" s="463">
        <f t="shared" si="24"/>
        <v>2.8</v>
      </c>
      <c r="J183" s="497">
        <v>17</v>
      </c>
      <c r="K183" s="497">
        <f t="shared" ref="K183:K185" si="27">I183*J183</f>
        <v>47.6</v>
      </c>
      <c r="M183" s="459" t="s">
        <v>622</v>
      </c>
    </row>
    <row r="184" s="457" customFormat="1" spans="1:14">
      <c r="A184" s="494">
        <v>45730</v>
      </c>
      <c r="B184" s="442" t="s">
        <v>88</v>
      </c>
      <c r="C184" s="495">
        <v>45730</v>
      </c>
      <c r="D184" s="463"/>
      <c r="E184" s="463"/>
      <c r="F184" s="496" t="s">
        <v>132</v>
      </c>
      <c r="G184" s="463">
        <v>1</v>
      </c>
      <c r="H184" s="432">
        <v>135</v>
      </c>
      <c r="I184" s="463">
        <f t="shared" si="24"/>
        <v>135</v>
      </c>
      <c r="J184" s="497">
        <v>3.7</v>
      </c>
      <c r="K184" s="497">
        <f t="shared" si="27"/>
        <v>499.5</v>
      </c>
      <c r="L184" s="456"/>
      <c r="M184" s="456"/>
    </row>
    <row r="185" s="457" customFormat="1" spans="1:14">
      <c r="A185" s="494">
        <v>45730</v>
      </c>
      <c r="B185" s="442" t="s">
        <v>88</v>
      </c>
      <c r="C185" s="495">
        <v>45730</v>
      </c>
      <c r="D185" s="463"/>
      <c r="E185" s="463"/>
      <c r="F185" s="496" t="s">
        <v>137</v>
      </c>
      <c r="G185" s="463">
        <v>1</v>
      </c>
      <c r="H185" s="432">
        <v>24</v>
      </c>
      <c r="I185" s="463">
        <f t="shared" si="24"/>
        <v>24</v>
      </c>
      <c r="J185" s="497">
        <v>0.9</v>
      </c>
      <c r="K185" s="497">
        <f t="shared" si="27"/>
        <v>21.6</v>
      </c>
      <c r="L185" s="457" t="s">
        <v>116</v>
      </c>
    </row>
    <row r="186" s="457" customFormat="1" spans="1:14">
      <c r="A186" s="494">
        <v>45730</v>
      </c>
      <c r="B186" s="442" t="s">
        <v>88</v>
      </c>
      <c r="C186" s="495">
        <v>45730</v>
      </c>
      <c r="D186" s="463"/>
      <c r="E186" s="463"/>
      <c r="F186" s="496" t="s">
        <v>211</v>
      </c>
      <c r="G186" s="463">
        <v>1</v>
      </c>
      <c r="H186" s="432">
        <v>1.5</v>
      </c>
      <c r="I186" s="463">
        <f t="shared" si="24"/>
        <v>1.5</v>
      </c>
      <c r="J186" s="497"/>
      <c r="K186" s="497"/>
    </row>
    <row r="187" s="457" customFormat="1" spans="1:14">
      <c r="A187" s="494">
        <v>45730</v>
      </c>
      <c r="B187" s="442" t="s">
        <v>88</v>
      </c>
      <c r="C187" s="495">
        <v>45730</v>
      </c>
      <c r="D187" s="463"/>
      <c r="E187" s="463"/>
      <c r="F187" s="496" t="s">
        <v>125</v>
      </c>
      <c r="G187" s="463">
        <v>1</v>
      </c>
      <c r="H187" s="432">
        <v>70</v>
      </c>
      <c r="I187" s="463">
        <f t="shared" si="24"/>
        <v>70</v>
      </c>
      <c r="J187" s="497">
        <v>6.4</v>
      </c>
      <c r="K187" s="497">
        <f>I187*J187</f>
        <v>448</v>
      </c>
      <c r="N187" s="456"/>
    </row>
    <row r="188" s="457" customFormat="1" spans="1:14">
      <c r="A188" s="494">
        <v>45730</v>
      </c>
      <c r="B188" s="442" t="s">
        <v>88</v>
      </c>
      <c r="C188" s="495">
        <v>45730</v>
      </c>
      <c r="D188" s="463"/>
      <c r="E188" s="463"/>
      <c r="F188" s="499" t="s">
        <v>212</v>
      </c>
      <c r="G188" s="501">
        <v>1</v>
      </c>
      <c r="H188" s="500">
        <f>SUM(H179:H187)</f>
        <v>540.3</v>
      </c>
      <c r="I188" s="501">
        <f t="shared" si="24"/>
        <v>540.3</v>
      </c>
      <c r="J188" s="502">
        <v>1</v>
      </c>
      <c r="K188" s="502">
        <f>I188*J188</f>
        <v>540.3</v>
      </c>
      <c r="L188" s="464">
        <f>SUM(K179:K188)</f>
        <v>1557</v>
      </c>
    </row>
    <row r="189" s="457" customFormat="1" spans="1:14">
      <c r="A189" s="494"/>
      <c r="B189" s="442"/>
      <c r="C189" s="495"/>
      <c r="D189" s="463"/>
      <c r="E189" s="463"/>
      <c r="F189" s="498" t="s">
        <v>623</v>
      </c>
      <c r="G189" s="463"/>
      <c r="H189" s="432"/>
      <c r="I189" s="463"/>
      <c r="J189" s="497"/>
      <c r="K189" s="497"/>
    </row>
    <row r="190" s="456" customFormat="1" spans="1:14">
      <c r="A190" s="488">
        <v>45735</v>
      </c>
      <c r="B190" s="489" t="s">
        <v>327</v>
      </c>
      <c r="C190" s="490">
        <v>45735</v>
      </c>
      <c r="D190" s="491"/>
      <c r="E190" s="491"/>
      <c r="F190" s="493" t="s">
        <v>16</v>
      </c>
      <c r="G190" s="491">
        <v>1</v>
      </c>
      <c r="H190" s="431">
        <v>20</v>
      </c>
      <c r="I190" s="491">
        <f>G190*H190</f>
        <v>20</v>
      </c>
      <c r="J190" s="492"/>
      <c r="K190" s="492"/>
    </row>
    <row r="191" s="456" customFormat="1" spans="1:14">
      <c r="A191" s="488">
        <v>45735</v>
      </c>
      <c r="B191" s="489" t="s">
        <v>327</v>
      </c>
      <c r="C191" s="490">
        <v>45735</v>
      </c>
      <c r="D191" s="491"/>
      <c r="E191" s="491"/>
      <c r="F191" s="493" t="s">
        <v>405</v>
      </c>
      <c r="G191" s="491">
        <v>1</v>
      </c>
      <c r="H191" s="431">
        <v>1.5</v>
      </c>
      <c r="I191" s="491">
        <f>G191*H191</f>
        <v>1.5</v>
      </c>
      <c r="J191" s="492"/>
      <c r="K191" s="492"/>
    </row>
    <row r="192" s="456" customFormat="1" spans="1:14">
      <c r="A192" s="488">
        <v>45735</v>
      </c>
      <c r="B192" s="489" t="s">
        <v>327</v>
      </c>
      <c r="C192" s="490">
        <v>45735</v>
      </c>
      <c r="D192" s="491"/>
      <c r="E192" s="491"/>
      <c r="F192" s="493" t="s">
        <v>624</v>
      </c>
      <c r="G192" s="491">
        <v>1</v>
      </c>
      <c r="H192" s="431">
        <v>10</v>
      </c>
      <c r="I192" s="491">
        <f t="shared" ref="I192:I198" si="28">G192*H192</f>
        <v>10</v>
      </c>
      <c r="J192" s="492"/>
      <c r="K192" s="492"/>
    </row>
    <row r="193" s="456" customFormat="1" spans="1:13">
      <c r="A193" s="488">
        <v>45735</v>
      </c>
      <c r="B193" s="489" t="s">
        <v>327</v>
      </c>
      <c r="C193" s="490">
        <v>45735</v>
      </c>
      <c r="D193" s="491"/>
      <c r="E193" s="491"/>
      <c r="F193" s="496">
        <v>808</v>
      </c>
      <c r="G193" s="491">
        <v>1</v>
      </c>
      <c r="H193" s="431">
        <v>18</v>
      </c>
      <c r="I193" s="491">
        <f t="shared" si="28"/>
        <v>18</v>
      </c>
      <c r="J193" s="492">
        <v>10</v>
      </c>
      <c r="K193" s="492">
        <f t="shared" ref="K193:K198" si="29">I193*J193</f>
        <v>180</v>
      </c>
      <c r="M193" s="456" t="s">
        <v>625</v>
      </c>
    </row>
    <row r="194" s="456" customFormat="1" spans="1:13">
      <c r="A194" s="488">
        <v>45735</v>
      </c>
      <c r="B194" s="489" t="s">
        <v>327</v>
      </c>
      <c r="C194" s="490">
        <v>45735</v>
      </c>
      <c r="D194" s="491"/>
      <c r="E194" s="491"/>
      <c r="F194" s="493" t="s">
        <v>125</v>
      </c>
      <c r="G194" s="491">
        <v>1</v>
      </c>
      <c r="H194" s="431">
        <v>20</v>
      </c>
      <c r="I194" s="491">
        <f t="shared" si="28"/>
        <v>20</v>
      </c>
      <c r="J194" s="492">
        <v>6.4</v>
      </c>
      <c r="K194" s="492">
        <f t="shared" si="29"/>
        <v>128</v>
      </c>
    </row>
    <row r="195" s="456" customFormat="1" spans="1:13">
      <c r="A195" s="488">
        <v>45735</v>
      </c>
      <c r="B195" s="489" t="s">
        <v>327</v>
      </c>
      <c r="C195" s="490">
        <v>45735</v>
      </c>
      <c r="D195" s="491"/>
      <c r="E195" s="491"/>
      <c r="F195" s="499" t="s">
        <v>626</v>
      </c>
      <c r="G195" s="501">
        <v>1</v>
      </c>
      <c r="H195" s="500">
        <f>SUM(H190:H194)</f>
        <v>69.5</v>
      </c>
      <c r="I195" s="501">
        <f t="shared" si="28"/>
        <v>69.5</v>
      </c>
      <c r="J195" s="532">
        <v>5</v>
      </c>
      <c r="K195" s="502">
        <f t="shared" si="29"/>
        <v>347.5</v>
      </c>
      <c r="L195" s="460">
        <f>SUM(K192:K195)</f>
        <v>655.5</v>
      </c>
    </row>
    <row r="196" s="457" customFormat="1" spans="1:13">
      <c r="A196" s="494">
        <v>45735</v>
      </c>
      <c r="B196" s="442" t="s">
        <v>334</v>
      </c>
      <c r="C196" s="495">
        <v>45735</v>
      </c>
      <c r="D196" s="463"/>
      <c r="E196" s="463"/>
      <c r="F196" s="496" t="s">
        <v>284</v>
      </c>
      <c r="G196" s="463">
        <v>10</v>
      </c>
      <c r="H196" s="432">
        <v>4</v>
      </c>
      <c r="I196" s="463">
        <f t="shared" si="28"/>
        <v>40</v>
      </c>
      <c r="J196" s="533">
        <v>15.5</v>
      </c>
      <c r="K196" s="534">
        <f t="shared" si="29"/>
        <v>620</v>
      </c>
    </row>
    <row r="197" s="457" customFormat="1" spans="1:13">
      <c r="A197" s="494">
        <v>45735</v>
      </c>
      <c r="B197" s="442" t="s">
        <v>334</v>
      </c>
      <c r="C197" s="495">
        <v>45735</v>
      </c>
      <c r="D197" s="463"/>
      <c r="E197" s="463"/>
      <c r="F197" s="496" t="s">
        <v>284</v>
      </c>
      <c r="G197" s="463">
        <v>4</v>
      </c>
      <c r="H197" s="432">
        <v>10</v>
      </c>
      <c r="I197" s="463">
        <f t="shared" si="28"/>
        <v>40</v>
      </c>
      <c r="J197" s="533">
        <v>15.5</v>
      </c>
      <c r="K197" s="534">
        <f t="shared" si="29"/>
        <v>620</v>
      </c>
    </row>
    <row r="198" s="457" customFormat="1" spans="1:13">
      <c r="A198" s="494">
        <v>45735</v>
      </c>
      <c r="B198" s="442" t="s">
        <v>334</v>
      </c>
      <c r="C198" s="495">
        <v>45735</v>
      </c>
      <c r="D198" s="463"/>
      <c r="E198" s="463"/>
      <c r="F198" s="496" t="s">
        <v>627</v>
      </c>
      <c r="G198" s="463">
        <v>10</v>
      </c>
      <c r="H198" s="432">
        <v>1</v>
      </c>
      <c r="I198" s="463">
        <f t="shared" si="28"/>
        <v>10</v>
      </c>
      <c r="J198" s="533">
        <v>5.5</v>
      </c>
      <c r="K198" s="497">
        <f t="shared" si="29"/>
        <v>55</v>
      </c>
    </row>
    <row r="199" s="456" customFormat="1" spans="1:13">
      <c r="A199" s="488">
        <v>45736</v>
      </c>
      <c r="B199" s="489" t="s">
        <v>107</v>
      </c>
      <c r="C199" s="490">
        <v>45736</v>
      </c>
      <c r="D199" s="491"/>
      <c r="E199" s="491"/>
      <c r="F199" s="493" t="s">
        <v>328</v>
      </c>
      <c r="G199" s="491">
        <v>1</v>
      </c>
      <c r="H199" s="491">
        <v>75</v>
      </c>
      <c r="I199" s="491">
        <f t="shared" ref="I199:I206" si="30">G199*H199</f>
        <v>75</v>
      </c>
      <c r="J199" s="492"/>
      <c r="K199" s="492"/>
    </row>
    <row r="200" s="456" customFormat="1" spans="1:13">
      <c r="A200" s="488">
        <v>45736</v>
      </c>
      <c r="B200" s="489" t="s">
        <v>107</v>
      </c>
      <c r="C200" s="490">
        <v>45736</v>
      </c>
      <c r="D200" s="491"/>
      <c r="E200" s="491"/>
      <c r="F200" s="493" t="s">
        <v>329</v>
      </c>
      <c r="G200" s="491">
        <v>1</v>
      </c>
      <c r="H200" s="491">
        <v>100</v>
      </c>
      <c r="I200" s="491">
        <f t="shared" si="30"/>
        <v>100</v>
      </c>
      <c r="J200" s="492"/>
      <c r="K200" s="492"/>
    </row>
    <row r="201" s="456" customFormat="1" spans="1:13">
      <c r="A201" s="488">
        <v>45736</v>
      </c>
      <c r="B201" s="489" t="s">
        <v>107</v>
      </c>
      <c r="C201" s="490">
        <v>45736</v>
      </c>
      <c r="D201" s="491"/>
      <c r="E201" s="491"/>
      <c r="F201" s="493" t="s">
        <v>530</v>
      </c>
      <c r="G201" s="491">
        <v>1</v>
      </c>
      <c r="H201" s="491">
        <v>52</v>
      </c>
      <c r="I201" s="491">
        <f t="shared" si="30"/>
        <v>52</v>
      </c>
      <c r="J201" s="492"/>
      <c r="K201" s="492"/>
    </row>
    <row r="202" s="456" customFormat="1" spans="1:13">
      <c r="A202" s="488">
        <v>45736</v>
      </c>
      <c r="B202" s="489" t="s">
        <v>107</v>
      </c>
      <c r="C202" s="490">
        <v>45736</v>
      </c>
      <c r="D202" s="491"/>
      <c r="E202" s="491"/>
      <c r="F202" s="493" t="s">
        <v>529</v>
      </c>
      <c r="G202" s="491">
        <v>1</v>
      </c>
      <c r="H202" s="491">
        <v>73</v>
      </c>
      <c r="I202" s="491">
        <f t="shared" si="30"/>
        <v>73</v>
      </c>
      <c r="J202" s="492"/>
      <c r="K202" s="492"/>
    </row>
    <row r="203" s="456" customFormat="1" spans="1:13">
      <c r="A203" s="488">
        <v>45736</v>
      </c>
      <c r="B203" s="489" t="s">
        <v>107</v>
      </c>
      <c r="C203" s="490">
        <v>45736</v>
      </c>
      <c r="D203" s="491"/>
      <c r="E203" s="491"/>
      <c r="F203" s="496">
        <v>808</v>
      </c>
      <c r="G203" s="491">
        <v>1</v>
      </c>
      <c r="H203" s="491">
        <v>62</v>
      </c>
      <c r="I203" s="491">
        <f t="shared" si="30"/>
        <v>62</v>
      </c>
      <c r="J203" s="492">
        <v>10</v>
      </c>
      <c r="K203" s="492">
        <f t="shared" ref="K203:K206" si="31">I203*J203</f>
        <v>620</v>
      </c>
      <c r="L203" s="456" t="s">
        <v>331</v>
      </c>
    </row>
    <row r="204" s="456" customFormat="1" spans="1:13">
      <c r="A204" s="488">
        <v>45736</v>
      </c>
      <c r="B204" s="489" t="s">
        <v>107</v>
      </c>
      <c r="C204" s="490">
        <v>45736</v>
      </c>
      <c r="D204" s="491"/>
      <c r="E204" s="491"/>
      <c r="F204" s="493" t="s">
        <v>115</v>
      </c>
      <c r="G204" s="491">
        <v>1</v>
      </c>
      <c r="H204" s="491">
        <v>63</v>
      </c>
      <c r="I204" s="491">
        <f t="shared" si="30"/>
        <v>63</v>
      </c>
      <c r="J204" s="492"/>
      <c r="K204" s="492"/>
    </row>
    <row r="205" s="456" customFormat="1" spans="1:13">
      <c r="A205" s="488">
        <v>45736</v>
      </c>
      <c r="B205" s="489" t="s">
        <v>107</v>
      </c>
      <c r="C205" s="490">
        <v>45736</v>
      </c>
      <c r="D205" s="491"/>
      <c r="E205" s="491"/>
      <c r="F205" s="493" t="s">
        <v>125</v>
      </c>
      <c r="G205" s="491">
        <v>1</v>
      </c>
      <c r="H205" s="491">
        <v>75</v>
      </c>
      <c r="I205" s="491">
        <f t="shared" si="30"/>
        <v>75</v>
      </c>
      <c r="J205" s="492">
        <v>6.4</v>
      </c>
      <c r="K205" s="492">
        <f t="shared" si="31"/>
        <v>480</v>
      </c>
    </row>
    <row r="206" s="460" customFormat="1" spans="1:13">
      <c r="A206" s="488">
        <v>45736</v>
      </c>
      <c r="B206" s="489" t="s">
        <v>107</v>
      </c>
      <c r="C206" s="490">
        <v>45736</v>
      </c>
      <c r="D206" s="491"/>
      <c r="E206" s="491"/>
      <c r="F206" s="499" t="s">
        <v>330</v>
      </c>
      <c r="G206" s="501">
        <v>1</v>
      </c>
      <c r="H206" s="500">
        <f>SUM(H199:H205)</f>
        <v>500</v>
      </c>
      <c r="I206" s="501">
        <f t="shared" si="30"/>
        <v>500</v>
      </c>
      <c r="J206" s="502">
        <v>1</v>
      </c>
      <c r="K206" s="502">
        <f t="shared" si="31"/>
        <v>500</v>
      </c>
      <c r="L206" s="460">
        <f>SUM(K199:K206)</f>
        <v>1600</v>
      </c>
    </row>
    <row r="207" s="457" customFormat="1" spans="1:13">
      <c r="A207" s="494">
        <v>45736</v>
      </c>
      <c r="B207" s="442" t="s">
        <v>113</v>
      </c>
      <c r="C207" s="495">
        <v>45736</v>
      </c>
      <c r="D207" s="463"/>
      <c r="E207" s="463"/>
      <c r="F207" s="457" t="s">
        <v>16</v>
      </c>
      <c r="G207" s="442">
        <v>1</v>
      </c>
      <c r="H207" s="442">
        <v>90</v>
      </c>
      <c r="I207" s="463">
        <f t="shared" ref="I207:I270" si="32">G207*H207</f>
        <v>90</v>
      </c>
      <c r="J207" s="497"/>
      <c r="K207" s="497"/>
    </row>
    <row r="208" s="457" customFormat="1" spans="1:13">
      <c r="A208" s="494">
        <v>45736</v>
      </c>
      <c r="B208" s="442" t="s">
        <v>113</v>
      </c>
      <c r="C208" s="495">
        <v>45736</v>
      </c>
      <c r="D208" s="463"/>
      <c r="E208" s="463"/>
      <c r="F208" s="457" t="s">
        <v>533</v>
      </c>
      <c r="G208" s="442">
        <v>1</v>
      </c>
      <c r="H208" s="442">
        <v>140</v>
      </c>
      <c r="I208" s="463">
        <f t="shared" si="32"/>
        <v>140</v>
      </c>
      <c r="J208" s="497"/>
      <c r="K208" s="497"/>
    </row>
    <row r="209" s="457" customFormat="1" spans="1:14">
      <c r="A209" s="494">
        <v>45736</v>
      </c>
      <c r="B209" s="442" t="s">
        <v>113</v>
      </c>
      <c r="C209" s="495">
        <v>45736</v>
      </c>
      <c r="D209" s="463"/>
      <c r="E209" s="463"/>
      <c r="F209" s="457" t="s">
        <v>547</v>
      </c>
      <c r="G209" s="442">
        <v>1</v>
      </c>
      <c r="H209" s="442">
        <v>35</v>
      </c>
      <c r="I209" s="463">
        <f t="shared" si="32"/>
        <v>35</v>
      </c>
      <c r="J209" s="497"/>
      <c r="K209" s="497"/>
    </row>
    <row r="210" s="457" customFormat="1" spans="1:14">
      <c r="A210" s="494">
        <v>45736</v>
      </c>
      <c r="B210" s="442" t="s">
        <v>113</v>
      </c>
      <c r="C210" s="495">
        <v>45736</v>
      </c>
      <c r="D210" s="463"/>
      <c r="E210" s="463"/>
      <c r="F210" s="457" t="s">
        <v>352</v>
      </c>
      <c r="G210" s="442">
        <v>1</v>
      </c>
      <c r="H210" s="442">
        <v>100</v>
      </c>
      <c r="I210" s="463">
        <f t="shared" si="32"/>
        <v>100</v>
      </c>
      <c r="J210" s="497"/>
      <c r="K210" s="497"/>
      <c r="L210" s="457" t="s">
        <v>116</v>
      </c>
    </row>
    <row r="211" s="457" customFormat="1" spans="1:14">
      <c r="A211" s="494">
        <v>45736</v>
      </c>
      <c r="B211" s="442" t="s">
        <v>113</v>
      </c>
      <c r="C211" s="495">
        <v>45736</v>
      </c>
      <c r="D211" s="463"/>
      <c r="E211" s="463"/>
      <c r="F211" s="457" t="s">
        <v>115</v>
      </c>
      <c r="G211" s="442">
        <v>1</v>
      </c>
      <c r="H211" s="442">
        <v>50</v>
      </c>
      <c r="I211" s="463">
        <f t="shared" si="32"/>
        <v>50</v>
      </c>
      <c r="J211" s="497"/>
      <c r="K211" s="497"/>
    </row>
    <row r="212" s="457" customFormat="1" spans="1:14">
      <c r="A212" s="494">
        <v>45736</v>
      </c>
      <c r="B212" s="442" t="s">
        <v>113</v>
      </c>
      <c r="C212" s="495">
        <v>45736</v>
      </c>
      <c r="D212" s="463"/>
      <c r="E212" s="463"/>
      <c r="F212" s="496">
        <v>808</v>
      </c>
      <c r="G212" s="442">
        <v>1</v>
      </c>
      <c r="H212" s="442">
        <v>26</v>
      </c>
      <c r="I212" s="463">
        <f t="shared" si="32"/>
        <v>26</v>
      </c>
      <c r="J212" s="497">
        <v>10</v>
      </c>
      <c r="K212" s="497">
        <f t="shared" ref="K212:K214" si="33">I212*J212</f>
        <v>260</v>
      </c>
    </row>
    <row r="213" s="457" customFormat="1" spans="1:14">
      <c r="A213" s="494">
        <v>45736</v>
      </c>
      <c r="B213" s="442" t="s">
        <v>113</v>
      </c>
      <c r="C213" s="495">
        <v>45736</v>
      </c>
      <c r="D213" s="463"/>
      <c r="E213" s="463"/>
      <c r="F213" s="496" t="s">
        <v>125</v>
      </c>
      <c r="G213" s="442">
        <v>1</v>
      </c>
      <c r="H213" s="442">
        <v>60</v>
      </c>
      <c r="I213" s="463">
        <f t="shared" si="32"/>
        <v>60</v>
      </c>
      <c r="J213" s="497">
        <v>6.4</v>
      </c>
      <c r="K213" s="497">
        <f t="shared" si="33"/>
        <v>384</v>
      </c>
    </row>
    <row r="214" s="457" customFormat="1" ht="19" customHeight="1" spans="1:14">
      <c r="A214" s="494">
        <v>45736</v>
      </c>
      <c r="B214" s="442" t="s">
        <v>113</v>
      </c>
      <c r="C214" s="495">
        <v>45736</v>
      </c>
      <c r="D214" s="463"/>
      <c r="E214" s="463"/>
      <c r="F214" s="464" t="s">
        <v>435</v>
      </c>
      <c r="G214" s="535">
        <v>1</v>
      </c>
      <c r="H214" s="535">
        <f>SUM(H207:H213)</f>
        <v>501</v>
      </c>
      <c r="I214" s="501">
        <f t="shared" si="32"/>
        <v>501</v>
      </c>
      <c r="J214" s="502">
        <v>1</v>
      </c>
      <c r="K214" s="502">
        <f t="shared" si="33"/>
        <v>501</v>
      </c>
      <c r="L214" s="460">
        <f>SUM(K207:K214)</f>
        <v>1145</v>
      </c>
    </row>
    <row r="215" s="456" customFormat="1" spans="1:14">
      <c r="A215" s="488">
        <v>45736</v>
      </c>
      <c r="B215" s="489" t="s">
        <v>119</v>
      </c>
      <c r="C215" s="490">
        <v>45736</v>
      </c>
      <c r="D215" s="491"/>
      <c r="E215" s="491"/>
      <c r="F215" s="493" t="s">
        <v>16</v>
      </c>
      <c r="G215" s="491">
        <v>1</v>
      </c>
      <c r="H215" s="431">
        <v>60</v>
      </c>
      <c r="I215" s="491">
        <f t="shared" si="32"/>
        <v>60</v>
      </c>
      <c r="J215" s="492"/>
      <c r="K215" s="492"/>
    </row>
    <row r="216" s="456" customFormat="1" spans="1:14">
      <c r="A216" s="488">
        <v>45736</v>
      </c>
      <c r="B216" s="489" t="s">
        <v>119</v>
      </c>
      <c r="C216" s="490">
        <v>45736</v>
      </c>
      <c r="D216" s="491"/>
      <c r="E216" s="491"/>
      <c r="F216" s="493" t="s">
        <v>93</v>
      </c>
      <c r="G216" s="491">
        <v>1</v>
      </c>
      <c r="H216" s="431">
        <v>150</v>
      </c>
      <c r="I216" s="491">
        <f t="shared" si="32"/>
        <v>150</v>
      </c>
      <c r="J216" s="492"/>
      <c r="K216" s="492"/>
    </row>
    <row r="217" s="456" customFormat="1" spans="1:14">
      <c r="A217" s="488">
        <v>45736</v>
      </c>
      <c r="B217" s="489" t="s">
        <v>119</v>
      </c>
      <c r="C217" s="490">
        <v>45736</v>
      </c>
      <c r="D217" s="491"/>
      <c r="E217" s="491"/>
      <c r="F217" s="496">
        <v>808</v>
      </c>
      <c r="G217" s="491">
        <v>1</v>
      </c>
      <c r="H217" s="431">
        <v>30</v>
      </c>
      <c r="I217" s="491">
        <f t="shared" si="32"/>
        <v>30</v>
      </c>
      <c r="J217" s="492">
        <v>10</v>
      </c>
      <c r="K217" s="492">
        <f t="shared" ref="K217:K219" si="34">I217*J217</f>
        <v>300</v>
      </c>
      <c r="M217" s="456" t="s">
        <v>625</v>
      </c>
      <c r="N217" s="456">
        <f>SUBTOTAL(9,K77:K287)</f>
        <v>67825.65</v>
      </c>
    </row>
    <row r="218" s="456" customFormat="1" spans="1:14">
      <c r="A218" s="488">
        <v>45736</v>
      </c>
      <c r="B218" s="489" t="s">
        <v>119</v>
      </c>
      <c r="C218" s="490">
        <v>45736</v>
      </c>
      <c r="D218" s="491"/>
      <c r="E218" s="491"/>
      <c r="F218" s="493" t="s">
        <v>12</v>
      </c>
      <c r="G218" s="491">
        <v>1</v>
      </c>
      <c r="H218" s="431">
        <v>30</v>
      </c>
      <c r="I218" s="491">
        <f t="shared" si="32"/>
        <v>30</v>
      </c>
      <c r="J218" s="492">
        <v>7.8</v>
      </c>
      <c r="K218" s="492">
        <f t="shared" si="34"/>
        <v>234</v>
      </c>
    </row>
    <row r="219" s="456" customFormat="1" spans="1:14">
      <c r="A219" s="488">
        <v>45736</v>
      </c>
      <c r="B219" s="489" t="s">
        <v>119</v>
      </c>
      <c r="C219" s="490">
        <v>45736</v>
      </c>
      <c r="D219" s="491"/>
      <c r="E219" s="491"/>
      <c r="F219" s="499" t="s">
        <v>628</v>
      </c>
      <c r="G219" s="501">
        <v>1</v>
      </c>
      <c r="H219" s="500">
        <f>SUM(H215:H218)</f>
        <v>270</v>
      </c>
      <c r="I219" s="501">
        <f t="shared" si="32"/>
        <v>270</v>
      </c>
      <c r="J219" s="532">
        <v>5</v>
      </c>
      <c r="K219" s="502">
        <f t="shared" si="34"/>
        <v>1350</v>
      </c>
      <c r="L219" s="456">
        <f>SUM(K216:K219)</f>
        <v>1884</v>
      </c>
    </row>
    <row r="220" s="457" customFormat="1" spans="1:14">
      <c r="A220" s="494">
        <v>45737</v>
      </c>
      <c r="B220" s="442" t="s">
        <v>128</v>
      </c>
      <c r="C220" s="495">
        <v>45737</v>
      </c>
      <c r="D220" s="463"/>
      <c r="E220" s="463"/>
      <c r="F220" s="496" t="s">
        <v>16</v>
      </c>
      <c r="G220" s="463">
        <v>1</v>
      </c>
      <c r="H220" s="432">
        <v>48</v>
      </c>
      <c r="I220" s="463">
        <f t="shared" si="32"/>
        <v>48</v>
      </c>
      <c r="J220" s="497"/>
      <c r="K220" s="497"/>
    </row>
    <row r="221" s="457" customFormat="1" spans="1:14">
      <c r="A221" s="494">
        <v>45737</v>
      </c>
      <c r="B221" s="442" t="s">
        <v>128</v>
      </c>
      <c r="C221" s="495">
        <v>45737</v>
      </c>
      <c r="D221" s="463"/>
      <c r="E221" s="463"/>
      <c r="F221" s="496">
        <v>996</v>
      </c>
      <c r="G221" s="463">
        <v>1</v>
      </c>
      <c r="H221" s="432">
        <v>150</v>
      </c>
      <c r="I221" s="463">
        <f t="shared" si="32"/>
        <v>150</v>
      </c>
      <c r="J221" s="497"/>
      <c r="K221" s="497"/>
    </row>
    <row r="222" s="457" customFormat="1" spans="1:14">
      <c r="A222" s="494">
        <v>45737</v>
      </c>
      <c r="B222" s="442" t="s">
        <v>128</v>
      </c>
      <c r="C222" s="495">
        <v>45737</v>
      </c>
      <c r="D222" s="463"/>
      <c r="E222" s="463"/>
      <c r="F222" s="496" t="s">
        <v>12</v>
      </c>
      <c r="G222" s="463">
        <v>1</v>
      </c>
      <c r="H222" s="432">
        <v>30</v>
      </c>
      <c r="I222" s="463">
        <f t="shared" si="32"/>
        <v>30</v>
      </c>
      <c r="J222" s="497">
        <v>7.8</v>
      </c>
      <c r="K222" s="497">
        <f t="shared" ref="K222:K224" si="35">I222*J222</f>
        <v>234</v>
      </c>
    </row>
    <row r="223" s="457" customFormat="1" spans="1:14">
      <c r="A223" s="494">
        <v>45737</v>
      </c>
      <c r="B223" s="442" t="s">
        <v>128</v>
      </c>
      <c r="C223" s="495">
        <v>45737</v>
      </c>
      <c r="D223" s="463"/>
      <c r="E223" s="463"/>
      <c r="F223" s="496" t="s">
        <v>152</v>
      </c>
      <c r="G223" s="463">
        <v>1</v>
      </c>
      <c r="H223" s="432">
        <v>30</v>
      </c>
      <c r="I223" s="463">
        <f t="shared" si="32"/>
        <v>30</v>
      </c>
      <c r="J223" s="497">
        <v>7.3</v>
      </c>
      <c r="K223" s="497">
        <f t="shared" si="35"/>
        <v>219</v>
      </c>
    </row>
    <row r="224" s="457" customFormat="1" spans="1:14">
      <c r="A224" s="494">
        <v>45737</v>
      </c>
      <c r="B224" s="442" t="s">
        <v>128</v>
      </c>
      <c r="C224" s="495">
        <v>45737</v>
      </c>
      <c r="D224" s="463"/>
      <c r="E224" s="463"/>
      <c r="F224" s="499" t="s">
        <v>456</v>
      </c>
      <c r="G224" s="501">
        <v>1</v>
      </c>
      <c r="H224" s="500">
        <f>SUM(H220:H223)</f>
        <v>258</v>
      </c>
      <c r="I224" s="501">
        <f t="shared" si="32"/>
        <v>258</v>
      </c>
      <c r="J224" s="502">
        <v>3</v>
      </c>
      <c r="K224" s="502">
        <f t="shared" si="35"/>
        <v>774</v>
      </c>
      <c r="M224" s="457">
        <f>SUM(K220:K224)</f>
        <v>1227</v>
      </c>
    </row>
    <row r="225" s="456" customFormat="1" spans="1:14">
      <c r="A225" s="488">
        <v>45737</v>
      </c>
      <c r="B225" s="489" t="s">
        <v>131</v>
      </c>
      <c r="C225" s="490">
        <v>45737</v>
      </c>
      <c r="D225" s="491"/>
      <c r="E225" s="491"/>
      <c r="F225" s="493" t="s">
        <v>16</v>
      </c>
      <c r="G225" s="491">
        <v>1</v>
      </c>
      <c r="H225" s="431">
        <v>29</v>
      </c>
      <c r="I225" s="491">
        <f t="shared" si="32"/>
        <v>29</v>
      </c>
      <c r="J225" s="492"/>
      <c r="K225" s="492"/>
    </row>
    <row r="226" s="456" customFormat="1" spans="1:14">
      <c r="A226" s="488">
        <v>45737</v>
      </c>
      <c r="B226" s="489" t="s">
        <v>131</v>
      </c>
      <c r="C226" s="490">
        <v>45737</v>
      </c>
      <c r="D226" s="491"/>
      <c r="E226" s="491"/>
      <c r="F226" s="493" t="s">
        <v>124</v>
      </c>
      <c r="G226" s="491">
        <v>1</v>
      </c>
      <c r="H226" s="431">
        <v>26</v>
      </c>
      <c r="I226" s="491">
        <f t="shared" si="32"/>
        <v>26</v>
      </c>
      <c r="J226" s="492"/>
      <c r="K226" s="492"/>
    </row>
    <row r="227" s="456" customFormat="1" spans="1:14">
      <c r="A227" s="488">
        <v>45737</v>
      </c>
      <c r="B227" s="489" t="s">
        <v>131</v>
      </c>
      <c r="C227" s="490">
        <v>45737</v>
      </c>
      <c r="D227" s="491"/>
      <c r="E227" s="491"/>
      <c r="F227" s="493" t="s">
        <v>599</v>
      </c>
      <c r="G227" s="491">
        <v>1</v>
      </c>
      <c r="H227" s="431">
        <v>18</v>
      </c>
      <c r="I227" s="491">
        <f t="shared" si="32"/>
        <v>18</v>
      </c>
      <c r="J227" s="492"/>
      <c r="K227" s="492"/>
      <c r="L227" s="536"/>
      <c r="M227" s="536"/>
      <c r="N227" s="536"/>
    </row>
    <row r="228" s="456" customFormat="1" spans="1:14">
      <c r="A228" s="488">
        <v>45737</v>
      </c>
      <c r="B228" s="489" t="s">
        <v>131</v>
      </c>
      <c r="C228" s="490">
        <v>45737</v>
      </c>
      <c r="D228" s="491"/>
      <c r="E228" s="491"/>
      <c r="F228" s="493" t="s">
        <v>546</v>
      </c>
      <c r="G228" s="491">
        <v>1</v>
      </c>
      <c r="H228" s="431">
        <v>30</v>
      </c>
      <c r="I228" s="491">
        <f t="shared" si="32"/>
        <v>30</v>
      </c>
      <c r="J228" s="492"/>
      <c r="K228" s="492"/>
      <c r="L228" s="536"/>
      <c r="M228" s="536"/>
      <c r="N228" s="536"/>
    </row>
    <row r="229" s="456" customFormat="1" spans="1:14">
      <c r="A229" s="488">
        <v>45737</v>
      </c>
      <c r="B229" s="489" t="s">
        <v>131</v>
      </c>
      <c r="C229" s="490">
        <v>45737</v>
      </c>
      <c r="D229" s="491"/>
      <c r="E229" s="491"/>
      <c r="F229" s="496">
        <v>808</v>
      </c>
      <c r="G229" s="491">
        <v>1</v>
      </c>
      <c r="H229" s="431">
        <v>21</v>
      </c>
      <c r="I229" s="491">
        <f t="shared" si="32"/>
        <v>21</v>
      </c>
      <c r="J229" s="492">
        <v>10</v>
      </c>
      <c r="K229" s="492">
        <f t="shared" ref="K229:K232" si="36">I229*J229</f>
        <v>210</v>
      </c>
      <c r="L229" s="536"/>
      <c r="M229" s="536"/>
      <c r="N229" s="536" t="s">
        <v>126</v>
      </c>
    </row>
    <row r="230" s="456" customFormat="1" spans="1:14">
      <c r="A230" s="488">
        <v>45737</v>
      </c>
      <c r="B230" s="489" t="s">
        <v>131</v>
      </c>
      <c r="C230" s="490">
        <v>45737</v>
      </c>
      <c r="D230" s="491"/>
      <c r="E230" s="491"/>
      <c r="F230" s="493" t="s">
        <v>125</v>
      </c>
      <c r="G230" s="491">
        <v>1</v>
      </c>
      <c r="H230" s="431">
        <v>30</v>
      </c>
      <c r="I230" s="491">
        <f t="shared" si="32"/>
        <v>30</v>
      </c>
      <c r="J230" s="492">
        <v>6.4</v>
      </c>
      <c r="K230" s="492">
        <f t="shared" si="36"/>
        <v>192</v>
      </c>
      <c r="L230" s="536"/>
      <c r="M230" s="536">
        <f>SUBTOTAL(9,K78:K240)</f>
        <v>57573.05</v>
      </c>
      <c r="N230" s="536"/>
    </row>
    <row r="231" s="456" customFormat="1" spans="1:14">
      <c r="A231" s="488">
        <v>45737</v>
      </c>
      <c r="B231" s="489" t="s">
        <v>131</v>
      </c>
      <c r="C231" s="490">
        <v>45737</v>
      </c>
      <c r="D231" s="491"/>
      <c r="E231" s="491"/>
      <c r="F231" s="493" t="s">
        <v>240</v>
      </c>
      <c r="G231" s="491">
        <v>1</v>
      </c>
      <c r="H231" s="431">
        <v>17</v>
      </c>
      <c r="I231" s="491">
        <f t="shared" si="32"/>
        <v>17</v>
      </c>
      <c r="J231" s="492"/>
      <c r="K231" s="492"/>
      <c r="L231" s="536"/>
      <c r="M231" s="536"/>
      <c r="N231" s="536"/>
    </row>
    <row r="232" s="456" customFormat="1" spans="1:14">
      <c r="A232" s="488">
        <v>45737</v>
      </c>
      <c r="B232" s="489" t="s">
        <v>131</v>
      </c>
      <c r="C232" s="490">
        <v>45737</v>
      </c>
      <c r="D232" s="491"/>
      <c r="E232" s="491"/>
      <c r="F232" s="499" t="s">
        <v>218</v>
      </c>
      <c r="G232" s="501">
        <v>1</v>
      </c>
      <c r="H232" s="500">
        <f>SUM(H225:H231)</f>
        <v>171</v>
      </c>
      <c r="I232" s="501">
        <f t="shared" si="32"/>
        <v>171</v>
      </c>
      <c r="J232" s="502">
        <v>1</v>
      </c>
      <c r="K232" s="502">
        <f t="shared" si="36"/>
        <v>171</v>
      </c>
      <c r="L232" s="536">
        <f>SUM(K225:K232)</f>
        <v>573</v>
      </c>
      <c r="M232" s="536"/>
      <c r="N232" s="536"/>
    </row>
    <row r="233" s="457" customFormat="1" spans="1:14">
      <c r="A233" s="494">
        <v>45738</v>
      </c>
      <c r="B233" s="442" t="s">
        <v>220</v>
      </c>
      <c r="C233" s="495">
        <v>45738</v>
      </c>
      <c r="D233" s="463"/>
      <c r="E233" s="463"/>
      <c r="F233" s="496" t="s">
        <v>16</v>
      </c>
      <c r="G233" s="463">
        <v>1</v>
      </c>
      <c r="H233" s="432">
        <v>50</v>
      </c>
      <c r="I233" s="463">
        <f t="shared" si="32"/>
        <v>50</v>
      </c>
      <c r="J233" s="497"/>
      <c r="K233" s="497"/>
    </row>
    <row r="234" s="457" customFormat="1" spans="1:14">
      <c r="A234" s="494">
        <v>45738</v>
      </c>
      <c r="B234" s="442" t="s">
        <v>220</v>
      </c>
      <c r="C234" s="495">
        <v>45738</v>
      </c>
      <c r="D234" s="463"/>
      <c r="E234" s="463"/>
      <c r="F234" s="496" t="s">
        <v>629</v>
      </c>
      <c r="G234" s="463">
        <v>1</v>
      </c>
      <c r="H234" s="432">
        <v>75</v>
      </c>
      <c r="I234" s="463">
        <f t="shared" si="32"/>
        <v>75</v>
      </c>
      <c r="J234" s="497"/>
      <c r="K234" s="497"/>
    </row>
    <row r="235" s="457" customFormat="1" spans="1:14">
      <c r="A235" s="494">
        <v>45738</v>
      </c>
      <c r="B235" s="442" t="s">
        <v>220</v>
      </c>
      <c r="C235" s="495">
        <v>45738</v>
      </c>
      <c r="D235" s="463"/>
      <c r="E235" s="463"/>
      <c r="F235" s="496" t="s">
        <v>599</v>
      </c>
      <c r="G235" s="463">
        <v>1</v>
      </c>
      <c r="H235" s="432">
        <v>52</v>
      </c>
      <c r="I235" s="463">
        <f t="shared" si="32"/>
        <v>52</v>
      </c>
      <c r="J235" s="497"/>
      <c r="K235" s="497"/>
      <c r="L235" s="537"/>
      <c r="M235" s="537"/>
      <c r="N235" s="537"/>
    </row>
    <row r="236" s="457" customFormat="1" spans="1:14">
      <c r="A236" s="494">
        <v>45738</v>
      </c>
      <c r="B236" s="442" t="s">
        <v>220</v>
      </c>
      <c r="C236" s="495">
        <v>45738</v>
      </c>
      <c r="D236" s="463"/>
      <c r="E236" s="463"/>
      <c r="F236" s="496" t="s">
        <v>546</v>
      </c>
      <c r="G236" s="463">
        <v>1</v>
      </c>
      <c r="H236" s="432">
        <v>73</v>
      </c>
      <c r="I236" s="463">
        <f t="shared" si="32"/>
        <v>73</v>
      </c>
      <c r="J236" s="497"/>
      <c r="K236" s="497"/>
      <c r="L236" s="537"/>
      <c r="M236" s="537"/>
      <c r="N236" s="537"/>
    </row>
    <row r="237" s="457" customFormat="1" spans="1:14">
      <c r="A237" s="494">
        <v>45738</v>
      </c>
      <c r="B237" s="442" t="s">
        <v>220</v>
      </c>
      <c r="C237" s="495">
        <v>45738</v>
      </c>
      <c r="D237" s="463"/>
      <c r="E237" s="463"/>
      <c r="F237" s="496" t="s">
        <v>208</v>
      </c>
      <c r="G237" s="463">
        <v>1</v>
      </c>
      <c r="H237" s="432">
        <v>16</v>
      </c>
      <c r="I237" s="463">
        <f t="shared" si="32"/>
        <v>16</v>
      </c>
      <c r="J237" s="497">
        <v>17</v>
      </c>
      <c r="K237" s="497">
        <f>I237*J237</f>
        <v>272</v>
      </c>
      <c r="L237" s="537"/>
      <c r="M237" s="537"/>
      <c r="N237" s="457">
        <f>SUBTOTAL(9,N183:N236)</f>
        <v>0</v>
      </c>
    </row>
    <row r="238" s="457" customFormat="1" spans="1:14">
      <c r="A238" s="494">
        <v>45738</v>
      </c>
      <c r="B238" s="442" t="s">
        <v>220</v>
      </c>
      <c r="C238" s="495">
        <v>45738</v>
      </c>
      <c r="D238" s="463"/>
      <c r="E238" s="463"/>
      <c r="F238" s="496" t="s">
        <v>137</v>
      </c>
      <c r="G238" s="463">
        <v>1</v>
      </c>
      <c r="H238" s="432">
        <v>50</v>
      </c>
      <c r="I238" s="463">
        <f t="shared" si="32"/>
        <v>50</v>
      </c>
      <c r="J238" s="497">
        <v>0.9</v>
      </c>
      <c r="K238" s="497">
        <f>I238*J238</f>
        <v>45</v>
      </c>
      <c r="L238" s="537"/>
      <c r="N238" s="537" t="s">
        <v>126</v>
      </c>
    </row>
    <row r="239" s="457" customFormat="1" spans="1:14">
      <c r="A239" s="494">
        <v>45738</v>
      </c>
      <c r="B239" s="442" t="s">
        <v>220</v>
      </c>
      <c r="C239" s="495">
        <v>45738</v>
      </c>
      <c r="D239" s="463"/>
      <c r="E239" s="463"/>
      <c r="F239" s="496" t="s">
        <v>125</v>
      </c>
      <c r="G239" s="463">
        <v>1</v>
      </c>
      <c r="H239" s="432">
        <v>106</v>
      </c>
      <c r="I239" s="463">
        <f t="shared" si="32"/>
        <v>106</v>
      </c>
      <c r="J239" s="497">
        <v>6.4</v>
      </c>
      <c r="K239" s="497">
        <f>I239*J239</f>
        <v>678.4</v>
      </c>
      <c r="L239" s="537"/>
      <c r="M239" s="536"/>
      <c r="N239" s="537"/>
    </row>
    <row r="240" s="457" customFormat="1" spans="1:14">
      <c r="A240" s="494">
        <v>45738</v>
      </c>
      <c r="B240" s="442" t="s">
        <v>220</v>
      </c>
      <c r="C240" s="495">
        <v>45738</v>
      </c>
      <c r="D240" s="463"/>
      <c r="E240" s="463"/>
      <c r="F240" s="496" t="s">
        <v>132</v>
      </c>
      <c r="G240" s="463">
        <v>1</v>
      </c>
      <c r="H240" s="432">
        <v>130</v>
      </c>
      <c r="I240" s="463">
        <f t="shared" si="32"/>
        <v>130</v>
      </c>
      <c r="J240" s="497">
        <v>3.7</v>
      </c>
      <c r="K240" s="497">
        <f>I240*J240</f>
        <v>481</v>
      </c>
      <c r="L240" s="456"/>
      <c r="M240" s="456"/>
      <c r="N240" s="537"/>
    </row>
    <row r="241" s="457" customFormat="1" spans="1:19">
      <c r="A241" s="494">
        <v>45738</v>
      </c>
      <c r="B241" s="442" t="s">
        <v>220</v>
      </c>
      <c r="C241" s="495">
        <v>45738</v>
      </c>
      <c r="D241" s="463"/>
      <c r="E241" s="463"/>
      <c r="F241" s="496" t="s">
        <v>522</v>
      </c>
      <c r="G241" s="463">
        <v>1</v>
      </c>
      <c r="H241" s="432">
        <v>2</v>
      </c>
      <c r="I241" s="463">
        <f t="shared" si="32"/>
        <v>2</v>
      </c>
      <c r="J241" s="497"/>
      <c r="K241" s="497"/>
      <c r="L241" s="537"/>
      <c r="M241" s="537"/>
      <c r="N241" s="537"/>
    </row>
    <row r="242" s="457" customFormat="1" spans="1:19">
      <c r="A242" s="494">
        <v>45738</v>
      </c>
      <c r="B242" s="442" t="s">
        <v>220</v>
      </c>
      <c r="C242" s="495">
        <v>45738</v>
      </c>
      <c r="D242" s="463"/>
      <c r="E242" s="463"/>
      <c r="F242" s="496" t="s">
        <v>549</v>
      </c>
      <c r="G242" s="463">
        <v>1</v>
      </c>
      <c r="H242" s="432">
        <v>72</v>
      </c>
      <c r="I242" s="463">
        <f t="shared" si="32"/>
        <v>72</v>
      </c>
      <c r="J242" s="497"/>
      <c r="K242" s="497"/>
      <c r="L242" s="537"/>
      <c r="M242" s="537"/>
      <c r="N242" s="537"/>
    </row>
    <row r="243" s="457" customFormat="1" spans="1:19">
      <c r="A243" s="494">
        <v>45738</v>
      </c>
      <c r="B243" s="442" t="s">
        <v>220</v>
      </c>
      <c r="C243" s="495">
        <v>45738</v>
      </c>
      <c r="D243" s="463"/>
      <c r="E243" s="463"/>
      <c r="F243" s="499" t="s">
        <v>630</v>
      </c>
      <c r="G243" s="501">
        <v>1</v>
      </c>
      <c r="H243" s="500">
        <f>SUM(H233:H242)</f>
        <v>626</v>
      </c>
      <c r="I243" s="501">
        <f t="shared" si="32"/>
        <v>626</v>
      </c>
      <c r="J243" s="502">
        <v>1</v>
      </c>
      <c r="K243" s="502">
        <f>I243*J243</f>
        <v>626</v>
      </c>
      <c r="L243" s="537">
        <f>SUM(K233:K243)</f>
        <v>2102.4</v>
      </c>
      <c r="M243" s="537"/>
      <c r="N243" s="537"/>
    </row>
    <row r="244" s="457" customFormat="1" spans="1:19">
      <c r="A244" s="488">
        <v>45740</v>
      </c>
      <c r="B244" s="489" t="s">
        <v>404</v>
      </c>
      <c r="C244" s="490">
        <v>45740</v>
      </c>
      <c r="D244" s="491"/>
      <c r="E244" s="491"/>
      <c r="F244" s="493" t="s">
        <v>631</v>
      </c>
      <c r="G244" s="491">
        <v>1</v>
      </c>
      <c r="H244" s="431">
        <v>18</v>
      </c>
      <c r="I244" s="491">
        <f t="shared" si="32"/>
        <v>18</v>
      </c>
      <c r="J244" s="492">
        <v>15</v>
      </c>
      <c r="K244" s="492">
        <f>I244*J244</f>
        <v>270</v>
      </c>
      <c r="L244" s="537"/>
      <c r="M244" s="537"/>
      <c r="N244" s="537"/>
    </row>
    <row r="245" s="457" customFormat="1" spans="1:19">
      <c r="A245" s="488">
        <v>45740</v>
      </c>
      <c r="B245" s="489" t="s">
        <v>404</v>
      </c>
      <c r="C245" s="490">
        <v>45740</v>
      </c>
      <c r="D245" s="491"/>
      <c r="E245" s="491"/>
      <c r="F245" s="522" t="s">
        <v>632</v>
      </c>
      <c r="G245" s="523">
        <v>1</v>
      </c>
      <c r="H245" s="524">
        <v>1</v>
      </c>
      <c r="I245" s="523">
        <f t="shared" si="32"/>
        <v>1</v>
      </c>
      <c r="J245" s="525">
        <v>50</v>
      </c>
      <c r="K245" s="538">
        <f>I245*J245</f>
        <v>50</v>
      </c>
      <c r="L245" s="537"/>
      <c r="M245" s="537"/>
      <c r="N245" s="537"/>
    </row>
    <row r="246" s="456" customFormat="1" spans="1:19">
      <c r="A246" s="488">
        <v>45740</v>
      </c>
      <c r="B246" s="489" t="s">
        <v>404</v>
      </c>
      <c r="C246" s="490">
        <v>45740</v>
      </c>
      <c r="D246" s="491"/>
      <c r="E246" s="491"/>
      <c r="F246" s="493" t="s">
        <v>251</v>
      </c>
      <c r="G246" s="491">
        <v>1</v>
      </c>
      <c r="H246" s="431">
        <v>240</v>
      </c>
      <c r="I246" s="491">
        <f t="shared" si="32"/>
        <v>240</v>
      </c>
      <c r="J246" s="492"/>
      <c r="K246" s="492"/>
    </row>
    <row r="247" s="456" customFormat="1" spans="1:19">
      <c r="A247" s="488">
        <v>45740</v>
      </c>
      <c r="B247" s="489" t="s">
        <v>404</v>
      </c>
      <c r="C247" s="490">
        <v>45740</v>
      </c>
      <c r="D247" s="491"/>
      <c r="E247" s="491"/>
      <c r="F247" s="493" t="s">
        <v>13</v>
      </c>
      <c r="G247" s="491">
        <v>1</v>
      </c>
      <c r="H247" s="431">
        <v>240</v>
      </c>
      <c r="I247" s="491">
        <f t="shared" si="32"/>
        <v>240</v>
      </c>
      <c r="J247" s="492"/>
      <c r="K247" s="492"/>
    </row>
    <row r="248" s="456" customFormat="1" spans="1:19">
      <c r="A248" s="488">
        <v>45740</v>
      </c>
      <c r="B248" s="489" t="s">
        <v>404</v>
      </c>
      <c r="C248" s="490">
        <v>45740</v>
      </c>
      <c r="D248" s="491"/>
      <c r="E248" s="491"/>
      <c r="F248" s="493" t="s">
        <v>533</v>
      </c>
      <c r="G248" s="491">
        <v>1</v>
      </c>
      <c r="H248" s="431">
        <v>61</v>
      </c>
      <c r="I248" s="491">
        <f t="shared" si="32"/>
        <v>61</v>
      </c>
      <c r="J248" s="492"/>
      <c r="K248" s="492"/>
    </row>
    <row r="249" s="456" customFormat="1" spans="1:19">
      <c r="A249" s="488">
        <v>45740</v>
      </c>
      <c r="B249" s="489" t="s">
        <v>404</v>
      </c>
      <c r="C249" s="490">
        <v>45740</v>
      </c>
      <c r="D249" s="491"/>
      <c r="E249" s="491"/>
      <c r="F249" s="493" t="s">
        <v>547</v>
      </c>
      <c r="G249" s="491">
        <v>1</v>
      </c>
      <c r="H249" s="431">
        <v>257</v>
      </c>
      <c r="I249" s="491">
        <f t="shared" si="32"/>
        <v>257</v>
      </c>
      <c r="J249" s="492"/>
      <c r="K249" s="492"/>
      <c r="L249" s="456" t="s">
        <v>116</v>
      </c>
      <c r="M249" s="456" t="s">
        <v>314</v>
      </c>
    </row>
    <row r="250" s="456" customFormat="1" spans="1:19">
      <c r="A250" s="488">
        <v>45740</v>
      </c>
      <c r="B250" s="489" t="s">
        <v>404</v>
      </c>
      <c r="C250" s="490">
        <v>45740</v>
      </c>
      <c r="D250" s="491"/>
      <c r="E250" s="491"/>
      <c r="F250" s="493" t="s">
        <v>115</v>
      </c>
      <c r="G250" s="491">
        <v>1</v>
      </c>
      <c r="H250" s="431">
        <v>150</v>
      </c>
      <c r="I250" s="491">
        <f t="shared" si="32"/>
        <v>150</v>
      </c>
      <c r="J250" s="492"/>
      <c r="K250" s="492"/>
      <c r="L250" s="456" t="s">
        <v>593</v>
      </c>
    </row>
    <row r="251" s="456" customFormat="1" spans="1:19">
      <c r="A251" s="488">
        <v>45740</v>
      </c>
      <c r="B251" s="489" t="s">
        <v>404</v>
      </c>
      <c r="C251" s="490">
        <v>45740</v>
      </c>
      <c r="D251" s="491"/>
      <c r="E251" s="491"/>
      <c r="F251" s="493">
        <v>808</v>
      </c>
      <c r="G251" s="491">
        <v>1</v>
      </c>
      <c r="H251" s="431">
        <v>30</v>
      </c>
      <c r="I251" s="491">
        <f t="shared" si="32"/>
        <v>30</v>
      </c>
      <c r="J251" s="492">
        <v>10</v>
      </c>
      <c r="K251" s="492">
        <f t="shared" ref="K251:K254" si="37">I251*J251</f>
        <v>300</v>
      </c>
    </row>
    <row r="252" s="456" customFormat="1" spans="1:19">
      <c r="A252" s="488">
        <v>45740</v>
      </c>
      <c r="B252" s="489" t="s">
        <v>404</v>
      </c>
      <c r="C252" s="490">
        <v>45740</v>
      </c>
      <c r="D252" s="491"/>
      <c r="E252" s="491"/>
      <c r="F252" s="493" t="s">
        <v>152</v>
      </c>
      <c r="G252" s="491">
        <v>1</v>
      </c>
      <c r="H252" s="431">
        <v>83</v>
      </c>
      <c r="I252" s="491">
        <f t="shared" si="32"/>
        <v>83</v>
      </c>
      <c r="J252" s="492">
        <v>7.3</v>
      </c>
      <c r="K252" s="492">
        <f t="shared" si="37"/>
        <v>605.9</v>
      </c>
    </row>
    <row r="253" s="456" customFormat="1" spans="1:19">
      <c r="A253" s="488">
        <v>45740</v>
      </c>
      <c r="B253" s="489" t="s">
        <v>404</v>
      </c>
      <c r="C253" s="490">
        <v>45740</v>
      </c>
      <c r="D253" s="491"/>
      <c r="E253" s="491"/>
      <c r="F253" s="493" t="s">
        <v>125</v>
      </c>
      <c r="G253" s="491">
        <v>1</v>
      </c>
      <c r="H253" s="431">
        <v>149</v>
      </c>
      <c r="I253" s="491">
        <f t="shared" si="32"/>
        <v>149</v>
      </c>
      <c r="J253" s="492">
        <v>6.4</v>
      </c>
      <c r="K253" s="492">
        <f t="shared" si="37"/>
        <v>953.6</v>
      </c>
    </row>
    <row r="254" s="456" customFormat="1" spans="1:19">
      <c r="A254" s="488">
        <v>45740</v>
      </c>
      <c r="B254" s="489" t="s">
        <v>404</v>
      </c>
      <c r="C254" s="490">
        <v>45740</v>
      </c>
      <c r="D254" s="491"/>
      <c r="E254" s="491"/>
      <c r="F254" s="493" t="s">
        <v>17</v>
      </c>
      <c r="G254" s="491">
        <v>1</v>
      </c>
      <c r="H254" s="431">
        <f>SUM(H246:H253)</f>
        <v>1210</v>
      </c>
      <c r="I254" s="491">
        <f t="shared" si="32"/>
        <v>1210</v>
      </c>
      <c r="J254" s="492">
        <v>1</v>
      </c>
      <c r="K254" s="492">
        <f t="shared" si="37"/>
        <v>1210</v>
      </c>
      <c r="L254" s="456">
        <f>SUM(K244:K254)</f>
        <v>3389.5</v>
      </c>
      <c r="O254" s="456" t="s">
        <v>633</v>
      </c>
      <c r="S254" s="539"/>
    </row>
    <row r="255" s="457" customFormat="1" spans="1:19">
      <c r="A255" s="494">
        <v>45741</v>
      </c>
      <c r="B255" s="442" t="s">
        <v>228</v>
      </c>
      <c r="C255" s="495">
        <v>45740</v>
      </c>
      <c r="D255" s="463"/>
      <c r="E255" s="463"/>
      <c r="F255" s="496" t="s">
        <v>16</v>
      </c>
      <c r="G255" s="463">
        <v>1</v>
      </c>
      <c r="H255" s="432">
        <v>48</v>
      </c>
      <c r="I255" s="463">
        <f t="shared" si="32"/>
        <v>48</v>
      </c>
      <c r="J255" s="497"/>
      <c r="K255" s="497"/>
    </row>
    <row r="256" s="457" customFormat="1" spans="1:19">
      <c r="A256" s="494">
        <v>45741</v>
      </c>
      <c r="B256" s="442" t="s">
        <v>228</v>
      </c>
      <c r="C256" s="495">
        <v>45740</v>
      </c>
      <c r="D256" s="463"/>
      <c r="E256" s="463"/>
      <c r="F256" s="496">
        <v>996</v>
      </c>
      <c r="G256" s="463">
        <v>1</v>
      </c>
      <c r="H256" s="432">
        <v>150</v>
      </c>
      <c r="I256" s="463">
        <f t="shared" si="32"/>
        <v>150</v>
      </c>
      <c r="J256" s="497"/>
      <c r="K256" s="497"/>
    </row>
    <row r="257" s="457" customFormat="1" spans="1:15">
      <c r="A257" s="494">
        <v>45741</v>
      </c>
      <c r="B257" s="442" t="s">
        <v>228</v>
      </c>
      <c r="C257" s="495">
        <v>45740</v>
      </c>
      <c r="D257" s="463"/>
      <c r="E257" s="463"/>
      <c r="F257" s="496" t="s">
        <v>12</v>
      </c>
      <c r="G257" s="463">
        <v>1</v>
      </c>
      <c r="H257" s="432">
        <v>30</v>
      </c>
      <c r="I257" s="463">
        <f t="shared" si="32"/>
        <v>30</v>
      </c>
      <c r="J257" s="497">
        <v>7.8</v>
      </c>
      <c r="K257" s="497">
        <f t="shared" ref="K255:K260" si="38">I257*J257</f>
        <v>234</v>
      </c>
    </row>
    <row r="258" s="457" customFormat="1" spans="1:15">
      <c r="A258" s="494">
        <v>45741</v>
      </c>
      <c r="B258" s="442" t="s">
        <v>228</v>
      </c>
      <c r="C258" s="495">
        <v>45740</v>
      </c>
      <c r="D258" s="463"/>
      <c r="E258" s="463"/>
      <c r="F258" s="496" t="s">
        <v>152</v>
      </c>
      <c r="G258" s="463">
        <v>1</v>
      </c>
      <c r="H258" s="432">
        <v>30</v>
      </c>
      <c r="I258" s="463">
        <f t="shared" si="32"/>
        <v>30</v>
      </c>
      <c r="J258" s="497">
        <v>7.3</v>
      </c>
      <c r="K258" s="497">
        <f t="shared" si="38"/>
        <v>219</v>
      </c>
    </row>
    <row r="259" s="457" customFormat="1" spans="1:15">
      <c r="A259" s="494">
        <v>45741</v>
      </c>
      <c r="B259" s="442" t="s">
        <v>228</v>
      </c>
      <c r="C259" s="495">
        <v>45740</v>
      </c>
      <c r="D259" s="463"/>
      <c r="E259" s="463"/>
      <c r="F259" s="496" t="s">
        <v>456</v>
      </c>
      <c r="G259" s="463">
        <v>1</v>
      </c>
      <c r="H259" s="432">
        <f>SUM(H255:H258)</f>
        <v>258</v>
      </c>
      <c r="I259" s="463">
        <f t="shared" si="32"/>
        <v>258</v>
      </c>
      <c r="J259" s="497">
        <v>3</v>
      </c>
      <c r="K259" s="497">
        <f t="shared" si="38"/>
        <v>774</v>
      </c>
      <c r="L259" s="457">
        <f>SUM(K255:K259)</f>
        <v>1227</v>
      </c>
    </row>
    <row r="260" s="457" customFormat="1" spans="1:15">
      <c r="A260" s="488">
        <v>45742</v>
      </c>
      <c r="B260" s="489" t="s">
        <v>555</v>
      </c>
      <c r="C260" s="490">
        <v>45741</v>
      </c>
      <c r="D260" s="491"/>
      <c r="E260" s="491"/>
      <c r="F260" s="493" t="s">
        <v>581</v>
      </c>
      <c r="G260" s="491">
        <v>1</v>
      </c>
      <c r="H260" s="431">
        <v>387</v>
      </c>
      <c r="I260" s="491">
        <f t="shared" si="32"/>
        <v>387</v>
      </c>
      <c r="J260" s="497"/>
      <c r="K260" s="497"/>
      <c r="O260" s="456"/>
    </row>
    <row r="261" s="456" customFormat="1" spans="1:15">
      <c r="A261" s="488">
        <v>45742</v>
      </c>
      <c r="B261" s="489" t="s">
        <v>555</v>
      </c>
      <c r="C261" s="490">
        <v>45741</v>
      </c>
      <c r="D261" s="491"/>
      <c r="E261" s="491"/>
      <c r="F261" s="493" t="s">
        <v>129</v>
      </c>
      <c r="G261" s="491">
        <v>1</v>
      </c>
      <c r="H261" s="431">
        <v>20</v>
      </c>
      <c r="I261" s="491">
        <f t="shared" si="32"/>
        <v>20</v>
      </c>
      <c r="J261" s="492"/>
      <c r="K261" s="492"/>
    </row>
    <row r="262" s="456" customFormat="1" spans="1:15">
      <c r="A262" s="488">
        <v>45742</v>
      </c>
      <c r="B262" s="489" t="s">
        <v>555</v>
      </c>
      <c r="C262" s="490">
        <v>45741</v>
      </c>
      <c r="D262" s="491"/>
      <c r="E262" s="491"/>
      <c r="F262" s="493" t="s">
        <v>125</v>
      </c>
      <c r="G262" s="491">
        <v>1</v>
      </c>
      <c r="H262" s="431">
        <v>95</v>
      </c>
      <c r="I262" s="491">
        <f t="shared" si="32"/>
        <v>95</v>
      </c>
      <c r="J262" s="492">
        <v>6.4</v>
      </c>
      <c r="K262" s="492">
        <f t="shared" ref="K262:K270" si="39">I262*J262</f>
        <v>608</v>
      </c>
    </row>
    <row r="263" s="456" customFormat="1" spans="1:15">
      <c r="A263" s="488">
        <v>45742</v>
      </c>
      <c r="B263" s="489" t="s">
        <v>555</v>
      </c>
      <c r="C263" s="490">
        <v>45741</v>
      </c>
      <c r="D263" s="491"/>
      <c r="E263" s="491"/>
      <c r="F263" s="493" t="s">
        <v>132</v>
      </c>
      <c r="G263" s="491">
        <v>1</v>
      </c>
      <c r="H263" s="431">
        <v>95</v>
      </c>
      <c r="I263" s="491">
        <f t="shared" si="32"/>
        <v>95</v>
      </c>
      <c r="J263" s="492">
        <v>3.7</v>
      </c>
      <c r="K263" s="492">
        <f t="shared" si="39"/>
        <v>351.5</v>
      </c>
      <c r="N263" s="537"/>
    </row>
    <row r="264" s="456" customFormat="1" spans="1:15">
      <c r="A264" s="488">
        <v>45742</v>
      </c>
      <c r="B264" s="489" t="s">
        <v>555</v>
      </c>
      <c r="C264" s="490">
        <v>45741</v>
      </c>
      <c r="D264" s="491"/>
      <c r="E264" s="491"/>
      <c r="F264" s="493" t="s">
        <v>257</v>
      </c>
      <c r="G264" s="491">
        <v>1</v>
      </c>
      <c r="H264" s="431">
        <f>SUM(H260:H263)</f>
        <v>597</v>
      </c>
      <c r="I264" s="491">
        <f t="shared" si="32"/>
        <v>597</v>
      </c>
      <c r="J264" s="492">
        <v>1</v>
      </c>
      <c r="K264" s="492">
        <f t="shared" si="39"/>
        <v>597</v>
      </c>
      <c r="L264" s="456">
        <f>SUM(K261:K264)</f>
        <v>1556.5</v>
      </c>
    </row>
    <row r="265" s="457" customFormat="1" spans="1:15">
      <c r="A265" s="494">
        <v>45743</v>
      </c>
      <c r="B265" s="442" t="s">
        <v>634</v>
      </c>
      <c r="C265" s="495">
        <v>45743</v>
      </c>
      <c r="D265" s="463"/>
      <c r="E265" s="463"/>
      <c r="F265" s="496" t="s">
        <v>635</v>
      </c>
      <c r="G265" s="463">
        <v>1</v>
      </c>
      <c r="H265" s="432">
        <v>4</v>
      </c>
      <c r="I265" s="463">
        <f t="shared" si="32"/>
        <v>4</v>
      </c>
      <c r="J265" s="497">
        <v>20</v>
      </c>
      <c r="K265" s="497">
        <f t="shared" si="39"/>
        <v>80</v>
      </c>
      <c r="L265" s="537"/>
      <c r="M265" s="442"/>
    </row>
    <row r="266" s="457" customFormat="1" spans="1:15">
      <c r="A266" s="494">
        <v>45743</v>
      </c>
      <c r="B266" s="442" t="s">
        <v>634</v>
      </c>
      <c r="C266" s="495">
        <v>45743</v>
      </c>
      <c r="D266" s="463"/>
      <c r="E266" s="463"/>
      <c r="F266" s="496" t="s">
        <v>636</v>
      </c>
      <c r="G266" s="463">
        <v>1</v>
      </c>
      <c r="H266" s="432">
        <v>4</v>
      </c>
      <c r="I266" s="463">
        <f t="shared" si="32"/>
        <v>4</v>
      </c>
      <c r="J266" s="497">
        <v>18</v>
      </c>
      <c r="K266" s="497">
        <f t="shared" si="39"/>
        <v>72</v>
      </c>
      <c r="L266" s="537"/>
      <c r="M266" s="537"/>
      <c r="N266" s="537"/>
    </row>
    <row r="267" s="457" customFormat="1" spans="1:15">
      <c r="A267" s="494">
        <v>45743</v>
      </c>
      <c r="B267" s="442" t="s">
        <v>634</v>
      </c>
      <c r="C267" s="495">
        <v>45743</v>
      </c>
      <c r="D267" s="463"/>
      <c r="E267" s="463"/>
      <c r="F267" s="496" t="s">
        <v>637</v>
      </c>
      <c r="G267" s="463">
        <v>1</v>
      </c>
      <c r="H267" s="432">
        <v>4</v>
      </c>
      <c r="I267" s="463">
        <f t="shared" si="32"/>
        <v>4</v>
      </c>
      <c r="J267" s="497">
        <v>18</v>
      </c>
      <c r="K267" s="497">
        <f t="shared" si="39"/>
        <v>72</v>
      </c>
      <c r="L267" s="537"/>
      <c r="M267" s="537"/>
      <c r="N267" s="537"/>
    </row>
    <row r="268" s="457" customFormat="1" spans="1:15">
      <c r="A268" s="494">
        <v>45743</v>
      </c>
      <c r="B268" s="442" t="s">
        <v>634</v>
      </c>
      <c r="C268" s="495">
        <v>45743</v>
      </c>
      <c r="D268" s="463"/>
      <c r="E268" s="463"/>
      <c r="F268" s="496" t="s">
        <v>638</v>
      </c>
      <c r="G268" s="463">
        <v>1</v>
      </c>
      <c r="H268" s="432">
        <v>4</v>
      </c>
      <c r="I268" s="463">
        <f t="shared" si="32"/>
        <v>4</v>
      </c>
      <c r="J268" s="497">
        <v>18</v>
      </c>
      <c r="K268" s="497">
        <f t="shared" si="39"/>
        <v>72</v>
      </c>
      <c r="L268" s="537"/>
      <c r="M268" s="537"/>
      <c r="N268" s="537"/>
    </row>
    <row r="269" s="457" customFormat="1" spans="1:15">
      <c r="A269" s="494">
        <v>45743</v>
      </c>
      <c r="B269" s="442" t="s">
        <v>634</v>
      </c>
      <c r="C269" s="495">
        <v>45743</v>
      </c>
      <c r="D269" s="463"/>
      <c r="E269" s="463"/>
      <c r="F269" s="496" t="s">
        <v>627</v>
      </c>
      <c r="G269" s="463">
        <v>4</v>
      </c>
      <c r="H269" s="432">
        <v>1</v>
      </c>
      <c r="I269" s="463">
        <f t="shared" si="32"/>
        <v>4</v>
      </c>
      <c r="J269" s="497">
        <v>5.5</v>
      </c>
      <c r="K269" s="497">
        <f t="shared" si="39"/>
        <v>22</v>
      </c>
      <c r="L269" s="537"/>
      <c r="M269" s="537"/>
      <c r="N269" s="537"/>
    </row>
    <row r="270" s="457" customFormat="1" spans="1:15">
      <c r="A270" s="494">
        <v>45743</v>
      </c>
      <c r="B270" s="442" t="s">
        <v>634</v>
      </c>
      <c r="C270" s="495">
        <v>45743</v>
      </c>
      <c r="D270" s="463"/>
      <c r="E270" s="463"/>
      <c r="F270" s="496" t="s">
        <v>639</v>
      </c>
      <c r="G270" s="463">
        <v>3</v>
      </c>
      <c r="H270" s="432">
        <v>1</v>
      </c>
      <c r="I270" s="463">
        <f t="shared" si="32"/>
        <v>3</v>
      </c>
      <c r="J270" s="497">
        <v>12.5</v>
      </c>
      <c r="K270" s="497">
        <f t="shared" si="39"/>
        <v>37.5</v>
      </c>
      <c r="L270" s="537">
        <f>SUM(K265:K270)</f>
        <v>355.5</v>
      </c>
      <c r="M270" s="537"/>
      <c r="N270" s="537"/>
    </row>
    <row r="271" s="456" customFormat="1" spans="1:15">
      <c r="A271" s="488">
        <v>45743</v>
      </c>
      <c r="B271" s="489" t="s">
        <v>640</v>
      </c>
      <c r="C271" s="490">
        <v>45743</v>
      </c>
      <c r="D271" s="491"/>
      <c r="E271" s="491"/>
      <c r="F271" s="493" t="s">
        <v>16</v>
      </c>
      <c r="G271" s="491">
        <v>1</v>
      </c>
      <c r="H271" s="431">
        <v>7.5</v>
      </c>
      <c r="I271" s="491">
        <f t="shared" ref="I271:I283" si="40">G271*H271</f>
        <v>7.5</v>
      </c>
      <c r="J271" s="492"/>
      <c r="K271" s="492"/>
    </row>
    <row r="272" s="456" customFormat="1" spans="1:15">
      <c r="A272" s="488">
        <v>45743</v>
      </c>
      <c r="B272" s="489" t="s">
        <v>640</v>
      </c>
      <c r="C272" s="490">
        <v>45743</v>
      </c>
      <c r="D272" s="491"/>
      <c r="E272" s="491"/>
      <c r="F272" s="493" t="s">
        <v>300</v>
      </c>
      <c r="G272" s="491">
        <v>1</v>
      </c>
      <c r="H272" s="431">
        <v>10</v>
      </c>
      <c r="I272" s="491">
        <f t="shared" si="40"/>
        <v>10</v>
      </c>
      <c r="J272" s="492"/>
      <c r="K272" s="492"/>
    </row>
    <row r="273" s="456" customFormat="1" spans="1:13">
      <c r="A273" s="488">
        <v>45743</v>
      </c>
      <c r="B273" s="489" t="s">
        <v>640</v>
      </c>
      <c r="C273" s="490">
        <v>45743</v>
      </c>
      <c r="D273" s="491"/>
      <c r="E273" s="491"/>
      <c r="F273" s="493" t="s">
        <v>546</v>
      </c>
      <c r="G273" s="491">
        <v>1</v>
      </c>
      <c r="H273" s="431">
        <v>10.5</v>
      </c>
      <c r="I273" s="491">
        <f t="shared" si="40"/>
        <v>10.5</v>
      </c>
      <c r="J273" s="492"/>
      <c r="K273" s="492"/>
    </row>
    <row r="274" s="456" customFormat="1" spans="1:13">
      <c r="A274" s="488">
        <v>45743</v>
      </c>
      <c r="B274" s="489" t="s">
        <v>640</v>
      </c>
      <c r="C274" s="490">
        <v>45743</v>
      </c>
      <c r="D274" s="491"/>
      <c r="E274" s="491"/>
      <c r="F274" s="493">
        <v>808</v>
      </c>
      <c r="G274" s="491">
        <v>1</v>
      </c>
      <c r="H274" s="431">
        <v>6</v>
      </c>
      <c r="I274" s="491">
        <f t="shared" si="40"/>
        <v>6</v>
      </c>
      <c r="J274" s="492">
        <v>9.7</v>
      </c>
      <c r="K274" s="492">
        <f>I274*J274</f>
        <v>58.2</v>
      </c>
      <c r="L274" s="456" t="s">
        <v>126</v>
      </c>
    </row>
    <row r="275" s="456" customFormat="1" spans="1:13">
      <c r="A275" s="488">
        <v>45743</v>
      </c>
      <c r="B275" s="489" t="s">
        <v>640</v>
      </c>
      <c r="C275" s="490">
        <v>45743</v>
      </c>
      <c r="D275" s="491"/>
      <c r="E275" s="491"/>
      <c r="F275" s="493" t="s">
        <v>125</v>
      </c>
      <c r="G275" s="491">
        <v>1</v>
      </c>
      <c r="H275" s="431">
        <v>10.5</v>
      </c>
      <c r="I275" s="491">
        <f t="shared" si="40"/>
        <v>10.5</v>
      </c>
      <c r="J275" s="492">
        <v>6.4</v>
      </c>
      <c r="K275" s="492">
        <f>I275*J275</f>
        <v>67.2</v>
      </c>
    </row>
    <row r="276" s="456" customFormat="1" spans="1:13">
      <c r="A276" s="488">
        <v>45743</v>
      </c>
      <c r="B276" s="489" t="s">
        <v>640</v>
      </c>
      <c r="C276" s="490">
        <v>45743</v>
      </c>
      <c r="D276" s="491"/>
      <c r="E276" s="491"/>
      <c r="F276" s="493" t="s">
        <v>240</v>
      </c>
      <c r="G276" s="491">
        <v>1</v>
      </c>
      <c r="H276" s="431">
        <v>7.5</v>
      </c>
      <c r="I276" s="491">
        <f t="shared" si="40"/>
        <v>7.5</v>
      </c>
      <c r="J276" s="492"/>
      <c r="K276" s="492"/>
    </row>
    <row r="277" s="456" customFormat="1" spans="1:13">
      <c r="A277" s="488">
        <v>45743</v>
      </c>
      <c r="B277" s="489" t="s">
        <v>640</v>
      </c>
      <c r="C277" s="490">
        <v>45743</v>
      </c>
      <c r="D277" s="491"/>
      <c r="E277" s="491"/>
      <c r="F277" s="493" t="s">
        <v>620</v>
      </c>
      <c r="G277" s="491">
        <v>1</v>
      </c>
      <c r="H277" s="431">
        <f>SUM(H271:H276)</f>
        <v>52</v>
      </c>
      <c r="I277" s="491">
        <f t="shared" si="40"/>
        <v>52</v>
      </c>
      <c r="J277" s="492">
        <v>1</v>
      </c>
      <c r="K277" s="492">
        <f>I277*J277</f>
        <v>52</v>
      </c>
      <c r="L277" s="456">
        <f>SUM(K271:K277)</f>
        <v>177.4</v>
      </c>
    </row>
    <row r="278" s="457" customFormat="1" spans="1:13">
      <c r="A278" s="494">
        <v>45743</v>
      </c>
      <c r="B278" s="442" t="s">
        <v>641</v>
      </c>
      <c r="C278" s="495">
        <v>45743</v>
      </c>
      <c r="D278" s="463"/>
      <c r="E278" s="463"/>
      <c r="F278" s="496" t="s">
        <v>42</v>
      </c>
      <c r="G278" s="463">
        <v>1</v>
      </c>
      <c r="H278" s="432">
        <v>100</v>
      </c>
      <c r="I278" s="463">
        <f t="shared" si="40"/>
        <v>100</v>
      </c>
      <c r="J278" s="497"/>
      <c r="K278" s="497"/>
    </row>
    <row r="279" s="457" customFormat="1" spans="1:13">
      <c r="A279" s="494">
        <v>45743</v>
      </c>
      <c r="B279" s="442" t="s">
        <v>641</v>
      </c>
      <c r="C279" s="495">
        <v>45743</v>
      </c>
      <c r="D279" s="463"/>
      <c r="E279" s="463"/>
      <c r="F279" s="496" t="s">
        <v>207</v>
      </c>
      <c r="G279" s="463">
        <v>1</v>
      </c>
      <c r="H279" s="432">
        <v>200</v>
      </c>
      <c r="I279" s="463">
        <f t="shared" si="40"/>
        <v>200</v>
      </c>
      <c r="J279" s="497"/>
      <c r="K279" s="497"/>
    </row>
    <row r="280" s="457" customFormat="1" spans="1:13">
      <c r="A280" s="494">
        <v>45743</v>
      </c>
      <c r="B280" s="442" t="s">
        <v>641</v>
      </c>
      <c r="C280" s="495">
        <v>45743</v>
      </c>
      <c r="D280" s="463"/>
      <c r="E280" s="463"/>
      <c r="F280" s="496" t="s">
        <v>599</v>
      </c>
      <c r="G280" s="463">
        <v>1</v>
      </c>
      <c r="H280" s="432">
        <v>100</v>
      </c>
      <c r="I280" s="463">
        <f t="shared" si="40"/>
        <v>100</v>
      </c>
      <c r="J280" s="497"/>
      <c r="K280" s="497"/>
    </row>
    <row r="281" s="457" customFormat="1" spans="1:13">
      <c r="A281" s="494">
        <v>45743</v>
      </c>
      <c r="B281" s="442" t="s">
        <v>641</v>
      </c>
      <c r="C281" s="495">
        <v>45743</v>
      </c>
      <c r="D281" s="463"/>
      <c r="E281" s="463"/>
      <c r="F281" s="496" t="s">
        <v>553</v>
      </c>
      <c r="G281" s="463">
        <v>1</v>
      </c>
      <c r="H281" s="432">
        <v>145</v>
      </c>
      <c r="I281" s="463">
        <f t="shared" si="40"/>
        <v>145</v>
      </c>
      <c r="J281" s="497"/>
      <c r="K281" s="497"/>
    </row>
    <row r="282" s="457" customFormat="1" spans="1:13">
      <c r="A282" s="494">
        <v>45743</v>
      </c>
      <c r="B282" s="442" t="s">
        <v>641</v>
      </c>
      <c r="C282" s="495">
        <v>45743</v>
      </c>
      <c r="D282" s="463"/>
      <c r="E282" s="463"/>
      <c r="F282" s="496" t="s">
        <v>208</v>
      </c>
      <c r="G282" s="463">
        <v>1</v>
      </c>
      <c r="H282" s="432">
        <v>25</v>
      </c>
      <c r="I282" s="463">
        <f t="shared" si="40"/>
        <v>25</v>
      </c>
      <c r="J282" s="497">
        <v>17</v>
      </c>
      <c r="K282" s="497">
        <f t="shared" ref="K282:K285" si="41">I282*J282</f>
        <v>425</v>
      </c>
      <c r="M282" s="459"/>
    </row>
    <row r="283" s="457" customFormat="1" spans="1:13">
      <c r="A283" s="494">
        <v>45743</v>
      </c>
      <c r="B283" s="442" t="s">
        <v>641</v>
      </c>
      <c r="C283" s="495">
        <v>45743</v>
      </c>
      <c r="D283" s="463"/>
      <c r="E283" s="463"/>
      <c r="F283" s="496" t="s">
        <v>152</v>
      </c>
      <c r="G283" s="463">
        <v>1</v>
      </c>
      <c r="H283" s="432">
        <v>92</v>
      </c>
      <c r="I283" s="463">
        <f t="shared" si="40"/>
        <v>92</v>
      </c>
      <c r="J283" s="497">
        <v>7.3</v>
      </c>
      <c r="K283" s="497">
        <f t="shared" si="41"/>
        <v>671.6</v>
      </c>
      <c r="L283" s="456"/>
      <c r="M283" s="456"/>
    </row>
    <row r="284" s="457" customFormat="1" spans="1:13">
      <c r="A284" s="494">
        <v>45743</v>
      </c>
      <c r="B284" s="442" t="s">
        <v>641</v>
      </c>
      <c r="C284" s="495">
        <v>45743</v>
      </c>
      <c r="D284" s="463"/>
      <c r="E284" s="463"/>
      <c r="F284" s="496" t="s">
        <v>132</v>
      </c>
      <c r="G284" s="463">
        <v>1</v>
      </c>
      <c r="H284" s="432">
        <v>279</v>
      </c>
      <c r="I284" s="463">
        <f t="shared" ref="I284:I289" si="42">G284*H284</f>
        <v>279</v>
      </c>
      <c r="J284" s="497">
        <v>3.5</v>
      </c>
      <c r="K284" s="497">
        <f t="shared" si="41"/>
        <v>976.5</v>
      </c>
      <c r="L284" s="456"/>
      <c r="M284" s="456"/>
    </row>
    <row r="285" s="457" customFormat="1" spans="1:13">
      <c r="A285" s="494">
        <v>45743</v>
      </c>
      <c r="B285" s="442" t="s">
        <v>641</v>
      </c>
      <c r="C285" s="495">
        <v>45743</v>
      </c>
      <c r="D285" s="463"/>
      <c r="E285" s="463"/>
      <c r="F285" s="496" t="s">
        <v>137</v>
      </c>
      <c r="G285" s="463">
        <v>1</v>
      </c>
      <c r="H285" s="432">
        <v>50</v>
      </c>
      <c r="I285" s="463">
        <f t="shared" si="42"/>
        <v>50</v>
      </c>
      <c r="J285" s="497">
        <v>0.9</v>
      </c>
      <c r="K285" s="497">
        <f t="shared" si="41"/>
        <v>45</v>
      </c>
      <c r="L285" s="457" t="s">
        <v>116</v>
      </c>
    </row>
    <row r="286" s="457" customFormat="1" spans="1:13">
      <c r="A286" s="494">
        <v>45743</v>
      </c>
      <c r="B286" s="442" t="s">
        <v>641</v>
      </c>
      <c r="C286" s="495">
        <v>45743</v>
      </c>
      <c r="D286" s="463"/>
      <c r="E286" s="463"/>
      <c r="F286" s="496" t="s">
        <v>211</v>
      </c>
      <c r="G286" s="463">
        <v>1</v>
      </c>
      <c r="H286" s="432">
        <v>2.5</v>
      </c>
      <c r="I286" s="463">
        <f t="shared" si="42"/>
        <v>2.5</v>
      </c>
      <c r="J286" s="497"/>
      <c r="K286" s="497"/>
    </row>
    <row r="287" s="457" customFormat="1" spans="1:13">
      <c r="A287" s="494">
        <v>45743</v>
      </c>
      <c r="B287" s="442" t="s">
        <v>641</v>
      </c>
      <c r="C287" s="495">
        <v>45743</v>
      </c>
      <c r="D287" s="463"/>
      <c r="E287" s="463"/>
      <c r="F287" s="496" t="s">
        <v>125</v>
      </c>
      <c r="G287" s="463">
        <v>1</v>
      </c>
      <c r="H287" s="432">
        <v>59</v>
      </c>
      <c r="I287" s="463">
        <f t="shared" si="42"/>
        <v>59</v>
      </c>
      <c r="J287" s="497">
        <v>6.4</v>
      </c>
      <c r="K287" s="497">
        <f t="shared" ref="K287:K289" si="43">I287*J287</f>
        <v>377.6</v>
      </c>
    </row>
    <row r="288" s="457" customFormat="1" spans="1:13">
      <c r="A288" s="494">
        <v>45743</v>
      </c>
      <c r="B288" s="442" t="s">
        <v>641</v>
      </c>
      <c r="C288" s="495">
        <v>45743</v>
      </c>
      <c r="D288" s="463"/>
      <c r="E288" s="463"/>
      <c r="F288" s="499" t="s">
        <v>212</v>
      </c>
      <c r="G288" s="501">
        <v>1</v>
      </c>
      <c r="H288" s="500">
        <f>SUM(H278:H287)</f>
        <v>1052.5</v>
      </c>
      <c r="I288" s="501">
        <f t="shared" si="42"/>
        <v>1052.5</v>
      </c>
      <c r="J288" s="502">
        <v>1</v>
      </c>
      <c r="K288" s="502">
        <f t="shared" si="43"/>
        <v>1052.5</v>
      </c>
      <c r="L288" s="464">
        <f>SUM(K278:K288)</f>
        <v>3548.2</v>
      </c>
    </row>
    <row r="289" s="461" customFormat="1" spans="1:17">
      <c r="A289" s="540">
        <v>45740</v>
      </c>
      <c r="B289" s="541" t="s">
        <v>404</v>
      </c>
      <c r="C289" s="542">
        <v>45740</v>
      </c>
      <c r="D289" s="523"/>
      <c r="E289" s="523"/>
      <c r="F289" s="522" t="s">
        <v>631</v>
      </c>
      <c r="G289" s="523">
        <v>1</v>
      </c>
      <c r="H289" s="524">
        <v>18</v>
      </c>
      <c r="I289" s="523">
        <f t="shared" si="42"/>
        <v>18</v>
      </c>
      <c r="J289" s="525">
        <v>15</v>
      </c>
      <c r="K289" s="525">
        <f t="shared" si="43"/>
        <v>270</v>
      </c>
      <c r="L289" s="543"/>
      <c r="M289" s="543">
        <f>SUBTOTAL(9,K70:K289)</f>
        <v>69508.15</v>
      </c>
      <c r="N289" s="543"/>
    </row>
    <row r="290" s="461" customFormat="1" spans="1:17">
      <c r="A290" s="540"/>
      <c r="B290" s="541"/>
      <c r="C290" s="542"/>
      <c r="D290" s="523"/>
      <c r="E290" s="523"/>
      <c r="F290" s="522"/>
      <c r="G290" s="523"/>
      <c r="H290" s="524"/>
      <c r="I290" s="523"/>
      <c r="J290" s="525"/>
      <c r="K290" s="525"/>
      <c r="L290" s="543"/>
      <c r="M290" s="543"/>
      <c r="N290" s="543"/>
    </row>
    <row r="291" s="462" customFormat="1" ht="26" customHeight="1" spans="1:17">
      <c r="A291" s="509" t="s">
        <v>141</v>
      </c>
      <c r="B291" s="510"/>
      <c r="C291" s="510"/>
      <c r="D291" s="510"/>
      <c r="E291" s="510"/>
      <c r="F291" s="510"/>
      <c r="G291" s="510"/>
      <c r="H291" s="510"/>
      <c r="I291" s="510"/>
      <c r="J291" s="511" t="s">
        <v>28</v>
      </c>
      <c r="K291" s="512">
        <f>SUM(K294:K562)</f>
        <v>82975.026</v>
      </c>
      <c r="L291" s="458" t="s">
        <v>29</v>
      </c>
      <c r="M291" s="509">
        <f>材料!L222+K384</f>
        <v>50688.926</v>
      </c>
      <c r="N291" s="513" t="s">
        <v>30</v>
      </c>
      <c r="O291" s="509">
        <f>K298+K307+K313+K316+K324+K332+K338+K347+K359+K365+K373+K382+K393+K398+K406+K415+K427+K433+K445+K455+K464+K475+K480+K487+K495+K504+K513+K520+K528+K534+K543+K549+K562</f>
        <v>27916.1</v>
      </c>
      <c r="P291" s="510" t="s">
        <v>31</v>
      </c>
      <c r="Q291" s="509">
        <f>K465+K551+K552+K553</f>
        <v>3040</v>
      </c>
    </row>
    <row r="292" s="462" customFormat="1" ht="26" customHeight="1" spans="1:17">
      <c r="A292" s="509"/>
      <c r="B292" s="510"/>
      <c r="C292" s="510"/>
      <c r="D292" s="510"/>
      <c r="E292" s="510"/>
      <c r="F292" s="510"/>
      <c r="G292" s="510"/>
      <c r="H292" s="510"/>
      <c r="I292" s="510"/>
      <c r="J292" s="510" t="s">
        <v>32</v>
      </c>
      <c r="K292" s="510"/>
      <c r="L292" s="458" t="s">
        <v>33</v>
      </c>
      <c r="M292" s="509">
        <f>K348+K360+K374+K383+K489+K505+K428+K466+K488+K514+K529+K550+K554</f>
        <v>1330</v>
      </c>
      <c r="N292" s="514" t="s">
        <v>34</v>
      </c>
      <c r="O292" s="512">
        <f>M291+M292+O291+Q291</f>
        <v>82975.026</v>
      </c>
      <c r="P292" s="458"/>
      <c r="Q292" s="458"/>
    </row>
    <row r="293" s="463" customFormat="1" ht="26" customHeight="1" spans="1:17">
      <c r="A293" s="544" t="s">
        <v>35</v>
      </c>
      <c r="B293" s="427" t="s">
        <v>36</v>
      </c>
      <c r="C293" s="426" t="s">
        <v>37</v>
      </c>
      <c r="D293" s="426"/>
      <c r="E293" s="426"/>
      <c r="F293" s="426" t="s">
        <v>38</v>
      </c>
      <c r="G293" s="426" t="s">
        <v>4</v>
      </c>
      <c r="H293" s="426" t="s">
        <v>5</v>
      </c>
      <c r="I293" s="426" t="s">
        <v>6</v>
      </c>
      <c r="J293" s="426" t="s">
        <v>7</v>
      </c>
      <c r="K293" s="426" t="s">
        <v>8</v>
      </c>
      <c r="L293" s="426" t="s">
        <v>39</v>
      </c>
      <c r="M293" s="426" t="s">
        <v>40</v>
      </c>
      <c r="N293" s="427"/>
      <c r="O293" s="427"/>
      <c r="P293" s="427"/>
      <c r="Q293" s="427"/>
    </row>
    <row r="294" s="456" customFormat="1" spans="1:17">
      <c r="A294" s="488">
        <v>45748</v>
      </c>
      <c r="B294" s="489" t="s">
        <v>358</v>
      </c>
      <c r="C294" s="490" t="s">
        <v>642</v>
      </c>
      <c r="D294" s="491"/>
      <c r="E294" s="491"/>
      <c r="F294" s="493" t="s">
        <v>16</v>
      </c>
      <c r="G294" s="491">
        <v>2</v>
      </c>
      <c r="H294" s="431">
        <v>48</v>
      </c>
      <c r="I294" s="491">
        <f t="shared" ref="I294:I316" si="44">G294*H294</f>
        <v>96</v>
      </c>
      <c r="J294" s="492"/>
      <c r="K294" s="492"/>
    </row>
    <row r="295" s="456" customFormat="1" spans="1:17">
      <c r="A295" s="488">
        <v>45748</v>
      </c>
      <c r="B295" s="489" t="s">
        <v>358</v>
      </c>
      <c r="C295" s="490" t="s">
        <v>642</v>
      </c>
      <c r="D295" s="491"/>
      <c r="E295" s="491"/>
      <c r="F295" s="493">
        <v>996</v>
      </c>
      <c r="G295" s="491">
        <v>2</v>
      </c>
      <c r="H295" s="431">
        <v>150</v>
      </c>
      <c r="I295" s="491">
        <f t="shared" si="44"/>
        <v>300</v>
      </c>
      <c r="J295" s="492"/>
      <c r="K295" s="492"/>
    </row>
    <row r="296" s="456" customFormat="1" spans="1:17">
      <c r="A296" s="488">
        <v>45748</v>
      </c>
      <c r="B296" s="489" t="s">
        <v>358</v>
      </c>
      <c r="C296" s="490" t="s">
        <v>642</v>
      </c>
      <c r="D296" s="491"/>
      <c r="E296" s="491"/>
      <c r="F296" s="493" t="s">
        <v>12</v>
      </c>
      <c r="G296" s="491">
        <v>2</v>
      </c>
      <c r="H296" s="431">
        <v>30</v>
      </c>
      <c r="I296" s="491">
        <f t="shared" si="44"/>
        <v>60</v>
      </c>
      <c r="J296" s="492">
        <v>7</v>
      </c>
      <c r="K296" s="492">
        <f>I296*J296</f>
        <v>420</v>
      </c>
      <c r="M296" s="457"/>
    </row>
    <row r="297" s="456" customFormat="1" spans="1:17">
      <c r="A297" s="488">
        <v>45748</v>
      </c>
      <c r="B297" s="489" t="s">
        <v>358</v>
      </c>
      <c r="C297" s="490" t="s">
        <v>642</v>
      </c>
      <c r="D297" s="491"/>
      <c r="E297" s="491"/>
      <c r="F297" s="493" t="s">
        <v>152</v>
      </c>
      <c r="G297" s="491">
        <v>2</v>
      </c>
      <c r="H297" s="431">
        <v>30</v>
      </c>
      <c r="I297" s="491">
        <f t="shared" si="44"/>
        <v>60</v>
      </c>
      <c r="J297" s="492">
        <v>7.3</v>
      </c>
      <c r="K297" s="492">
        <f>I297*J297</f>
        <v>438</v>
      </c>
      <c r="N297" s="457"/>
    </row>
    <row r="298" s="456" customFormat="1" spans="1:17">
      <c r="A298" s="488">
        <v>45748</v>
      </c>
      <c r="B298" s="489" t="s">
        <v>358</v>
      </c>
      <c r="C298" s="490" t="s">
        <v>642</v>
      </c>
      <c r="D298" s="491"/>
      <c r="E298" s="491"/>
      <c r="F298" s="493" t="s">
        <v>456</v>
      </c>
      <c r="G298" s="491">
        <v>2</v>
      </c>
      <c r="H298" s="431">
        <f>SUM(H294:H297)</f>
        <v>258</v>
      </c>
      <c r="I298" s="491">
        <f t="shared" si="44"/>
        <v>516</v>
      </c>
      <c r="J298" s="492">
        <v>3</v>
      </c>
      <c r="K298" s="492">
        <f>I298*J298</f>
        <v>1548</v>
      </c>
      <c r="L298" s="456">
        <f>SUM(K294:K298)</f>
        <v>2406</v>
      </c>
    </row>
    <row r="299" s="457" customFormat="1" spans="1:17">
      <c r="A299" s="494">
        <v>45748</v>
      </c>
      <c r="B299" s="442" t="s">
        <v>360</v>
      </c>
      <c r="C299" s="495">
        <v>45748</v>
      </c>
      <c r="D299" s="463"/>
      <c r="E299" s="463"/>
      <c r="F299" s="496" t="s">
        <v>251</v>
      </c>
      <c r="G299" s="463">
        <v>1</v>
      </c>
      <c r="H299" s="432">
        <v>240</v>
      </c>
      <c r="I299" s="463">
        <f t="shared" si="44"/>
        <v>240</v>
      </c>
      <c r="J299" s="497"/>
      <c r="K299" s="497"/>
    </row>
    <row r="300" s="457" customFormat="1" spans="1:17">
      <c r="A300" s="494">
        <v>45748</v>
      </c>
      <c r="B300" s="442" t="s">
        <v>360</v>
      </c>
      <c r="C300" s="495">
        <v>45748</v>
      </c>
      <c r="D300" s="463"/>
      <c r="E300" s="463"/>
      <c r="F300" s="496" t="s">
        <v>13</v>
      </c>
      <c r="G300" s="463">
        <v>1</v>
      </c>
      <c r="H300" s="432">
        <v>240</v>
      </c>
      <c r="I300" s="463">
        <f t="shared" si="44"/>
        <v>240</v>
      </c>
      <c r="J300" s="497"/>
      <c r="K300" s="497"/>
    </row>
    <row r="301" s="457" customFormat="1" spans="1:17">
      <c r="A301" s="494">
        <v>45748</v>
      </c>
      <c r="B301" s="442" t="s">
        <v>360</v>
      </c>
      <c r="C301" s="495">
        <v>45748</v>
      </c>
      <c r="D301" s="463"/>
      <c r="E301" s="463"/>
      <c r="F301" s="496" t="s">
        <v>533</v>
      </c>
      <c r="G301" s="463">
        <v>1</v>
      </c>
      <c r="H301" s="432">
        <v>61</v>
      </c>
      <c r="I301" s="463">
        <f t="shared" si="44"/>
        <v>61</v>
      </c>
      <c r="J301" s="497"/>
      <c r="K301" s="497"/>
    </row>
    <row r="302" s="457" customFormat="1" spans="1:17">
      <c r="A302" s="494">
        <v>45748</v>
      </c>
      <c r="B302" s="442" t="s">
        <v>360</v>
      </c>
      <c r="C302" s="495">
        <v>45748</v>
      </c>
      <c r="D302" s="463"/>
      <c r="E302" s="463"/>
      <c r="F302" s="496" t="s">
        <v>547</v>
      </c>
      <c r="G302" s="463">
        <v>1</v>
      </c>
      <c r="H302" s="432">
        <v>257</v>
      </c>
      <c r="I302" s="463">
        <f t="shared" si="44"/>
        <v>257</v>
      </c>
      <c r="J302" s="497"/>
      <c r="K302" s="497"/>
      <c r="L302" s="457" t="s">
        <v>116</v>
      </c>
      <c r="M302" s="457" t="s">
        <v>314</v>
      </c>
    </row>
    <row r="303" s="457" customFormat="1" spans="1:17">
      <c r="A303" s="494">
        <v>45748</v>
      </c>
      <c r="B303" s="442" t="s">
        <v>360</v>
      </c>
      <c r="C303" s="495">
        <v>45748</v>
      </c>
      <c r="D303" s="463"/>
      <c r="E303" s="463"/>
      <c r="F303" s="496" t="s">
        <v>115</v>
      </c>
      <c r="G303" s="463">
        <v>1</v>
      </c>
      <c r="H303" s="432">
        <v>150</v>
      </c>
      <c r="I303" s="463">
        <f t="shared" si="44"/>
        <v>150</v>
      </c>
      <c r="J303" s="497"/>
      <c r="K303" s="497"/>
      <c r="L303" s="457" t="s">
        <v>593</v>
      </c>
    </row>
    <row r="304" s="457" customFormat="1" spans="1:17">
      <c r="A304" s="494">
        <v>45748</v>
      </c>
      <c r="B304" s="442" t="s">
        <v>360</v>
      </c>
      <c r="C304" s="495">
        <v>45748</v>
      </c>
      <c r="D304" s="463"/>
      <c r="E304" s="463"/>
      <c r="F304" s="496">
        <v>808</v>
      </c>
      <c r="G304" s="463">
        <v>1</v>
      </c>
      <c r="H304" s="432">
        <v>30</v>
      </c>
      <c r="I304" s="463">
        <f t="shared" si="44"/>
        <v>30</v>
      </c>
      <c r="J304" s="497">
        <v>9.7</v>
      </c>
      <c r="K304" s="497">
        <f>I304*J304</f>
        <v>291</v>
      </c>
    </row>
    <row r="305" s="457" customFormat="1" spans="1:19">
      <c r="A305" s="494">
        <v>45748</v>
      </c>
      <c r="B305" s="442" t="s">
        <v>360</v>
      </c>
      <c r="C305" s="495">
        <v>45748</v>
      </c>
      <c r="D305" s="463"/>
      <c r="E305" s="463"/>
      <c r="F305" s="496" t="s">
        <v>152</v>
      </c>
      <c r="G305" s="463">
        <v>1</v>
      </c>
      <c r="H305" s="432">
        <v>83</v>
      </c>
      <c r="I305" s="463">
        <f t="shared" si="44"/>
        <v>83</v>
      </c>
      <c r="J305" s="497">
        <v>7.3</v>
      </c>
      <c r="K305" s="497">
        <f>I305*J305</f>
        <v>605.9</v>
      </c>
    </row>
    <row r="306" s="457" customFormat="1" spans="1:19">
      <c r="A306" s="494">
        <v>45748</v>
      </c>
      <c r="B306" s="442" t="s">
        <v>360</v>
      </c>
      <c r="C306" s="495">
        <v>45748</v>
      </c>
      <c r="D306" s="463"/>
      <c r="E306" s="463"/>
      <c r="F306" s="496" t="s">
        <v>125</v>
      </c>
      <c r="G306" s="463">
        <v>1</v>
      </c>
      <c r="H306" s="432">
        <v>139</v>
      </c>
      <c r="I306" s="463">
        <f t="shared" si="44"/>
        <v>139</v>
      </c>
      <c r="J306" s="497">
        <v>6.4</v>
      </c>
      <c r="K306" s="497">
        <f>I306*J306</f>
        <v>889.6</v>
      </c>
    </row>
    <row r="307" s="457" customFormat="1" spans="1:19">
      <c r="A307" s="494">
        <v>45748</v>
      </c>
      <c r="B307" s="442" t="s">
        <v>360</v>
      </c>
      <c r="C307" s="495">
        <v>45748</v>
      </c>
      <c r="D307" s="463"/>
      <c r="E307" s="463"/>
      <c r="F307" s="496" t="s">
        <v>17</v>
      </c>
      <c r="G307" s="463">
        <v>1</v>
      </c>
      <c r="H307" s="432">
        <f>SUM(H299:H306)</f>
        <v>1200</v>
      </c>
      <c r="I307" s="463">
        <f t="shared" si="44"/>
        <v>1200</v>
      </c>
      <c r="J307" s="497">
        <v>1</v>
      </c>
      <c r="K307" s="497">
        <f>I307*J307</f>
        <v>1200</v>
      </c>
      <c r="L307" s="457">
        <f>SUM(K299:K307)</f>
        <v>2986.5</v>
      </c>
      <c r="O307" s="457" t="s">
        <v>633</v>
      </c>
      <c r="S307" s="526"/>
    </row>
    <row r="308" s="456" customFormat="1" spans="1:19">
      <c r="A308" s="488">
        <v>45748</v>
      </c>
      <c r="B308" s="489" t="s">
        <v>643</v>
      </c>
      <c r="C308" s="490">
        <v>45748</v>
      </c>
      <c r="D308" s="491"/>
      <c r="E308" s="491"/>
      <c r="F308" s="493" t="s">
        <v>42</v>
      </c>
      <c r="G308" s="491">
        <v>1</v>
      </c>
      <c r="H308" s="431">
        <v>150</v>
      </c>
      <c r="I308" s="491">
        <f t="shared" si="44"/>
        <v>150</v>
      </c>
      <c r="J308" s="492"/>
      <c r="K308" s="492"/>
    </row>
    <row r="309" s="456" customFormat="1" spans="1:19">
      <c r="A309" s="488">
        <v>45748</v>
      </c>
      <c r="B309" s="489" t="s">
        <v>643</v>
      </c>
      <c r="C309" s="490">
        <v>45748</v>
      </c>
      <c r="D309" s="491"/>
      <c r="E309" s="491"/>
      <c r="F309" s="493">
        <v>808</v>
      </c>
      <c r="G309" s="491">
        <v>1</v>
      </c>
      <c r="H309" s="431">
        <v>105</v>
      </c>
      <c r="I309" s="491">
        <f t="shared" si="44"/>
        <v>105</v>
      </c>
      <c r="J309" s="492">
        <v>9.7</v>
      </c>
      <c r="K309" s="492">
        <f>I309*J309</f>
        <v>1018.5</v>
      </c>
    </row>
    <row r="310" s="456" customFormat="1" spans="1:19">
      <c r="A310" s="488">
        <v>45748</v>
      </c>
      <c r="B310" s="489" t="s">
        <v>643</v>
      </c>
      <c r="C310" s="490">
        <v>45748</v>
      </c>
      <c r="D310" s="491"/>
      <c r="E310" s="491"/>
      <c r="F310" s="493" t="s">
        <v>599</v>
      </c>
      <c r="G310" s="491">
        <v>1</v>
      </c>
      <c r="H310" s="431">
        <v>62</v>
      </c>
      <c r="I310" s="491">
        <f t="shared" si="44"/>
        <v>62</v>
      </c>
      <c r="J310" s="492"/>
      <c r="K310" s="492"/>
      <c r="L310" s="456" t="s">
        <v>126</v>
      </c>
    </row>
    <row r="311" s="456" customFormat="1" spans="1:19">
      <c r="A311" s="488">
        <v>45748</v>
      </c>
      <c r="B311" s="489" t="s">
        <v>643</v>
      </c>
      <c r="C311" s="490">
        <v>45748</v>
      </c>
      <c r="D311" s="491"/>
      <c r="E311" s="491"/>
      <c r="F311" s="493" t="s">
        <v>553</v>
      </c>
      <c r="G311" s="491">
        <v>1</v>
      </c>
      <c r="H311" s="431">
        <v>89</v>
      </c>
      <c r="I311" s="491">
        <f t="shared" si="44"/>
        <v>89</v>
      </c>
      <c r="J311" s="492"/>
      <c r="K311" s="492"/>
      <c r="M311" s="456" t="s">
        <v>51</v>
      </c>
    </row>
    <row r="312" s="456" customFormat="1" spans="1:19">
      <c r="A312" s="488">
        <v>45748</v>
      </c>
      <c r="B312" s="489" t="s">
        <v>643</v>
      </c>
      <c r="C312" s="490">
        <v>45748</v>
      </c>
      <c r="D312" s="491"/>
      <c r="E312" s="491"/>
      <c r="F312" s="493" t="s">
        <v>125</v>
      </c>
      <c r="G312" s="491">
        <v>1</v>
      </c>
      <c r="H312" s="431">
        <v>94</v>
      </c>
      <c r="I312" s="491">
        <f t="shared" si="44"/>
        <v>94</v>
      </c>
      <c r="J312" s="492">
        <v>6.4</v>
      </c>
      <c r="K312" s="492">
        <f>I312*J312</f>
        <v>601.6</v>
      </c>
    </row>
    <row r="313" s="456" customFormat="1" spans="1:19">
      <c r="A313" s="488">
        <v>45748</v>
      </c>
      <c r="B313" s="489" t="s">
        <v>643</v>
      </c>
      <c r="C313" s="490">
        <v>45748</v>
      </c>
      <c r="D313" s="491"/>
      <c r="E313" s="491"/>
      <c r="F313" s="493" t="s">
        <v>47</v>
      </c>
      <c r="G313" s="491">
        <v>1</v>
      </c>
      <c r="H313" s="431">
        <f>SUM(H308:H312)</f>
        <v>500</v>
      </c>
      <c r="I313" s="491">
        <f t="shared" si="44"/>
        <v>500</v>
      </c>
      <c r="J313" s="492">
        <v>1</v>
      </c>
      <c r="K313" s="492">
        <f>I313*J313</f>
        <v>500</v>
      </c>
      <c r="L313" s="456">
        <f>SUM(K308:K313)</f>
        <v>2120.1</v>
      </c>
    </row>
    <row r="314" s="457" customFormat="1" spans="1:19">
      <c r="A314" s="494">
        <v>45748</v>
      </c>
      <c r="B314" s="442" t="s">
        <v>644</v>
      </c>
      <c r="C314" s="504">
        <v>45748</v>
      </c>
      <c r="D314" s="504"/>
      <c r="E314" s="505"/>
      <c r="F314" s="496" t="s">
        <v>477</v>
      </c>
      <c r="G314" s="463">
        <v>1</v>
      </c>
      <c r="H314" s="432">
        <v>300</v>
      </c>
      <c r="I314" s="463">
        <f t="shared" si="44"/>
        <v>300</v>
      </c>
      <c r="J314" s="497"/>
      <c r="K314" s="497"/>
    </row>
    <row r="315" s="457" customFormat="1" spans="1:19">
      <c r="A315" s="494">
        <v>45748</v>
      </c>
      <c r="B315" s="442" t="s">
        <v>644</v>
      </c>
      <c r="C315" s="504">
        <v>45748</v>
      </c>
      <c r="D315" s="504"/>
      <c r="E315" s="505"/>
      <c r="F315" s="496">
        <v>808</v>
      </c>
      <c r="G315" s="463">
        <v>1</v>
      </c>
      <c r="H315" s="432">
        <v>450</v>
      </c>
      <c r="I315" s="463">
        <f t="shared" si="44"/>
        <v>450</v>
      </c>
      <c r="J315" s="497">
        <v>9.7</v>
      </c>
      <c r="K315" s="497">
        <f>I315*J315</f>
        <v>4365</v>
      </c>
    </row>
    <row r="316" s="457" customFormat="1" spans="1:19">
      <c r="A316" s="494">
        <v>45748</v>
      </c>
      <c r="B316" s="442" t="s">
        <v>644</v>
      </c>
      <c r="C316" s="504">
        <v>45748</v>
      </c>
      <c r="D316" s="504"/>
      <c r="E316" s="505"/>
      <c r="F316" s="496" t="s">
        <v>109</v>
      </c>
      <c r="G316" s="442">
        <v>1</v>
      </c>
      <c r="H316" s="545">
        <f>SUM(H314:H315)</f>
        <v>750</v>
      </c>
      <c r="I316" s="463">
        <f t="shared" si="44"/>
        <v>750</v>
      </c>
      <c r="J316" s="497">
        <v>1</v>
      </c>
      <c r="K316" s="497">
        <f>I316*J316</f>
        <v>750</v>
      </c>
      <c r="L316" s="457">
        <f>SUM(K314:K316)</f>
        <v>5115</v>
      </c>
    </row>
    <row r="317" s="456" customFormat="1" spans="1:19">
      <c r="A317" s="488">
        <v>45748</v>
      </c>
      <c r="B317" s="489" t="s">
        <v>49</v>
      </c>
      <c r="C317" s="490">
        <v>45748</v>
      </c>
      <c r="D317" s="491"/>
      <c r="E317" s="491"/>
      <c r="F317" s="456" t="s">
        <v>16</v>
      </c>
      <c r="G317" s="489">
        <v>1</v>
      </c>
      <c r="H317" s="489">
        <v>90</v>
      </c>
      <c r="I317" s="491">
        <f t="shared" ref="I314:I332" si="45">G317*H317</f>
        <v>90</v>
      </c>
      <c r="J317" s="492"/>
      <c r="K317" s="492"/>
    </row>
    <row r="318" s="456" customFormat="1" spans="1:19">
      <c r="A318" s="488">
        <v>45748</v>
      </c>
      <c r="B318" s="489" t="s">
        <v>49</v>
      </c>
      <c r="C318" s="490">
        <v>45748</v>
      </c>
      <c r="D318" s="491"/>
      <c r="E318" s="491"/>
      <c r="F318" s="456" t="s">
        <v>533</v>
      </c>
      <c r="G318" s="489">
        <v>1</v>
      </c>
      <c r="H318" s="489">
        <v>140</v>
      </c>
      <c r="I318" s="491">
        <f t="shared" si="45"/>
        <v>140</v>
      </c>
      <c r="J318" s="492"/>
      <c r="K318" s="492"/>
    </row>
    <row r="319" s="456" customFormat="1" spans="1:19">
      <c r="A319" s="488">
        <v>45748</v>
      </c>
      <c r="B319" s="489" t="s">
        <v>49</v>
      </c>
      <c r="C319" s="490">
        <v>45748</v>
      </c>
      <c r="D319" s="491"/>
      <c r="E319" s="491"/>
      <c r="F319" s="456" t="s">
        <v>547</v>
      </c>
      <c r="G319" s="489">
        <v>1</v>
      </c>
      <c r="H319" s="489">
        <v>35</v>
      </c>
      <c r="I319" s="491">
        <f t="shared" si="45"/>
        <v>35</v>
      </c>
      <c r="J319" s="492"/>
      <c r="K319" s="492"/>
    </row>
    <row r="320" s="456" customFormat="1" spans="1:19">
      <c r="A320" s="488">
        <v>45748</v>
      </c>
      <c r="B320" s="489" t="s">
        <v>49</v>
      </c>
      <c r="C320" s="490">
        <v>45748</v>
      </c>
      <c r="D320" s="491"/>
      <c r="E320" s="491"/>
      <c r="F320" s="456" t="s">
        <v>352</v>
      </c>
      <c r="G320" s="489">
        <v>1</v>
      </c>
      <c r="H320" s="489">
        <v>100</v>
      </c>
      <c r="I320" s="491">
        <f t="shared" si="45"/>
        <v>100</v>
      </c>
      <c r="J320" s="492"/>
      <c r="K320" s="492"/>
      <c r="L320" s="456" t="s">
        <v>116</v>
      </c>
    </row>
    <row r="321" s="456" customFormat="1" spans="1:19">
      <c r="A321" s="488">
        <v>45748</v>
      </c>
      <c r="B321" s="489" t="s">
        <v>49</v>
      </c>
      <c r="C321" s="490">
        <v>45748</v>
      </c>
      <c r="D321" s="491"/>
      <c r="E321" s="491"/>
      <c r="F321" s="456" t="s">
        <v>115</v>
      </c>
      <c r="G321" s="489">
        <v>1</v>
      </c>
      <c r="H321" s="489">
        <v>50</v>
      </c>
      <c r="I321" s="491">
        <f t="shared" si="45"/>
        <v>50</v>
      </c>
      <c r="J321" s="492"/>
      <c r="K321" s="492"/>
    </row>
    <row r="322" s="456" customFormat="1" spans="1:19">
      <c r="A322" s="488">
        <v>45748</v>
      </c>
      <c r="B322" s="489" t="s">
        <v>49</v>
      </c>
      <c r="C322" s="490">
        <v>45748</v>
      </c>
      <c r="D322" s="491"/>
      <c r="E322" s="491"/>
      <c r="F322" s="493">
        <v>808</v>
      </c>
      <c r="G322" s="489">
        <v>1</v>
      </c>
      <c r="H322" s="489">
        <v>26</v>
      </c>
      <c r="I322" s="491">
        <f t="shared" si="45"/>
        <v>26</v>
      </c>
      <c r="J322" s="492">
        <v>9.7</v>
      </c>
      <c r="K322" s="492">
        <f t="shared" ref="K322:K324" si="46">I322*J322</f>
        <v>252.2</v>
      </c>
    </row>
    <row r="323" s="456" customFormat="1" spans="1:19">
      <c r="A323" s="488">
        <v>45748</v>
      </c>
      <c r="B323" s="489" t="s">
        <v>49</v>
      </c>
      <c r="C323" s="490">
        <v>45748</v>
      </c>
      <c r="D323" s="491"/>
      <c r="E323" s="491"/>
      <c r="F323" s="493" t="s">
        <v>125</v>
      </c>
      <c r="G323" s="489">
        <v>1</v>
      </c>
      <c r="H323" s="489">
        <v>60</v>
      </c>
      <c r="I323" s="491">
        <f t="shared" si="45"/>
        <v>60</v>
      </c>
      <c r="J323" s="492">
        <v>6.4</v>
      </c>
      <c r="K323" s="492">
        <f t="shared" si="46"/>
        <v>384</v>
      </c>
    </row>
    <row r="324" s="456" customFormat="1" ht="19" customHeight="1" spans="1:19">
      <c r="A324" s="488">
        <v>45748</v>
      </c>
      <c r="B324" s="489" t="s">
        <v>49</v>
      </c>
      <c r="C324" s="490">
        <v>45748</v>
      </c>
      <c r="D324" s="491"/>
      <c r="E324" s="491"/>
      <c r="F324" s="456" t="s">
        <v>435</v>
      </c>
      <c r="G324" s="489">
        <v>1</v>
      </c>
      <c r="H324" s="489">
        <f>SUM(H317:H323)</f>
        <v>501</v>
      </c>
      <c r="I324" s="491">
        <f t="shared" si="45"/>
        <v>501</v>
      </c>
      <c r="J324" s="492">
        <v>1</v>
      </c>
      <c r="K324" s="492">
        <f t="shared" si="46"/>
        <v>501</v>
      </c>
      <c r="L324" s="456">
        <f>SUM(K317:K324)</f>
        <v>1137.2</v>
      </c>
      <c r="N324" s="457"/>
    </row>
    <row r="325" s="457" customFormat="1" spans="1:19">
      <c r="A325" s="494">
        <v>45749</v>
      </c>
      <c r="B325" s="442" t="s">
        <v>151</v>
      </c>
      <c r="C325" s="495">
        <v>45749</v>
      </c>
      <c r="D325" s="463"/>
      <c r="E325" s="463"/>
      <c r="F325" s="496" t="s">
        <v>16</v>
      </c>
      <c r="G325" s="463">
        <v>1</v>
      </c>
      <c r="H325" s="432">
        <v>90</v>
      </c>
      <c r="I325" s="463">
        <f t="shared" si="45"/>
        <v>90</v>
      </c>
      <c r="J325" s="497"/>
      <c r="K325" s="497"/>
    </row>
    <row r="326" s="457" customFormat="1" spans="1:19">
      <c r="A326" s="494">
        <v>45749</v>
      </c>
      <c r="B326" s="442" t="s">
        <v>151</v>
      </c>
      <c r="C326" s="495">
        <v>45749</v>
      </c>
      <c r="D326" s="463"/>
      <c r="E326" s="463"/>
      <c r="F326" s="496" t="s">
        <v>300</v>
      </c>
      <c r="G326" s="463">
        <v>1</v>
      </c>
      <c r="H326" s="432">
        <v>90</v>
      </c>
      <c r="I326" s="463">
        <f t="shared" si="45"/>
        <v>90</v>
      </c>
      <c r="J326" s="497"/>
      <c r="K326" s="497"/>
    </row>
    <row r="327" s="457" customFormat="1" spans="1:19">
      <c r="A327" s="494">
        <v>45749</v>
      </c>
      <c r="B327" s="442" t="s">
        <v>151</v>
      </c>
      <c r="C327" s="495">
        <v>45749</v>
      </c>
      <c r="D327" s="463"/>
      <c r="E327" s="463"/>
      <c r="F327" s="496" t="s">
        <v>546</v>
      </c>
      <c r="G327" s="463">
        <v>1</v>
      </c>
      <c r="H327" s="432">
        <v>128</v>
      </c>
      <c r="I327" s="463">
        <f t="shared" si="45"/>
        <v>128</v>
      </c>
      <c r="J327" s="497"/>
      <c r="K327" s="497"/>
    </row>
    <row r="328" s="457" customFormat="1" spans="1:19">
      <c r="A328" s="494">
        <v>45749</v>
      </c>
      <c r="B328" s="442" t="s">
        <v>151</v>
      </c>
      <c r="C328" s="495">
        <v>45749</v>
      </c>
      <c r="D328" s="463"/>
      <c r="E328" s="463"/>
      <c r="F328" s="496">
        <v>808</v>
      </c>
      <c r="G328" s="463">
        <v>1</v>
      </c>
      <c r="H328" s="432">
        <v>60</v>
      </c>
      <c r="I328" s="463">
        <f t="shared" si="45"/>
        <v>60</v>
      </c>
      <c r="J328" s="497">
        <v>9.7</v>
      </c>
      <c r="K328" s="497">
        <f t="shared" ref="K328:K330" si="47">I328*J328</f>
        <v>582</v>
      </c>
      <c r="L328" s="457" t="s">
        <v>436</v>
      </c>
    </row>
    <row r="329" s="457" customFormat="1" spans="1:19">
      <c r="A329" s="494">
        <v>45749</v>
      </c>
      <c r="B329" s="442" t="s">
        <v>151</v>
      </c>
      <c r="C329" s="495">
        <v>45749</v>
      </c>
      <c r="D329" s="463"/>
      <c r="E329" s="463"/>
      <c r="F329" s="496" t="s">
        <v>125</v>
      </c>
      <c r="G329" s="463">
        <v>1</v>
      </c>
      <c r="H329" s="432">
        <v>130</v>
      </c>
      <c r="I329" s="463">
        <f t="shared" si="45"/>
        <v>130</v>
      </c>
      <c r="J329" s="497">
        <v>6.4</v>
      </c>
      <c r="K329" s="497">
        <f t="shared" si="47"/>
        <v>832</v>
      </c>
    </row>
    <row r="330" s="457" customFormat="1" spans="1:19">
      <c r="A330" s="494">
        <v>45749</v>
      </c>
      <c r="B330" s="442" t="s">
        <v>151</v>
      </c>
      <c r="C330" s="495">
        <v>45749</v>
      </c>
      <c r="D330" s="463"/>
      <c r="E330" s="463"/>
      <c r="F330" s="496" t="s">
        <v>12</v>
      </c>
      <c r="G330" s="463">
        <v>1</v>
      </c>
      <c r="H330" s="432">
        <v>12</v>
      </c>
      <c r="I330" s="463">
        <f t="shared" si="45"/>
        <v>12</v>
      </c>
      <c r="J330" s="497">
        <v>7</v>
      </c>
      <c r="K330" s="497">
        <f t="shared" si="47"/>
        <v>84</v>
      </c>
      <c r="N330" s="457">
        <f>SUBTOTAL(9,K86:K257)</f>
        <v>59356.05</v>
      </c>
    </row>
    <row r="331" s="457" customFormat="1" spans="1:19">
      <c r="A331" s="494">
        <v>45749</v>
      </c>
      <c r="B331" s="442" t="s">
        <v>151</v>
      </c>
      <c r="C331" s="495">
        <v>45749</v>
      </c>
      <c r="D331" s="463"/>
      <c r="E331" s="463"/>
      <c r="F331" s="496" t="s">
        <v>240</v>
      </c>
      <c r="G331" s="463">
        <v>1</v>
      </c>
      <c r="H331" s="432">
        <v>90</v>
      </c>
      <c r="I331" s="463">
        <f t="shared" si="45"/>
        <v>90</v>
      </c>
      <c r="J331" s="497"/>
      <c r="K331" s="497"/>
    </row>
    <row r="332" s="457" customFormat="1" spans="1:19">
      <c r="A332" s="494">
        <v>45749</v>
      </c>
      <c r="B332" s="442" t="s">
        <v>151</v>
      </c>
      <c r="C332" s="495">
        <v>45749</v>
      </c>
      <c r="D332" s="463"/>
      <c r="E332" s="463"/>
      <c r="F332" s="496" t="s">
        <v>301</v>
      </c>
      <c r="G332" s="463">
        <v>1</v>
      </c>
      <c r="H332" s="432">
        <f>SUM(H325:H331)</f>
        <v>600</v>
      </c>
      <c r="I332" s="463">
        <f t="shared" si="45"/>
        <v>600</v>
      </c>
      <c r="J332" s="497">
        <v>1</v>
      </c>
      <c r="K332" s="497">
        <f t="shared" ref="K332:K338" si="48">I332*J332</f>
        <v>600</v>
      </c>
      <c r="L332" s="457">
        <f>SUM(K325:K332)</f>
        <v>2098</v>
      </c>
    </row>
    <row r="333" s="457" customFormat="1" spans="1:19">
      <c r="A333" s="494"/>
      <c r="B333" s="442"/>
      <c r="C333" s="504"/>
      <c r="D333" s="442"/>
      <c r="E333" s="442"/>
      <c r="F333" s="546" t="s">
        <v>623</v>
      </c>
      <c r="G333" s="463"/>
      <c r="H333" s="432"/>
      <c r="I333" s="463"/>
      <c r="J333" s="497"/>
      <c r="K333" s="497"/>
      <c r="S333" s="526"/>
    </row>
    <row r="334" s="456" customFormat="1" spans="1:19">
      <c r="A334" s="488">
        <v>45749</v>
      </c>
      <c r="B334" s="489" t="s">
        <v>243</v>
      </c>
      <c r="C334" s="490">
        <v>45749</v>
      </c>
      <c r="D334" s="491"/>
      <c r="E334" s="491"/>
      <c r="F334" s="493" t="s">
        <v>16</v>
      </c>
      <c r="G334" s="491">
        <v>1</v>
      </c>
      <c r="H334" s="431">
        <v>48</v>
      </c>
      <c r="I334" s="491">
        <f t="shared" ref="I334:I383" si="49">G334*H334</f>
        <v>48</v>
      </c>
      <c r="J334" s="492"/>
      <c r="K334" s="492"/>
    </row>
    <row r="335" s="456" customFormat="1" spans="1:19">
      <c r="A335" s="488">
        <v>45749</v>
      </c>
      <c r="B335" s="489" t="s">
        <v>243</v>
      </c>
      <c r="C335" s="490">
        <v>45749</v>
      </c>
      <c r="D335" s="491"/>
      <c r="E335" s="491"/>
      <c r="F335" s="493">
        <v>996</v>
      </c>
      <c r="G335" s="491">
        <v>1</v>
      </c>
      <c r="H335" s="431">
        <v>150</v>
      </c>
      <c r="I335" s="491">
        <f t="shared" si="49"/>
        <v>150</v>
      </c>
      <c r="J335" s="492"/>
      <c r="K335" s="492"/>
    </row>
    <row r="336" s="456" customFormat="1" spans="1:19">
      <c r="A336" s="488">
        <v>45749</v>
      </c>
      <c r="B336" s="489" t="s">
        <v>243</v>
      </c>
      <c r="C336" s="490">
        <v>45749</v>
      </c>
      <c r="D336" s="491"/>
      <c r="E336" s="491"/>
      <c r="F336" s="493" t="s">
        <v>12</v>
      </c>
      <c r="G336" s="491">
        <v>1</v>
      </c>
      <c r="H336" s="431">
        <v>30</v>
      </c>
      <c r="I336" s="491">
        <f t="shared" si="49"/>
        <v>30</v>
      </c>
      <c r="J336" s="492">
        <v>7</v>
      </c>
      <c r="K336" s="492">
        <f t="shared" si="48"/>
        <v>210</v>
      </c>
    </row>
    <row r="337" s="456" customFormat="1" spans="1:19">
      <c r="A337" s="488">
        <v>45749</v>
      </c>
      <c r="B337" s="489" t="s">
        <v>243</v>
      </c>
      <c r="C337" s="490">
        <v>45749</v>
      </c>
      <c r="D337" s="491"/>
      <c r="E337" s="491"/>
      <c r="F337" s="493" t="s">
        <v>152</v>
      </c>
      <c r="G337" s="491">
        <v>1</v>
      </c>
      <c r="H337" s="431">
        <v>30</v>
      </c>
      <c r="I337" s="491">
        <f t="shared" si="49"/>
        <v>30</v>
      </c>
      <c r="J337" s="492">
        <v>7.3</v>
      </c>
      <c r="K337" s="492">
        <f t="shared" si="48"/>
        <v>219</v>
      </c>
    </row>
    <row r="338" s="456" customFormat="1" spans="1:19">
      <c r="A338" s="488">
        <v>45749</v>
      </c>
      <c r="B338" s="489" t="s">
        <v>243</v>
      </c>
      <c r="C338" s="490">
        <v>45749</v>
      </c>
      <c r="D338" s="491"/>
      <c r="E338" s="491"/>
      <c r="F338" s="493" t="s">
        <v>456</v>
      </c>
      <c r="G338" s="491">
        <v>1</v>
      </c>
      <c r="H338" s="431">
        <f>SUM(H334:H337)</f>
        <v>258</v>
      </c>
      <c r="I338" s="491">
        <f t="shared" si="49"/>
        <v>258</v>
      </c>
      <c r="J338" s="492">
        <v>3</v>
      </c>
      <c r="K338" s="492">
        <f t="shared" si="48"/>
        <v>774</v>
      </c>
      <c r="L338" s="456">
        <f>SUM(K334:K338)</f>
        <v>1203</v>
      </c>
      <c r="N338" s="457"/>
    </row>
    <row r="339" s="457" customFormat="1" spans="1:19">
      <c r="A339" s="494">
        <v>45750</v>
      </c>
      <c r="B339" s="442" t="s">
        <v>154</v>
      </c>
      <c r="C339" s="495" t="s">
        <v>645</v>
      </c>
      <c r="D339" s="463"/>
      <c r="E339" s="463"/>
      <c r="F339" s="496" t="s">
        <v>251</v>
      </c>
      <c r="G339" s="463">
        <v>2</v>
      </c>
      <c r="H339" s="432">
        <v>240</v>
      </c>
      <c r="I339" s="463">
        <f t="shared" si="49"/>
        <v>480</v>
      </c>
      <c r="J339" s="497"/>
      <c r="K339" s="497"/>
    </row>
    <row r="340" s="457" customFormat="1" spans="1:19">
      <c r="A340" s="494">
        <v>45750</v>
      </c>
      <c r="B340" s="442" t="s">
        <v>154</v>
      </c>
      <c r="C340" s="495" t="s">
        <v>645</v>
      </c>
      <c r="D340" s="463"/>
      <c r="E340" s="463"/>
      <c r="F340" s="496" t="s">
        <v>13</v>
      </c>
      <c r="G340" s="463">
        <v>2</v>
      </c>
      <c r="H340" s="432">
        <v>240</v>
      </c>
      <c r="I340" s="463">
        <f t="shared" si="49"/>
        <v>480</v>
      </c>
      <c r="J340" s="497"/>
      <c r="K340" s="497"/>
    </row>
    <row r="341" s="457" customFormat="1" spans="1:19">
      <c r="A341" s="494">
        <v>45750</v>
      </c>
      <c r="B341" s="442" t="s">
        <v>154</v>
      </c>
      <c r="C341" s="495" t="s">
        <v>645</v>
      </c>
      <c r="D341" s="463"/>
      <c r="E341" s="463"/>
      <c r="F341" s="496" t="s">
        <v>533</v>
      </c>
      <c r="G341" s="463">
        <v>2</v>
      </c>
      <c r="H341" s="432">
        <v>61</v>
      </c>
      <c r="I341" s="463">
        <f t="shared" si="49"/>
        <v>122</v>
      </c>
      <c r="J341" s="497"/>
      <c r="K341" s="497"/>
    </row>
    <row r="342" s="457" customFormat="1" spans="1:19">
      <c r="A342" s="494">
        <v>45750</v>
      </c>
      <c r="B342" s="442" t="s">
        <v>154</v>
      </c>
      <c r="C342" s="495" t="s">
        <v>645</v>
      </c>
      <c r="D342" s="463"/>
      <c r="E342" s="463"/>
      <c r="F342" s="496" t="s">
        <v>547</v>
      </c>
      <c r="G342" s="463">
        <v>2</v>
      </c>
      <c r="H342" s="432">
        <v>257</v>
      </c>
      <c r="I342" s="463">
        <f t="shared" si="49"/>
        <v>514</v>
      </c>
      <c r="J342" s="497"/>
      <c r="K342" s="497"/>
      <c r="L342" s="457" t="s">
        <v>116</v>
      </c>
      <c r="M342" s="457" t="s">
        <v>314</v>
      </c>
    </row>
    <row r="343" s="457" customFormat="1" spans="1:19">
      <c r="A343" s="494">
        <v>45750</v>
      </c>
      <c r="B343" s="442" t="s">
        <v>154</v>
      </c>
      <c r="C343" s="495" t="s">
        <v>645</v>
      </c>
      <c r="D343" s="463"/>
      <c r="E343" s="463"/>
      <c r="F343" s="496" t="s">
        <v>115</v>
      </c>
      <c r="G343" s="463">
        <v>2</v>
      </c>
      <c r="H343" s="432">
        <v>150</v>
      </c>
      <c r="I343" s="463">
        <f t="shared" si="49"/>
        <v>300</v>
      </c>
      <c r="J343" s="497"/>
      <c r="K343" s="497"/>
      <c r="L343" s="457" t="s">
        <v>646</v>
      </c>
    </row>
    <row r="344" s="457" customFormat="1" spans="1:19">
      <c r="A344" s="494">
        <v>45750</v>
      </c>
      <c r="B344" s="442" t="s">
        <v>154</v>
      </c>
      <c r="C344" s="495" t="s">
        <v>645</v>
      </c>
      <c r="D344" s="463"/>
      <c r="E344" s="463"/>
      <c r="F344" s="496">
        <v>808</v>
      </c>
      <c r="G344" s="463">
        <v>2</v>
      </c>
      <c r="H344" s="432">
        <v>30</v>
      </c>
      <c r="I344" s="463">
        <f t="shared" si="49"/>
        <v>60</v>
      </c>
      <c r="J344" s="497">
        <v>9.7</v>
      </c>
      <c r="K344" s="497">
        <f t="shared" ref="K344:K348" si="50">I344*J344</f>
        <v>582</v>
      </c>
    </row>
    <row r="345" s="457" customFormat="1" spans="1:19">
      <c r="A345" s="494">
        <v>45750</v>
      </c>
      <c r="B345" s="442" t="s">
        <v>154</v>
      </c>
      <c r="C345" s="495" t="s">
        <v>645</v>
      </c>
      <c r="D345" s="463"/>
      <c r="E345" s="463"/>
      <c r="F345" s="496" t="s">
        <v>152</v>
      </c>
      <c r="G345" s="463">
        <v>2</v>
      </c>
      <c r="H345" s="432">
        <v>83</v>
      </c>
      <c r="I345" s="463">
        <f t="shared" si="49"/>
        <v>166</v>
      </c>
      <c r="J345" s="497">
        <v>7.3</v>
      </c>
      <c r="K345" s="497">
        <f t="shared" si="50"/>
        <v>1211.8</v>
      </c>
    </row>
    <row r="346" s="457" customFormat="1" spans="1:19">
      <c r="A346" s="494">
        <v>45750</v>
      </c>
      <c r="B346" s="442" t="s">
        <v>154</v>
      </c>
      <c r="C346" s="495" t="s">
        <v>645</v>
      </c>
      <c r="D346" s="463"/>
      <c r="E346" s="463"/>
      <c r="F346" s="496" t="s">
        <v>125</v>
      </c>
      <c r="G346" s="463">
        <v>2</v>
      </c>
      <c r="H346" s="432">
        <v>139</v>
      </c>
      <c r="I346" s="463">
        <f t="shared" si="49"/>
        <v>278</v>
      </c>
      <c r="J346" s="497">
        <v>6.3</v>
      </c>
      <c r="K346" s="497">
        <f t="shared" si="50"/>
        <v>1751.4</v>
      </c>
    </row>
    <row r="347" s="457" customFormat="1" spans="1:19">
      <c r="A347" s="494">
        <v>45750</v>
      </c>
      <c r="B347" s="442" t="s">
        <v>154</v>
      </c>
      <c r="C347" s="495" t="s">
        <v>645</v>
      </c>
      <c r="D347" s="463"/>
      <c r="E347" s="463"/>
      <c r="F347" s="496" t="s">
        <v>17</v>
      </c>
      <c r="G347" s="463">
        <v>2</v>
      </c>
      <c r="H347" s="432">
        <f>SUM(H339:H346)</f>
        <v>1200</v>
      </c>
      <c r="I347" s="463">
        <f t="shared" si="49"/>
        <v>2400</v>
      </c>
      <c r="J347" s="497">
        <v>1</v>
      </c>
      <c r="K347" s="497">
        <f t="shared" si="50"/>
        <v>2400</v>
      </c>
      <c r="L347" s="457">
        <f>SUM(K339:K348)</f>
        <v>6007.7</v>
      </c>
      <c r="O347" s="457" t="s">
        <v>633</v>
      </c>
      <c r="S347" s="526"/>
    </row>
    <row r="348" s="457" customFormat="1" spans="1:19">
      <c r="A348" s="494">
        <v>45750</v>
      </c>
      <c r="B348" s="442" t="s">
        <v>154</v>
      </c>
      <c r="C348" s="495" t="s">
        <v>645</v>
      </c>
      <c r="D348" s="463"/>
      <c r="E348" s="463"/>
      <c r="F348" s="522" t="s">
        <v>596</v>
      </c>
      <c r="G348" s="523">
        <v>5</v>
      </c>
      <c r="H348" s="524">
        <v>1</v>
      </c>
      <c r="I348" s="523">
        <f t="shared" si="49"/>
        <v>5</v>
      </c>
      <c r="J348" s="525">
        <v>12.5</v>
      </c>
      <c r="K348" s="538">
        <f t="shared" si="50"/>
        <v>62.5</v>
      </c>
      <c r="S348" s="526"/>
    </row>
    <row r="349" s="456" customFormat="1" spans="1:19">
      <c r="A349" s="488">
        <v>45755</v>
      </c>
      <c r="B349" s="489" t="s">
        <v>255</v>
      </c>
      <c r="C349" s="528">
        <v>45754</v>
      </c>
      <c r="D349" s="528"/>
      <c r="E349" s="529"/>
      <c r="F349" s="493" t="s">
        <v>303</v>
      </c>
      <c r="G349" s="491">
        <v>1</v>
      </c>
      <c r="H349" s="431">
        <v>150</v>
      </c>
      <c r="I349" s="491">
        <f t="shared" si="49"/>
        <v>150</v>
      </c>
      <c r="J349" s="492"/>
      <c r="K349" s="492"/>
    </row>
    <row r="350" s="456" customFormat="1" spans="1:19">
      <c r="A350" s="488">
        <v>45755</v>
      </c>
      <c r="B350" s="489" t="s">
        <v>255</v>
      </c>
      <c r="C350" s="528">
        <v>45754</v>
      </c>
      <c r="D350" s="528"/>
      <c r="E350" s="529"/>
      <c r="F350" s="493" t="s">
        <v>129</v>
      </c>
      <c r="G350" s="491">
        <v>1</v>
      </c>
      <c r="H350" s="431">
        <v>120</v>
      </c>
      <c r="I350" s="491">
        <f t="shared" si="49"/>
        <v>120</v>
      </c>
      <c r="J350" s="492"/>
      <c r="K350" s="492"/>
    </row>
    <row r="351" s="456" customFormat="1" spans="1:19">
      <c r="A351" s="488">
        <v>45755</v>
      </c>
      <c r="B351" s="489" t="s">
        <v>255</v>
      </c>
      <c r="C351" s="528">
        <v>45754</v>
      </c>
      <c r="D351" s="528"/>
      <c r="E351" s="529"/>
      <c r="F351" s="456" t="s">
        <v>191</v>
      </c>
      <c r="G351" s="491">
        <v>1</v>
      </c>
      <c r="H351" s="431">
        <v>30</v>
      </c>
      <c r="I351" s="491">
        <f t="shared" si="49"/>
        <v>30</v>
      </c>
      <c r="J351" s="492">
        <v>17</v>
      </c>
      <c r="K351" s="492">
        <f t="shared" ref="K351:K353" si="51">I351*J351</f>
        <v>510</v>
      </c>
    </row>
    <row r="352" s="456" customFormat="1" spans="1:19">
      <c r="A352" s="488">
        <v>45755</v>
      </c>
      <c r="B352" s="489" t="s">
        <v>255</v>
      </c>
      <c r="C352" s="528">
        <v>45754</v>
      </c>
      <c r="D352" s="528"/>
      <c r="E352" s="529"/>
      <c r="F352" s="496">
        <v>808</v>
      </c>
      <c r="G352" s="491">
        <v>1</v>
      </c>
      <c r="H352" s="431">
        <v>100</v>
      </c>
      <c r="I352" s="491">
        <f t="shared" si="49"/>
        <v>100</v>
      </c>
      <c r="J352" s="492">
        <v>9.7</v>
      </c>
      <c r="K352" s="492">
        <f t="shared" si="51"/>
        <v>970</v>
      </c>
    </row>
    <row r="353" s="456" customFormat="1" spans="1:19">
      <c r="A353" s="488">
        <v>45755</v>
      </c>
      <c r="B353" s="489" t="s">
        <v>255</v>
      </c>
      <c r="C353" s="528">
        <v>45754</v>
      </c>
      <c r="D353" s="528"/>
      <c r="E353" s="529"/>
      <c r="F353" s="493" t="s">
        <v>132</v>
      </c>
      <c r="G353" s="491">
        <v>1</v>
      </c>
      <c r="H353" s="431">
        <v>200</v>
      </c>
      <c r="I353" s="491">
        <f t="shared" si="49"/>
        <v>200</v>
      </c>
      <c r="J353" s="492">
        <v>3.5</v>
      </c>
      <c r="K353" s="492">
        <f t="shared" si="51"/>
        <v>700</v>
      </c>
    </row>
    <row r="354" s="456" customFormat="1" spans="1:19">
      <c r="A354" s="488">
        <v>45755</v>
      </c>
      <c r="B354" s="489" t="s">
        <v>255</v>
      </c>
      <c r="C354" s="528">
        <v>45754</v>
      </c>
      <c r="D354" s="528"/>
      <c r="E354" s="529"/>
      <c r="F354" s="493" t="s">
        <v>599</v>
      </c>
      <c r="G354" s="491">
        <v>1</v>
      </c>
      <c r="H354" s="431">
        <v>103</v>
      </c>
      <c r="I354" s="491">
        <f t="shared" si="49"/>
        <v>103</v>
      </c>
      <c r="J354" s="492"/>
      <c r="K354" s="492"/>
    </row>
    <row r="355" s="456" customFormat="1" spans="1:19">
      <c r="A355" s="488">
        <v>45755</v>
      </c>
      <c r="B355" s="489" t="s">
        <v>255</v>
      </c>
      <c r="C355" s="528">
        <v>45754</v>
      </c>
      <c r="D355" s="528"/>
      <c r="E355" s="529"/>
      <c r="F355" s="493" t="s">
        <v>553</v>
      </c>
      <c r="G355" s="491">
        <v>1</v>
      </c>
      <c r="H355" s="431">
        <v>145</v>
      </c>
      <c r="I355" s="491">
        <f t="shared" si="49"/>
        <v>145</v>
      </c>
      <c r="J355" s="492"/>
      <c r="K355" s="492"/>
      <c r="M355" s="456" t="s">
        <v>126</v>
      </c>
    </row>
    <row r="356" s="456" customFormat="1" spans="1:19">
      <c r="A356" s="488">
        <v>45755</v>
      </c>
      <c r="B356" s="489" t="s">
        <v>255</v>
      </c>
      <c r="C356" s="528">
        <v>45754</v>
      </c>
      <c r="D356" s="528"/>
      <c r="E356" s="529"/>
      <c r="F356" s="493" t="s">
        <v>373</v>
      </c>
      <c r="G356" s="491">
        <v>1</v>
      </c>
      <c r="H356" s="431">
        <v>3</v>
      </c>
      <c r="I356" s="491">
        <f t="shared" si="49"/>
        <v>3</v>
      </c>
      <c r="J356" s="492"/>
      <c r="K356" s="492"/>
    </row>
    <row r="357" s="456" customFormat="1" spans="1:19">
      <c r="A357" s="488">
        <v>45755</v>
      </c>
      <c r="B357" s="489" t="s">
        <v>255</v>
      </c>
      <c r="C357" s="528">
        <v>45754</v>
      </c>
      <c r="D357" s="528"/>
      <c r="E357" s="529"/>
      <c r="F357" s="493" t="s">
        <v>152</v>
      </c>
      <c r="G357" s="491">
        <v>1</v>
      </c>
      <c r="H357" s="431">
        <v>75</v>
      </c>
      <c r="I357" s="491">
        <f t="shared" si="49"/>
        <v>75</v>
      </c>
      <c r="J357" s="492">
        <v>7.3</v>
      </c>
      <c r="K357" s="492">
        <f t="shared" ref="K357:K360" si="52">I357*J357</f>
        <v>547.5</v>
      </c>
      <c r="N357" s="456">
        <f>SUBTOTAL(9,K268:K664)</f>
        <v>230426.442</v>
      </c>
    </row>
    <row r="358" s="456" customFormat="1" spans="1:19">
      <c r="A358" s="488">
        <v>45755</v>
      </c>
      <c r="B358" s="489" t="s">
        <v>255</v>
      </c>
      <c r="C358" s="528">
        <v>45754</v>
      </c>
      <c r="D358" s="528"/>
      <c r="E358" s="529"/>
      <c r="F358" s="493" t="s">
        <v>125</v>
      </c>
      <c r="G358" s="491">
        <v>1</v>
      </c>
      <c r="H358" s="431">
        <v>77</v>
      </c>
      <c r="I358" s="491">
        <f t="shared" si="49"/>
        <v>77</v>
      </c>
      <c r="J358" s="492">
        <v>6.3</v>
      </c>
      <c r="K358" s="492">
        <f t="shared" si="52"/>
        <v>485.1</v>
      </c>
    </row>
    <row r="359" s="456" customFormat="1" spans="1:19">
      <c r="A359" s="488">
        <v>45755</v>
      </c>
      <c r="B359" s="489" t="s">
        <v>255</v>
      </c>
      <c r="C359" s="528">
        <v>45754</v>
      </c>
      <c r="D359" s="528"/>
      <c r="E359" s="529"/>
      <c r="F359" s="499" t="s">
        <v>304</v>
      </c>
      <c r="G359" s="501">
        <v>1</v>
      </c>
      <c r="H359" s="500">
        <f>SUM(H349:H358)</f>
        <v>1003</v>
      </c>
      <c r="I359" s="501">
        <f t="shared" si="49"/>
        <v>1003</v>
      </c>
      <c r="J359" s="502">
        <v>1</v>
      </c>
      <c r="K359" s="502">
        <f t="shared" si="52"/>
        <v>1003</v>
      </c>
      <c r="L359" s="464">
        <f>SUM(K349:K360)</f>
        <v>4340.6</v>
      </c>
    </row>
    <row r="360" s="457" customFormat="1" spans="1:19">
      <c r="A360" s="488">
        <v>45755</v>
      </c>
      <c r="B360" s="489" t="s">
        <v>255</v>
      </c>
      <c r="C360" s="528">
        <v>45754</v>
      </c>
      <c r="D360" s="528"/>
      <c r="E360" s="529"/>
      <c r="F360" s="522" t="s">
        <v>596</v>
      </c>
      <c r="G360" s="523">
        <v>10</v>
      </c>
      <c r="H360" s="524">
        <v>1</v>
      </c>
      <c r="I360" s="523">
        <f t="shared" si="49"/>
        <v>10</v>
      </c>
      <c r="J360" s="525">
        <v>12.5</v>
      </c>
      <c r="K360" s="538">
        <f t="shared" si="52"/>
        <v>125</v>
      </c>
      <c r="S360" s="526"/>
    </row>
    <row r="361" s="457" customFormat="1" spans="1:19">
      <c r="A361" s="494">
        <v>45755</v>
      </c>
      <c r="B361" s="442" t="s">
        <v>52</v>
      </c>
      <c r="C361" s="495">
        <v>45754</v>
      </c>
      <c r="D361" s="463"/>
      <c r="E361" s="463"/>
      <c r="F361" s="496" t="s">
        <v>16</v>
      </c>
      <c r="G361" s="463">
        <v>1</v>
      </c>
      <c r="H361" s="432">
        <v>50</v>
      </c>
      <c r="I361" s="463">
        <f t="shared" si="49"/>
        <v>50</v>
      </c>
      <c r="J361" s="497"/>
      <c r="K361" s="497"/>
    </row>
    <row r="362" s="457" customFormat="1" spans="1:19">
      <c r="A362" s="494">
        <v>45755</v>
      </c>
      <c r="B362" s="442" t="s">
        <v>52</v>
      </c>
      <c r="C362" s="495">
        <v>45754</v>
      </c>
      <c r="D362" s="463"/>
      <c r="E362" s="463"/>
      <c r="F362" s="496" t="s">
        <v>93</v>
      </c>
      <c r="G362" s="463">
        <v>1</v>
      </c>
      <c r="H362" s="432">
        <v>125</v>
      </c>
      <c r="I362" s="463">
        <f t="shared" si="49"/>
        <v>125</v>
      </c>
      <c r="J362" s="497"/>
      <c r="K362" s="497"/>
    </row>
    <row r="363" s="457" customFormat="1" spans="1:19">
      <c r="A363" s="494">
        <v>45755</v>
      </c>
      <c r="B363" s="442" t="s">
        <v>52</v>
      </c>
      <c r="C363" s="495">
        <v>45754</v>
      </c>
      <c r="D363" s="463"/>
      <c r="E363" s="463"/>
      <c r="F363" s="496">
        <v>808</v>
      </c>
      <c r="G363" s="463">
        <v>1</v>
      </c>
      <c r="H363" s="432">
        <v>25</v>
      </c>
      <c r="I363" s="463">
        <f t="shared" si="49"/>
        <v>25</v>
      </c>
      <c r="J363" s="497">
        <v>9.7</v>
      </c>
      <c r="K363" s="497">
        <f t="shared" ref="K363:K365" si="53">I363*J363</f>
        <v>242.5</v>
      </c>
      <c r="M363" s="457" t="s">
        <v>625</v>
      </c>
      <c r="N363" s="457">
        <f>SUBTOTAL(9,K222:K624)</f>
        <v>235737.042</v>
      </c>
    </row>
    <row r="364" s="457" customFormat="1" spans="1:19">
      <c r="A364" s="494">
        <v>45755</v>
      </c>
      <c r="B364" s="442" t="s">
        <v>52</v>
      </c>
      <c r="C364" s="495">
        <v>45754</v>
      </c>
      <c r="D364" s="463"/>
      <c r="E364" s="463"/>
      <c r="F364" s="496" t="s">
        <v>12</v>
      </c>
      <c r="G364" s="463">
        <v>1</v>
      </c>
      <c r="H364" s="432">
        <v>25</v>
      </c>
      <c r="I364" s="463">
        <f t="shared" si="49"/>
        <v>25</v>
      </c>
      <c r="J364" s="497">
        <v>7</v>
      </c>
      <c r="K364" s="497">
        <f t="shared" si="53"/>
        <v>175</v>
      </c>
    </row>
    <row r="365" s="457" customFormat="1" spans="1:19">
      <c r="A365" s="494">
        <v>45755</v>
      </c>
      <c r="B365" s="442" t="s">
        <v>52</v>
      </c>
      <c r="C365" s="495">
        <v>45754</v>
      </c>
      <c r="D365" s="463"/>
      <c r="E365" s="463"/>
      <c r="F365" s="499" t="s">
        <v>628</v>
      </c>
      <c r="G365" s="501">
        <v>1</v>
      </c>
      <c r="H365" s="500">
        <f>SUM(H361:H364)</f>
        <v>225</v>
      </c>
      <c r="I365" s="501">
        <f t="shared" si="49"/>
        <v>225</v>
      </c>
      <c r="J365" s="532">
        <v>5</v>
      </c>
      <c r="K365" s="502">
        <f t="shared" si="53"/>
        <v>1125</v>
      </c>
      <c r="L365" s="457">
        <f>SUM(K362:K365)</f>
        <v>1542.5</v>
      </c>
    </row>
    <row r="366" s="456" customFormat="1" spans="1:19">
      <c r="A366" s="488">
        <v>45756</v>
      </c>
      <c r="B366" s="489" t="s">
        <v>69</v>
      </c>
      <c r="C366" s="490">
        <v>45755</v>
      </c>
      <c r="D366" s="491"/>
      <c r="E366" s="491"/>
      <c r="F366" s="456" t="s">
        <v>16</v>
      </c>
      <c r="G366" s="489">
        <v>1</v>
      </c>
      <c r="H366" s="489">
        <v>90</v>
      </c>
      <c r="I366" s="491">
        <f t="shared" si="49"/>
        <v>90</v>
      </c>
      <c r="J366" s="492"/>
      <c r="K366" s="492"/>
    </row>
    <row r="367" s="456" customFormat="1" spans="1:19">
      <c r="A367" s="488">
        <v>45756</v>
      </c>
      <c r="B367" s="489" t="s">
        <v>69</v>
      </c>
      <c r="C367" s="490">
        <v>45755</v>
      </c>
      <c r="D367" s="491"/>
      <c r="E367" s="491"/>
      <c r="F367" s="456" t="s">
        <v>533</v>
      </c>
      <c r="G367" s="489">
        <v>1</v>
      </c>
      <c r="H367" s="489">
        <v>140</v>
      </c>
      <c r="I367" s="491">
        <f t="shared" si="49"/>
        <v>140</v>
      </c>
      <c r="J367" s="492"/>
      <c r="K367" s="492"/>
    </row>
    <row r="368" s="456" customFormat="1" spans="1:19">
      <c r="A368" s="488">
        <v>45756</v>
      </c>
      <c r="B368" s="489" t="s">
        <v>69</v>
      </c>
      <c r="C368" s="490">
        <v>45755</v>
      </c>
      <c r="D368" s="491"/>
      <c r="E368" s="491"/>
      <c r="F368" s="456" t="s">
        <v>547</v>
      </c>
      <c r="G368" s="489">
        <v>1</v>
      </c>
      <c r="H368" s="489">
        <v>35</v>
      </c>
      <c r="I368" s="491">
        <f t="shared" si="49"/>
        <v>35</v>
      </c>
      <c r="J368" s="492"/>
      <c r="K368" s="492"/>
    </row>
    <row r="369" s="456" customFormat="1" spans="1:19">
      <c r="A369" s="488">
        <v>45756</v>
      </c>
      <c r="B369" s="489" t="s">
        <v>69</v>
      </c>
      <c r="C369" s="490">
        <v>45755</v>
      </c>
      <c r="D369" s="491"/>
      <c r="E369" s="491"/>
      <c r="F369" s="456" t="s">
        <v>352</v>
      </c>
      <c r="G369" s="489">
        <v>1</v>
      </c>
      <c r="H369" s="489">
        <v>100</v>
      </c>
      <c r="I369" s="491">
        <f t="shared" si="49"/>
        <v>100</v>
      </c>
      <c r="J369" s="492"/>
      <c r="K369" s="492"/>
      <c r="L369" s="456" t="s">
        <v>116</v>
      </c>
    </row>
    <row r="370" s="456" customFormat="1" spans="1:19">
      <c r="A370" s="488">
        <v>45756</v>
      </c>
      <c r="B370" s="489" t="s">
        <v>69</v>
      </c>
      <c r="C370" s="490">
        <v>45755</v>
      </c>
      <c r="D370" s="491"/>
      <c r="E370" s="491"/>
      <c r="F370" s="456" t="s">
        <v>115</v>
      </c>
      <c r="G370" s="489">
        <v>1</v>
      </c>
      <c r="H370" s="489">
        <v>50</v>
      </c>
      <c r="I370" s="491">
        <f t="shared" si="49"/>
        <v>50</v>
      </c>
      <c r="J370" s="492"/>
      <c r="K370" s="492"/>
    </row>
    <row r="371" s="456" customFormat="1" spans="1:19">
      <c r="A371" s="488">
        <v>45756</v>
      </c>
      <c r="B371" s="489" t="s">
        <v>69</v>
      </c>
      <c r="C371" s="490">
        <v>45755</v>
      </c>
      <c r="D371" s="491"/>
      <c r="E371" s="491"/>
      <c r="F371" s="493">
        <v>808</v>
      </c>
      <c r="G371" s="489">
        <v>1</v>
      </c>
      <c r="H371" s="489">
        <v>26</v>
      </c>
      <c r="I371" s="491">
        <f t="shared" si="49"/>
        <v>26</v>
      </c>
      <c r="J371" s="492">
        <v>9.7</v>
      </c>
      <c r="K371" s="492">
        <f t="shared" ref="K371:K374" si="54">I371*J371</f>
        <v>252.2</v>
      </c>
    </row>
    <row r="372" s="456" customFormat="1" spans="1:19">
      <c r="A372" s="488">
        <v>45756</v>
      </c>
      <c r="B372" s="489" t="s">
        <v>69</v>
      </c>
      <c r="C372" s="490">
        <v>45755</v>
      </c>
      <c r="D372" s="491"/>
      <c r="E372" s="491"/>
      <c r="F372" s="493" t="s">
        <v>125</v>
      </c>
      <c r="G372" s="489">
        <v>1</v>
      </c>
      <c r="H372" s="489">
        <v>60</v>
      </c>
      <c r="I372" s="491">
        <f t="shared" si="49"/>
        <v>60</v>
      </c>
      <c r="J372" s="492">
        <v>6.3</v>
      </c>
      <c r="K372" s="492">
        <f t="shared" si="54"/>
        <v>378</v>
      </c>
    </row>
    <row r="373" s="456" customFormat="1" ht="19" customHeight="1" spans="1:19">
      <c r="A373" s="488">
        <v>45756</v>
      </c>
      <c r="B373" s="489" t="s">
        <v>69</v>
      </c>
      <c r="C373" s="490">
        <v>45755</v>
      </c>
      <c r="D373" s="491"/>
      <c r="E373" s="491"/>
      <c r="F373" s="456" t="s">
        <v>435</v>
      </c>
      <c r="G373" s="489">
        <v>1</v>
      </c>
      <c r="H373" s="489">
        <f>SUM(H366:H372)</f>
        <v>501</v>
      </c>
      <c r="I373" s="491">
        <f t="shared" si="49"/>
        <v>501</v>
      </c>
      <c r="J373" s="492">
        <v>1</v>
      </c>
      <c r="K373" s="492">
        <f t="shared" si="54"/>
        <v>501</v>
      </c>
      <c r="L373" s="456">
        <f>SUM(K366:K374)</f>
        <v>1193.7</v>
      </c>
    </row>
    <row r="374" s="464" customFormat="1" spans="1:19">
      <c r="A374" s="488">
        <v>45756</v>
      </c>
      <c r="B374" s="489" t="s">
        <v>69</v>
      </c>
      <c r="C374" s="490">
        <v>45755</v>
      </c>
      <c r="D374" s="491"/>
      <c r="E374" s="491"/>
      <c r="F374" s="499" t="s">
        <v>596</v>
      </c>
      <c r="G374" s="501">
        <v>5</v>
      </c>
      <c r="H374" s="500">
        <v>1</v>
      </c>
      <c r="I374" s="501">
        <f t="shared" si="49"/>
        <v>5</v>
      </c>
      <c r="J374" s="502">
        <v>12.5</v>
      </c>
      <c r="K374" s="532">
        <f t="shared" si="54"/>
        <v>62.5</v>
      </c>
      <c r="S374" s="547"/>
    </row>
    <row r="375" s="457" customFormat="1" spans="1:19">
      <c r="A375" s="494">
        <v>45756</v>
      </c>
      <c r="B375" s="442" t="s">
        <v>457</v>
      </c>
      <c r="C375" s="504">
        <v>45755</v>
      </c>
      <c r="D375" s="504"/>
      <c r="E375" s="505"/>
      <c r="F375" s="496" t="s">
        <v>251</v>
      </c>
      <c r="G375" s="463">
        <v>1</v>
      </c>
      <c r="H375" s="432">
        <v>200</v>
      </c>
      <c r="I375" s="463">
        <f t="shared" si="49"/>
        <v>200</v>
      </c>
      <c r="J375" s="497"/>
      <c r="K375" s="497"/>
    </row>
    <row r="376" s="457" customFormat="1" spans="1:19">
      <c r="A376" s="494">
        <v>45756</v>
      </c>
      <c r="B376" s="442" t="s">
        <v>457</v>
      </c>
      <c r="C376" s="504">
        <v>45755</v>
      </c>
      <c r="D376" s="504"/>
      <c r="E376" s="505"/>
      <c r="F376" s="496" t="s">
        <v>129</v>
      </c>
      <c r="G376" s="463">
        <v>1</v>
      </c>
      <c r="H376" s="432">
        <v>150</v>
      </c>
      <c r="I376" s="463">
        <f t="shared" si="49"/>
        <v>150</v>
      </c>
      <c r="J376" s="497"/>
      <c r="K376" s="497"/>
    </row>
    <row r="377" s="457" customFormat="1" spans="1:19">
      <c r="A377" s="494">
        <v>45756</v>
      </c>
      <c r="B377" s="442" t="s">
        <v>457</v>
      </c>
      <c r="C377" s="504">
        <v>45755</v>
      </c>
      <c r="D377" s="504"/>
      <c r="E377" s="505"/>
      <c r="F377" s="496">
        <v>808</v>
      </c>
      <c r="G377" s="463">
        <v>1</v>
      </c>
      <c r="H377" s="432">
        <v>200</v>
      </c>
      <c r="I377" s="463">
        <f t="shared" si="49"/>
        <v>200</v>
      </c>
      <c r="J377" s="497">
        <v>9.7</v>
      </c>
      <c r="K377" s="497">
        <f t="shared" ref="K377:K379" si="55">I377*J377</f>
        <v>1940</v>
      </c>
    </row>
    <row r="378" s="457" customFormat="1" spans="1:19">
      <c r="A378" s="494">
        <v>45756</v>
      </c>
      <c r="B378" s="442" t="s">
        <v>457</v>
      </c>
      <c r="C378" s="504">
        <v>45755</v>
      </c>
      <c r="D378" s="504"/>
      <c r="E378" s="505"/>
      <c r="F378" s="496" t="s">
        <v>125</v>
      </c>
      <c r="G378" s="463">
        <v>1</v>
      </c>
      <c r="H378" s="432">
        <v>60</v>
      </c>
      <c r="I378" s="463">
        <f t="shared" si="49"/>
        <v>60</v>
      </c>
      <c r="J378" s="497">
        <v>6.3</v>
      </c>
      <c r="K378" s="497">
        <f t="shared" si="55"/>
        <v>378</v>
      </c>
    </row>
    <row r="379" s="457" customFormat="1" spans="1:19">
      <c r="A379" s="494">
        <v>45756</v>
      </c>
      <c r="B379" s="442" t="s">
        <v>457</v>
      </c>
      <c r="C379" s="504">
        <v>45755</v>
      </c>
      <c r="D379" s="504"/>
      <c r="E379" s="505"/>
      <c r="F379" s="496" t="s">
        <v>152</v>
      </c>
      <c r="G379" s="463">
        <v>1</v>
      </c>
      <c r="H379" s="432">
        <v>125</v>
      </c>
      <c r="I379" s="463">
        <f t="shared" si="49"/>
        <v>125</v>
      </c>
      <c r="J379" s="497">
        <v>7.3</v>
      </c>
      <c r="K379" s="497">
        <f t="shared" si="55"/>
        <v>912.5</v>
      </c>
    </row>
    <row r="380" s="457" customFormat="1" spans="1:19">
      <c r="A380" s="494">
        <v>45756</v>
      </c>
      <c r="B380" s="442" t="s">
        <v>457</v>
      </c>
      <c r="C380" s="504">
        <v>45755</v>
      </c>
      <c r="D380" s="504"/>
      <c r="E380" s="505"/>
      <c r="F380" s="496" t="s">
        <v>533</v>
      </c>
      <c r="G380" s="463">
        <v>1</v>
      </c>
      <c r="H380" s="432">
        <v>51</v>
      </c>
      <c r="I380" s="463">
        <f t="shared" si="49"/>
        <v>51</v>
      </c>
      <c r="J380" s="497"/>
      <c r="K380" s="497"/>
      <c r="N380" s="457" t="s">
        <v>598</v>
      </c>
    </row>
    <row r="381" s="457" customFormat="1" spans="1:19">
      <c r="A381" s="494">
        <v>45756</v>
      </c>
      <c r="B381" s="442" t="s">
        <v>457</v>
      </c>
      <c r="C381" s="504">
        <v>45755</v>
      </c>
      <c r="D381" s="504"/>
      <c r="E381" s="505"/>
      <c r="F381" s="496" t="s">
        <v>547</v>
      </c>
      <c r="G381" s="463">
        <v>1</v>
      </c>
      <c r="H381" s="432">
        <v>214</v>
      </c>
      <c r="I381" s="463">
        <f t="shared" si="49"/>
        <v>214</v>
      </c>
      <c r="J381" s="497"/>
      <c r="K381" s="497"/>
      <c r="M381" s="457" t="s">
        <v>126</v>
      </c>
    </row>
    <row r="382" s="457" customFormat="1" spans="1:19">
      <c r="A382" s="494">
        <v>45756</v>
      </c>
      <c r="B382" s="442" t="s">
        <v>457</v>
      </c>
      <c r="C382" s="504">
        <v>45755</v>
      </c>
      <c r="D382" s="504"/>
      <c r="E382" s="505"/>
      <c r="F382" s="496" t="s">
        <v>130</v>
      </c>
      <c r="G382" s="463">
        <v>1</v>
      </c>
      <c r="H382" s="432">
        <f>SUM(H375:H381)</f>
        <v>1000</v>
      </c>
      <c r="I382" s="463">
        <f t="shared" si="49"/>
        <v>1000</v>
      </c>
      <c r="J382" s="497">
        <v>1</v>
      </c>
      <c r="K382" s="497">
        <f>I382*J382</f>
        <v>1000</v>
      </c>
    </row>
    <row r="383" s="457" customFormat="1" spans="1:19">
      <c r="A383" s="494">
        <v>45756</v>
      </c>
      <c r="B383" s="442" t="s">
        <v>457</v>
      </c>
      <c r="C383" s="504">
        <v>45755</v>
      </c>
      <c r="D383" s="504"/>
      <c r="E383" s="505"/>
      <c r="F383" s="496" t="s">
        <v>596</v>
      </c>
      <c r="G383" s="463">
        <v>10</v>
      </c>
      <c r="H383" s="432">
        <v>1</v>
      </c>
      <c r="I383" s="463">
        <f t="shared" si="49"/>
        <v>10</v>
      </c>
      <c r="J383" s="497">
        <v>12.5</v>
      </c>
      <c r="K383" s="497">
        <f>I383*J383</f>
        <v>125</v>
      </c>
      <c r="L383" s="457">
        <f>SUM(K375:K384)</f>
        <v>4565.5</v>
      </c>
    </row>
    <row r="384" s="457" customFormat="1" spans="1:19">
      <c r="A384" s="494">
        <v>45756</v>
      </c>
      <c r="B384" s="442" t="s">
        <v>457</v>
      </c>
      <c r="C384" s="504">
        <v>45755</v>
      </c>
      <c r="D384" s="504"/>
      <c r="E384" s="505"/>
      <c r="F384" s="522" t="s">
        <v>647</v>
      </c>
      <c r="G384" s="523">
        <v>1</v>
      </c>
      <c r="H384" s="524">
        <v>30</v>
      </c>
      <c r="I384" s="523">
        <f t="shared" ref="I384:I392" si="56">G384*H384</f>
        <v>30</v>
      </c>
      <c r="J384" s="525">
        <v>7</v>
      </c>
      <c r="K384" s="525">
        <f>I384*J384</f>
        <v>210</v>
      </c>
    </row>
    <row r="385" s="456" customFormat="1" spans="1:13">
      <c r="A385" s="488">
        <v>45756</v>
      </c>
      <c r="B385" s="489" t="s">
        <v>459</v>
      </c>
      <c r="C385" s="490">
        <v>45756</v>
      </c>
      <c r="D385" s="491"/>
      <c r="E385" s="491"/>
      <c r="F385" s="493" t="s">
        <v>315</v>
      </c>
      <c r="G385" s="491">
        <v>1</v>
      </c>
      <c r="H385" s="431">
        <v>10.8</v>
      </c>
      <c r="I385" s="491">
        <f t="shared" si="56"/>
        <v>10.8</v>
      </c>
      <c r="J385" s="492"/>
      <c r="K385" s="492"/>
    </row>
    <row r="386" s="456" customFormat="1" spans="1:13">
      <c r="A386" s="488">
        <v>45756</v>
      </c>
      <c r="B386" s="489" t="s">
        <v>459</v>
      </c>
      <c r="C386" s="490">
        <v>45756</v>
      </c>
      <c r="D386" s="491"/>
      <c r="E386" s="491"/>
      <c r="F386" s="493" t="s">
        <v>316</v>
      </c>
      <c r="G386" s="491">
        <v>1</v>
      </c>
      <c r="H386" s="431">
        <v>1.62</v>
      </c>
      <c r="I386" s="491">
        <f t="shared" si="56"/>
        <v>1.62</v>
      </c>
      <c r="J386" s="492"/>
      <c r="K386" s="492"/>
    </row>
    <row r="387" s="456" customFormat="1" spans="1:13">
      <c r="A387" s="488">
        <v>45756</v>
      </c>
      <c r="B387" s="489" t="s">
        <v>459</v>
      </c>
      <c r="C387" s="490">
        <v>45756</v>
      </c>
      <c r="D387" s="491"/>
      <c r="E387" s="491"/>
      <c r="F387" s="493" t="s">
        <v>648</v>
      </c>
      <c r="G387" s="491">
        <v>1</v>
      </c>
      <c r="H387" s="431">
        <v>10.8</v>
      </c>
      <c r="I387" s="491">
        <f t="shared" si="56"/>
        <v>10.8</v>
      </c>
      <c r="J387" s="492"/>
      <c r="K387" s="492"/>
    </row>
    <row r="388" s="456" customFormat="1" spans="1:13">
      <c r="A388" s="488">
        <v>45756</v>
      </c>
      <c r="B388" s="489" t="s">
        <v>459</v>
      </c>
      <c r="C388" s="490">
        <v>45756</v>
      </c>
      <c r="D388" s="491"/>
      <c r="E388" s="491"/>
      <c r="F388" s="493" t="s">
        <v>533</v>
      </c>
      <c r="G388" s="491">
        <v>1</v>
      </c>
      <c r="H388" s="431">
        <v>2.7</v>
      </c>
      <c r="I388" s="491">
        <f t="shared" si="56"/>
        <v>2.7</v>
      </c>
      <c r="J388" s="492"/>
      <c r="K388" s="492"/>
    </row>
    <row r="389" s="456" customFormat="1" spans="1:13">
      <c r="A389" s="488">
        <v>45756</v>
      </c>
      <c r="B389" s="489" t="s">
        <v>459</v>
      </c>
      <c r="C389" s="490">
        <v>45756</v>
      </c>
      <c r="D389" s="491"/>
      <c r="E389" s="491"/>
      <c r="F389" s="493" t="s">
        <v>534</v>
      </c>
      <c r="G389" s="491">
        <v>1</v>
      </c>
      <c r="H389" s="431">
        <v>7.56</v>
      </c>
      <c r="I389" s="491">
        <f t="shared" si="56"/>
        <v>7.56</v>
      </c>
      <c r="J389" s="492"/>
      <c r="K389" s="492"/>
    </row>
    <row r="390" s="456" customFormat="1" spans="1:13">
      <c r="A390" s="488">
        <v>45756</v>
      </c>
      <c r="B390" s="489" t="s">
        <v>459</v>
      </c>
      <c r="C390" s="490">
        <v>45756</v>
      </c>
      <c r="D390" s="491"/>
      <c r="E390" s="491"/>
      <c r="F390" s="493">
        <v>808</v>
      </c>
      <c r="G390" s="491">
        <v>1</v>
      </c>
      <c r="H390" s="431">
        <v>10.8</v>
      </c>
      <c r="I390" s="491">
        <f t="shared" si="56"/>
        <v>10.8</v>
      </c>
      <c r="J390" s="492">
        <v>9.7</v>
      </c>
      <c r="K390" s="492">
        <f t="shared" ref="K390:K398" si="57">I390*J390</f>
        <v>104.76</v>
      </c>
      <c r="M390" s="456" t="s">
        <v>126</v>
      </c>
    </row>
    <row r="391" s="456" customFormat="1" spans="1:13">
      <c r="A391" s="488">
        <v>45756</v>
      </c>
      <c r="B391" s="489" t="s">
        <v>459</v>
      </c>
      <c r="C391" s="490">
        <v>45756</v>
      </c>
      <c r="D391" s="491"/>
      <c r="E391" s="491"/>
      <c r="F391" s="493" t="s">
        <v>125</v>
      </c>
      <c r="G391" s="491">
        <v>1</v>
      </c>
      <c r="H391" s="431">
        <v>4.32</v>
      </c>
      <c r="I391" s="491">
        <f t="shared" si="56"/>
        <v>4.32</v>
      </c>
      <c r="J391" s="492">
        <v>6.3</v>
      </c>
      <c r="K391" s="492">
        <f t="shared" si="57"/>
        <v>27.216</v>
      </c>
    </row>
    <row r="392" s="456" customFormat="1" spans="1:13">
      <c r="A392" s="488">
        <v>45756</v>
      </c>
      <c r="B392" s="489" t="s">
        <v>459</v>
      </c>
      <c r="C392" s="490">
        <v>45756</v>
      </c>
      <c r="D392" s="491"/>
      <c r="E392" s="491"/>
      <c r="F392" s="493" t="s">
        <v>152</v>
      </c>
      <c r="G392" s="491">
        <v>1</v>
      </c>
      <c r="H392" s="431">
        <v>5.4</v>
      </c>
      <c r="I392" s="491">
        <f t="shared" ref="I392:I398" si="58">G392*H392</f>
        <v>5.4</v>
      </c>
      <c r="J392" s="492">
        <v>7.3</v>
      </c>
      <c r="K392" s="492">
        <f t="shared" si="57"/>
        <v>39.42</v>
      </c>
    </row>
    <row r="393" s="457" customFormat="1" spans="1:13">
      <c r="A393" s="488">
        <v>45756</v>
      </c>
      <c r="B393" s="489" t="s">
        <v>459</v>
      </c>
      <c r="C393" s="490">
        <v>45756</v>
      </c>
      <c r="D393" s="491"/>
      <c r="E393" s="491"/>
      <c r="F393" s="499" t="s">
        <v>346</v>
      </c>
      <c r="G393" s="501">
        <v>1</v>
      </c>
      <c r="H393" s="500">
        <f>SUM(H385:H392)</f>
        <v>54</v>
      </c>
      <c r="I393" s="501">
        <f t="shared" si="58"/>
        <v>54</v>
      </c>
      <c r="J393" s="502">
        <v>1</v>
      </c>
      <c r="K393" s="502">
        <f t="shared" si="57"/>
        <v>54</v>
      </c>
      <c r="L393" s="457">
        <f>SUM(K385:K393)</f>
        <v>225.396</v>
      </c>
    </row>
    <row r="394" s="457" customFormat="1" spans="1:13">
      <c r="A394" s="494">
        <v>45756</v>
      </c>
      <c r="B394" s="442" t="s">
        <v>504</v>
      </c>
      <c r="C394" s="495">
        <v>45756</v>
      </c>
      <c r="D394" s="463"/>
      <c r="E394" s="463"/>
      <c r="F394" s="496" t="s">
        <v>16</v>
      </c>
      <c r="G394" s="463">
        <v>1</v>
      </c>
      <c r="H394" s="432">
        <v>3</v>
      </c>
      <c r="I394" s="463">
        <f t="shared" si="58"/>
        <v>3</v>
      </c>
      <c r="J394" s="497">
        <v>12.5</v>
      </c>
      <c r="K394" s="497"/>
    </row>
    <row r="395" s="457" customFormat="1" spans="1:13">
      <c r="A395" s="494">
        <v>45756</v>
      </c>
      <c r="B395" s="442" t="s">
        <v>504</v>
      </c>
      <c r="C395" s="495">
        <v>45756</v>
      </c>
      <c r="D395" s="463"/>
      <c r="E395" s="463"/>
      <c r="F395" s="496" t="s">
        <v>513</v>
      </c>
      <c r="G395" s="463">
        <v>1</v>
      </c>
      <c r="H395" s="432">
        <v>20</v>
      </c>
      <c r="I395" s="463">
        <f t="shared" si="58"/>
        <v>20</v>
      </c>
      <c r="J395" s="497">
        <v>15</v>
      </c>
      <c r="K395" s="497">
        <f t="shared" si="57"/>
        <v>300</v>
      </c>
    </row>
    <row r="396" s="457" customFormat="1" spans="1:13">
      <c r="A396" s="494">
        <v>45756</v>
      </c>
      <c r="B396" s="442" t="s">
        <v>504</v>
      </c>
      <c r="C396" s="495">
        <v>45756</v>
      </c>
      <c r="D396" s="463"/>
      <c r="E396" s="463"/>
      <c r="F396" s="496" t="s">
        <v>152</v>
      </c>
      <c r="G396" s="463">
        <v>1</v>
      </c>
      <c r="H396" s="432">
        <v>73</v>
      </c>
      <c r="I396" s="463">
        <f t="shared" si="58"/>
        <v>73</v>
      </c>
      <c r="J396" s="497">
        <v>7.3</v>
      </c>
      <c r="K396" s="497">
        <f t="shared" si="57"/>
        <v>532.9</v>
      </c>
    </row>
    <row r="397" s="457" customFormat="1" spans="1:13">
      <c r="A397" s="494">
        <v>45756</v>
      </c>
      <c r="B397" s="442" t="s">
        <v>504</v>
      </c>
      <c r="C397" s="495">
        <v>45756</v>
      </c>
      <c r="D397" s="463"/>
      <c r="E397" s="463"/>
      <c r="F397" s="496" t="s">
        <v>125</v>
      </c>
      <c r="G397" s="463">
        <v>1</v>
      </c>
      <c r="H397" s="432">
        <v>64</v>
      </c>
      <c r="I397" s="463">
        <f t="shared" si="58"/>
        <v>64</v>
      </c>
      <c r="J397" s="497">
        <v>6.3</v>
      </c>
      <c r="K397" s="497">
        <f t="shared" si="57"/>
        <v>403.2</v>
      </c>
    </row>
    <row r="398" s="457" customFormat="1" spans="1:13">
      <c r="A398" s="494">
        <v>45756</v>
      </c>
      <c r="B398" s="442" t="s">
        <v>504</v>
      </c>
      <c r="C398" s="495">
        <v>45756</v>
      </c>
      <c r="D398" s="463"/>
      <c r="E398" s="463"/>
      <c r="F398" s="496" t="s">
        <v>389</v>
      </c>
      <c r="G398" s="463">
        <v>1</v>
      </c>
      <c r="H398" s="432">
        <f>SUM(H394:H397)</f>
        <v>160</v>
      </c>
      <c r="I398" s="463">
        <f t="shared" si="58"/>
        <v>160</v>
      </c>
      <c r="J398" s="497">
        <v>1</v>
      </c>
      <c r="K398" s="497">
        <f t="shared" si="57"/>
        <v>160</v>
      </c>
      <c r="L398" s="457">
        <f>SUM(K394:K398)</f>
        <v>1396.1</v>
      </c>
    </row>
    <row r="399" s="456" customFormat="1" ht="21" customHeight="1" spans="1:13">
      <c r="A399" s="488">
        <v>45757</v>
      </c>
      <c r="B399" s="489" t="s">
        <v>649</v>
      </c>
      <c r="C399" s="490">
        <v>45757</v>
      </c>
      <c r="D399" s="491"/>
      <c r="E399" s="491"/>
      <c r="F399" s="493" t="s">
        <v>16</v>
      </c>
      <c r="G399" s="491">
        <v>1</v>
      </c>
      <c r="H399" s="431">
        <v>150</v>
      </c>
      <c r="I399" s="491">
        <f t="shared" ref="I399:I415" si="59">G399*H399</f>
        <v>150</v>
      </c>
      <c r="J399" s="492">
        <v>13.5</v>
      </c>
      <c r="K399" s="492"/>
    </row>
    <row r="400" s="456" customFormat="1" spans="1:13">
      <c r="A400" s="488">
        <v>45757</v>
      </c>
      <c r="B400" s="489" t="s">
        <v>649</v>
      </c>
      <c r="C400" s="490">
        <v>45757</v>
      </c>
      <c r="D400" s="491"/>
      <c r="E400" s="491"/>
      <c r="F400" s="493" t="s">
        <v>533</v>
      </c>
      <c r="G400" s="491">
        <v>1</v>
      </c>
      <c r="H400" s="431">
        <v>147</v>
      </c>
      <c r="I400" s="491">
        <f t="shared" si="59"/>
        <v>147</v>
      </c>
      <c r="J400" s="492">
        <v>16</v>
      </c>
      <c r="K400" s="492"/>
    </row>
    <row r="401" s="456" customFormat="1" spans="1:18">
      <c r="A401" s="488">
        <v>45757</v>
      </c>
      <c r="B401" s="489" t="s">
        <v>649</v>
      </c>
      <c r="C401" s="490">
        <v>45757</v>
      </c>
      <c r="D401" s="491"/>
      <c r="E401" s="491"/>
      <c r="F401" s="493" t="s">
        <v>534</v>
      </c>
      <c r="G401" s="491">
        <v>1</v>
      </c>
      <c r="H401" s="431">
        <v>253</v>
      </c>
      <c r="I401" s="491">
        <f t="shared" si="59"/>
        <v>253</v>
      </c>
      <c r="J401" s="492">
        <v>14.7</v>
      </c>
      <c r="K401" s="492"/>
      <c r="M401" s="536" t="s">
        <v>325</v>
      </c>
      <c r="N401" s="536" t="s">
        <v>326</v>
      </c>
    </row>
    <row r="402" s="456" customFormat="1" spans="1:18">
      <c r="A402" s="488">
        <v>45757</v>
      </c>
      <c r="B402" s="489" t="s">
        <v>649</v>
      </c>
      <c r="C402" s="490">
        <v>45757</v>
      </c>
      <c r="D402" s="491"/>
      <c r="E402" s="491"/>
      <c r="F402" s="493">
        <v>808</v>
      </c>
      <c r="G402" s="491">
        <v>1</v>
      </c>
      <c r="H402" s="431">
        <v>50</v>
      </c>
      <c r="I402" s="491">
        <f t="shared" si="59"/>
        <v>50</v>
      </c>
      <c r="J402" s="492">
        <v>9.7</v>
      </c>
      <c r="K402" s="492">
        <f t="shared" ref="K399:K404" si="60">I402*J402</f>
        <v>485</v>
      </c>
      <c r="M402" s="456" t="s">
        <v>182</v>
      </c>
    </row>
    <row r="403" s="456" customFormat="1" spans="1:18">
      <c r="A403" s="488">
        <v>45757</v>
      </c>
      <c r="B403" s="489" t="s">
        <v>649</v>
      </c>
      <c r="C403" s="490">
        <v>45757</v>
      </c>
      <c r="D403" s="491"/>
      <c r="E403" s="491"/>
      <c r="F403" s="493" t="s">
        <v>152</v>
      </c>
      <c r="G403" s="491">
        <v>1</v>
      </c>
      <c r="H403" s="431">
        <v>155</v>
      </c>
      <c r="I403" s="491">
        <f t="shared" si="59"/>
        <v>155</v>
      </c>
      <c r="J403" s="492">
        <v>7.3</v>
      </c>
      <c r="K403" s="492">
        <f t="shared" si="60"/>
        <v>1131.5</v>
      </c>
    </row>
    <row r="404" s="456" customFormat="1" spans="1:18">
      <c r="A404" s="488">
        <v>45757</v>
      </c>
      <c r="B404" s="489" t="s">
        <v>649</v>
      </c>
      <c r="C404" s="490">
        <v>45757</v>
      </c>
      <c r="D404" s="491"/>
      <c r="E404" s="491"/>
      <c r="F404" s="493" t="s">
        <v>125</v>
      </c>
      <c r="G404" s="491">
        <v>1</v>
      </c>
      <c r="H404" s="431">
        <v>95</v>
      </c>
      <c r="I404" s="491">
        <f t="shared" si="59"/>
        <v>95</v>
      </c>
      <c r="J404" s="492">
        <v>6.3</v>
      </c>
      <c r="K404" s="492">
        <f t="shared" si="60"/>
        <v>598.5</v>
      </c>
    </row>
    <row r="405" s="456" customFormat="1" spans="1:18">
      <c r="A405" s="488">
        <v>45757</v>
      </c>
      <c r="B405" s="489" t="s">
        <v>649</v>
      </c>
      <c r="C405" s="490">
        <v>45757</v>
      </c>
      <c r="D405" s="491"/>
      <c r="E405" s="491"/>
      <c r="F405" s="493" t="s">
        <v>183</v>
      </c>
      <c r="G405" s="491">
        <v>1</v>
      </c>
      <c r="H405" s="431">
        <v>150</v>
      </c>
      <c r="I405" s="491">
        <f t="shared" si="59"/>
        <v>150</v>
      </c>
      <c r="J405" s="492"/>
      <c r="K405" s="492"/>
      <c r="M405" s="456" t="s">
        <v>184</v>
      </c>
      <c r="N405" s="456" t="s">
        <v>185</v>
      </c>
    </row>
    <row r="406" s="456" customFormat="1" spans="1:18">
      <c r="A406" s="488">
        <v>45757</v>
      </c>
      <c r="B406" s="489" t="s">
        <v>649</v>
      </c>
      <c r="C406" s="490">
        <v>45757</v>
      </c>
      <c r="D406" s="491"/>
      <c r="E406" s="491"/>
      <c r="F406" s="493" t="s">
        <v>186</v>
      </c>
      <c r="G406" s="491">
        <v>1</v>
      </c>
      <c r="H406" s="431">
        <f>SUM(H399:H405)</f>
        <v>1000</v>
      </c>
      <c r="I406" s="491">
        <f t="shared" si="59"/>
        <v>1000</v>
      </c>
      <c r="J406" s="492">
        <v>1</v>
      </c>
      <c r="K406" s="492">
        <f>I406*J406</f>
        <v>1000</v>
      </c>
      <c r="L406" s="456">
        <f>SUM(K399:K406)</f>
        <v>3215</v>
      </c>
      <c r="R406" s="456" t="s">
        <v>359</v>
      </c>
    </row>
    <row r="407" s="457" customFormat="1" spans="1:18">
      <c r="A407" s="494">
        <v>45757</v>
      </c>
      <c r="B407" s="442" t="s">
        <v>419</v>
      </c>
      <c r="C407" s="495">
        <v>45757</v>
      </c>
      <c r="D407" s="463"/>
      <c r="E407" s="463"/>
      <c r="F407" s="496" t="s">
        <v>315</v>
      </c>
      <c r="G407" s="463">
        <v>1</v>
      </c>
      <c r="H407" s="432">
        <v>40</v>
      </c>
      <c r="I407" s="463">
        <f t="shared" si="59"/>
        <v>40</v>
      </c>
      <c r="J407" s="497"/>
      <c r="K407" s="497"/>
    </row>
    <row r="408" s="457" customFormat="1" spans="1:18">
      <c r="A408" s="494">
        <v>45757</v>
      </c>
      <c r="B408" s="442" t="s">
        <v>419</v>
      </c>
      <c r="C408" s="495">
        <v>45757</v>
      </c>
      <c r="D408" s="463"/>
      <c r="E408" s="463"/>
      <c r="F408" s="496" t="s">
        <v>316</v>
      </c>
      <c r="G408" s="463">
        <v>1</v>
      </c>
      <c r="H408" s="432">
        <v>6</v>
      </c>
      <c r="I408" s="463">
        <f t="shared" si="59"/>
        <v>6</v>
      </c>
      <c r="J408" s="497"/>
      <c r="K408" s="497"/>
    </row>
    <row r="409" s="457" customFormat="1" spans="1:18">
      <c r="A409" s="494">
        <v>45757</v>
      </c>
      <c r="B409" s="442" t="s">
        <v>419</v>
      </c>
      <c r="C409" s="495">
        <v>45757</v>
      </c>
      <c r="D409" s="463"/>
      <c r="E409" s="463"/>
      <c r="F409" s="496" t="s">
        <v>342</v>
      </c>
      <c r="G409" s="463">
        <v>1</v>
      </c>
      <c r="H409" s="432">
        <v>44</v>
      </c>
      <c r="I409" s="463">
        <f t="shared" si="59"/>
        <v>44</v>
      </c>
      <c r="J409" s="497"/>
      <c r="K409" s="497"/>
    </row>
    <row r="410" s="457" customFormat="1" spans="1:18">
      <c r="A410" s="494">
        <v>45757</v>
      </c>
      <c r="B410" s="442" t="s">
        <v>419</v>
      </c>
      <c r="C410" s="495">
        <v>45757</v>
      </c>
      <c r="D410" s="463"/>
      <c r="E410" s="463"/>
      <c r="F410" s="496" t="s">
        <v>599</v>
      </c>
      <c r="G410" s="463">
        <v>1</v>
      </c>
      <c r="H410" s="432">
        <v>10</v>
      </c>
      <c r="I410" s="463">
        <f t="shared" si="59"/>
        <v>10</v>
      </c>
      <c r="J410" s="497"/>
      <c r="K410" s="497"/>
    </row>
    <row r="411" s="457" customFormat="1" spans="1:18">
      <c r="A411" s="494">
        <v>45757</v>
      </c>
      <c r="B411" s="442" t="s">
        <v>419</v>
      </c>
      <c r="C411" s="495">
        <v>45757</v>
      </c>
      <c r="D411" s="463"/>
      <c r="E411" s="463"/>
      <c r="F411" s="496" t="s">
        <v>529</v>
      </c>
      <c r="G411" s="463">
        <v>1</v>
      </c>
      <c r="H411" s="432">
        <v>28</v>
      </c>
      <c r="I411" s="463">
        <f t="shared" si="59"/>
        <v>28</v>
      </c>
      <c r="J411" s="497"/>
      <c r="K411" s="497"/>
    </row>
    <row r="412" s="457" customFormat="1" spans="1:18">
      <c r="A412" s="494">
        <v>45757</v>
      </c>
      <c r="B412" s="442" t="s">
        <v>419</v>
      </c>
      <c r="C412" s="495">
        <v>45757</v>
      </c>
      <c r="D412" s="463"/>
      <c r="E412" s="463"/>
      <c r="F412" s="496">
        <v>808</v>
      </c>
      <c r="G412" s="463">
        <v>1</v>
      </c>
      <c r="H412" s="432">
        <v>40</v>
      </c>
      <c r="I412" s="463">
        <f t="shared" si="59"/>
        <v>40</v>
      </c>
      <c r="J412" s="497">
        <v>9.7</v>
      </c>
      <c r="K412" s="497">
        <f>I412*J412</f>
        <v>388</v>
      </c>
      <c r="L412" s="457" t="s">
        <v>343</v>
      </c>
    </row>
    <row r="413" s="457" customFormat="1" spans="1:18">
      <c r="A413" s="494">
        <v>45757</v>
      </c>
      <c r="B413" s="442" t="s">
        <v>419</v>
      </c>
      <c r="C413" s="495">
        <v>45757</v>
      </c>
      <c r="D413" s="463"/>
      <c r="E413" s="463"/>
      <c r="F413" s="496" t="s">
        <v>152</v>
      </c>
      <c r="G413" s="463">
        <v>1</v>
      </c>
      <c r="H413" s="432">
        <v>7</v>
      </c>
      <c r="I413" s="463">
        <f t="shared" si="59"/>
        <v>7</v>
      </c>
      <c r="J413" s="497">
        <v>7.3</v>
      </c>
      <c r="K413" s="497">
        <f>I413*J413</f>
        <v>51.1</v>
      </c>
    </row>
    <row r="414" s="457" customFormat="1" spans="1:18">
      <c r="A414" s="494">
        <v>45757</v>
      </c>
      <c r="B414" s="442" t="s">
        <v>419</v>
      </c>
      <c r="C414" s="495">
        <v>45757</v>
      </c>
      <c r="D414" s="463"/>
      <c r="E414" s="463"/>
      <c r="F414" s="496" t="s">
        <v>125</v>
      </c>
      <c r="G414" s="463">
        <v>1</v>
      </c>
      <c r="H414" s="432">
        <v>25</v>
      </c>
      <c r="I414" s="463">
        <f t="shared" si="59"/>
        <v>25</v>
      </c>
      <c r="J414" s="497">
        <v>6.3</v>
      </c>
      <c r="K414" s="497">
        <f>I414*J414</f>
        <v>157.5</v>
      </c>
    </row>
    <row r="415" s="464" customFormat="1" spans="1:18">
      <c r="A415" s="494">
        <v>45757</v>
      </c>
      <c r="B415" s="442" t="s">
        <v>419</v>
      </c>
      <c r="C415" s="495">
        <v>45757</v>
      </c>
      <c r="D415" s="463"/>
      <c r="E415" s="463"/>
      <c r="F415" s="499" t="s">
        <v>344</v>
      </c>
      <c r="G415" s="501">
        <v>1</v>
      </c>
      <c r="H415" s="500">
        <f>SUM(H407:H414)</f>
        <v>200</v>
      </c>
      <c r="I415" s="501">
        <f t="shared" si="59"/>
        <v>200</v>
      </c>
      <c r="J415" s="502">
        <v>1</v>
      </c>
      <c r="K415" s="502">
        <f>I415*J415</f>
        <v>200</v>
      </c>
      <c r="L415" s="464">
        <f>SUM(K407:K415)</f>
        <v>796.6</v>
      </c>
    </row>
    <row r="416" s="456" customFormat="1" spans="1:18">
      <c r="A416" s="488">
        <v>45757</v>
      </c>
      <c r="B416" s="489" t="s">
        <v>422</v>
      </c>
      <c r="C416" s="490">
        <v>45757</v>
      </c>
      <c r="D416" s="491"/>
      <c r="E416" s="491"/>
      <c r="F416" s="493" t="s">
        <v>122</v>
      </c>
      <c r="G416" s="491">
        <v>1</v>
      </c>
      <c r="H416" s="431">
        <v>61</v>
      </c>
      <c r="I416" s="491">
        <f t="shared" ref="I416:I433" si="61">G416*H416</f>
        <v>61</v>
      </c>
      <c r="J416" s="492"/>
      <c r="K416" s="492"/>
      <c r="L416" s="536"/>
      <c r="M416" s="536"/>
      <c r="N416" s="536"/>
    </row>
    <row r="417" s="456" customFormat="1" spans="1:14">
      <c r="A417" s="488">
        <v>45757</v>
      </c>
      <c r="B417" s="489" t="s">
        <v>422</v>
      </c>
      <c r="C417" s="490">
        <v>45757</v>
      </c>
      <c r="D417" s="491"/>
      <c r="E417" s="491"/>
      <c r="F417" s="493" t="s">
        <v>16</v>
      </c>
      <c r="G417" s="491">
        <v>1</v>
      </c>
      <c r="H417" s="431">
        <v>12</v>
      </c>
      <c r="I417" s="491">
        <f t="shared" si="61"/>
        <v>12</v>
      </c>
      <c r="J417" s="492"/>
      <c r="K417" s="492"/>
      <c r="L417" s="536"/>
      <c r="M417" s="536"/>
      <c r="N417" s="536"/>
    </row>
    <row r="418" s="456" customFormat="1" spans="1:14">
      <c r="A418" s="488">
        <v>45757</v>
      </c>
      <c r="B418" s="489" t="s">
        <v>422</v>
      </c>
      <c r="C418" s="490">
        <v>45757</v>
      </c>
      <c r="D418" s="491"/>
      <c r="E418" s="491"/>
      <c r="F418" s="493" t="s">
        <v>124</v>
      </c>
      <c r="G418" s="491">
        <v>1</v>
      </c>
      <c r="H418" s="431">
        <v>60</v>
      </c>
      <c r="I418" s="491">
        <f t="shared" si="61"/>
        <v>60</v>
      </c>
      <c r="J418" s="492"/>
      <c r="K418" s="492"/>
      <c r="L418" s="536"/>
      <c r="M418" s="536"/>
      <c r="N418" s="536"/>
    </row>
    <row r="419" s="456" customFormat="1" spans="1:14">
      <c r="A419" s="488">
        <v>45757</v>
      </c>
      <c r="B419" s="489" t="s">
        <v>422</v>
      </c>
      <c r="C419" s="490">
        <v>45757</v>
      </c>
      <c r="D419" s="491"/>
      <c r="E419" s="491"/>
      <c r="F419" s="493" t="s">
        <v>599</v>
      </c>
      <c r="G419" s="491">
        <v>1</v>
      </c>
      <c r="H419" s="431">
        <v>20</v>
      </c>
      <c r="I419" s="491">
        <f t="shared" si="61"/>
        <v>20</v>
      </c>
      <c r="J419" s="492"/>
      <c r="K419" s="492"/>
      <c r="L419" s="536"/>
      <c r="M419" s="536"/>
      <c r="N419" s="536"/>
    </row>
    <row r="420" s="456" customFormat="1" spans="1:14">
      <c r="A420" s="488">
        <v>45757</v>
      </c>
      <c r="B420" s="489" t="s">
        <v>422</v>
      </c>
      <c r="C420" s="490">
        <v>45757</v>
      </c>
      <c r="D420" s="491"/>
      <c r="E420" s="491"/>
      <c r="F420" s="493" t="s">
        <v>529</v>
      </c>
      <c r="G420" s="491">
        <v>1</v>
      </c>
      <c r="H420" s="431">
        <v>56</v>
      </c>
      <c r="I420" s="491">
        <f t="shared" si="61"/>
        <v>56</v>
      </c>
      <c r="J420" s="492"/>
      <c r="K420" s="492"/>
      <c r="L420" s="536"/>
      <c r="M420" s="536"/>
      <c r="N420" s="536"/>
    </row>
    <row r="421" s="456" customFormat="1" spans="1:14">
      <c r="A421" s="488">
        <v>45757</v>
      </c>
      <c r="B421" s="489" t="s">
        <v>422</v>
      </c>
      <c r="C421" s="490">
        <v>45757</v>
      </c>
      <c r="D421" s="491"/>
      <c r="E421" s="491"/>
      <c r="F421" s="493" t="s">
        <v>373</v>
      </c>
      <c r="G421" s="491">
        <v>1</v>
      </c>
      <c r="H421" s="431">
        <v>1</v>
      </c>
      <c r="I421" s="491">
        <f t="shared" si="61"/>
        <v>1</v>
      </c>
      <c r="J421" s="492"/>
      <c r="K421" s="492"/>
      <c r="L421" s="536"/>
      <c r="M421" s="536"/>
      <c r="N421" s="536"/>
    </row>
    <row r="422" s="456" customFormat="1" spans="1:14">
      <c r="A422" s="488">
        <v>45757</v>
      </c>
      <c r="B422" s="489" t="s">
        <v>422</v>
      </c>
      <c r="C422" s="490">
        <v>45757</v>
      </c>
      <c r="D422" s="491"/>
      <c r="E422" s="491"/>
      <c r="F422" s="456" t="s">
        <v>191</v>
      </c>
      <c r="G422" s="491">
        <v>1</v>
      </c>
      <c r="H422" s="431">
        <v>3.6</v>
      </c>
      <c r="I422" s="491">
        <f t="shared" si="61"/>
        <v>3.6</v>
      </c>
      <c r="J422" s="492">
        <v>17</v>
      </c>
      <c r="K422" s="492">
        <f>I422*J422</f>
        <v>61.2</v>
      </c>
      <c r="L422" s="536"/>
      <c r="M422" s="536"/>
      <c r="N422" s="536"/>
    </row>
    <row r="423" s="456" customFormat="1" spans="1:14">
      <c r="A423" s="488">
        <v>45757</v>
      </c>
      <c r="B423" s="489" t="s">
        <v>422</v>
      </c>
      <c r="C423" s="490">
        <v>45757</v>
      </c>
      <c r="D423" s="491"/>
      <c r="E423" s="491"/>
      <c r="F423" s="493">
        <v>808</v>
      </c>
      <c r="G423" s="491">
        <v>1</v>
      </c>
      <c r="H423" s="431">
        <v>60</v>
      </c>
      <c r="I423" s="491">
        <f t="shared" si="61"/>
        <v>60</v>
      </c>
      <c r="J423" s="492">
        <v>9.7</v>
      </c>
      <c r="K423" s="492">
        <f>I423*J423</f>
        <v>582</v>
      </c>
      <c r="L423" s="536"/>
      <c r="M423" s="536"/>
      <c r="N423" s="536"/>
    </row>
    <row r="424" s="456" customFormat="1" spans="1:14">
      <c r="A424" s="488">
        <v>45757</v>
      </c>
      <c r="B424" s="489" t="s">
        <v>422</v>
      </c>
      <c r="C424" s="490">
        <v>45757</v>
      </c>
      <c r="D424" s="491"/>
      <c r="E424" s="491"/>
      <c r="F424" s="493" t="s">
        <v>152</v>
      </c>
      <c r="G424" s="491">
        <v>1</v>
      </c>
      <c r="H424" s="431">
        <v>14</v>
      </c>
      <c r="I424" s="491">
        <f t="shared" si="61"/>
        <v>14</v>
      </c>
      <c r="J424" s="492">
        <v>7.3</v>
      </c>
      <c r="K424" s="492">
        <f>I424*J424</f>
        <v>102.2</v>
      </c>
      <c r="M424" s="456" t="s">
        <v>126</v>
      </c>
    </row>
    <row r="425" s="456" customFormat="1" spans="1:14">
      <c r="A425" s="488">
        <v>45757</v>
      </c>
      <c r="B425" s="489" t="s">
        <v>422</v>
      </c>
      <c r="C425" s="490">
        <v>45757</v>
      </c>
      <c r="D425" s="491"/>
      <c r="E425" s="491"/>
      <c r="F425" s="493" t="s">
        <v>125</v>
      </c>
      <c r="G425" s="491">
        <v>1</v>
      </c>
      <c r="H425" s="431">
        <v>115</v>
      </c>
      <c r="I425" s="491">
        <f t="shared" si="61"/>
        <v>115</v>
      </c>
      <c r="J425" s="492">
        <v>6.3</v>
      </c>
      <c r="K425" s="492">
        <f>I425*J425</f>
        <v>724.5</v>
      </c>
      <c r="L425" s="536"/>
      <c r="M425" s="536"/>
      <c r="N425" s="536"/>
    </row>
    <row r="426" s="456" customFormat="1" spans="1:14">
      <c r="A426" s="488">
        <v>45757</v>
      </c>
      <c r="B426" s="489" t="s">
        <v>422</v>
      </c>
      <c r="C426" s="490">
        <v>45757</v>
      </c>
      <c r="D426" s="491"/>
      <c r="E426" s="491"/>
      <c r="F426" s="493" t="s">
        <v>650</v>
      </c>
      <c r="G426" s="491">
        <v>1</v>
      </c>
      <c r="H426" s="431">
        <v>51</v>
      </c>
      <c r="I426" s="491">
        <f t="shared" si="61"/>
        <v>51</v>
      </c>
      <c r="J426" s="492"/>
      <c r="K426" s="492"/>
      <c r="L426" s="536"/>
      <c r="M426" s="536"/>
      <c r="N426" s="536"/>
    </row>
    <row r="427" s="457" customFormat="1" spans="1:14">
      <c r="A427" s="488">
        <v>45757</v>
      </c>
      <c r="B427" s="489" t="s">
        <v>422</v>
      </c>
      <c r="C427" s="490">
        <v>45757</v>
      </c>
      <c r="D427" s="491"/>
      <c r="E427" s="491"/>
      <c r="F427" s="499" t="s">
        <v>78</v>
      </c>
      <c r="G427" s="501">
        <v>1</v>
      </c>
      <c r="H427" s="500">
        <f>SUM(H416:H426)</f>
        <v>453.6</v>
      </c>
      <c r="I427" s="501">
        <f t="shared" si="61"/>
        <v>453.6</v>
      </c>
      <c r="J427" s="502">
        <v>1</v>
      </c>
      <c r="K427" s="502">
        <f>I427*J427</f>
        <v>453.6</v>
      </c>
      <c r="L427" s="537">
        <f>SUM(K416:K427)</f>
        <v>1923.5</v>
      </c>
      <c r="M427" s="537"/>
      <c r="N427" s="537"/>
    </row>
    <row r="428" s="457" customFormat="1" spans="1:14">
      <c r="A428" s="494">
        <v>45761</v>
      </c>
      <c r="B428" s="442" t="s">
        <v>269</v>
      </c>
      <c r="C428" s="495">
        <v>45758</v>
      </c>
      <c r="D428" s="463"/>
      <c r="E428" s="463"/>
      <c r="F428" s="496" t="s">
        <v>651</v>
      </c>
      <c r="G428" s="463">
        <v>12</v>
      </c>
      <c r="H428" s="432">
        <v>1</v>
      </c>
      <c r="I428" s="463">
        <f t="shared" si="61"/>
        <v>12</v>
      </c>
      <c r="J428" s="497">
        <v>12.5</v>
      </c>
      <c r="K428" s="497">
        <f t="shared" ref="K428:K433" si="62">I428*J428</f>
        <v>150</v>
      </c>
    </row>
    <row r="429" s="457" customFormat="1" spans="1:14">
      <c r="A429" s="494">
        <v>45761</v>
      </c>
      <c r="B429" s="442" t="s">
        <v>269</v>
      </c>
      <c r="C429" s="495">
        <v>45761</v>
      </c>
      <c r="D429" s="463"/>
      <c r="E429" s="463"/>
      <c r="F429" s="496" t="s">
        <v>16</v>
      </c>
      <c r="G429" s="463">
        <v>1</v>
      </c>
      <c r="H429" s="432">
        <v>48</v>
      </c>
      <c r="I429" s="463">
        <f t="shared" si="61"/>
        <v>48</v>
      </c>
      <c r="J429" s="497"/>
      <c r="K429" s="497"/>
    </row>
    <row r="430" s="457" customFormat="1" spans="1:14">
      <c r="A430" s="494">
        <v>45761</v>
      </c>
      <c r="B430" s="442" t="s">
        <v>269</v>
      </c>
      <c r="C430" s="495">
        <v>45761</v>
      </c>
      <c r="D430" s="463"/>
      <c r="E430" s="463"/>
      <c r="F430" s="496">
        <v>996</v>
      </c>
      <c r="G430" s="463">
        <v>1</v>
      </c>
      <c r="H430" s="432">
        <v>150</v>
      </c>
      <c r="I430" s="463">
        <f t="shared" si="61"/>
        <v>150</v>
      </c>
      <c r="J430" s="497"/>
      <c r="K430" s="497"/>
    </row>
    <row r="431" s="457" customFormat="1" spans="1:14">
      <c r="A431" s="494">
        <v>45761</v>
      </c>
      <c r="B431" s="442" t="s">
        <v>269</v>
      </c>
      <c r="C431" s="495">
        <v>45761</v>
      </c>
      <c r="D431" s="463"/>
      <c r="E431" s="463"/>
      <c r="F431" s="496" t="s">
        <v>12</v>
      </c>
      <c r="G431" s="463">
        <v>1</v>
      </c>
      <c r="H431" s="432">
        <v>30</v>
      </c>
      <c r="I431" s="463">
        <f t="shared" si="61"/>
        <v>30</v>
      </c>
      <c r="J431" s="497">
        <v>7</v>
      </c>
      <c r="K431" s="497">
        <f t="shared" si="62"/>
        <v>210</v>
      </c>
    </row>
    <row r="432" s="457" customFormat="1" spans="1:14">
      <c r="A432" s="494">
        <v>45761</v>
      </c>
      <c r="B432" s="442" t="s">
        <v>269</v>
      </c>
      <c r="C432" s="495">
        <v>45761</v>
      </c>
      <c r="D432" s="463"/>
      <c r="E432" s="463"/>
      <c r="F432" s="496" t="s">
        <v>152</v>
      </c>
      <c r="G432" s="463">
        <v>1</v>
      </c>
      <c r="H432" s="432">
        <v>30</v>
      </c>
      <c r="I432" s="463">
        <f t="shared" si="61"/>
        <v>30</v>
      </c>
      <c r="J432" s="497">
        <v>7.3</v>
      </c>
      <c r="K432" s="497">
        <f t="shared" si="62"/>
        <v>219</v>
      </c>
    </row>
    <row r="433" s="457" customFormat="1" spans="1:19">
      <c r="A433" s="494">
        <v>45761</v>
      </c>
      <c r="B433" s="442" t="s">
        <v>269</v>
      </c>
      <c r="C433" s="495">
        <v>45761</v>
      </c>
      <c r="D433" s="463"/>
      <c r="E433" s="463"/>
      <c r="F433" s="496" t="s">
        <v>456</v>
      </c>
      <c r="G433" s="463">
        <v>1</v>
      </c>
      <c r="H433" s="432">
        <f>SUM(H429:H432)</f>
        <v>258</v>
      </c>
      <c r="I433" s="463">
        <f t="shared" si="61"/>
        <v>258</v>
      </c>
      <c r="J433" s="497">
        <v>3</v>
      </c>
      <c r="K433" s="497">
        <f t="shared" si="62"/>
        <v>774</v>
      </c>
      <c r="L433" s="457">
        <f>SUM(K428:K433)</f>
        <v>1353</v>
      </c>
    </row>
    <row r="434" s="457" customFormat="1" spans="1:19">
      <c r="A434" s="494"/>
      <c r="B434" s="442"/>
      <c r="C434" s="504"/>
      <c r="D434" s="442"/>
      <c r="E434" s="442"/>
      <c r="F434" s="546" t="s">
        <v>623</v>
      </c>
      <c r="G434" s="463"/>
      <c r="H434" s="432"/>
      <c r="I434" s="463"/>
      <c r="J434" s="497"/>
      <c r="K434" s="497"/>
      <c r="S434" s="526"/>
    </row>
    <row r="435" s="457" customFormat="1" spans="1:19">
      <c r="A435" s="494">
        <v>45763</v>
      </c>
      <c r="B435" s="442" t="s">
        <v>168</v>
      </c>
      <c r="C435" s="495">
        <v>45761</v>
      </c>
      <c r="D435" s="463"/>
      <c r="E435" s="463"/>
      <c r="F435" s="496" t="s">
        <v>42</v>
      </c>
      <c r="G435" s="463">
        <v>1</v>
      </c>
      <c r="H435" s="432">
        <v>100</v>
      </c>
      <c r="I435" s="463">
        <f t="shared" ref="I435:I445" si="63">G435*H435</f>
        <v>100</v>
      </c>
      <c r="J435" s="497"/>
      <c r="K435" s="497"/>
    </row>
    <row r="436" s="457" customFormat="1" spans="1:19">
      <c r="A436" s="494">
        <v>45763</v>
      </c>
      <c r="B436" s="442" t="s">
        <v>168</v>
      </c>
      <c r="C436" s="495">
        <v>45761</v>
      </c>
      <c r="D436" s="463"/>
      <c r="E436" s="463"/>
      <c r="F436" s="496" t="s">
        <v>207</v>
      </c>
      <c r="G436" s="463">
        <v>1</v>
      </c>
      <c r="H436" s="432">
        <v>200</v>
      </c>
      <c r="I436" s="463">
        <f t="shared" si="63"/>
        <v>200</v>
      </c>
      <c r="J436" s="497"/>
      <c r="K436" s="497"/>
    </row>
    <row r="437" s="457" customFormat="1" spans="1:19">
      <c r="A437" s="494">
        <v>45763</v>
      </c>
      <c r="B437" s="442" t="s">
        <v>168</v>
      </c>
      <c r="C437" s="495">
        <v>45761</v>
      </c>
      <c r="D437" s="463"/>
      <c r="E437" s="463"/>
      <c r="F437" s="496" t="s">
        <v>599</v>
      </c>
      <c r="G437" s="463">
        <v>1</v>
      </c>
      <c r="H437" s="432">
        <v>100</v>
      </c>
      <c r="I437" s="463">
        <f t="shared" si="63"/>
        <v>100</v>
      </c>
      <c r="J437" s="497"/>
      <c r="K437" s="497"/>
    </row>
    <row r="438" s="457" customFormat="1" spans="1:19">
      <c r="A438" s="494">
        <v>45763</v>
      </c>
      <c r="B438" s="442" t="s">
        <v>168</v>
      </c>
      <c r="C438" s="495">
        <v>45761</v>
      </c>
      <c r="D438" s="463"/>
      <c r="E438" s="463"/>
      <c r="F438" s="496" t="s">
        <v>553</v>
      </c>
      <c r="G438" s="463">
        <v>1</v>
      </c>
      <c r="H438" s="432">
        <v>145</v>
      </c>
      <c r="I438" s="463">
        <f t="shared" si="63"/>
        <v>145</v>
      </c>
      <c r="J438" s="497"/>
      <c r="K438" s="497"/>
    </row>
    <row r="439" s="457" customFormat="1" spans="1:19">
      <c r="A439" s="494">
        <v>45763</v>
      </c>
      <c r="B439" s="442" t="s">
        <v>168</v>
      </c>
      <c r="C439" s="495">
        <v>45761</v>
      </c>
      <c r="D439" s="463"/>
      <c r="E439" s="463"/>
      <c r="F439" s="457" t="s">
        <v>191</v>
      </c>
      <c r="G439" s="463">
        <v>1</v>
      </c>
      <c r="H439" s="432">
        <v>25</v>
      </c>
      <c r="I439" s="463">
        <f t="shared" si="63"/>
        <v>25</v>
      </c>
      <c r="J439" s="497">
        <v>17</v>
      </c>
      <c r="K439" s="497">
        <f t="shared" ref="K439:K442" si="64">I439*J439</f>
        <v>425</v>
      </c>
      <c r="M439" s="459"/>
    </row>
    <row r="440" s="457" customFormat="1" spans="1:19">
      <c r="A440" s="494">
        <v>45763</v>
      </c>
      <c r="B440" s="442" t="s">
        <v>168</v>
      </c>
      <c r="C440" s="495">
        <v>45761</v>
      </c>
      <c r="D440" s="463"/>
      <c r="E440" s="463"/>
      <c r="F440" s="496" t="s">
        <v>152</v>
      </c>
      <c r="G440" s="463">
        <v>1</v>
      </c>
      <c r="H440" s="432">
        <v>92</v>
      </c>
      <c r="I440" s="463">
        <f t="shared" si="63"/>
        <v>92</v>
      </c>
      <c r="J440" s="497">
        <v>7.3</v>
      </c>
      <c r="K440" s="497">
        <f t="shared" si="64"/>
        <v>671.6</v>
      </c>
      <c r="L440" s="456"/>
      <c r="M440" s="456"/>
    </row>
    <row r="441" s="457" customFormat="1" spans="1:19">
      <c r="A441" s="494">
        <v>45763</v>
      </c>
      <c r="B441" s="442" t="s">
        <v>168</v>
      </c>
      <c r="C441" s="495">
        <v>45761</v>
      </c>
      <c r="D441" s="463"/>
      <c r="E441" s="463"/>
      <c r="F441" s="496" t="s">
        <v>132</v>
      </c>
      <c r="G441" s="463">
        <v>1</v>
      </c>
      <c r="H441" s="432">
        <v>279</v>
      </c>
      <c r="I441" s="463">
        <f t="shared" si="63"/>
        <v>279</v>
      </c>
      <c r="J441" s="497">
        <v>3.5</v>
      </c>
      <c r="K441" s="497">
        <f t="shared" si="64"/>
        <v>976.5</v>
      </c>
      <c r="L441" s="456"/>
      <c r="M441" s="456"/>
    </row>
    <row r="442" s="457" customFormat="1" spans="1:19">
      <c r="A442" s="494">
        <v>45763</v>
      </c>
      <c r="B442" s="442" t="s">
        <v>168</v>
      </c>
      <c r="C442" s="495">
        <v>45761</v>
      </c>
      <c r="D442" s="463"/>
      <c r="E442" s="463"/>
      <c r="F442" s="496" t="s">
        <v>137</v>
      </c>
      <c r="G442" s="463">
        <v>1</v>
      </c>
      <c r="H442" s="432">
        <v>50</v>
      </c>
      <c r="I442" s="463">
        <f t="shared" si="63"/>
        <v>50</v>
      </c>
      <c r="J442" s="497">
        <v>0.9</v>
      </c>
      <c r="K442" s="497">
        <f t="shared" si="64"/>
        <v>45</v>
      </c>
      <c r="L442" s="457" t="s">
        <v>116</v>
      </c>
    </row>
    <row r="443" s="457" customFormat="1" spans="1:19">
      <c r="A443" s="494">
        <v>45763</v>
      </c>
      <c r="B443" s="442" t="s">
        <v>168</v>
      </c>
      <c r="C443" s="495">
        <v>45761</v>
      </c>
      <c r="D443" s="463"/>
      <c r="E443" s="463"/>
      <c r="F443" s="496" t="s">
        <v>211</v>
      </c>
      <c r="G443" s="463">
        <v>1</v>
      </c>
      <c r="H443" s="432">
        <v>2.5</v>
      </c>
      <c r="I443" s="463">
        <f t="shared" si="63"/>
        <v>2.5</v>
      </c>
      <c r="J443" s="497"/>
      <c r="K443" s="497"/>
    </row>
    <row r="444" s="457" customFormat="1" spans="1:19">
      <c r="A444" s="494">
        <v>45763</v>
      </c>
      <c r="B444" s="442" t="s">
        <v>168</v>
      </c>
      <c r="C444" s="495">
        <v>45761</v>
      </c>
      <c r="D444" s="463"/>
      <c r="E444" s="463"/>
      <c r="F444" s="496" t="s">
        <v>125</v>
      </c>
      <c r="G444" s="463">
        <v>1</v>
      </c>
      <c r="H444" s="432">
        <v>59</v>
      </c>
      <c r="I444" s="463">
        <f t="shared" si="63"/>
        <v>59</v>
      </c>
      <c r="J444" s="497">
        <v>6.3</v>
      </c>
      <c r="K444" s="497">
        <f>I444*J444</f>
        <v>371.7</v>
      </c>
    </row>
    <row r="445" s="457" customFormat="1" spans="1:19">
      <c r="A445" s="494">
        <v>45763</v>
      </c>
      <c r="B445" s="442" t="s">
        <v>168</v>
      </c>
      <c r="C445" s="495">
        <v>45761</v>
      </c>
      <c r="D445" s="463"/>
      <c r="E445" s="463"/>
      <c r="F445" s="499" t="s">
        <v>212</v>
      </c>
      <c r="G445" s="501">
        <v>1</v>
      </c>
      <c r="H445" s="500">
        <f>SUM(H435:H444)</f>
        <v>1052.5</v>
      </c>
      <c r="I445" s="501">
        <f t="shared" si="63"/>
        <v>1052.5</v>
      </c>
      <c r="J445" s="502">
        <v>1</v>
      </c>
      <c r="K445" s="502">
        <f>I445*J445</f>
        <v>1052.5</v>
      </c>
      <c r="L445" s="464">
        <f>SUM(K435:K445)</f>
        <v>3542.3</v>
      </c>
    </row>
    <row r="446" s="456" customFormat="1" spans="1:19">
      <c r="A446" s="488">
        <v>45763</v>
      </c>
      <c r="B446" s="489" t="s">
        <v>175</v>
      </c>
      <c r="C446" s="490">
        <v>45761</v>
      </c>
      <c r="D446" s="491"/>
      <c r="E446" s="491"/>
      <c r="F446" s="493" t="s">
        <v>315</v>
      </c>
      <c r="G446" s="491">
        <v>1</v>
      </c>
      <c r="H446" s="431">
        <v>40</v>
      </c>
      <c r="I446" s="491">
        <f t="shared" ref="I446:I487" si="65">G446*H446</f>
        <v>40</v>
      </c>
      <c r="J446" s="492"/>
      <c r="K446" s="492"/>
    </row>
    <row r="447" s="456" customFormat="1" spans="1:19">
      <c r="A447" s="488">
        <v>45763</v>
      </c>
      <c r="B447" s="489" t="s">
        <v>175</v>
      </c>
      <c r="C447" s="490">
        <v>45761</v>
      </c>
      <c r="D447" s="491"/>
      <c r="E447" s="491"/>
      <c r="F447" s="493" t="s">
        <v>316</v>
      </c>
      <c r="G447" s="491">
        <v>1</v>
      </c>
      <c r="H447" s="431">
        <v>6</v>
      </c>
      <c r="I447" s="491">
        <f t="shared" si="65"/>
        <v>6</v>
      </c>
      <c r="J447" s="492"/>
      <c r="K447" s="492"/>
    </row>
    <row r="448" s="456" customFormat="1" spans="1:19">
      <c r="A448" s="488">
        <v>45763</v>
      </c>
      <c r="B448" s="489" t="s">
        <v>175</v>
      </c>
      <c r="C448" s="490">
        <v>45761</v>
      </c>
      <c r="D448" s="491"/>
      <c r="E448" s="491"/>
      <c r="F448" s="493" t="s">
        <v>207</v>
      </c>
      <c r="G448" s="491">
        <v>1</v>
      </c>
      <c r="H448" s="431">
        <v>50</v>
      </c>
      <c r="I448" s="491">
        <f t="shared" si="65"/>
        <v>50</v>
      </c>
      <c r="J448" s="492"/>
      <c r="K448" s="492"/>
    </row>
    <row r="449" s="456" customFormat="1" spans="1:12">
      <c r="A449" s="488">
        <v>45763</v>
      </c>
      <c r="B449" s="489" t="s">
        <v>175</v>
      </c>
      <c r="C449" s="490">
        <v>45761</v>
      </c>
      <c r="D449" s="491"/>
      <c r="E449" s="491"/>
      <c r="F449" s="493" t="s">
        <v>599</v>
      </c>
      <c r="G449" s="491">
        <v>1</v>
      </c>
      <c r="H449" s="431">
        <v>15</v>
      </c>
      <c r="I449" s="491">
        <f t="shared" si="65"/>
        <v>15</v>
      </c>
      <c r="J449" s="492"/>
      <c r="K449" s="492"/>
    </row>
    <row r="450" s="456" customFormat="1" spans="1:12">
      <c r="A450" s="488">
        <v>45763</v>
      </c>
      <c r="B450" s="489" t="s">
        <v>175</v>
      </c>
      <c r="C450" s="490">
        <v>45761</v>
      </c>
      <c r="D450" s="491"/>
      <c r="E450" s="491"/>
      <c r="F450" s="493" t="s">
        <v>529</v>
      </c>
      <c r="G450" s="491">
        <v>1</v>
      </c>
      <c r="H450" s="431">
        <v>20</v>
      </c>
      <c r="I450" s="491">
        <f t="shared" si="65"/>
        <v>20</v>
      </c>
      <c r="J450" s="492"/>
      <c r="K450" s="492"/>
    </row>
    <row r="451" s="456" customFormat="1" spans="1:12">
      <c r="A451" s="488">
        <v>45763</v>
      </c>
      <c r="B451" s="489" t="s">
        <v>175</v>
      </c>
      <c r="C451" s="490">
        <v>45761</v>
      </c>
      <c r="D451" s="491"/>
      <c r="E451" s="491"/>
      <c r="F451" s="456" t="s">
        <v>191</v>
      </c>
      <c r="G451" s="491">
        <v>1</v>
      </c>
      <c r="H451" s="431">
        <v>4</v>
      </c>
      <c r="I451" s="491">
        <f t="shared" si="65"/>
        <v>4</v>
      </c>
      <c r="J451" s="492">
        <v>17</v>
      </c>
      <c r="K451" s="492">
        <f>I451*J451</f>
        <v>68</v>
      </c>
    </row>
    <row r="452" s="456" customFormat="1" spans="1:12">
      <c r="A452" s="488">
        <v>45763</v>
      </c>
      <c r="B452" s="489" t="s">
        <v>175</v>
      </c>
      <c r="C452" s="490">
        <v>45761</v>
      </c>
      <c r="D452" s="491"/>
      <c r="E452" s="491"/>
      <c r="F452" s="493">
        <v>808</v>
      </c>
      <c r="G452" s="491">
        <v>1</v>
      </c>
      <c r="H452" s="431">
        <v>26</v>
      </c>
      <c r="I452" s="491">
        <f t="shared" si="65"/>
        <v>26</v>
      </c>
      <c r="J452" s="492">
        <v>9.7</v>
      </c>
      <c r="K452" s="492">
        <f t="shared" ref="K452:K455" si="66">I452*J452</f>
        <v>252.2</v>
      </c>
    </row>
    <row r="453" s="456" customFormat="1" spans="1:12">
      <c r="A453" s="488">
        <v>45763</v>
      </c>
      <c r="B453" s="489" t="s">
        <v>175</v>
      </c>
      <c r="C453" s="490">
        <v>45761</v>
      </c>
      <c r="D453" s="491"/>
      <c r="E453" s="491"/>
      <c r="F453" s="493" t="s">
        <v>152</v>
      </c>
      <c r="G453" s="491">
        <v>1</v>
      </c>
      <c r="H453" s="431">
        <v>19</v>
      </c>
      <c r="I453" s="491">
        <f t="shared" si="65"/>
        <v>19</v>
      </c>
      <c r="J453" s="492">
        <v>7.3</v>
      </c>
      <c r="K453" s="492">
        <f t="shared" si="66"/>
        <v>138.7</v>
      </c>
    </row>
    <row r="454" s="456" customFormat="1" spans="1:12">
      <c r="A454" s="488">
        <v>45763</v>
      </c>
      <c r="B454" s="489" t="s">
        <v>175</v>
      </c>
      <c r="C454" s="490">
        <v>45761</v>
      </c>
      <c r="D454" s="491"/>
      <c r="E454" s="491"/>
      <c r="F454" s="493" t="s">
        <v>125</v>
      </c>
      <c r="G454" s="491">
        <v>1</v>
      </c>
      <c r="H454" s="431">
        <v>20</v>
      </c>
      <c r="I454" s="491">
        <f t="shared" si="65"/>
        <v>20</v>
      </c>
      <c r="J454" s="492">
        <v>6.3</v>
      </c>
      <c r="K454" s="492">
        <f t="shared" si="66"/>
        <v>126</v>
      </c>
    </row>
    <row r="455" s="456" customFormat="1" spans="1:12">
      <c r="A455" s="488">
        <v>45763</v>
      </c>
      <c r="B455" s="489" t="s">
        <v>175</v>
      </c>
      <c r="C455" s="490">
        <v>45761</v>
      </c>
      <c r="D455" s="491"/>
      <c r="E455" s="491"/>
      <c r="F455" s="493" t="s">
        <v>652</v>
      </c>
      <c r="G455" s="491">
        <v>1</v>
      </c>
      <c r="H455" s="431">
        <f>SUM(H446:H454)</f>
        <v>200</v>
      </c>
      <c r="I455" s="491">
        <f t="shared" si="65"/>
        <v>200</v>
      </c>
      <c r="J455" s="492">
        <v>1</v>
      </c>
      <c r="K455" s="492">
        <f t="shared" si="66"/>
        <v>200</v>
      </c>
      <c r="L455" s="456">
        <f>SUM(K446:K455)</f>
        <v>784.9</v>
      </c>
    </row>
    <row r="456" s="457" customFormat="1" spans="1:12">
      <c r="A456" s="494">
        <v>45763</v>
      </c>
      <c r="B456" s="442" t="s">
        <v>180</v>
      </c>
      <c r="C456" s="495">
        <v>45763</v>
      </c>
      <c r="D456" s="463"/>
      <c r="E456" s="463"/>
      <c r="F456" s="496" t="s">
        <v>315</v>
      </c>
      <c r="G456" s="463">
        <v>1</v>
      </c>
      <c r="H456" s="432">
        <v>80</v>
      </c>
      <c r="I456" s="463">
        <f t="shared" si="65"/>
        <v>80</v>
      </c>
      <c r="J456" s="497"/>
      <c r="K456" s="497"/>
    </row>
    <row r="457" s="457" customFormat="1" spans="1:12">
      <c r="A457" s="494">
        <v>45763</v>
      </c>
      <c r="B457" s="442" t="s">
        <v>180</v>
      </c>
      <c r="C457" s="495">
        <v>45763</v>
      </c>
      <c r="D457" s="463"/>
      <c r="E457" s="463"/>
      <c r="F457" s="496" t="s">
        <v>316</v>
      </c>
      <c r="G457" s="463">
        <v>1</v>
      </c>
      <c r="H457" s="432">
        <v>15</v>
      </c>
      <c r="I457" s="463">
        <f t="shared" si="65"/>
        <v>15</v>
      </c>
      <c r="J457" s="497"/>
      <c r="K457" s="497"/>
    </row>
    <row r="458" s="457" customFormat="1" spans="1:12">
      <c r="A458" s="494">
        <v>45763</v>
      </c>
      <c r="B458" s="442" t="s">
        <v>180</v>
      </c>
      <c r="C458" s="495">
        <v>45763</v>
      </c>
      <c r="D458" s="463"/>
      <c r="E458" s="463"/>
      <c r="F458" s="496" t="s">
        <v>207</v>
      </c>
      <c r="G458" s="463">
        <v>1</v>
      </c>
      <c r="H458" s="432">
        <v>125</v>
      </c>
      <c r="I458" s="463">
        <f t="shared" si="65"/>
        <v>125</v>
      </c>
      <c r="J458" s="497"/>
      <c r="K458" s="497"/>
    </row>
    <row r="459" s="457" customFormat="1" spans="1:12">
      <c r="A459" s="494">
        <v>45763</v>
      </c>
      <c r="B459" s="442" t="s">
        <v>180</v>
      </c>
      <c r="C459" s="495">
        <v>45763</v>
      </c>
      <c r="D459" s="463"/>
      <c r="E459" s="463"/>
      <c r="F459" s="496" t="s">
        <v>599</v>
      </c>
      <c r="G459" s="463">
        <v>1</v>
      </c>
      <c r="H459" s="432">
        <v>26</v>
      </c>
      <c r="I459" s="463">
        <f t="shared" si="65"/>
        <v>26</v>
      </c>
      <c r="J459" s="497"/>
      <c r="K459" s="497"/>
    </row>
    <row r="460" s="457" customFormat="1" spans="1:12">
      <c r="A460" s="494">
        <v>45763</v>
      </c>
      <c r="B460" s="442" t="s">
        <v>180</v>
      </c>
      <c r="C460" s="495">
        <v>45763</v>
      </c>
      <c r="D460" s="463"/>
      <c r="E460" s="463"/>
      <c r="F460" s="496" t="s">
        <v>529</v>
      </c>
      <c r="G460" s="463">
        <v>1</v>
      </c>
      <c r="H460" s="432">
        <v>70</v>
      </c>
      <c r="I460" s="463">
        <f t="shared" si="65"/>
        <v>70</v>
      </c>
      <c r="J460" s="497"/>
      <c r="K460" s="497"/>
    </row>
    <row r="461" s="457" customFormat="1" spans="1:12">
      <c r="A461" s="494">
        <v>45763</v>
      </c>
      <c r="B461" s="442" t="s">
        <v>180</v>
      </c>
      <c r="C461" s="495">
        <v>45763</v>
      </c>
      <c r="D461" s="463"/>
      <c r="E461" s="463"/>
      <c r="F461" s="496">
        <v>808</v>
      </c>
      <c r="G461" s="463">
        <v>1</v>
      </c>
      <c r="H461" s="432">
        <v>100</v>
      </c>
      <c r="I461" s="463">
        <f t="shared" si="65"/>
        <v>100</v>
      </c>
      <c r="J461" s="497">
        <v>9.7</v>
      </c>
      <c r="K461" s="497">
        <f t="shared" ref="K461:K466" si="67">I461*J461</f>
        <v>970</v>
      </c>
    </row>
    <row r="462" s="457" customFormat="1" spans="1:12">
      <c r="A462" s="494">
        <v>45763</v>
      </c>
      <c r="B462" s="442" t="s">
        <v>180</v>
      </c>
      <c r="C462" s="495">
        <v>45763</v>
      </c>
      <c r="D462" s="463"/>
      <c r="E462" s="463"/>
      <c r="F462" s="496" t="s">
        <v>152</v>
      </c>
      <c r="G462" s="463">
        <v>1</v>
      </c>
      <c r="H462" s="432">
        <v>17</v>
      </c>
      <c r="I462" s="463">
        <f t="shared" si="65"/>
        <v>17</v>
      </c>
      <c r="J462" s="497">
        <v>7.3</v>
      </c>
      <c r="K462" s="497">
        <f t="shared" si="67"/>
        <v>124.1</v>
      </c>
    </row>
    <row r="463" s="457" customFormat="1" spans="1:12">
      <c r="A463" s="494">
        <v>45763</v>
      </c>
      <c r="B463" s="442" t="s">
        <v>180</v>
      </c>
      <c r="C463" s="495">
        <v>45763</v>
      </c>
      <c r="D463" s="463"/>
      <c r="E463" s="463"/>
      <c r="F463" s="496" t="s">
        <v>125</v>
      </c>
      <c r="G463" s="463">
        <v>1</v>
      </c>
      <c r="H463" s="432">
        <v>67</v>
      </c>
      <c r="I463" s="463">
        <f t="shared" si="65"/>
        <v>67</v>
      </c>
      <c r="J463" s="497">
        <v>6.3</v>
      </c>
      <c r="K463" s="497">
        <f t="shared" si="67"/>
        <v>422.1</v>
      </c>
    </row>
    <row r="464" s="457" customFormat="1" spans="1:12">
      <c r="A464" s="494">
        <v>45763</v>
      </c>
      <c r="B464" s="442" t="s">
        <v>180</v>
      </c>
      <c r="C464" s="495">
        <v>45763</v>
      </c>
      <c r="D464" s="463"/>
      <c r="E464" s="463"/>
      <c r="F464" s="496" t="s">
        <v>317</v>
      </c>
      <c r="G464" s="463">
        <v>1</v>
      </c>
      <c r="H464" s="432">
        <f>SUM(H456:H463)</f>
        <v>500</v>
      </c>
      <c r="I464" s="463">
        <f t="shared" si="65"/>
        <v>500</v>
      </c>
      <c r="J464" s="497">
        <v>1</v>
      </c>
      <c r="K464" s="497">
        <f t="shared" si="67"/>
        <v>500</v>
      </c>
      <c r="L464" s="457">
        <f>SUM(K458:K464)</f>
        <v>2016.2</v>
      </c>
    </row>
    <row r="465" s="456" customFormat="1" spans="1:14">
      <c r="A465" s="488">
        <v>45763</v>
      </c>
      <c r="B465" s="489" t="s">
        <v>277</v>
      </c>
      <c r="C465" s="490">
        <v>45763</v>
      </c>
      <c r="D465" s="491"/>
      <c r="E465" s="491"/>
      <c r="F465" s="493" t="s">
        <v>631</v>
      </c>
      <c r="G465" s="491">
        <v>5</v>
      </c>
      <c r="H465" s="431">
        <v>18</v>
      </c>
      <c r="I465" s="491">
        <f t="shared" si="65"/>
        <v>90</v>
      </c>
      <c r="J465" s="492">
        <v>15</v>
      </c>
      <c r="K465" s="492">
        <f t="shared" si="67"/>
        <v>1350</v>
      </c>
      <c r="L465" s="536"/>
      <c r="M465" s="536"/>
      <c r="N465" s="536"/>
    </row>
    <row r="466" s="456" customFormat="1" spans="1:14">
      <c r="A466" s="488">
        <v>45763</v>
      </c>
      <c r="B466" s="489" t="s">
        <v>277</v>
      </c>
      <c r="C466" s="490">
        <v>45763</v>
      </c>
      <c r="D466" s="491"/>
      <c r="E466" s="491"/>
      <c r="F466" s="493" t="s">
        <v>653</v>
      </c>
      <c r="G466" s="491">
        <v>5</v>
      </c>
      <c r="H466" s="431">
        <v>1</v>
      </c>
      <c r="I466" s="491">
        <f t="shared" si="65"/>
        <v>5</v>
      </c>
      <c r="J466" s="492">
        <v>12.5</v>
      </c>
      <c r="K466" s="492">
        <f t="shared" si="67"/>
        <v>62.5</v>
      </c>
      <c r="L466" s="536">
        <f>SUM(K465:K466)</f>
        <v>1412.5</v>
      </c>
      <c r="M466" s="536"/>
      <c r="N466" s="536"/>
    </row>
    <row r="467" s="457" customFormat="1" spans="1:14">
      <c r="A467" s="494">
        <v>45767</v>
      </c>
      <c r="B467" s="442" t="s">
        <v>187</v>
      </c>
      <c r="C467" s="495">
        <v>45766</v>
      </c>
      <c r="D467" s="463"/>
      <c r="E467" s="463"/>
      <c r="F467" s="496" t="s">
        <v>315</v>
      </c>
      <c r="G467" s="463">
        <v>1</v>
      </c>
      <c r="H467" s="432">
        <v>36</v>
      </c>
      <c r="I467" s="463">
        <f t="shared" si="65"/>
        <v>36</v>
      </c>
      <c r="J467" s="497"/>
      <c r="K467" s="497"/>
    </row>
    <row r="468" s="457" customFormat="1" spans="1:14">
      <c r="A468" s="494">
        <v>45767</v>
      </c>
      <c r="B468" s="442" t="s">
        <v>187</v>
      </c>
      <c r="C468" s="495">
        <v>45766</v>
      </c>
      <c r="D468" s="463"/>
      <c r="E468" s="463"/>
      <c r="F468" s="496" t="s">
        <v>316</v>
      </c>
      <c r="G468" s="463">
        <v>1</v>
      </c>
      <c r="H468" s="432">
        <v>5.4</v>
      </c>
      <c r="I468" s="463">
        <f t="shared" si="65"/>
        <v>5.4</v>
      </c>
      <c r="J468" s="497"/>
      <c r="K468" s="497"/>
    </row>
    <row r="469" s="457" customFormat="1" spans="1:14">
      <c r="A469" s="494">
        <v>45767</v>
      </c>
      <c r="B469" s="442" t="s">
        <v>187</v>
      </c>
      <c r="C469" s="495">
        <v>45766</v>
      </c>
      <c r="D469" s="463"/>
      <c r="E469" s="463"/>
      <c r="F469" s="496" t="s">
        <v>654</v>
      </c>
      <c r="G469" s="463">
        <v>1</v>
      </c>
      <c r="H469" s="432">
        <v>36</v>
      </c>
      <c r="I469" s="463">
        <f t="shared" si="65"/>
        <v>36</v>
      </c>
      <c r="J469" s="497"/>
      <c r="K469" s="497"/>
    </row>
    <row r="470" s="457" customFormat="1" spans="1:14">
      <c r="A470" s="494">
        <v>45767</v>
      </c>
      <c r="B470" s="442" t="s">
        <v>187</v>
      </c>
      <c r="C470" s="495">
        <v>45766</v>
      </c>
      <c r="D470" s="463"/>
      <c r="E470" s="463"/>
      <c r="F470" s="496" t="s">
        <v>599</v>
      </c>
      <c r="G470" s="463">
        <v>1</v>
      </c>
      <c r="H470" s="432">
        <v>9</v>
      </c>
      <c r="I470" s="463">
        <f t="shared" si="65"/>
        <v>9</v>
      </c>
      <c r="J470" s="497"/>
      <c r="K470" s="497"/>
    </row>
    <row r="471" s="457" customFormat="1" spans="1:14">
      <c r="A471" s="494">
        <v>45767</v>
      </c>
      <c r="B471" s="442" t="s">
        <v>187</v>
      </c>
      <c r="C471" s="495">
        <v>45766</v>
      </c>
      <c r="D471" s="463"/>
      <c r="E471" s="463"/>
      <c r="F471" s="496" t="s">
        <v>529</v>
      </c>
      <c r="G471" s="463">
        <v>1</v>
      </c>
      <c r="H471" s="432">
        <v>25.2</v>
      </c>
      <c r="I471" s="463">
        <f t="shared" si="65"/>
        <v>25.2</v>
      </c>
      <c r="J471" s="497"/>
      <c r="K471" s="497"/>
    </row>
    <row r="472" s="457" customFormat="1" spans="1:14">
      <c r="A472" s="494">
        <v>45767</v>
      </c>
      <c r="B472" s="442" t="s">
        <v>187</v>
      </c>
      <c r="C472" s="495">
        <v>45766</v>
      </c>
      <c r="D472" s="463"/>
      <c r="E472" s="463"/>
      <c r="F472" s="496">
        <v>808</v>
      </c>
      <c r="G472" s="463">
        <v>1</v>
      </c>
      <c r="H472" s="432">
        <v>36</v>
      </c>
      <c r="I472" s="463">
        <f t="shared" si="65"/>
        <v>36</v>
      </c>
      <c r="J472" s="497">
        <v>9.7</v>
      </c>
      <c r="K472" s="497">
        <f>I472*J472</f>
        <v>349.2</v>
      </c>
    </row>
    <row r="473" s="457" customFormat="1" spans="1:14">
      <c r="A473" s="494">
        <v>45767</v>
      </c>
      <c r="B473" s="442" t="s">
        <v>187</v>
      </c>
      <c r="C473" s="495">
        <v>45766</v>
      </c>
      <c r="D473" s="463"/>
      <c r="E473" s="463"/>
      <c r="F473" s="496" t="s">
        <v>152</v>
      </c>
      <c r="G473" s="463">
        <v>1</v>
      </c>
      <c r="H473" s="432">
        <v>18</v>
      </c>
      <c r="I473" s="463">
        <f t="shared" si="65"/>
        <v>18</v>
      </c>
      <c r="J473" s="497">
        <v>7.3</v>
      </c>
      <c r="K473" s="497">
        <f>I473*J473</f>
        <v>131.4</v>
      </c>
      <c r="M473" s="457" t="s">
        <v>126</v>
      </c>
    </row>
    <row r="474" s="457" customFormat="1" spans="1:14">
      <c r="A474" s="494">
        <v>45767</v>
      </c>
      <c r="B474" s="442" t="s">
        <v>187</v>
      </c>
      <c r="C474" s="495">
        <v>45766</v>
      </c>
      <c r="D474" s="463"/>
      <c r="E474" s="463"/>
      <c r="F474" s="496" t="s">
        <v>125</v>
      </c>
      <c r="G474" s="463">
        <v>1</v>
      </c>
      <c r="H474" s="432">
        <v>14.4</v>
      </c>
      <c r="I474" s="463">
        <f t="shared" si="65"/>
        <v>14.4</v>
      </c>
      <c r="J474" s="497">
        <v>6.3</v>
      </c>
      <c r="K474" s="497">
        <f>I474*J474</f>
        <v>90.72</v>
      </c>
    </row>
    <row r="475" s="457" customFormat="1" spans="1:14">
      <c r="A475" s="494">
        <v>45767</v>
      </c>
      <c r="B475" s="442" t="s">
        <v>187</v>
      </c>
      <c r="C475" s="495">
        <v>45766</v>
      </c>
      <c r="D475" s="463"/>
      <c r="E475" s="463"/>
      <c r="F475" s="496" t="s">
        <v>346</v>
      </c>
      <c r="G475" s="463">
        <v>1</v>
      </c>
      <c r="H475" s="432">
        <f>SUM(H467:H474)</f>
        <v>180</v>
      </c>
      <c r="I475" s="463">
        <f t="shared" si="65"/>
        <v>180</v>
      </c>
      <c r="J475" s="497">
        <v>1</v>
      </c>
      <c r="K475" s="497">
        <f>I475*J475</f>
        <v>180</v>
      </c>
      <c r="L475" s="457">
        <f>SUM(K467:K475)</f>
        <v>751.32</v>
      </c>
    </row>
    <row r="476" s="456" customFormat="1" spans="1:14">
      <c r="A476" s="488">
        <v>45769</v>
      </c>
      <c r="B476" s="489" t="s">
        <v>205</v>
      </c>
      <c r="C476" s="490">
        <v>45769</v>
      </c>
      <c r="D476" s="491"/>
      <c r="E476" s="491"/>
      <c r="F476" s="493" t="s">
        <v>16</v>
      </c>
      <c r="G476" s="491">
        <v>1</v>
      </c>
      <c r="H476" s="431">
        <v>48</v>
      </c>
      <c r="I476" s="491">
        <f t="shared" si="65"/>
        <v>48</v>
      </c>
      <c r="J476" s="492"/>
      <c r="K476" s="492"/>
    </row>
    <row r="477" s="456" customFormat="1" spans="1:14">
      <c r="A477" s="488">
        <v>45769</v>
      </c>
      <c r="B477" s="489" t="s">
        <v>205</v>
      </c>
      <c r="C477" s="490">
        <v>45769</v>
      </c>
      <c r="D477" s="491"/>
      <c r="E477" s="491"/>
      <c r="F477" s="493">
        <v>996</v>
      </c>
      <c r="G477" s="491">
        <v>1</v>
      </c>
      <c r="H477" s="431">
        <v>150</v>
      </c>
      <c r="I477" s="491">
        <f t="shared" si="65"/>
        <v>150</v>
      </c>
      <c r="J477" s="492"/>
      <c r="K477" s="492"/>
    </row>
    <row r="478" s="456" customFormat="1" spans="1:14">
      <c r="A478" s="488">
        <v>45769</v>
      </c>
      <c r="B478" s="489" t="s">
        <v>205</v>
      </c>
      <c r="C478" s="490">
        <v>45769</v>
      </c>
      <c r="D478" s="491"/>
      <c r="E478" s="491"/>
      <c r="F478" s="493" t="s">
        <v>12</v>
      </c>
      <c r="G478" s="491">
        <v>1</v>
      </c>
      <c r="H478" s="431">
        <v>30</v>
      </c>
      <c r="I478" s="491">
        <f t="shared" si="65"/>
        <v>30</v>
      </c>
      <c r="J478" s="492">
        <v>7</v>
      </c>
      <c r="K478" s="492">
        <f t="shared" ref="K478:K480" si="68">I478*J478</f>
        <v>210</v>
      </c>
    </row>
    <row r="479" s="456" customFormat="1" spans="1:14">
      <c r="A479" s="488">
        <v>45769</v>
      </c>
      <c r="B479" s="489" t="s">
        <v>205</v>
      </c>
      <c r="C479" s="490">
        <v>45769</v>
      </c>
      <c r="D479" s="491"/>
      <c r="E479" s="491"/>
      <c r="F479" s="493" t="s">
        <v>152</v>
      </c>
      <c r="G479" s="491">
        <v>1</v>
      </c>
      <c r="H479" s="431">
        <v>30</v>
      </c>
      <c r="I479" s="491">
        <f t="shared" si="65"/>
        <v>30</v>
      </c>
      <c r="J479" s="492">
        <v>7.3</v>
      </c>
      <c r="K479" s="492">
        <f t="shared" si="68"/>
        <v>219</v>
      </c>
    </row>
    <row r="480" s="456" customFormat="1" spans="1:14">
      <c r="A480" s="488">
        <v>45769</v>
      </c>
      <c r="B480" s="489" t="s">
        <v>205</v>
      </c>
      <c r="C480" s="490">
        <v>45769</v>
      </c>
      <c r="D480" s="491"/>
      <c r="E480" s="491"/>
      <c r="F480" s="493" t="s">
        <v>456</v>
      </c>
      <c r="G480" s="491">
        <v>1</v>
      </c>
      <c r="H480" s="431">
        <f>SUM(H476:H479)</f>
        <v>258</v>
      </c>
      <c r="I480" s="491">
        <f t="shared" si="65"/>
        <v>258</v>
      </c>
      <c r="J480" s="492">
        <v>3</v>
      </c>
      <c r="K480" s="492">
        <f t="shared" si="68"/>
        <v>774</v>
      </c>
      <c r="L480" s="456">
        <f>SUM(K476:K480)</f>
        <v>1203</v>
      </c>
    </row>
    <row r="481" s="457" customFormat="1" spans="1:14">
      <c r="A481" s="494">
        <v>45770</v>
      </c>
      <c r="B481" s="442" t="s">
        <v>655</v>
      </c>
      <c r="C481" s="495">
        <v>45769</v>
      </c>
      <c r="D481" s="463"/>
      <c r="E481" s="463"/>
      <c r="F481" s="457" t="s">
        <v>566</v>
      </c>
      <c r="G481" s="442">
        <v>1</v>
      </c>
      <c r="H481" s="442">
        <v>310</v>
      </c>
      <c r="I481" s="463">
        <f t="shared" si="65"/>
        <v>310</v>
      </c>
      <c r="J481" s="497"/>
      <c r="K481" s="497"/>
    </row>
    <row r="482" s="457" customFormat="1" spans="1:14">
      <c r="A482" s="494">
        <v>45770</v>
      </c>
      <c r="B482" s="442" t="s">
        <v>655</v>
      </c>
      <c r="C482" s="495">
        <v>45769</v>
      </c>
      <c r="D482" s="463"/>
      <c r="E482" s="463"/>
      <c r="F482" s="457" t="s">
        <v>567</v>
      </c>
      <c r="G482" s="442">
        <v>1</v>
      </c>
      <c r="H482" s="442">
        <v>1.4</v>
      </c>
      <c r="I482" s="463">
        <f t="shared" si="65"/>
        <v>1.4</v>
      </c>
      <c r="J482" s="497"/>
      <c r="K482" s="497"/>
    </row>
    <row r="483" s="457" customFormat="1" spans="1:14">
      <c r="A483" s="494">
        <v>45770</v>
      </c>
      <c r="B483" s="442" t="s">
        <v>655</v>
      </c>
      <c r="C483" s="495">
        <v>45769</v>
      </c>
      <c r="D483" s="463"/>
      <c r="E483" s="463"/>
      <c r="F483" s="457" t="s">
        <v>191</v>
      </c>
      <c r="G483" s="442">
        <v>1</v>
      </c>
      <c r="H483" s="442">
        <v>9.5</v>
      </c>
      <c r="I483" s="463">
        <f t="shared" si="65"/>
        <v>9.5</v>
      </c>
      <c r="J483" s="497">
        <v>17</v>
      </c>
      <c r="K483" s="497">
        <f t="shared" ref="K483:K487" si="69">I483*J483</f>
        <v>161.5</v>
      </c>
    </row>
    <row r="484" s="457" customFormat="1" spans="1:14">
      <c r="A484" s="494">
        <v>45770</v>
      </c>
      <c r="B484" s="442" t="s">
        <v>655</v>
      </c>
      <c r="C484" s="495">
        <v>45769</v>
      </c>
      <c r="D484" s="463"/>
      <c r="E484" s="463"/>
      <c r="F484" s="457" t="s">
        <v>137</v>
      </c>
      <c r="G484" s="442">
        <v>1</v>
      </c>
      <c r="H484" s="442">
        <v>31</v>
      </c>
      <c r="I484" s="463">
        <f t="shared" si="65"/>
        <v>31</v>
      </c>
      <c r="J484" s="497">
        <v>0.9</v>
      </c>
      <c r="K484" s="497">
        <f t="shared" si="69"/>
        <v>27.9</v>
      </c>
      <c r="L484" s="457" t="s">
        <v>656</v>
      </c>
    </row>
    <row r="485" s="457" customFormat="1" spans="1:14">
      <c r="A485" s="494">
        <v>45770</v>
      </c>
      <c r="B485" s="442" t="s">
        <v>655</v>
      </c>
      <c r="C485" s="495">
        <v>45769</v>
      </c>
      <c r="D485" s="463"/>
      <c r="E485" s="463"/>
      <c r="F485" s="457" t="s">
        <v>132</v>
      </c>
      <c r="G485" s="442">
        <v>1</v>
      </c>
      <c r="H485" s="442">
        <v>1.9</v>
      </c>
      <c r="I485" s="463">
        <f t="shared" si="65"/>
        <v>1.9</v>
      </c>
      <c r="J485" s="497">
        <v>3.5</v>
      </c>
      <c r="K485" s="497">
        <f t="shared" si="69"/>
        <v>6.65</v>
      </c>
    </row>
    <row r="486" s="457" customFormat="1" spans="1:14">
      <c r="A486" s="494">
        <v>45770</v>
      </c>
      <c r="B486" s="442" t="s">
        <v>655</v>
      </c>
      <c r="C486" s="495">
        <v>45769</v>
      </c>
      <c r="D486" s="463"/>
      <c r="E486" s="463"/>
      <c r="F486" s="496" t="s">
        <v>125</v>
      </c>
      <c r="G486" s="442">
        <v>1</v>
      </c>
      <c r="H486" s="442">
        <v>1.2</v>
      </c>
      <c r="I486" s="463">
        <f t="shared" si="65"/>
        <v>1.2</v>
      </c>
      <c r="J486" s="497">
        <v>6.3</v>
      </c>
      <c r="K486" s="497">
        <f t="shared" si="69"/>
        <v>7.56</v>
      </c>
    </row>
    <row r="487" s="457" customFormat="1" ht="19" customHeight="1" spans="1:14">
      <c r="A487" s="494">
        <v>45770</v>
      </c>
      <c r="B487" s="442" t="s">
        <v>655</v>
      </c>
      <c r="C487" s="495">
        <v>45769</v>
      </c>
      <c r="D487" s="463"/>
      <c r="E487" s="463"/>
      <c r="F487" s="457" t="s">
        <v>657</v>
      </c>
      <c r="G487" s="442">
        <v>1</v>
      </c>
      <c r="H487" s="442">
        <f>SUM(H481:H486)</f>
        <v>355</v>
      </c>
      <c r="I487" s="463">
        <f t="shared" si="65"/>
        <v>355</v>
      </c>
      <c r="J487" s="497">
        <v>1</v>
      </c>
      <c r="K487" s="497">
        <f t="shared" si="69"/>
        <v>355</v>
      </c>
    </row>
    <row r="488" s="457" customFormat="1" ht="19" customHeight="1" spans="1:14">
      <c r="A488" s="494">
        <v>45770</v>
      </c>
      <c r="B488" s="442" t="s">
        <v>655</v>
      </c>
      <c r="C488" s="495">
        <v>45769</v>
      </c>
      <c r="D488" s="463"/>
      <c r="E488" s="463"/>
      <c r="F488" s="457" t="s">
        <v>596</v>
      </c>
      <c r="G488" s="442">
        <v>5</v>
      </c>
      <c r="H488" s="442">
        <v>1</v>
      </c>
      <c r="I488" s="463">
        <f t="shared" ref="I488:I495" si="70">G488*H488</f>
        <v>5</v>
      </c>
      <c r="J488" s="497">
        <v>12.5</v>
      </c>
      <c r="K488" s="497">
        <f t="shared" ref="K488:K491" si="71">I488*J488</f>
        <v>62.5</v>
      </c>
    </row>
    <row r="489" s="457" customFormat="1" ht="19" customHeight="1" spans="1:14">
      <c r="A489" s="494">
        <v>45770</v>
      </c>
      <c r="B489" s="442" t="s">
        <v>655</v>
      </c>
      <c r="C489" s="495">
        <v>45769</v>
      </c>
      <c r="D489" s="463"/>
      <c r="E489" s="463"/>
      <c r="F489" s="457" t="s">
        <v>658</v>
      </c>
      <c r="G489" s="442">
        <v>7</v>
      </c>
      <c r="H489" s="442">
        <v>1</v>
      </c>
      <c r="I489" s="463">
        <f t="shared" si="70"/>
        <v>7</v>
      </c>
      <c r="J489" s="497">
        <v>12.5</v>
      </c>
      <c r="K489" s="497">
        <f t="shared" si="71"/>
        <v>87.5</v>
      </c>
      <c r="L489" s="457">
        <f>SUM(K481:K489)</f>
        <v>708.61</v>
      </c>
      <c r="M489" s="461" t="s">
        <v>659</v>
      </c>
    </row>
    <row r="490" s="456" customFormat="1" spans="1:14">
      <c r="A490" s="488">
        <v>45770</v>
      </c>
      <c r="B490" s="489" t="s">
        <v>385</v>
      </c>
      <c r="C490" s="490" t="s">
        <v>660</v>
      </c>
      <c r="D490" s="491"/>
      <c r="E490" s="491"/>
      <c r="F490" s="493" t="s">
        <v>176</v>
      </c>
      <c r="G490" s="491">
        <v>1</v>
      </c>
      <c r="H490" s="431">
        <v>200</v>
      </c>
      <c r="I490" s="491">
        <f t="shared" si="70"/>
        <v>200</v>
      </c>
      <c r="J490" s="492"/>
      <c r="K490" s="492"/>
    </row>
    <row r="491" s="456" customFormat="1" spans="1:14">
      <c r="A491" s="488">
        <v>45770</v>
      </c>
      <c r="B491" s="489" t="s">
        <v>385</v>
      </c>
      <c r="C491" s="490" t="s">
        <v>660</v>
      </c>
      <c r="D491" s="491"/>
      <c r="E491" s="491"/>
      <c r="F491" s="493" t="s">
        <v>170</v>
      </c>
      <c r="G491" s="491">
        <v>1</v>
      </c>
      <c r="H491" s="431">
        <v>25</v>
      </c>
      <c r="I491" s="491">
        <f t="shared" si="70"/>
        <v>25</v>
      </c>
      <c r="J491" s="492">
        <v>75</v>
      </c>
      <c r="K491" s="492">
        <f t="shared" si="71"/>
        <v>1875</v>
      </c>
      <c r="L491" s="536"/>
      <c r="M491" s="536"/>
      <c r="N491" s="536"/>
    </row>
    <row r="492" s="456" customFormat="1" spans="1:14">
      <c r="A492" s="488">
        <v>45770</v>
      </c>
      <c r="B492" s="489" t="s">
        <v>385</v>
      </c>
      <c r="C492" s="490" t="s">
        <v>660</v>
      </c>
      <c r="D492" s="491"/>
      <c r="E492" s="491"/>
      <c r="F492" s="493" t="s">
        <v>171</v>
      </c>
      <c r="G492" s="491">
        <v>1</v>
      </c>
      <c r="H492" s="431">
        <v>100</v>
      </c>
      <c r="I492" s="491">
        <f t="shared" si="70"/>
        <v>100</v>
      </c>
      <c r="J492" s="492"/>
      <c r="K492" s="492"/>
      <c r="L492" s="536"/>
      <c r="M492" s="536"/>
      <c r="N492" s="536"/>
    </row>
    <row r="493" s="456" customFormat="1" spans="1:14">
      <c r="A493" s="488">
        <v>45770</v>
      </c>
      <c r="B493" s="489" t="s">
        <v>385</v>
      </c>
      <c r="C493" s="490" t="s">
        <v>660</v>
      </c>
      <c r="D493" s="491"/>
      <c r="E493" s="491"/>
      <c r="F493" s="493">
        <v>808</v>
      </c>
      <c r="G493" s="491">
        <v>1</v>
      </c>
      <c r="H493" s="431">
        <v>300</v>
      </c>
      <c r="I493" s="491">
        <f t="shared" si="70"/>
        <v>300</v>
      </c>
      <c r="J493" s="492">
        <v>9.7</v>
      </c>
      <c r="K493" s="492">
        <f t="shared" ref="K493:K495" si="72">I493*J493</f>
        <v>2910</v>
      </c>
      <c r="L493" s="536" t="s">
        <v>472</v>
      </c>
      <c r="M493" s="536"/>
      <c r="N493" s="536"/>
    </row>
    <row r="494" s="456" customFormat="1" spans="1:14">
      <c r="A494" s="488">
        <v>45770</v>
      </c>
      <c r="B494" s="489" t="s">
        <v>385</v>
      </c>
      <c r="C494" s="490" t="s">
        <v>660</v>
      </c>
      <c r="D494" s="491"/>
      <c r="E494" s="491"/>
      <c r="F494" s="493" t="s">
        <v>125</v>
      </c>
      <c r="G494" s="491">
        <v>1</v>
      </c>
      <c r="H494" s="431">
        <v>125</v>
      </c>
      <c r="I494" s="491">
        <f t="shared" si="70"/>
        <v>125</v>
      </c>
      <c r="J494" s="492">
        <v>6.3</v>
      </c>
      <c r="K494" s="492">
        <f t="shared" si="72"/>
        <v>787.5</v>
      </c>
      <c r="L494" s="536"/>
      <c r="M494" s="536" t="s">
        <v>473</v>
      </c>
      <c r="N494" s="536"/>
    </row>
    <row r="495" s="456" customFormat="1" spans="1:14">
      <c r="A495" s="488">
        <v>45770</v>
      </c>
      <c r="B495" s="489" t="s">
        <v>385</v>
      </c>
      <c r="C495" s="490" t="s">
        <v>660</v>
      </c>
      <c r="D495" s="491"/>
      <c r="E495" s="491"/>
      <c r="F495" s="493" t="s">
        <v>179</v>
      </c>
      <c r="G495" s="491">
        <v>1</v>
      </c>
      <c r="H495" s="431">
        <f>SUM(H490:H494)</f>
        <v>750</v>
      </c>
      <c r="I495" s="491">
        <f t="shared" si="70"/>
        <v>750</v>
      </c>
      <c r="J495" s="492">
        <v>7.5</v>
      </c>
      <c r="K495" s="492">
        <f t="shared" si="72"/>
        <v>5625</v>
      </c>
      <c r="L495" s="536">
        <f>SUM(K490:K495)</f>
        <v>11197.5</v>
      </c>
      <c r="M495" s="536"/>
      <c r="N495" s="536"/>
    </row>
    <row r="496" s="457" customFormat="1" spans="1:14">
      <c r="A496" s="494">
        <v>45770</v>
      </c>
      <c r="B496" s="442" t="s">
        <v>324</v>
      </c>
      <c r="C496" s="495">
        <v>45770</v>
      </c>
      <c r="D496" s="463"/>
      <c r="E496" s="463"/>
      <c r="F496" s="496" t="s">
        <v>251</v>
      </c>
      <c r="G496" s="442">
        <v>1</v>
      </c>
      <c r="H496" s="432">
        <v>240</v>
      </c>
      <c r="I496" s="463">
        <f t="shared" ref="I496:I505" si="73">G496*H496</f>
        <v>240</v>
      </c>
      <c r="J496" s="497"/>
      <c r="K496" s="497"/>
    </row>
    <row r="497" s="457" customFormat="1" spans="1:19">
      <c r="A497" s="494">
        <v>45770</v>
      </c>
      <c r="B497" s="442" t="s">
        <v>324</v>
      </c>
      <c r="C497" s="495">
        <v>45770</v>
      </c>
      <c r="D497" s="463"/>
      <c r="E497" s="463"/>
      <c r="F497" s="496" t="s">
        <v>13</v>
      </c>
      <c r="G497" s="442">
        <v>1</v>
      </c>
      <c r="H497" s="432">
        <v>240</v>
      </c>
      <c r="I497" s="463">
        <f t="shared" si="73"/>
        <v>240</v>
      </c>
      <c r="J497" s="497"/>
      <c r="K497" s="497"/>
    </row>
    <row r="498" s="457" customFormat="1" spans="1:19">
      <c r="A498" s="494">
        <v>45770</v>
      </c>
      <c r="B498" s="442" t="s">
        <v>324</v>
      </c>
      <c r="C498" s="495">
        <v>45770</v>
      </c>
      <c r="D498" s="463"/>
      <c r="E498" s="463"/>
      <c r="F498" s="496" t="s">
        <v>533</v>
      </c>
      <c r="G498" s="442">
        <v>1</v>
      </c>
      <c r="H498" s="432">
        <v>61</v>
      </c>
      <c r="I498" s="463">
        <f t="shared" si="73"/>
        <v>61</v>
      </c>
      <c r="J498" s="497"/>
      <c r="K498" s="497"/>
    </row>
    <row r="499" s="457" customFormat="1" spans="1:19">
      <c r="A499" s="494">
        <v>45770</v>
      </c>
      <c r="B499" s="442" t="s">
        <v>324</v>
      </c>
      <c r="C499" s="495">
        <v>45770</v>
      </c>
      <c r="D499" s="463"/>
      <c r="E499" s="463"/>
      <c r="F499" s="496" t="s">
        <v>547</v>
      </c>
      <c r="G499" s="442">
        <v>1</v>
      </c>
      <c r="H499" s="432">
        <v>257</v>
      </c>
      <c r="I499" s="463">
        <f t="shared" si="73"/>
        <v>257</v>
      </c>
      <c r="J499" s="497"/>
      <c r="K499" s="497"/>
      <c r="L499" s="457" t="s">
        <v>116</v>
      </c>
      <c r="M499" s="457" t="s">
        <v>314</v>
      </c>
    </row>
    <row r="500" s="457" customFormat="1" spans="1:19">
      <c r="A500" s="494">
        <v>45770</v>
      </c>
      <c r="B500" s="442" t="s">
        <v>324</v>
      </c>
      <c r="C500" s="495">
        <v>45770</v>
      </c>
      <c r="D500" s="463"/>
      <c r="E500" s="463"/>
      <c r="F500" s="496" t="s">
        <v>115</v>
      </c>
      <c r="G500" s="442">
        <v>1</v>
      </c>
      <c r="H500" s="432">
        <v>150</v>
      </c>
      <c r="I500" s="463">
        <f t="shared" si="73"/>
        <v>150</v>
      </c>
      <c r="J500" s="497"/>
      <c r="K500" s="497"/>
      <c r="L500" s="457" t="s">
        <v>661</v>
      </c>
    </row>
    <row r="501" s="457" customFormat="1" spans="1:19">
      <c r="A501" s="494">
        <v>45770</v>
      </c>
      <c r="B501" s="442" t="s">
        <v>324</v>
      </c>
      <c r="C501" s="495">
        <v>45770</v>
      </c>
      <c r="D501" s="463"/>
      <c r="E501" s="463"/>
      <c r="F501" s="496">
        <v>808</v>
      </c>
      <c r="G501" s="442">
        <v>1</v>
      </c>
      <c r="H501" s="432">
        <v>30</v>
      </c>
      <c r="I501" s="463">
        <f t="shared" si="73"/>
        <v>30</v>
      </c>
      <c r="J501" s="497">
        <v>9.7</v>
      </c>
      <c r="K501" s="497">
        <f t="shared" ref="K501:K505" si="74">I501*J501</f>
        <v>291</v>
      </c>
    </row>
    <row r="502" s="457" customFormat="1" spans="1:19">
      <c r="A502" s="494">
        <v>45770</v>
      </c>
      <c r="B502" s="442" t="s">
        <v>324</v>
      </c>
      <c r="C502" s="495">
        <v>45770</v>
      </c>
      <c r="D502" s="463"/>
      <c r="E502" s="463"/>
      <c r="F502" s="496" t="s">
        <v>152</v>
      </c>
      <c r="G502" s="442">
        <v>1</v>
      </c>
      <c r="H502" s="432">
        <v>83</v>
      </c>
      <c r="I502" s="463">
        <f t="shared" si="73"/>
        <v>83</v>
      </c>
      <c r="J502" s="497">
        <v>7.3</v>
      </c>
      <c r="K502" s="497">
        <f t="shared" si="74"/>
        <v>605.9</v>
      </c>
    </row>
    <row r="503" s="457" customFormat="1" spans="1:19">
      <c r="A503" s="494">
        <v>45770</v>
      </c>
      <c r="B503" s="442" t="s">
        <v>324</v>
      </c>
      <c r="C503" s="495">
        <v>45770</v>
      </c>
      <c r="D503" s="463"/>
      <c r="E503" s="463"/>
      <c r="F503" s="496" t="s">
        <v>125</v>
      </c>
      <c r="G503" s="442">
        <v>1</v>
      </c>
      <c r="H503" s="432">
        <v>139</v>
      </c>
      <c r="I503" s="463">
        <f t="shared" si="73"/>
        <v>139</v>
      </c>
      <c r="J503" s="497">
        <v>6.3</v>
      </c>
      <c r="K503" s="497">
        <f t="shared" si="74"/>
        <v>875.7</v>
      </c>
    </row>
    <row r="504" s="457" customFormat="1" spans="1:19">
      <c r="A504" s="494">
        <v>45770</v>
      </c>
      <c r="B504" s="442" t="s">
        <v>324</v>
      </c>
      <c r="C504" s="495">
        <v>45770</v>
      </c>
      <c r="D504" s="463"/>
      <c r="E504" s="463"/>
      <c r="F504" s="496" t="s">
        <v>17</v>
      </c>
      <c r="G504" s="442">
        <v>1</v>
      </c>
      <c r="H504" s="432">
        <f>SUM(H496:H503)</f>
        <v>1200</v>
      </c>
      <c r="I504" s="463">
        <f t="shared" si="73"/>
        <v>1200</v>
      </c>
      <c r="J504" s="497">
        <v>1</v>
      </c>
      <c r="K504" s="497">
        <f t="shared" si="74"/>
        <v>1200</v>
      </c>
      <c r="L504" s="457">
        <f>SUM(K496:K505)</f>
        <v>3222.6</v>
      </c>
      <c r="O504" s="457" t="s">
        <v>633</v>
      </c>
      <c r="S504" s="526"/>
    </row>
    <row r="505" s="457" customFormat="1" spans="1:19">
      <c r="A505" s="494">
        <v>45770</v>
      </c>
      <c r="B505" s="442" t="s">
        <v>324</v>
      </c>
      <c r="C505" s="495">
        <v>45770</v>
      </c>
      <c r="D505" s="463"/>
      <c r="E505" s="463"/>
      <c r="F505" s="496" t="s">
        <v>596</v>
      </c>
      <c r="G505" s="442">
        <v>20</v>
      </c>
      <c r="H505" s="432">
        <v>1</v>
      </c>
      <c r="I505" s="463">
        <f t="shared" si="73"/>
        <v>20</v>
      </c>
      <c r="J505" s="497">
        <v>12.5</v>
      </c>
      <c r="K505" s="533">
        <f t="shared" si="74"/>
        <v>250</v>
      </c>
      <c r="S505" s="526"/>
    </row>
    <row r="506" s="456" customFormat="1" spans="1:19">
      <c r="A506" s="488">
        <v>45771</v>
      </c>
      <c r="B506" s="489" t="s">
        <v>327</v>
      </c>
      <c r="C506" s="528">
        <v>45771</v>
      </c>
      <c r="D506" s="528"/>
      <c r="E506" s="529"/>
      <c r="F506" s="493" t="s">
        <v>251</v>
      </c>
      <c r="G506" s="491">
        <v>1</v>
      </c>
      <c r="H506" s="431">
        <v>200</v>
      </c>
      <c r="I506" s="491">
        <f t="shared" ref="I506:I523" si="75">G506*H506</f>
        <v>200</v>
      </c>
      <c r="J506" s="492"/>
      <c r="K506" s="492"/>
    </row>
    <row r="507" s="456" customFormat="1" spans="1:19">
      <c r="A507" s="488">
        <v>45771</v>
      </c>
      <c r="B507" s="489" t="s">
        <v>327</v>
      </c>
      <c r="C507" s="528">
        <v>45771</v>
      </c>
      <c r="D507" s="528"/>
      <c r="E507" s="529"/>
      <c r="F507" s="493" t="s">
        <v>129</v>
      </c>
      <c r="G507" s="491">
        <v>1</v>
      </c>
      <c r="H507" s="431">
        <v>150</v>
      </c>
      <c r="I507" s="491">
        <f t="shared" si="75"/>
        <v>150</v>
      </c>
      <c r="J507" s="492"/>
      <c r="K507" s="492"/>
    </row>
    <row r="508" s="456" customFormat="1" spans="1:19">
      <c r="A508" s="488">
        <v>45771</v>
      </c>
      <c r="B508" s="489" t="s">
        <v>327</v>
      </c>
      <c r="C508" s="528">
        <v>45771</v>
      </c>
      <c r="D508" s="528"/>
      <c r="E508" s="529"/>
      <c r="F508" s="493">
        <v>808</v>
      </c>
      <c r="G508" s="491">
        <v>1</v>
      </c>
      <c r="H508" s="431">
        <v>200</v>
      </c>
      <c r="I508" s="491">
        <f t="shared" si="75"/>
        <v>200</v>
      </c>
      <c r="J508" s="492">
        <v>9.7</v>
      </c>
      <c r="K508" s="492">
        <f>I508*J508</f>
        <v>1940</v>
      </c>
    </row>
    <row r="509" s="456" customFormat="1" spans="1:19">
      <c r="A509" s="488">
        <v>45771</v>
      </c>
      <c r="B509" s="489" t="s">
        <v>327</v>
      </c>
      <c r="C509" s="528">
        <v>45771</v>
      </c>
      <c r="D509" s="528"/>
      <c r="E509" s="529"/>
      <c r="F509" s="493" t="s">
        <v>125</v>
      </c>
      <c r="G509" s="491">
        <v>1</v>
      </c>
      <c r="H509" s="431">
        <v>60</v>
      </c>
      <c r="I509" s="491">
        <f t="shared" si="75"/>
        <v>60</v>
      </c>
      <c r="J509" s="492">
        <v>6.3</v>
      </c>
      <c r="K509" s="492">
        <f>I509*J509</f>
        <v>378</v>
      </c>
    </row>
    <row r="510" s="456" customFormat="1" spans="1:19">
      <c r="A510" s="488">
        <v>45771</v>
      </c>
      <c r="B510" s="489" t="s">
        <v>327</v>
      </c>
      <c r="C510" s="528">
        <v>45771</v>
      </c>
      <c r="D510" s="528"/>
      <c r="E510" s="529"/>
      <c r="F510" s="493" t="s">
        <v>152</v>
      </c>
      <c r="G510" s="491">
        <v>1</v>
      </c>
      <c r="H510" s="431">
        <v>125</v>
      </c>
      <c r="I510" s="491">
        <f t="shared" si="75"/>
        <v>125</v>
      </c>
      <c r="J510" s="492">
        <v>7.3</v>
      </c>
      <c r="K510" s="492">
        <f>I510*J510</f>
        <v>912.5</v>
      </c>
    </row>
    <row r="511" s="456" customFormat="1" spans="1:19">
      <c r="A511" s="488">
        <v>45771</v>
      </c>
      <c r="B511" s="489" t="s">
        <v>327</v>
      </c>
      <c r="C511" s="528">
        <v>45771</v>
      </c>
      <c r="D511" s="528"/>
      <c r="E511" s="529"/>
      <c r="F511" s="493" t="s">
        <v>533</v>
      </c>
      <c r="G511" s="491">
        <v>1</v>
      </c>
      <c r="H511" s="431">
        <v>51</v>
      </c>
      <c r="I511" s="491">
        <f t="shared" si="75"/>
        <v>51</v>
      </c>
      <c r="J511" s="492"/>
      <c r="K511" s="492"/>
      <c r="N511" s="456" t="s">
        <v>598</v>
      </c>
    </row>
    <row r="512" s="456" customFormat="1" spans="1:19">
      <c r="A512" s="488">
        <v>45771</v>
      </c>
      <c r="B512" s="489" t="s">
        <v>327</v>
      </c>
      <c r="C512" s="528">
        <v>45771</v>
      </c>
      <c r="D512" s="528"/>
      <c r="E512" s="529"/>
      <c r="F512" s="493" t="s">
        <v>547</v>
      </c>
      <c r="G512" s="491">
        <v>1</v>
      </c>
      <c r="H512" s="431">
        <v>214</v>
      </c>
      <c r="I512" s="491">
        <f t="shared" si="75"/>
        <v>214</v>
      </c>
      <c r="J512" s="492"/>
      <c r="K512" s="492"/>
      <c r="M512" s="456" t="s">
        <v>126</v>
      </c>
    </row>
    <row r="513" s="456" customFormat="1" spans="1:14">
      <c r="A513" s="488">
        <v>45771</v>
      </c>
      <c r="B513" s="489" t="s">
        <v>327</v>
      </c>
      <c r="C513" s="528">
        <v>45771</v>
      </c>
      <c r="D513" s="528"/>
      <c r="E513" s="529"/>
      <c r="F513" s="493" t="s">
        <v>130</v>
      </c>
      <c r="G513" s="491">
        <v>1</v>
      </c>
      <c r="H513" s="431">
        <f>SUM(H506:H512)</f>
        <v>1000</v>
      </c>
      <c r="I513" s="491">
        <f t="shared" si="75"/>
        <v>1000</v>
      </c>
      <c r="J513" s="492">
        <v>1</v>
      </c>
      <c r="K513" s="492">
        <f t="shared" ref="K513:K516" si="76">I513*J513</f>
        <v>1000</v>
      </c>
    </row>
    <row r="514" s="456" customFormat="1" spans="1:14">
      <c r="A514" s="488">
        <v>45771</v>
      </c>
      <c r="B514" s="489" t="s">
        <v>327</v>
      </c>
      <c r="C514" s="528">
        <v>45771</v>
      </c>
      <c r="D514" s="528"/>
      <c r="E514" s="529"/>
      <c r="F514" s="493" t="s">
        <v>596</v>
      </c>
      <c r="G514" s="491">
        <v>15</v>
      </c>
      <c r="H514" s="431">
        <v>1</v>
      </c>
      <c r="I514" s="491">
        <f t="shared" si="75"/>
        <v>15</v>
      </c>
      <c r="J514" s="492">
        <v>12.5</v>
      </c>
      <c r="K514" s="492">
        <f t="shared" si="76"/>
        <v>187.5</v>
      </c>
      <c r="L514" s="456">
        <f>SUM(K506:K514)</f>
        <v>4418</v>
      </c>
    </row>
    <row r="515" s="457" customFormat="1" spans="1:14">
      <c r="A515" s="494">
        <v>45771</v>
      </c>
      <c r="B515" s="442" t="s">
        <v>334</v>
      </c>
      <c r="C515" s="495" t="s">
        <v>660</v>
      </c>
      <c r="D515" s="463"/>
      <c r="E515" s="463"/>
      <c r="F515" s="496" t="s">
        <v>176</v>
      </c>
      <c r="G515" s="463">
        <v>1</v>
      </c>
      <c r="H515" s="432">
        <v>50</v>
      </c>
      <c r="I515" s="463">
        <f t="shared" si="75"/>
        <v>50</v>
      </c>
      <c r="J515" s="497"/>
      <c r="K515" s="497"/>
    </row>
    <row r="516" s="457" customFormat="1" spans="1:14">
      <c r="A516" s="494">
        <v>45771</v>
      </c>
      <c r="B516" s="442" t="s">
        <v>334</v>
      </c>
      <c r="C516" s="495" t="s">
        <v>660</v>
      </c>
      <c r="D516" s="463"/>
      <c r="E516" s="463"/>
      <c r="F516" s="496" t="s">
        <v>662</v>
      </c>
      <c r="G516" s="463">
        <v>1</v>
      </c>
      <c r="H516" s="432">
        <v>2</v>
      </c>
      <c r="I516" s="463">
        <f t="shared" si="75"/>
        <v>2</v>
      </c>
      <c r="J516" s="497"/>
      <c r="K516" s="497"/>
      <c r="L516" s="537"/>
      <c r="M516" s="537"/>
      <c r="N516" s="537"/>
    </row>
    <row r="517" s="457" customFormat="1" spans="1:14">
      <c r="A517" s="494">
        <v>45771</v>
      </c>
      <c r="B517" s="442" t="s">
        <v>334</v>
      </c>
      <c r="C517" s="495" t="s">
        <v>660</v>
      </c>
      <c r="D517" s="463"/>
      <c r="E517" s="463"/>
      <c r="F517" s="496" t="s">
        <v>663</v>
      </c>
      <c r="G517" s="463">
        <v>1</v>
      </c>
      <c r="H517" s="432">
        <v>25</v>
      </c>
      <c r="I517" s="463">
        <f t="shared" si="75"/>
        <v>25</v>
      </c>
      <c r="J517" s="497"/>
      <c r="K517" s="497"/>
      <c r="L517" s="537"/>
      <c r="M517" s="537"/>
      <c r="N517" s="537"/>
    </row>
    <row r="518" s="457" customFormat="1" spans="1:14">
      <c r="A518" s="494">
        <v>45771</v>
      </c>
      <c r="B518" s="442" t="s">
        <v>334</v>
      </c>
      <c r="C518" s="495" t="s">
        <v>660</v>
      </c>
      <c r="D518" s="463"/>
      <c r="E518" s="463"/>
      <c r="F518" s="496">
        <v>808</v>
      </c>
      <c r="G518" s="463">
        <v>1</v>
      </c>
      <c r="H518" s="432">
        <v>45</v>
      </c>
      <c r="I518" s="463">
        <f t="shared" si="75"/>
        <v>45</v>
      </c>
      <c r="J518" s="497">
        <v>9.7</v>
      </c>
      <c r="K518" s="497">
        <f>I518*J518</f>
        <v>436.5</v>
      </c>
      <c r="L518" s="537" t="s">
        <v>472</v>
      </c>
      <c r="M518" s="537"/>
      <c r="N518" s="537"/>
    </row>
    <row r="519" s="457" customFormat="1" spans="1:14">
      <c r="A519" s="494">
        <v>45771</v>
      </c>
      <c r="B519" s="442" t="s">
        <v>334</v>
      </c>
      <c r="C519" s="495" t="s">
        <v>660</v>
      </c>
      <c r="D519" s="463"/>
      <c r="E519" s="463"/>
      <c r="F519" s="496" t="s">
        <v>125</v>
      </c>
      <c r="G519" s="463">
        <v>1</v>
      </c>
      <c r="H519" s="432">
        <v>50</v>
      </c>
      <c r="I519" s="463">
        <f t="shared" si="75"/>
        <v>50</v>
      </c>
      <c r="J519" s="497">
        <v>6.3</v>
      </c>
      <c r="K519" s="497">
        <f>I519*J519</f>
        <v>315</v>
      </c>
      <c r="L519" s="537"/>
      <c r="M519" s="537" t="s">
        <v>473</v>
      </c>
      <c r="N519" s="537"/>
    </row>
    <row r="520" s="457" customFormat="1" spans="1:14">
      <c r="A520" s="494">
        <v>45771</v>
      </c>
      <c r="B520" s="442" t="s">
        <v>334</v>
      </c>
      <c r="C520" s="495" t="s">
        <v>660</v>
      </c>
      <c r="D520" s="463"/>
      <c r="E520" s="463"/>
      <c r="F520" s="496" t="s">
        <v>412</v>
      </c>
      <c r="G520" s="463">
        <v>1</v>
      </c>
      <c r="H520" s="432">
        <f>SUM(H515:H519)</f>
        <v>172</v>
      </c>
      <c r="I520" s="463">
        <f t="shared" si="75"/>
        <v>172</v>
      </c>
      <c r="J520" s="497">
        <v>5</v>
      </c>
      <c r="K520" s="497">
        <f>I520*J520</f>
        <v>860</v>
      </c>
      <c r="L520" s="537">
        <f>SUM(K515:K520)</f>
        <v>1611.5</v>
      </c>
      <c r="M520" s="537"/>
      <c r="N520" s="537"/>
    </row>
    <row r="521" s="456" customFormat="1" spans="1:14">
      <c r="A521" s="488">
        <v>45771</v>
      </c>
      <c r="B521" s="489" t="s">
        <v>105</v>
      </c>
      <c r="C521" s="490">
        <v>45771</v>
      </c>
      <c r="D521" s="491"/>
      <c r="E521" s="491"/>
      <c r="F521" s="493" t="s">
        <v>16</v>
      </c>
      <c r="G521" s="491">
        <v>1</v>
      </c>
      <c r="H521" s="431">
        <v>90</v>
      </c>
      <c r="I521" s="491">
        <f t="shared" si="75"/>
        <v>90</v>
      </c>
      <c r="J521" s="492"/>
      <c r="K521" s="492"/>
    </row>
    <row r="522" s="456" customFormat="1" spans="1:14">
      <c r="A522" s="488">
        <v>45771</v>
      </c>
      <c r="B522" s="489" t="s">
        <v>105</v>
      </c>
      <c r="C522" s="490">
        <v>45771</v>
      </c>
      <c r="D522" s="491"/>
      <c r="E522" s="491"/>
      <c r="F522" s="493" t="s">
        <v>300</v>
      </c>
      <c r="G522" s="491">
        <v>1</v>
      </c>
      <c r="H522" s="431">
        <v>90</v>
      </c>
      <c r="I522" s="491">
        <f t="shared" si="75"/>
        <v>90</v>
      </c>
      <c r="J522" s="492"/>
      <c r="K522" s="492"/>
    </row>
    <row r="523" s="456" customFormat="1" spans="1:14">
      <c r="A523" s="488">
        <v>45771</v>
      </c>
      <c r="B523" s="489" t="s">
        <v>105</v>
      </c>
      <c r="C523" s="490">
        <v>45771</v>
      </c>
      <c r="D523" s="491"/>
      <c r="E523" s="491"/>
      <c r="F523" s="493" t="s">
        <v>546</v>
      </c>
      <c r="G523" s="491">
        <v>1</v>
      </c>
      <c r="H523" s="431">
        <v>128</v>
      </c>
      <c r="I523" s="491">
        <f t="shared" si="75"/>
        <v>128</v>
      </c>
      <c r="J523" s="492"/>
      <c r="K523" s="492"/>
    </row>
    <row r="524" s="456" customFormat="1" spans="1:14">
      <c r="A524" s="488">
        <v>45771</v>
      </c>
      <c r="B524" s="489" t="s">
        <v>105</v>
      </c>
      <c r="C524" s="490">
        <v>45771</v>
      </c>
      <c r="D524" s="491"/>
      <c r="E524" s="491"/>
      <c r="F524" s="493">
        <v>808</v>
      </c>
      <c r="G524" s="491">
        <v>1</v>
      </c>
      <c r="H524" s="431">
        <v>60</v>
      </c>
      <c r="I524" s="491">
        <f t="shared" ref="I524:I535" si="77">G524*H524</f>
        <v>60</v>
      </c>
      <c r="J524" s="492">
        <v>9.7</v>
      </c>
      <c r="K524" s="492">
        <f t="shared" ref="K524:K526" si="78">I524*J524</f>
        <v>582</v>
      </c>
      <c r="L524" s="456" t="s">
        <v>436</v>
      </c>
    </row>
    <row r="525" s="456" customFormat="1" spans="1:14">
      <c r="A525" s="488">
        <v>45771</v>
      </c>
      <c r="B525" s="489" t="s">
        <v>105</v>
      </c>
      <c r="C525" s="490">
        <v>45771</v>
      </c>
      <c r="D525" s="491"/>
      <c r="E525" s="491"/>
      <c r="F525" s="493" t="s">
        <v>125</v>
      </c>
      <c r="G525" s="491">
        <v>1</v>
      </c>
      <c r="H525" s="431">
        <v>130</v>
      </c>
      <c r="I525" s="491">
        <f t="shared" si="77"/>
        <v>130</v>
      </c>
      <c r="J525" s="492">
        <v>6.3</v>
      </c>
      <c r="K525" s="492">
        <f t="shared" si="78"/>
        <v>819</v>
      </c>
    </row>
    <row r="526" s="456" customFormat="1" spans="1:14">
      <c r="A526" s="488">
        <v>45771</v>
      </c>
      <c r="B526" s="489" t="s">
        <v>105</v>
      </c>
      <c r="C526" s="490">
        <v>45771</v>
      </c>
      <c r="D526" s="491"/>
      <c r="E526" s="491"/>
      <c r="F526" s="493" t="s">
        <v>12</v>
      </c>
      <c r="G526" s="491">
        <v>1</v>
      </c>
      <c r="H526" s="431">
        <v>12</v>
      </c>
      <c r="I526" s="491">
        <f t="shared" si="77"/>
        <v>12</v>
      </c>
      <c r="J526" s="492">
        <v>7</v>
      </c>
      <c r="K526" s="492">
        <f t="shared" si="78"/>
        <v>84</v>
      </c>
      <c r="N526" s="456">
        <f>SUBTOTAL(9,K257:K428)</f>
        <v>132532.022</v>
      </c>
    </row>
    <row r="527" s="456" customFormat="1" spans="1:14">
      <c r="A527" s="488">
        <v>45771</v>
      </c>
      <c r="B527" s="489" t="s">
        <v>105</v>
      </c>
      <c r="C527" s="490">
        <v>45771</v>
      </c>
      <c r="D527" s="491"/>
      <c r="E527" s="491"/>
      <c r="F527" s="493" t="s">
        <v>240</v>
      </c>
      <c r="G527" s="491">
        <v>1</v>
      </c>
      <c r="H527" s="431">
        <v>90</v>
      </c>
      <c r="I527" s="491">
        <f t="shared" si="77"/>
        <v>90</v>
      </c>
      <c r="J527" s="492"/>
      <c r="K527" s="492"/>
    </row>
    <row r="528" s="456" customFormat="1" spans="1:14">
      <c r="A528" s="488">
        <v>45771</v>
      </c>
      <c r="B528" s="489" t="s">
        <v>105</v>
      </c>
      <c r="C528" s="490">
        <v>45771</v>
      </c>
      <c r="D528" s="491"/>
      <c r="E528" s="491"/>
      <c r="F528" s="493" t="s">
        <v>301</v>
      </c>
      <c r="G528" s="491">
        <v>1</v>
      </c>
      <c r="H528" s="431">
        <f>SUM(H521:H527)</f>
        <v>600</v>
      </c>
      <c r="I528" s="491">
        <f t="shared" si="77"/>
        <v>600</v>
      </c>
      <c r="J528" s="492">
        <v>1</v>
      </c>
      <c r="K528" s="492">
        <f t="shared" ref="K528:K534" si="79">I528*J528</f>
        <v>600</v>
      </c>
    </row>
    <row r="529" s="456" customFormat="1" spans="1:14">
      <c r="A529" s="488">
        <v>45771</v>
      </c>
      <c r="B529" s="489" t="s">
        <v>105</v>
      </c>
      <c r="C529" s="528">
        <v>45771</v>
      </c>
      <c r="D529" s="528"/>
      <c r="E529" s="529"/>
      <c r="F529" s="493" t="s">
        <v>596</v>
      </c>
      <c r="G529" s="491">
        <v>5</v>
      </c>
      <c r="H529" s="431">
        <v>1</v>
      </c>
      <c r="I529" s="491">
        <f t="shared" si="77"/>
        <v>5</v>
      </c>
      <c r="J529" s="492">
        <v>12.5</v>
      </c>
      <c r="K529" s="492">
        <f t="shared" si="79"/>
        <v>62.5</v>
      </c>
      <c r="L529" s="456">
        <f>SUM(K521:K529)</f>
        <v>2147.5</v>
      </c>
    </row>
    <row r="530" s="457" customFormat="1" spans="1:14">
      <c r="A530" s="494">
        <v>45771</v>
      </c>
      <c r="B530" s="442" t="s">
        <v>341</v>
      </c>
      <c r="C530" s="495">
        <v>45771</v>
      </c>
      <c r="D530" s="463"/>
      <c r="E530" s="463"/>
      <c r="F530" s="496" t="s">
        <v>132</v>
      </c>
      <c r="G530" s="463">
        <v>1</v>
      </c>
      <c r="H530" s="432">
        <v>90</v>
      </c>
      <c r="I530" s="463">
        <f t="shared" si="77"/>
        <v>90</v>
      </c>
      <c r="J530" s="497">
        <v>3.5</v>
      </c>
      <c r="K530" s="497">
        <f t="shared" si="79"/>
        <v>315</v>
      </c>
    </row>
    <row r="531" s="457" customFormat="1" spans="1:14">
      <c r="A531" s="494">
        <v>45771</v>
      </c>
      <c r="B531" s="442" t="s">
        <v>341</v>
      </c>
      <c r="C531" s="495">
        <v>45771</v>
      </c>
      <c r="D531" s="463"/>
      <c r="E531" s="463"/>
      <c r="F531" s="496" t="s">
        <v>152</v>
      </c>
      <c r="G531" s="463">
        <v>1</v>
      </c>
      <c r="H531" s="432">
        <v>30</v>
      </c>
      <c r="I531" s="463">
        <f t="shared" si="77"/>
        <v>30</v>
      </c>
      <c r="J531" s="497">
        <v>7.3</v>
      </c>
      <c r="K531" s="497">
        <f t="shared" si="79"/>
        <v>219</v>
      </c>
    </row>
    <row r="532" s="457" customFormat="1" spans="1:14">
      <c r="A532" s="494">
        <v>45771</v>
      </c>
      <c r="B532" s="442" t="s">
        <v>341</v>
      </c>
      <c r="C532" s="495">
        <v>45771</v>
      </c>
      <c r="D532" s="463"/>
      <c r="E532" s="463"/>
      <c r="F532" s="496" t="s">
        <v>125</v>
      </c>
      <c r="G532" s="463">
        <v>1</v>
      </c>
      <c r="H532" s="432">
        <v>40</v>
      </c>
      <c r="I532" s="463">
        <f t="shared" si="77"/>
        <v>40</v>
      </c>
      <c r="J532" s="497">
        <v>6.3</v>
      </c>
      <c r="K532" s="497">
        <f t="shared" si="79"/>
        <v>252</v>
      </c>
    </row>
    <row r="533" s="457" customFormat="1" spans="1:14">
      <c r="A533" s="494">
        <v>45771</v>
      </c>
      <c r="B533" s="442" t="s">
        <v>341</v>
      </c>
      <c r="C533" s="495">
        <v>45771</v>
      </c>
      <c r="D533" s="463"/>
      <c r="E533" s="463"/>
      <c r="F533" s="496">
        <v>808</v>
      </c>
      <c r="G533" s="463">
        <v>1</v>
      </c>
      <c r="H533" s="432">
        <v>20</v>
      </c>
      <c r="I533" s="463">
        <f t="shared" si="77"/>
        <v>20</v>
      </c>
      <c r="J533" s="497">
        <v>9.7</v>
      </c>
      <c r="K533" s="497">
        <f t="shared" si="79"/>
        <v>194</v>
      </c>
    </row>
    <row r="534" s="457" customFormat="1" spans="1:14">
      <c r="A534" s="494">
        <v>45771</v>
      </c>
      <c r="B534" s="442" t="s">
        <v>341</v>
      </c>
      <c r="C534" s="495">
        <v>45771</v>
      </c>
      <c r="D534" s="463"/>
      <c r="E534" s="463"/>
      <c r="F534" s="496" t="s">
        <v>664</v>
      </c>
      <c r="G534" s="463">
        <v>1</v>
      </c>
      <c r="H534" s="432">
        <f>SUM(H530:H533)</f>
        <v>180</v>
      </c>
      <c r="I534" s="463">
        <f t="shared" si="77"/>
        <v>180</v>
      </c>
      <c r="J534" s="497">
        <v>0.7</v>
      </c>
      <c r="K534" s="497">
        <f t="shared" si="79"/>
        <v>126</v>
      </c>
      <c r="L534" s="457">
        <f>SUM(K530:K534)</f>
        <v>1106</v>
      </c>
    </row>
    <row r="535" s="457" customFormat="1" spans="1:14">
      <c r="A535" s="494">
        <v>45771</v>
      </c>
      <c r="B535" s="442" t="s">
        <v>341</v>
      </c>
      <c r="C535" s="495">
        <v>45771</v>
      </c>
      <c r="D535" s="463"/>
      <c r="E535" s="463"/>
      <c r="F535" s="496" t="s">
        <v>160</v>
      </c>
      <c r="G535" s="463">
        <v>1</v>
      </c>
      <c r="H535" s="432">
        <v>1</v>
      </c>
      <c r="I535" s="463">
        <f t="shared" si="77"/>
        <v>1</v>
      </c>
      <c r="J535" s="497"/>
      <c r="K535" s="497"/>
    </row>
    <row r="536" s="456" customFormat="1" spans="1:14">
      <c r="A536" s="488">
        <v>45772</v>
      </c>
      <c r="B536" s="489" t="s">
        <v>119</v>
      </c>
      <c r="C536" s="490">
        <v>45772</v>
      </c>
      <c r="D536" s="491"/>
      <c r="E536" s="491"/>
      <c r="F536" s="493" t="s">
        <v>16</v>
      </c>
      <c r="G536" s="491">
        <v>1</v>
      </c>
      <c r="H536" s="431">
        <v>45</v>
      </c>
      <c r="I536" s="491">
        <f t="shared" ref="I536:I562" si="80">G536*H536</f>
        <v>45</v>
      </c>
      <c r="J536" s="492"/>
      <c r="K536" s="492"/>
    </row>
    <row r="537" s="456" customFormat="1" spans="1:14">
      <c r="A537" s="488">
        <v>45772</v>
      </c>
      <c r="B537" s="489" t="s">
        <v>119</v>
      </c>
      <c r="C537" s="490">
        <v>45772</v>
      </c>
      <c r="D537" s="491"/>
      <c r="E537" s="491"/>
      <c r="F537" s="493" t="s">
        <v>452</v>
      </c>
      <c r="G537" s="491">
        <v>1</v>
      </c>
      <c r="H537" s="431">
        <v>45</v>
      </c>
      <c r="I537" s="491">
        <f t="shared" si="80"/>
        <v>45</v>
      </c>
      <c r="J537" s="492"/>
      <c r="K537" s="492"/>
    </row>
    <row r="538" s="456" customFormat="1" spans="1:14">
      <c r="A538" s="488">
        <v>45772</v>
      </c>
      <c r="B538" s="489" t="s">
        <v>119</v>
      </c>
      <c r="C538" s="490">
        <v>45772</v>
      </c>
      <c r="D538" s="491"/>
      <c r="E538" s="491"/>
      <c r="F538" s="493" t="s">
        <v>546</v>
      </c>
      <c r="G538" s="491">
        <v>1</v>
      </c>
      <c r="H538" s="431">
        <v>64</v>
      </c>
      <c r="I538" s="491">
        <f t="shared" si="80"/>
        <v>64</v>
      </c>
      <c r="J538" s="492"/>
      <c r="K538" s="492"/>
      <c r="L538" s="548">
        <v>63.5</v>
      </c>
      <c r="M538" s="536"/>
      <c r="N538" s="536"/>
    </row>
    <row r="539" s="456" customFormat="1" spans="1:14">
      <c r="A539" s="488">
        <v>45772</v>
      </c>
      <c r="B539" s="489" t="s">
        <v>119</v>
      </c>
      <c r="C539" s="490">
        <v>45772</v>
      </c>
      <c r="D539" s="491"/>
      <c r="E539" s="491"/>
      <c r="F539" s="493">
        <v>808</v>
      </c>
      <c r="G539" s="491">
        <v>1</v>
      </c>
      <c r="H539" s="431">
        <v>30</v>
      </c>
      <c r="I539" s="491">
        <f t="shared" si="80"/>
        <v>30</v>
      </c>
      <c r="J539" s="492">
        <v>9.7</v>
      </c>
      <c r="K539" s="492">
        <f t="shared" ref="K539:K541" si="81">I539*J539</f>
        <v>291</v>
      </c>
      <c r="L539" s="536"/>
      <c r="M539" s="536"/>
      <c r="N539" s="536"/>
    </row>
    <row r="540" s="456" customFormat="1" spans="1:14">
      <c r="A540" s="488">
        <v>45772</v>
      </c>
      <c r="B540" s="489" t="s">
        <v>119</v>
      </c>
      <c r="C540" s="490">
        <v>45772</v>
      </c>
      <c r="D540" s="491"/>
      <c r="E540" s="491"/>
      <c r="F540" s="493" t="s">
        <v>152</v>
      </c>
      <c r="G540" s="491">
        <v>1</v>
      </c>
      <c r="H540" s="431">
        <v>10</v>
      </c>
      <c r="I540" s="491">
        <f t="shared" si="80"/>
        <v>10</v>
      </c>
      <c r="J540" s="492">
        <v>7.3</v>
      </c>
      <c r="K540" s="492">
        <f t="shared" si="81"/>
        <v>73</v>
      </c>
      <c r="L540" s="536"/>
      <c r="M540" s="536"/>
      <c r="N540" s="536"/>
    </row>
    <row r="541" s="456" customFormat="1" spans="1:14">
      <c r="A541" s="488">
        <v>45772</v>
      </c>
      <c r="B541" s="489" t="s">
        <v>119</v>
      </c>
      <c r="C541" s="490">
        <v>45772</v>
      </c>
      <c r="D541" s="491"/>
      <c r="E541" s="491"/>
      <c r="F541" s="493" t="s">
        <v>125</v>
      </c>
      <c r="G541" s="491">
        <v>1</v>
      </c>
      <c r="H541" s="431">
        <v>61</v>
      </c>
      <c r="I541" s="491">
        <f t="shared" si="80"/>
        <v>61</v>
      </c>
      <c r="J541" s="492">
        <v>6.3</v>
      </c>
      <c r="K541" s="492">
        <f t="shared" si="81"/>
        <v>384.3</v>
      </c>
      <c r="L541" s="536"/>
      <c r="M541" s="536"/>
      <c r="N541" s="536"/>
    </row>
    <row r="542" s="456" customFormat="1" spans="1:14">
      <c r="A542" s="488">
        <v>45772</v>
      </c>
      <c r="B542" s="489" t="s">
        <v>119</v>
      </c>
      <c r="C542" s="490">
        <v>45772</v>
      </c>
      <c r="D542" s="491"/>
      <c r="E542" s="491"/>
      <c r="F542" s="493" t="s">
        <v>115</v>
      </c>
      <c r="G542" s="491">
        <v>1</v>
      </c>
      <c r="H542" s="431">
        <v>45</v>
      </c>
      <c r="I542" s="491">
        <f t="shared" si="80"/>
        <v>45</v>
      </c>
      <c r="J542" s="492"/>
      <c r="K542" s="492"/>
      <c r="L542" s="536" t="s">
        <v>126</v>
      </c>
      <c r="M542" s="536"/>
      <c r="N542" s="536"/>
    </row>
    <row r="543" s="456" customFormat="1" spans="1:14">
      <c r="A543" s="488">
        <v>45772</v>
      </c>
      <c r="B543" s="489" t="s">
        <v>119</v>
      </c>
      <c r="C543" s="490">
        <v>45772</v>
      </c>
      <c r="D543" s="491"/>
      <c r="E543" s="491"/>
      <c r="F543" s="493" t="s">
        <v>453</v>
      </c>
      <c r="G543" s="491">
        <v>1</v>
      </c>
      <c r="H543" s="431">
        <f>SUM(H536:H542)</f>
        <v>300</v>
      </c>
      <c r="I543" s="491">
        <f t="shared" si="80"/>
        <v>300</v>
      </c>
      <c r="J543" s="492">
        <v>1</v>
      </c>
      <c r="K543" s="492">
        <f t="shared" ref="K543:K546" si="82">I543*J543</f>
        <v>300</v>
      </c>
      <c r="L543" s="536">
        <f>SUM(K536:K543)</f>
        <v>1048.3</v>
      </c>
      <c r="M543" s="536"/>
      <c r="N543" s="536"/>
    </row>
    <row r="544" s="457" customFormat="1" spans="1:14">
      <c r="A544" s="494">
        <v>45772</v>
      </c>
      <c r="B544" s="442" t="s">
        <v>121</v>
      </c>
      <c r="C544" s="495">
        <v>45772</v>
      </c>
      <c r="D544" s="495"/>
      <c r="E544" s="549"/>
      <c r="F544" s="550" t="s">
        <v>251</v>
      </c>
      <c r="G544" s="463">
        <v>1</v>
      </c>
      <c r="H544" s="432">
        <v>150</v>
      </c>
      <c r="I544" s="463">
        <f t="shared" si="80"/>
        <v>150</v>
      </c>
      <c r="J544" s="497"/>
      <c r="K544" s="497"/>
    </row>
    <row r="545" s="457" customFormat="1" spans="1:20">
      <c r="A545" s="494">
        <v>45772</v>
      </c>
      <c r="B545" s="442" t="s">
        <v>121</v>
      </c>
      <c r="C545" s="495">
        <v>45772</v>
      </c>
      <c r="D545" s="495"/>
      <c r="E545" s="549"/>
      <c r="F545" s="550">
        <v>808</v>
      </c>
      <c r="G545" s="463">
        <v>1</v>
      </c>
      <c r="H545" s="432">
        <v>105</v>
      </c>
      <c r="I545" s="463">
        <f t="shared" si="80"/>
        <v>105</v>
      </c>
      <c r="J545" s="497">
        <v>9.7</v>
      </c>
      <c r="K545" s="497">
        <f t="shared" si="82"/>
        <v>1018.5</v>
      </c>
    </row>
    <row r="546" s="457" customFormat="1" spans="1:20">
      <c r="A546" s="494">
        <v>45772</v>
      </c>
      <c r="B546" s="442" t="s">
        <v>121</v>
      </c>
      <c r="C546" s="495">
        <v>45772</v>
      </c>
      <c r="D546" s="495"/>
      <c r="E546" s="549"/>
      <c r="F546" s="550" t="s">
        <v>125</v>
      </c>
      <c r="G546" s="463">
        <v>1</v>
      </c>
      <c r="H546" s="432">
        <v>94</v>
      </c>
      <c r="I546" s="463">
        <f t="shared" si="80"/>
        <v>94</v>
      </c>
      <c r="J546" s="497">
        <v>6.3</v>
      </c>
      <c r="K546" s="497">
        <f t="shared" si="82"/>
        <v>592.2</v>
      </c>
    </row>
    <row r="547" s="457" customFormat="1" spans="1:20">
      <c r="A547" s="494">
        <v>45772</v>
      </c>
      <c r="B547" s="442" t="s">
        <v>121</v>
      </c>
      <c r="C547" s="495">
        <v>45772</v>
      </c>
      <c r="D547" s="495"/>
      <c r="E547" s="549"/>
      <c r="F547" s="550" t="s">
        <v>533</v>
      </c>
      <c r="G547" s="463">
        <v>1</v>
      </c>
      <c r="H547" s="432">
        <v>62</v>
      </c>
      <c r="I547" s="463">
        <f t="shared" si="80"/>
        <v>62</v>
      </c>
      <c r="J547" s="497"/>
      <c r="K547" s="497"/>
      <c r="N547" s="457" t="s">
        <v>600</v>
      </c>
    </row>
    <row r="548" s="457" customFormat="1" spans="1:20">
      <c r="A548" s="494">
        <v>45772</v>
      </c>
      <c r="B548" s="442" t="s">
        <v>121</v>
      </c>
      <c r="C548" s="495">
        <v>45772</v>
      </c>
      <c r="D548" s="495"/>
      <c r="E548" s="549"/>
      <c r="F548" s="550" t="s">
        <v>547</v>
      </c>
      <c r="G548" s="463">
        <v>1</v>
      </c>
      <c r="H548" s="432">
        <v>89</v>
      </c>
      <c r="I548" s="463">
        <f t="shared" si="80"/>
        <v>89</v>
      </c>
      <c r="J548" s="497"/>
      <c r="K548" s="497"/>
      <c r="M548" s="457" t="s">
        <v>126</v>
      </c>
    </row>
    <row r="549" s="457" customFormat="1" spans="1:20">
      <c r="A549" s="494">
        <v>45772</v>
      </c>
      <c r="B549" s="442" t="s">
        <v>121</v>
      </c>
      <c r="C549" s="495">
        <v>45772</v>
      </c>
      <c r="D549" s="495"/>
      <c r="E549" s="549"/>
      <c r="F549" s="551" t="s">
        <v>47</v>
      </c>
      <c r="G549" s="501">
        <v>1</v>
      </c>
      <c r="H549" s="500">
        <f>SUM(H544:H548)</f>
        <v>500</v>
      </c>
      <c r="I549" s="501">
        <f t="shared" si="80"/>
        <v>500</v>
      </c>
      <c r="J549" s="497">
        <v>1</v>
      </c>
      <c r="K549" s="497">
        <f t="shared" ref="K549:K554" si="83">I549*J549</f>
        <v>500</v>
      </c>
    </row>
    <row r="550" s="457" customFormat="1" spans="1:20">
      <c r="A550" s="494">
        <v>45772</v>
      </c>
      <c r="B550" s="442" t="s">
        <v>121</v>
      </c>
      <c r="C550" s="495">
        <v>45772</v>
      </c>
      <c r="D550" s="495"/>
      <c r="E550" s="549"/>
      <c r="F550" s="550" t="s">
        <v>596</v>
      </c>
      <c r="G550" s="463">
        <v>3</v>
      </c>
      <c r="H550" s="432">
        <v>1</v>
      </c>
      <c r="I550" s="463">
        <f t="shared" si="80"/>
        <v>3</v>
      </c>
      <c r="J550" s="497">
        <v>12.5</v>
      </c>
      <c r="K550" s="497">
        <f t="shared" si="83"/>
        <v>37.5</v>
      </c>
      <c r="L550" s="457">
        <f>SUM(K544:K551)</f>
        <v>2598.2</v>
      </c>
    </row>
    <row r="551" s="457" customFormat="1" spans="1:20">
      <c r="A551" s="494">
        <v>45772</v>
      </c>
      <c r="B551" s="442" t="s">
        <v>121</v>
      </c>
      <c r="C551" s="495">
        <v>45772</v>
      </c>
      <c r="D551" s="495"/>
      <c r="E551" s="549"/>
      <c r="F551" s="550" t="s">
        <v>665</v>
      </c>
      <c r="G551" s="463">
        <v>1</v>
      </c>
      <c r="H551" s="432">
        <v>25</v>
      </c>
      <c r="I551" s="463">
        <f t="shared" si="80"/>
        <v>25</v>
      </c>
      <c r="J551" s="497">
        <v>18</v>
      </c>
      <c r="K551" s="516">
        <f t="shared" si="83"/>
        <v>450</v>
      </c>
      <c r="L551" s="457" t="s">
        <v>614</v>
      </c>
      <c r="M551" s="496"/>
      <c r="N551" s="457">
        <f>SUM(K548:K552)</f>
        <v>1607.5</v>
      </c>
      <c r="O551" s="518"/>
      <c r="S551" s="442"/>
      <c r="T551" s="457" t="s">
        <v>615</v>
      </c>
    </row>
    <row r="552" s="457" customFormat="1" spans="1:20">
      <c r="A552" s="494">
        <v>45772</v>
      </c>
      <c r="B552" s="442" t="s">
        <v>121</v>
      </c>
      <c r="C552" s="495">
        <v>45772</v>
      </c>
      <c r="D552" s="495"/>
      <c r="E552" s="549"/>
      <c r="F552" s="550" t="s">
        <v>284</v>
      </c>
      <c r="G552" s="463">
        <v>4</v>
      </c>
      <c r="H552" s="432">
        <v>10</v>
      </c>
      <c r="I552" s="463">
        <f t="shared" si="80"/>
        <v>40</v>
      </c>
      <c r="J552" s="497">
        <v>15.5</v>
      </c>
      <c r="K552" s="516">
        <f t="shared" si="83"/>
        <v>620</v>
      </c>
      <c r="L552" s="457" t="s">
        <v>616</v>
      </c>
      <c r="M552" s="442"/>
      <c r="O552" s="518"/>
      <c r="S552" s="442"/>
      <c r="T552" s="457" t="s">
        <v>617</v>
      </c>
    </row>
    <row r="553" s="457" customFormat="1" spans="1:20">
      <c r="A553" s="494">
        <v>45772</v>
      </c>
      <c r="B553" s="442" t="s">
        <v>121</v>
      </c>
      <c r="C553" s="495">
        <v>45772</v>
      </c>
      <c r="D553" s="495"/>
      <c r="E553" s="549"/>
      <c r="F553" s="550" t="s">
        <v>284</v>
      </c>
      <c r="G553" s="463">
        <v>10</v>
      </c>
      <c r="H553" s="432">
        <v>4</v>
      </c>
      <c r="I553" s="463">
        <f t="shared" si="80"/>
        <v>40</v>
      </c>
      <c r="J553" s="497">
        <v>15.5</v>
      </c>
      <c r="K553" s="516">
        <f t="shared" si="83"/>
        <v>620</v>
      </c>
      <c r="L553" s="457" t="s">
        <v>616</v>
      </c>
      <c r="M553" s="442"/>
      <c r="O553" s="518"/>
      <c r="S553" s="442"/>
      <c r="T553" s="457" t="s">
        <v>617</v>
      </c>
    </row>
    <row r="554" s="457" customFormat="1" spans="1:20">
      <c r="A554" s="494">
        <v>45772</v>
      </c>
      <c r="B554" s="442" t="s">
        <v>121</v>
      </c>
      <c r="C554" s="495">
        <v>45772</v>
      </c>
      <c r="D554" s="495"/>
      <c r="E554" s="549"/>
      <c r="F554" s="552" t="s">
        <v>666</v>
      </c>
      <c r="G554" s="463">
        <v>10</v>
      </c>
      <c r="H554" s="432">
        <v>1</v>
      </c>
      <c r="I554" s="463">
        <f t="shared" si="80"/>
        <v>10</v>
      </c>
      <c r="J554" s="497">
        <v>5.5</v>
      </c>
      <c r="K554" s="497">
        <f t="shared" si="83"/>
        <v>55</v>
      </c>
      <c r="L554" s="457">
        <f>SUM(K544:K554)</f>
        <v>3893.2</v>
      </c>
    </row>
    <row r="555" s="456" customFormat="1" spans="1:20">
      <c r="A555" s="488">
        <v>45777</v>
      </c>
      <c r="B555" s="489" t="s">
        <v>393</v>
      </c>
      <c r="C555" s="490">
        <v>45777</v>
      </c>
      <c r="D555" s="491"/>
      <c r="E555" s="491"/>
      <c r="F555" s="493" t="s">
        <v>16</v>
      </c>
      <c r="G555" s="491">
        <v>1</v>
      </c>
      <c r="H555" s="431">
        <v>18</v>
      </c>
      <c r="I555" s="491">
        <f t="shared" si="80"/>
        <v>18</v>
      </c>
      <c r="J555" s="492"/>
      <c r="K555" s="492"/>
    </row>
    <row r="556" s="456" customFormat="1" spans="1:20">
      <c r="A556" s="488">
        <v>45777</v>
      </c>
      <c r="B556" s="489" t="s">
        <v>393</v>
      </c>
      <c r="C556" s="490">
        <v>45777</v>
      </c>
      <c r="D556" s="491"/>
      <c r="E556" s="491"/>
      <c r="F556" s="493" t="s">
        <v>667</v>
      </c>
      <c r="G556" s="491">
        <v>1</v>
      </c>
      <c r="H556" s="431">
        <v>15</v>
      </c>
      <c r="I556" s="491">
        <f t="shared" si="80"/>
        <v>15</v>
      </c>
      <c r="J556" s="492"/>
      <c r="K556" s="492"/>
    </row>
    <row r="557" s="456" customFormat="1" spans="1:20">
      <c r="A557" s="488">
        <v>45777</v>
      </c>
      <c r="B557" s="489" t="s">
        <v>393</v>
      </c>
      <c r="C557" s="490">
        <v>45777</v>
      </c>
      <c r="D557" s="491"/>
      <c r="E557" s="491"/>
      <c r="F557" s="493" t="s">
        <v>668</v>
      </c>
      <c r="G557" s="491">
        <v>1</v>
      </c>
      <c r="H557" s="431">
        <v>28</v>
      </c>
      <c r="I557" s="491">
        <f t="shared" si="80"/>
        <v>28</v>
      </c>
      <c r="J557" s="492"/>
      <c r="K557" s="492"/>
      <c r="L557" s="548"/>
      <c r="M557" s="536"/>
      <c r="N557" s="536"/>
    </row>
    <row r="558" s="456" customFormat="1" spans="1:20">
      <c r="A558" s="488">
        <v>45777</v>
      </c>
      <c r="B558" s="489" t="s">
        <v>393</v>
      </c>
      <c r="C558" s="490">
        <v>45777</v>
      </c>
      <c r="D558" s="491"/>
      <c r="E558" s="491"/>
      <c r="F558" s="493" t="s">
        <v>546</v>
      </c>
      <c r="G558" s="491">
        <v>1</v>
      </c>
      <c r="H558" s="431">
        <v>7</v>
      </c>
      <c r="I558" s="491">
        <f t="shared" si="80"/>
        <v>7</v>
      </c>
      <c r="J558" s="492"/>
      <c r="K558" s="492"/>
      <c r="L558" s="548"/>
      <c r="M558" s="536"/>
      <c r="N558" s="536"/>
    </row>
    <row r="559" s="456" customFormat="1" spans="1:20">
      <c r="A559" s="488">
        <v>45777</v>
      </c>
      <c r="B559" s="489" t="s">
        <v>393</v>
      </c>
      <c r="C559" s="490">
        <v>45777</v>
      </c>
      <c r="D559" s="491"/>
      <c r="E559" s="491"/>
      <c r="F559" s="493">
        <v>808</v>
      </c>
      <c r="G559" s="491">
        <v>1</v>
      </c>
      <c r="H559" s="431">
        <v>14</v>
      </c>
      <c r="I559" s="491">
        <f t="shared" si="80"/>
        <v>14</v>
      </c>
      <c r="J559" s="492">
        <v>9.7</v>
      </c>
      <c r="K559" s="492">
        <f>I559*J559</f>
        <v>135.8</v>
      </c>
      <c r="L559" s="536"/>
      <c r="M559" s="536"/>
      <c r="N559" s="536"/>
    </row>
    <row r="560" s="456" customFormat="1" spans="1:20">
      <c r="A560" s="488">
        <v>45777</v>
      </c>
      <c r="B560" s="489" t="s">
        <v>393</v>
      </c>
      <c r="C560" s="490">
        <v>45777</v>
      </c>
      <c r="D560" s="491"/>
      <c r="E560" s="491"/>
      <c r="F560" s="493" t="s">
        <v>240</v>
      </c>
      <c r="G560" s="491">
        <v>1</v>
      </c>
      <c r="H560" s="431">
        <v>10</v>
      </c>
      <c r="I560" s="491">
        <f t="shared" si="80"/>
        <v>10</v>
      </c>
      <c r="J560" s="492"/>
      <c r="K560" s="492">
        <f>I560*J560</f>
        <v>0</v>
      </c>
      <c r="L560" s="536"/>
      <c r="M560" s="536"/>
      <c r="N560" s="536"/>
    </row>
    <row r="561" s="456" customFormat="1" spans="1:17">
      <c r="A561" s="488">
        <v>45777</v>
      </c>
      <c r="B561" s="489" t="s">
        <v>393</v>
      </c>
      <c r="C561" s="490">
        <v>45777</v>
      </c>
      <c r="D561" s="491"/>
      <c r="E561" s="491"/>
      <c r="F561" s="493" t="s">
        <v>125</v>
      </c>
      <c r="G561" s="491">
        <v>1</v>
      </c>
      <c r="H561" s="431">
        <v>8</v>
      </c>
      <c r="I561" s="491">
        <f t="shared" si="80"/>
        <v>8</v>
      </c>
      <c r="J561" s="492">
        <v>6.3</v>
      </c>
      <c r="K561" s="492">
        <f>I561*J561</f>
        <v>50.4</v>
      </c>
      <c r="L561" s="536"/>
      <c r="M561" s="536"/>
      <c r="N561" s="536"/>
    </row>
    <row r="562" s="456" customFormat="1" spans="1:17">
      <c r="A562" s="488">
        <v>45777</v>
      </c>
      <c r="B562" s="489" t="s">
        <v>393</v>
      </c>
      <c r="C562" s="490">
        <v>45777</v>
      </c>
      <c r="D562" s="491"/>
      <c r="E562" s="491"/>
      <c r="F562" s="493" t="s">
        <v>669</v>
      </c>
      <c r="G562" s="491">
        <v>1</v>
      </c>
      <c r="H562" s="431">
        <f>SUM(H555:H561)</f>
        <v>100</v>
      </c>
      <c r="I562" s="491">
        <f t="shared" si="80"/>
        <v>100</v>
      </c>
      <c r="J562" s="492">
        <v>1</v>
      </c>
      <c r="K562" s="492">
        <f>I562*J562</f>
        <v>100</v>
      </c>
      <c r="L562" s="536">
        <f>SUM(K555:K562)</f>
        <v>286.2</v>
      </c>
      <c r="M562" s="536"/>
      <c r="N562" s="536"/>
    </row>
    <row r="563" ht="23" customHeight="1" spans="1:17">
      <c r="F563" s="553" t="s">
        <v>670</v>
      </c>
    </row>
    <row r="564" s="458" customFormat="1" ht="26" customHeight="1" spans="1:17">
      <c r="A564" s="509" t="s">
        <v>235</v>
      </c>
      <c r="B564" s="510"/>
      <c r="C564" s="510"/>
      <c r="D564" s="510"/>
      <c r="E564" s="510"/>
      <c r="F564" s="510"/>
      <c r="G564" s="510"/>
      <c r="H564" s="510"/>
      <c r="I564" s="510"/>
      <c r="J564" s="511" t="s">
        <v>28</v>
      </c>
      <c r="K564" s="512">
        <f>SUM(K567:K710)</f>
        <v>35614.19</v>
      </c>
      <c r="L564" s="458" t="s">
        <v>29</v>
      </c>
      <c r="M564" s="509">
        <f>材料!L198+K606+K638+K647+K665+K687+材料!A381</f>
        <v>22829.29</v>
      </c>
      <c r="N564" s="513" t="s">
        <v>30</v>
      </c>
      <c r="O564" s="509">
        <f>K571+K582+K592+K596+K604+K616+K628+K634+K645+K655+K663+K672+K678+K686+K692+K699+K710</f>
        <v>10876.4</v>
      </c>
      <c r="P564" s="510" t="s">
        <v>31</v>
      </c>
      <c r="Q564" s="509">
        <f>K617</f>
        <v>1350</v>
      </c>
    </row>
    <row r="565" s="458" customFormat="1" ht="26" customHeight="1" spans="1:17">
      <c r="A565" s="509"/>
      <c r="B565" s="510"/>
      <c r="C565" s="510"/>
      <c r="D565" s="510"/>
      <c r="E565" s="510"/>
      <c r="F565" s="510"/>
      <c r="G565" s="510"/>
      <c r="H565" s="510"/>
      <c r="I565" s="510"/>
      <c r="J565" s="510" t="s">
        <v>32</v>
      </c>
      <c r="K565" s="510"/>
      <c r="L565" s="458" t="s">
        <v>33</v>
      </c>
      <c r="M565" s="509">
        <f>K583+K593+K605+K618+K619+K620+K621+K629+K636+K637+K646+K648+K656+K664</f>
        <v>558.5</v>
      </c>
      <c r="N565" s="514" t="s">
        <v>34</v>
      </c>
      <c r="O565" s="512">
        <f>M564+M565+O564+Q564</f>
        <v>35614.19</v>
      </c>
    </row>
    <row r="566" s="442" customFormat="1" ht="26" customHeight="1" spans="1:17">
      <c r="A566" s="483" t="s">
        <v>35</v>
      </c>
      <c r="B566" s="484" t="s">
        <v>36</v>
      </c>
      <c r="C566" s="485" t="s">
        <v>37</v>
      </c>
      <c r="D566" s="485"/>
      <c r="E566" s="485"/>
      <c r="F566" s="485" t="s">
        <v>38</v>
      </c>
      <c r="G566" s="485" t="s">
        <v>4</v>
      </c>
      <c r="H566" s="485" t="s">
        <v>5</v>
      </c>
      <c r="I566" s="485" t="s">
        <v>6</v>
      </c>
      <c r="J566" s="485" t="s">
        <v>7</v>
      </c>
      <c r="K566" s="485" t="s">
        <v>8</v>
      </c>
      <c r="L566" s="485" t="s">
        <v>39</v>
      </c>
      <c r="M566" s="485" t="s">
        <v>40</v>
      </c>
      <c r="N566" s="427"/>
      <c r="O566" s="427"/>
    </row>
    <row r="567" s="457" customFormat="1" spans="1:17">
      <c r="A567" s="494">
        <v>45783</v>
      </c>
      <c r="B567" s="442" t="s">
        <v>358</v>
      </c>
      <c r="C567" s="495">
        <v>45782</v>
      </c>
      <c r="D567" s="463"/>
      <c r="E567" s="463"/>
      <c r="F567" s="496" t="s">
        <v>16</v>
      </c>
      <c r="G567" s="463">
        <v>1</v>
      </c>
      <c r="H567" s="432">
        <v>48</v>
      </c>
      <c r="I567" s="463">
        <f t="shared" ref="I567:I618" si="84">G567*H567</f>
        <v>48</v>
      </c>
      <c r="J567" s="497">
        <v>13.5</v>
      </c>
      <c r="K567" s="497"/>
    </row>
    <row r="568" s="457" customFormat="1" spans="1:17">
      <c r="A568" s="494">
        <v>45783</v>
      </c>
      <c r="B568" s="442" t="s">
        <v>358</v>
      </c>
      <c r="C568" s="495">
        <v>45782</v>
      </c>
      <c r="D568" s="463"/>
      <c r="E568" s="463"/>
      <c r="F568" s="496">
        <v>996</v>
      </c>
      <c r="G568" s="463">
        <v>1</v>
      </c>
      <c r="H568" s="432">
        <v>150</v>
      </c>
      <c r="I568" s="463">
        <f t="shared" si="84"/>
        <v>150</v>
      </c>
      <c r="J568" s="497">
        <v>16</v>
      </c>
      <c r="K568" s="497"/>
    </row>
    <row r="569" s="457" customFormat="1" spans="1:17">
      <c r="A569" s="494">
        <v>45783</v>
      </c>
      <c r="B569" s="442" t="s">
        <v>358</v>
      </c>
      <c r="C569" s="495">
        <v>45782</v>
      </c>
      <c r="D569" s="463"/>
      <c r="E569" s="463"/>
      <c r="F569" s="496" t="s">
        <v>12</v>
      </c>
      <c r="G569" s="463">
        <v>1</v>
      </c>
      <c r="H569" s="432">
        <v>30</v>
      </c>
      <c r="I569" s="463">
        <f t="shared" si="84"/>
        <v>30</v>
      </c>
      <c r="J569" s="497">
        <v>6.9</v>
      </c>
      <c r="K569" s="497">
        <f>I569*J569</f>
        <v>207</v>
      </c>
    </row>
    <row r="570" s="457" customFormat="1" spans="1:17">
      <c r="A570" s="494">
        <v>45783</v>
      </c>
      <c r="B570" s="442" t="s">
        <v>358</v>
      </c>
      <c r="C570" s="495">
        <v>45782</v>
      </c>
      <c r="D570" s="463"/>
      <c r="E570" s="463"/>
      <c r="F570" s="496" t="s">
        <v>152</v>
      </c>
      <c r="G570" s="463">
        <v>1</v>
      </c>
      <c r="H570" s="432">
        <v>30</v>
      </c>
      <c r="I570" s="463">
        <f t="shared" si="84"/>
        <v>30</v>
      </c>
      <c r="J570" s="497">
        <v>6.9</v>
      </c>
      <c r="K570" s="497">
        <f>I570*J570</f>
        <v>207</v>
      </c>
    </row>
    <row r="571" s="457" customFormat="1" spans="1:17">
      <c r="A571" s="494">
        <v>45783</v>
      </c>
      <c r="B571" s="442" t="s">
        <v>358</v>
      </c>
      <c r="C571" s="495">
        <v>45782</v>
      </c>
      <c r="D571" s="463"/>
      <c r="E571" s="463"/>
      <c r="F571" s="496" t="s">
        <v>456</v>
      </c>
      <c r="G571" s="463">
        <v>1</v>
      </c>
      <c r="H571" s="432">
        <f>SUM(H567:H570)</f>
        <v>258</v>
      </c>
      <c r="I571" s="463">
        <f t="shared" si="84"/>
        <v>258</v>
      </c>
      <c r="J571" s="497">
        <v>3</v>
      </c>
      <c r="K571" s="497">
        <f>I571*J571</f>
        <v>774</v>
      </c>
      <c r="L571" s="457">
        <f>SUM(K567:K571)</f>
        <v>1188</v>
      </c>
    </row>
    <row r="572" s="456" customFormat="1" spans="1:17">
      <c r="A572" s="488">
        <v>45783</v>
      </c>
      <c r="B572" s="489" t="s">
        <v>360</v>
      </c>
      <c r="C572" s="490">
        <v>45782</v>
      </c>
      <c r="D572" s="491"/>
      <c r="E572" s="491"/>
      <c r="F572" s="493" t="s">
        <v>42</v>
      </c>
      <c r="G572" s="491">
        <v>1</v>
      </c>
      <c r="H572" s="431">
        <v>100</v>
      </c>
      <c r="I572" s="491">
        <f t="shared" si="84"/>
        <v>100</v>
      </c>
      <c r="J572" s="492"/>
      <c r="K572" s="492"/>
    </row>
    <row r="573" s="456" customFormat="1" spans="1:17">
      <c r="A573" s="488">
        <v>45783</v>
      </c>
      <c r="B573" s="489" t="s">
        <v>360</v>
      </c>
      <c r="C573" s="490">
        <v>45782</v>
      </c>
      <c r="D573" s="491"/>
      <c r="E573" s="491"/>
      <c r="F573" s="493" t="s">
        <v>207</v>
      </c>
      <c r="G573" s="491">
        <v>1</v>
      </c>
      <c r="H573" s="431">
        <v>200</v>
      </c>
      <c r="I573" s="491">
        <f t="shared" si="84"/>
        <v>200</v>
      </c>
      <c r="J573" s="492"/>
      <c r="K573" s="492"/>
    </row>
    <row r="574" s="456" customFormat="1" spans="1:17">
      <c r="A574" s="488">
        <v>45783</v>
      </c>
      <c r="B574" s="489" t="s">
        <v>360</v>
      </c>
      <c r="C574" s="490">
        <v>45782</v>
      </c>
      <c r="D574" s="491"/>
      <c r="E574" s="491"/>
      <c r="F574" s="493" t="s">
        <v>599</v>
      </c>
      <c r="G574" s="491">
        <v>1</v>
      </c>
      <c r="H574" s="431">
        <v>100</v>
      </c>
      <c r="I574" s="491">
        <f t="shared" si="84"/>
        <v>100</v>
      </c>
      <c r="J574" s="492"/>
      <c r="K574" s="492"/>
    </row>
    <row r="575" s="456" customFormat="1" spans="1:17">
      <c r="A575" s="488">
        <v>45783</v>
      </c>
      <c r="B575" s="489" t="s">
        <v>360</v>
      </c>
      <c r="C575" s="490">
        <v>45782</v>
      </c>
      <c r="D575" s="491"/>
      <c r="E575" s="491"/>
      <c r="F575" s="493" t="s">
        <v>553</v>
      </c>
      <c r="G575" s="491">
        <v>1</v>
      </c>
      <c r="H575" s="431">
        <v>145</v>
      </c>
      <c r="I575" s="491">
        <f t="shared" si="84"/>
        <v>145</v>
      </c>
      <c r="J575" s="492"/>
      <c r="K575" s="492"/>
    </row>
    <row r="576" s="456" customFormat="1" spans="1:17">
      <c r="A576" s="488">
        <v>45783</v>
      </c>
      <c r="B576" s="489" t="s">
        <v>360</v>
      </c>
      <c r="C576" s="490">
        <v>45782</v>
      </c>
      <c r="D576" s="491"/>
      <c r="E576" s="491"/>
      <c r="F576" s="456" t="s">
        <v>191</v>
      </c>
      <c r="G576" s="491">
        <v>1</v>
      </c>
      <c r="H576" s="431">
        <v>25</v>
      </c>
      <c r="I576" s="491">
        <f t="shared" si="84"/>
        <v>25</v>
      </c>
      <c r="J576" s="492">
        <v>17</v>
      </c>
      <c r="K576" s="492">
        <f>I576*J576</f>
        <v>425</v>
      </c>
    </row>
    <row r="577" s="456" customFormat="1" spans="1:19">
      <c r="A577" s="488">
        <v>45783</v>
      </c>
      <c r="B577" s="489" t="s">
        <v>360</v>
      </c>
      <c r="C577" s="490">
        <v>45782</v>
      </c>
      <c r="D577" s="491"/>
      <c r="E577" s="491"/>
      <c r="F577" s="493" t="s">
        <v>152</v>
      </c>
      <c r="G577" s="491">
        <v>1</v>
      </c>
      <c r="H577" s="431">
        <v>92</v>
      </c>
      <c r="I577" s="491">
        <f t="shared" si="84"/>
        <v>92</v>
      </c>
      <c r="J577" s="492">
        <v>6.9</v>
      </c>
      <c r="K577" s="492">
        <f>I577*J577</f>
        <v>634.8</v>
      </c>
    </row>
    <row r="578" s="456" customFormat="1" spans="1:19">
      <c r="A578" s="488">
        <v>45783</v>
      </c>
      <c r="B578" s="489" t="s">
        <v>360</v>
      </c>
      <c r="C578" s="490">
        <v>45782</v>
      </c>
      <c r="D578" s="491"/>
      <c r="E578" s="491"/>
      <c r="F578" s="493" t="s">
        <v>132</v>
      </c>
      <c r="G578" s="491">
        <v>1</v>
      </c>
      <c r="H578" s="431">
        <v>279</v>
      </c>
      <c r="I578" s="491">
        <f t="shared" si="84"/>
        <v>279</v>
      </c>
      <c r="J578" s="492">
        <v>3.5</v>
      </c>
      <c r="K578" s="492">
        <f>I578*J578</f>
        <v>976.5</v>
      </c>
    </row>
    <row r="579" s="456" customFormat="1" spans="1:19">
      <c r="A579" s="488">
        <v>45783</v>
      </c>
      <c r="B579" s="489" t="s">
        <v>360</v>
      </c>
      <c r="C579" s="490">
        <v>45782</v>
      </c>
      <c r="D579" s="491"/>
      <c r="E579" s="491"/>
      <c r="F579" s="493" t="s">
        <v>137</v>
      </c>
      <c r="G579" s="491">
        <v>1</v>
      </c>
      <c r="H579" s="431">
        <v>50</v>
      </c>
      <c r="I579" s="491">
        <f t="shared" si="84"/>
        <v>50</v>
      </c>
      <c r="J579" s="492">
        <v>0.9</v>
      </c>
      <c r="K579" s="492">
        <f>I579*J579</f>
        <v>45</v>
      </c>
      <c r="L579" s="456" t="s">
        <v>116</v>
      </c>
    </row>
    <row r="580" s="456" customFormat="1" spans="1:19">
      <c r="A580" s="488">
        <v>45783</v>
      </c>
      <c r="B580" s="489" t="s">
        <v>360</v>
      </c>
      <c r="C580" s="490">
        <v>45782</v>
      </c>
      <c r="D580" s="491"/>
      <c r="E580" s="491"/>
      <c r="F580" s="493" t="s">
        <v>211</v>
      </c>
      <c r="G580" s="491">
        <v>1</v>
      </c>
      <c r="H580" s="431">
        <v>2.5</v>
      </c>
      <c r="I580" s="491">
        <f t="shared" si="84"/>
        <v>2.5</v>
      </c>
      <c r="J580" s="492"/>
      <c r="K580" s="492"/>
    </row>
    <row r="581" s="456" customFormat="1" spans="1:19">
      <c r="A581" s="488">
        <v>45783</v>
      </c>
      <c r="B581" s="489" t="s">
        <v>360</v>
      </c>
      <c r="C581" s="490">
        <v>45782</v>
      </c>
      <c r="D581" s="491"/>
      <c r="E581" s="491"/>
      <c r="F581" s="493" t="s">
        <v>125</v>
      </c>
      <c r="G581" s="491">
        <v>1</v>
      </c>
      <c r="H581" s="431">
        <v>59</v>
      </c>
      <c r="I581" s="491">
        <f t="shared" si="84"/>
        <v>59</v>
      </c>
      <c r="J581" s="492">
        <v>6.1</v>
      </c>
      <c r="K581" s="492">
        <f>I581*J581</f>
        <v>359.9</v>
      </c>
    </row>
    <row r="582" s="456" customFormat="1" spans="1:19">
      <c r="A582" s="488">
        <v>45783</v>
      </c>
      <c r="B582" s="489" t="s">
        <v>360</v>
      </c>
      <c r="C582" s="490">
        <v>45782</v>
      </c>
      <c r="D582" s="491"/>
      <c r="E582" s="491"/>
      <c r="F582" s="493" t="s">
        <v>212</v>
      </c>
      <c r="G582" s="491">
        <v>1</v>
      </c>
      <c r="H582" s="431">
        <f>SUM(H572:H581)</f>
        <v>1052.5</v>
      </c>
      <c r="I582" s="491">
        <f t="shared" si="84"/>
        <v>1052.5</v>
      </c>
      <c r="J582" s="492">
        <v>1</v>
      </c>
      <c r="K582" s="492">
        <f>I582*J582</f>
        <v>1052.5</v>
      </c>
      <c r="L582" s="456">
        <f>SUM(K572:K583)</f>
        <v>3556.2</v>
      </c>
    </row>
    <row r="583" s="457" customFormat="1" spans="1:19">
      <c r="A583" s="488">
        <v>45783</v>
      </c>
      <c r="B583" s="489" t="s">
        <v>360</v>
      </c>
      <c r="C583" s="490">
        <v>45782</v>
      </c>
      <c r="D583" s="491"/>
      <c r="E583" s="491"/>
      <c r="F583" s="493" t="s">
        <v>596</v>
      </c>
      <c r="G583" s="489">
        <v>5</v>
      </c>
      <c r="H583" s="431">
        <v>1</v>
      </c>
      <c r="I583" s="491">
        <f t="shared" si="84"/>
        <v>5</v>
      </c>
      <c r="J583" s="492">
        <v>12.5</v>
      </c>
      <c r="K583" s="492">
        <f>I583*J583</f>
        <v>62.5</v>
      </c>
      <c r="S583" s="526"/>
    </row>
    <row r="584" s="457" customFormat="1" spans="1:19">
      <c r="A584" s="494">
        <v>45783</v>
      </c>
      <c r="B584" s="442" t="s">
        <v>643</v>
      </c>
      <c r="C584" s="495">
        <v>45783</v>
      </c>
      <c r="D584" s="463"/>
      <c r="E584" s="463"/>
      <c r="F584" s="496" t="s">
        <v>251</v>
      </c>
      <c r="G584" s="442">
        <v>1</v>
      </c>
      <c r="H584" s="432">
        <v>240</v>
      </c>
      <c r="I584" s="463">
        <f t="shared" si="84"/>
        <v>240</v>
      </c>
      <c r="J584" s="497"/>
      <c r="K584" s="497"/>
    </row>
    <row r="585" s="457" customFormat="1" spans="1:19">
      <c r="A585" s="494">
        <v>45783</v>
      </c>
      <c r="B585" s="442" t="s">
        <v>643</v>
      </c>
      <c r="C585" s="495">
        <v>45783</v>
      </c>
      <c r="D585" s="463"/>
      <c r="E585" s="463"/>
      <c r="F585" s="496" t="s">
        <v>13</v>
      </c>
      <c r="G585" s="442">
        <v>1</v>
      </c>
      <c r="H585" s="432">
        <v>240</v>
      </c>
      <c r="I585" s="463">
        <f t="shared" si="84"/>
        <v>240</v>
      </c>
      <c r="J585" s="497"/>
      <c r="K585" s="497"/>
    </row>
    <row r="586" s="457" customFormat="1" spans="1:19">
      <c r="A586" s="494">
        <v>45783</v>
      </c>
      <c r="B586" s="442" t="s">
        <v>643</v>
      </c>
      <c r="C586" s="495">
        <v>45783</v>
      </c>
      <c r="D586" s="463"/>
      <c r="E586" s="463"/>
      <c r="F586" s="496" t="s">
        <v>533</v>
      </c>
      <c r="G586" s="442">
        <v>1</v>
      </c>
      <c r="H586" s="432">
        <v>61</v>
      </c>
      <c r="I586" s="463">
        <f t="shared" si="84"/>
        <v>61</v>
      </c>
      <c r="J586" s="497"/>
      <c r="K586" s="497"/>
    </row>
    <row r="587" s="457" customFormat="1" spans="1:19">
      <c r="A587" s="494">
        <v>45783</v>
      </c>
      <c r="B587" s="442" t="s">
        <v>643</v>
      </c>
      <c r="C587" s="495">
        <v>45783</v>
      </c>
      <c r="D587" s="463"/>
      <c r="E587" s="463"/>
      <c r="F587" s="496" t="s">
        <v>547</v>
      </c>
      <c r="G587" s="442">
        <v>1</v>
      </c>
      <c r="H587" s="432">
        <v>257</v>
      </c>
      <c r="I587" s="463">
        <f t="shared" si="84"/>
        <v>257</v>
      </c>
      <c r="J587" s="497"/>
      <c r="K587" s="497"/>
      <c r="L587" s="457" t="s">
        <v>116</v>
      </c>
      <c r="M587" s="457" t="s">
        <v>314</v>
      </c>
    </row>
    <row r="588" s="457" customFormat="1" spans="1:19">
      <c r="A588" s="494">
        <v>45783</v>
      </c>
      <c r="B588" s="442" t="s">
        <v>643</v>
      </c>
      <c r="C588" s="495">
        <v>45783</v>
      </c>
      <c r="D588" s="463"/>
      <c r="E588" s="463"/>
      <c r="F588" s="496" t="s">
        <v>115</v>
      </c>
      <c r="G588" s="442">
        <v>1</v>
      </c>
      <c r="H588" s="432">
        <v>150</v>
      </c>
      <c r="I588" s="463">
        <f t="shared" si="84"/>
        <v>150</v>
      </c>
      <c r="J588" s="497"/>
      <c r="K588" s="497"/>
      <c r="L588" s="457" t="s">
        <v>661</v>
      </c>
    </row>
    <row r="589" s="457" customFormat="1" spans="1:19">
      <c r="A589" s="494">
        <v>45783</v>
      </c>
      <c r="B589" s="442" t="s">
        <v>643</v>
      </c>
      <c r="C589" s="495">
        <v>45783</v>
      </c>
      <c r="D589" s="463"/>
      <c r="E589" s="463"/>
      <c r="F589" s="496">
        <v>808</v>
      </c>
      <c r="G589" s="442">
        <v>1</v>
      </c>
      <c r="H589" s="432">
        <v>30</v>
      </c>
      <c r="I589" s="463">
        <f t="shared" si="84"/>
        <v>30</v>
      </c>
      <c r="J589" s="497">
        <v>8.9</v>
      </c>
      <c r="K589" s="497">
        <f t="shared" ref="K589:K593" si="85">I589*J589</f>
        <v>267</v>
      </c>
    </row>
    <row r="590" s="457" customFormat="1" spans="1:19">
      <c r="A590" s="494">
        <v>45783</v>
      </c>
      <c r="B590" s="442" t="s">
        <v>643</v>
      </c>
      <c r="C590" s="495">
        <v>45783</v>
      </c>
      <c r="D590" s="463"/>
      <c r="E590" s="463"/>
      <c r="F590" s="496" t="s">
        <v>152</v>
      </c>
      <c r="G590" s="442">
        <v>1</v>
      </c>
      <c r="H590" s="432">
        <v>83</v>
      </c>
      <c r="I590" s="463">
        <f t="shared" si="84"/>
        <v>83</v>
      </c>
      <c r="J590" s="497">
        <v>6.9</v>
      </c>
      <c r="K590" s="497">
        <f t="shared" si="85"/>
        <v>572.7</v>
      </c>
    </row>
    <row r="591" s="457" customFormat="1" spans="1:19">
      <c r="A591" s="494">
        <v>45783</v>
      </c>
      <c r="B591" s="442" t="s">
        <v>643</v>
      </c>
      <c r="C591" s="495">
        <v>45783</v>
      </c>
      <c r="D591" s="463"/>
      <c r="E591" s="463"/>
      <c r="F591" s="496" t="s">
        <v>125</v>
      </c>
      <c r="G591" s="442">
        <v>1</v>
      </c>
      <c r="H591" s="432">
        <v>139</v>
      </c>
      <c r="I591" s="463">
        <f t="shared" si="84"/>
        <v>139</v>
      </c>
      <c r="J591" s="497">
        <v>6.1</v>
      </c>
      <c r="K591" s="497">
        <f t="shared" si="85"/>
        <v>847.9</v>
      </c>
    </row>
    <row r="592" s="457" customFormat="1" spans="1:19">
      <c r="A592" s="494">
        <v>45783</v>
      </c>
      <c r="B592" s="442" t="s">
        <v>643</v>
      </c>
      <c r="C592" s="495">
        <v>45783</v>
      </c>
      <c r="D592" s="463"/>
      <c r="E592" s="463"/>
      <c r="F592" s="496" t="s">
        <v>17</v>
      </c>
      <c r="G592" s="442">
        <v>1</v>
      </c>
      <c r="H592" s="432">
        <f>SUM(H584:H591)</f>
        <v>1200</v>
      </c>
      <c r="I592" s="463">
        <f t="shared" si="84"/>
        <v>1200</v>
      </c>
      <c r="J592" s="497">
        <v>1</v>
      </c>
      <c r="K592" s="497">
        <f t="shared" si="85"/>
        <v>1200</v>
      </c>
      <c r="L592" s="457">
        <f>SUM(K584:K593)</f>
        <v>3012.6</v>
      </c>
      <c r="O592" s="457" t="s">
        <v>633</v>
      </c>
      <c r="S592" s="526"/>
    </row>
    <row r="593" s="457" customFormat="1" spans="1:19">
      <c r="A593" s="494">
        <v>45783</v>
      </c>
      <c r="B593" s="442" t="s">
        <v>643</v>
      </c>
      <c r="C593" s="495">
        <v>45783</v>
      </c>
      <c r="D593" s="463"/>
      <c r="E593" s="463"/>
      <c r="F593" s="496" t="s">
        <v>596</v>
      </c>
      <c r="G593" s="442">
        <v>10</v>
      </c>
      <c r="H593" s="432">
        <v>1</v>
      </c>
      <c r="I593" s="463">
        <f t="shared" si="84"/>
        <v>10</v>
      </c>
      <c r="J593" s="497">
        <v>12.5</v>
      </c>
      <c r="K593" s="533">
        <f t="shared" si="85"/>
        <v>125</v>
      </c>
      <c r="S593" s="526"/>
    </row>
    <row r="594" s="456" customFormat="1" spans="1:19">
      <c r="A594" s="488">
        <v>45783</v>
      </c>
      <c r="B594" s="489" t="s">
        <v>644</v>
      </c>
      <c r="C594" s="528">
        <v>45783</v>
      </c>
      <c r="D594" s="528"/>
      <c r="E594" s="529"/>
      <c r="F594" s="493" t="s">
        <v>477</v>
      </c>
      <c r="G594" s="491">
        <v>1</v>
      </c>
      <c r="H594" s="431">
        <v>300</v>
      </c>
      <c r="I594" s="491">
        <f t="shared" si="84"/>
        <v>300</v>
      </c>
      <c r="J594" s="492"/>
      <c r="K594" s="492"/>
    </row>
    <row r="595" s="456" customFormat="1" spans="1:19">
      <c r="A595" s="488">
        <v>45783</v>
      </c>
      <c r="B595" s="489" t="s">
        <v>644</v>
      </c>
      <c r="C595" s="528">
        <v>45783</v>
      </c>
      <c r="D595" s="528"/>
      <c r="E595" s="529"/>
      <c r="F595" s="493">
        <v>808</v>
      </c>
      <c r="G595" s="491">
        <v>1</v>
      </c>
      <c r="H595" s="431">
        <v>450</v>
      </c>
      <c r="I595" s="491">
        <f t="shared" si="84"/>
        <v>450</v>
      </c>
      <c r="J595" s="492">
        <v>8.9</v>
      </c>
      <c r="K595" s="492">
        <f t="shared" ref="K595:K602" si="86">I595*J595</f>
        <v>4005</v>
      </c>
    </row>
    <row r="596" s="456" customFormat="1" spans="1:19">
      <c r="A596" s="488">
        <v>45783</v>
      </c>
      <c r="B596" s="489" t="s">
        <v>644</v>
      </c>
      <c r="C596" s="528">
        <v>45783</v>
      </c>
      <c r="D596" s="528"/>
      <c r="E596" s="529"/>
      <c r="F596" s="493" t="s">
        <v>109</v>
      </c>
      <c r="G596" s="489">
        <v>1</v>
      </c>
      <c r="H596" s="531">
        <f>SUM(H594:H595)</f>
        <v>750</v>
      </c>
      <c r="I596" s="491">
        <f t="shared" si="84"/>
        <v>750</v>
      </c>
      <c r="J596" s="492">
        <v>1</v>
      </c>
      <c r="K596" s="492">
        <f t="shared" si="86"/>
        <v>750</v>
      </c>
      <c r="L596" s="456">
        <f>SUM(K594:K596)</f>
        <v>4755</v>
      </c>
    </row>
    <row r="597" s="457" customFormat="1" ht="21" customHeight="1" spans="1:19">
      <c r="A597" s="494">
        <v>45785</v>
      </c>
      <c r="B597" s="442" t="s">
        <v>565</v>
      </c>
      <c r="C597" s="495">
        <v>45785</v>
      </c>
      <c r="D597" s="463"/>
      <c r="E597" s="463"/>
      <c r="F597" s="496" t="s">
        <v>16</v>
      </c>
      <c r="G597" s="463">
        <v>1</v>
      </c>
      <c r="H597" s="432">
        <v>150</v>
      </c>
      <c r="I597" s="463">
        <f t="shared" si="84"/>
        <v>150</v>
      </c>
      <c r="J597" s="497">
        <v>13.5</v>
      </c>
      <c r="K597" s="497"/>
    </row>
    <row r="598" s="457" customFormat="1" spans="1:19">
      <c r="A598" s="494">
        <v>45785</v>
      </c>
      <c r="B598" s="442" t="s">
        <v>565</v>
      </c>
      <c r="C598" s="495">
        <v>45785</v>
      </c>
      <c r="D598" s="463"/>
      <c r="E598" s="463"/>
      <c r="F598" s="496" t="s">
        <v>533</v>
      </c>
      <c r="G598" s="463">
        <v>1</v>
      </c>
      <c r="H598" s="432">
        <v>147</v>
      </c>
      <c r="I598" s="463">
        <f t="shared" si="84"/>
        <v>147</v>
      </c>
      <c r="J598" s="497">
        <v>16</v>
      </c>
      <c r="K598" s="497"/>
    </row>
    <row r="599" s="457" customFormat="1" spans="1:19">
      <c r="A599" s="494">
        <v>45785</v>
      </c>
      <c r="B599" s="442" t="s">
        <v>565</v>
      </c>
      <c r="C599" s="495">
        <v>45785</v>
      </c>
      <c r="D599" s="463"/>
      <c r="E599" s="463"/>
      <c r="F599" s="496" t="s">
        <v>547</v>
      </c>
      <c r="G599" s="463">
        <v>1</v>
      </c>
      <c r="H599" s="432">
        <v>253</v>
      </c>
      <c r="I599" s="463">
        <f t="shared" si="84"/>
        <v>253</v>
      </c>
      <c r="J599" s="497">
        <v>14.7</v>
      </c>
      <c r="K599" s="497"/>
      <c r="M599" s="457" t="s">
        <v>325</v>
      </c>
      <c r="N599" s="457" t="s">
        <v>326</v>
      </c>
    </row>
    <row r="600" s="457" customFormat="1" spans="1:19">
      <c r="A600" s="494">
        <v>45785</v>
      </c>
      <c r="B600" s="442" t="s">
        <v>565</v>
      </c>
      <c r="C600" s="495">
        <v>45785</v>
      </c>
      <c r="D600" s="463"/>
      <c r="E600" s="463"/>
      <c r="F600" s="496">
        <v>808</v>
      </c>
      <c r="G600" s="463">
        <v>1</v>
      </c>
      <c r="H600" s="432">
        <v>50</v>
      </c>
      <c r="I600" s="463">
        <f t="shared" si="84"/>
        <v>50</v>
      </c>
      <c r="J600" s="497">
        <v>8.9</v>
      </c>
      <c r="K600" s="497">
        <f t="shared" si="86"/>
        <v>445</v>
      </c>
      <c r="M600" s="457" t="s">
        <v>182</v>
      </c>
    </row>
    <row r="601" s="457" customFormat="1" spans="1:19">
      <c r="A601" s="494">
        <v>45785</v>
      </c>
      <c r="B601" s="442" t="s">
        <v>565</v>
      </c>
      <c r="C601" s="495">
        <v>45785</v>
      </c>
      <c r="D601" s="463"/>
      <c r="E601" s="463"/>
      <c r="F601" s="496" t="s">
        <v>152</v>
      </c>
      <c r="G601" s="463">
        <v>1</v>
      </c>
      <c r="H601" s="432">
        <v>155</v>
      </c>
      <c r="I601" s="463">
        <f t="shared" si="84"/>
        <v>155</v>
      </c>
      <c r="J601" s="497">
        <v>6.9</v>
      </c>
      <c r="K601" s="497">
        <f t="shared" si="86"/>
        <v>1069.5</v>
      </c>
    </row>
    <row r="602" s="457" customFormat="1" spans="1:19">
      <c r="A602" s="494">
        <v>45785</v>
      </c>
      <c r="B602" s="442" t="s">
        <v>565</v>
      </c>
      <c r="C602" s="495">
        <v>45785</v>
      </c>
      <c r="D602" s="463"/>
      <c r="E602" s="463"/>
      <c r="F602" s="496" t="s">
        <v>125</v>
      </c>
      <c r="G602" s="463">
        <v>1</v>
      </c>
      <c r="H602" s="432">
        <v>95</v>
      </c>
      <c r="I602" s="463">
        <f t="shared" si="84"/>
        <v>95</v>
      </c>
      <c r="J602" s="497">
        <v>6.1</v>
      </c>
      <c r="K602" s="497">
        <f t="shared" si="86"/>
        <v>579.5</v>
      </c>
    </row>
    <row r="603" s="457" customFormat="1" spans="1:19">
      <c r="A603" s="494">
        <v>45785</v>
      </c>
      <c r="B603" s="442" t="s">
        <v>565</v>
      </c>
      <c r="C603" s="495">
        <v>45785</v>
      </c>
      <c r="D603" s="463"/>
      <c r="E603" s="463"/>
      <c r="F603" s="496" t="s">
        <v>183</v>
      </c>
      <c r="G603" s="463">
        <v>1</v>
      </c>
      <c r="H603" s="432">
        <v>150</v>
      </c>
      <c r="I603" s="463">
        <f t="shared" si="84"/>
        <v>150</v>
      </c>
      <c r="J603" s="497"/>
      <c r="K603" s="497"/>
      <c r="M603" s="457" t="s">
        <v>184</v>
      </c>
      <c r="N603" s="457" t="s">
        <v>185</v>
      </c>
    </row>
    <row r="604" s="457" customFormat="1" spans="1:19">
      <c r="A604" s="494">
        <v>45785</v>
      </c>
      <c r="B604" s="442" t="s">
        <v>565</v>
      </c>
      <c r="C604" s="495">
        <v>45785</v>
      </c>
      <c r="D604" s="463"/>
      <c r="E604" s="463"/>
      <c r="F604" s="499" t="s">
        <v>186</v>
      </c>
      <c r="G604" s="501">
        <v>1</v>
      </c>
      <c r="H604" s="500">
        <f>SUM(H597:H603)</f>
        <v>1000</v>
      </c>
      <c r="I604" s="501">
        <f t="shared" si="84"/>
        <v>1000</v>
      </c>
      <c r="J604" s="502">
        <v>1</v>
      </c>
      <c r="K604" s="502">
        <f t="shared" ref="K604:K607" si="87">I604*J604</f>
        <v>1000</v>
      </c>
      <c r="R604" s="457" t="s">
        <v>359</v>
      </c>
    </row>
    <row r="605" s="457" customFormat="1" spans="1:19">
      <c r="A605" s="494">
        <v>45785</v>
      </c>
      <c r="B605" s="442" t="s">
        <v>565</v>
      </c>
      <c r="C605" s="495">
        <v>45784</v>
      </c>
      <c r="D605" s="463"/>
      <c r="E605" s="463"/>
      <c r="F605" s="496" t="s">
        <v>596</v>
      </c>
      <c r="G605" s="442">
        <v>2</v>
      </c>
      <c r="H605" s="432">
        <v>1</v>
      </c>
      <c r="I605" s="463">
        <f t="shared" si="84"/>
        <v>2</v>
      </c>
      <c r="J605" s="497">
        <v>12.5</v>
      </c>
      <c r="K605" s="497">
        <f t="shared" si="87"/>
        <v>25</v>
      </c>
      <c r="L605" s="457" t="s">
        <v>671</v>
      </c>
      <c r="S605" s="526"/>
    </row>
    <row r="606" s="457" customFormat="1" spans="1:19">
      <c r="A606" s="494">
        <v>45785</v>
      </c>
      <c r="B606" s="442" t="s">
        <v>565</v>
      </c>
      <c r="C606" s="495">
        <v>45784</v>
      </c>
      <c r="D606" s="463"/>
      <c r="E606" s="463"/>
      <c r="F606" s="496" t="s">
        <v>672</v>
      </c>
      <c r="G606" s="442">
        <v>1</v>
      </c>
      <c r="H606" s="432">
        <v>1</v>
      </c>
      <c r="I606" s="463">
        <f t="shared" si="84"/>
        <v>1</v>
      </c>
      <c r="J606" s="497">
        <v>12.2</v>
      </c>
      <c r="K606" s="497">
        <f t="shared" si="87"/>
        <v>12.2</v>
      </c>
      <c r="L606" s="457" t="s">
        <v>673</v>
      </c>
      <c r="S606" s="526"/>
    </row>
    <row r="607" s="457" customFormat="1" spans="1:19">
      <c r="A607" s="494">
        <v>45785</v>
      </c>
      <c r="B607" s="442" t="s">
        <v>565</v>
      </c>
      <c r="C607" s="495">
        <v>45784</v>
      </c>
      <c r="D607" s="463"/>
      <c r="E607" s="463"/>
      <c r="F607" s="496" t="s">
        <v>674</v>
      </c>
      <c r="G607" s="442">
        <v>1</v>
      </c>
      <c r="H607" s="432">
        <v>1</v>
      </c>
      <c r="I607" s="463">
        <f t="shared" si="84"/>
        <v>1</v>
      </c>
      <c r="J607" s="497"/>
      <c r="K607" s="497"/>
      <c r="L607" s="554">
        <f>SUM(K597:K607)</f>
        <v>3131.2</v>
      </c>
    </row>
    <row r="608" s="457" customFormat="1" spans="1:19">
      <c r="A608" s="494">
        <v>45785</v>
      </c>
      <c r="B608" s="442" t="s">
        <v>565</v>
      </c>
      <c r="C608" s="495" t="s">
        <v>675</v>
      </c>
      <c r="D608" s="463"/>
      <c r="E608" s="463"/>
      <c r="F608" s="496" t="s">
        <v>676</v>
      </c>
      <c r="G608" s="442">
        <v>3</v>
      </c>
      <c r="H608" s="432">
        <v>1</v>
      </c>
      <c r="I608" s="463">
        <f t="shared" si="84"/>
        <v>3</v>
      </c>
      <c r="J608" s="497"/>
      <c r="K608" s="497"/>
      <c r="L608" s="554" t="s">
        <v>677</v>
      </c>
    </row>
    <row r="609" s="456" customFormat="1" spans="1:14">
      <c r="A609" s="488">
        <v>45789</v>
      </c>
      <c r="B609" s="489" t="s">
        <v>57</v>
      </c>
      <c r="C609" s="490">
        <v>45789</v>
      </c>
      <c r="D609" s="491"/>
      <c r="E609" s="491"/>
      <c r="F609" s="493" t="s">
        <v>16</v>
      </c>
      <c r="G609" s="491">
        <v>1</v>
      </c>
      <c r="H609" s="431">
        <v>75</v>
      </c>
      <c r="I609" s="491">
        <f t="shared" si="84"/>
        <v>75</v>
      </c>
      <c r="J609" s="492"/>
      <c r="K609" s="492"/>
    </row>
    <row r="610" s="456" customFormat="1" spans="1:14">
      <c r="A610" s="488">
        <v>45789</v>
      </c>
      <c r="B610" s="489" t="s">
        <v>57</v>
      </c>
      <c r="C610" s="490">
        <v>45789</v>
      </c>
      <c r="D610" s="491"/>
      <c r="E610" s="491"/>
      <c r="F610" s="493" t="s">
        <v>300</v>
      </c>
      <c r="G610" s="491">
        <v>1</v>
      </c>
      <c r="H610" s="431">
        <v>75</v>
      </c>
      <c r="I610" s="491">
        <f t="shared" si="84"/>
        <v>75</v>
      </c>
      <c r="J610" s="492"/>
      <c r="K610" s="492"/>
    </row>
    <row r="611" s="456" customFormat="1" spans="1:14">
      <c r="A611" s="488">
        <v>45789</v>
      </c>
      <c r="B611" s="489" t="s">
        <v>57</v>
      </c>
      <c r="C611" s="490">
        <v>45789</v>
      </c>
      <c r="D611" s="491"/>
      <c r="E611" s="491"/>
      <c r="F611" s="493" t="s">
        <v>546</v>
      </c>
      <c r="G611" s="491">
        <v>1</v>
      </c>
      <c r="H611" s="431">
        <v>107</v>
      </c>
      <c r="I611" s="491">
        <f t="shared" si="84"/>
        <v>107</v>
      </c>
      <c r="J611" s="492"/>
      <c r="K611" s="492"/>
    </row>
    <row r="612" s="456" customFormat="1" spans="1:14">
      <c r="A612" s="488">
        <v>45789</v>
      </c>
      <c r="B612" s="489" t="s">
        <v>57</v>
      </c>
      <c r="C612" s="490">
        <v>45789</v>
      </c>
      <c r="D612" s="491"/>
      <c r="E612" s="491"/>
      <c r="F612" s="493">
        <v>808</v>
      </c>
      <c r="G612" s="491">
        <v>1</v>
      </c>
      <c r="H612" s="431">
        <v>50</v>
      </c>
      <c r="I612" s="491">
        <f t="shared" si="84"/>
        <v>50</v>
      </c>
      <c r="J612" s="492">
        <v>8.9</v>
      </c>
      <c r="K612" s="492">
        <f t="shared" ref="K612:K614" si="88">I612*J612</f>
        <v>445</v>
      </c>
      <c r="L612" s="456" t="s">
        <v>126</v>
      </c>
    </row>
    <row r="613" s="456" customFormat="1" spans="1:14">
      <c r="A613" s="488">
        <v>45789</v>
      </c>
      <c r="B613" s="489" t="s">
        <v>57</v>
      </c>
      <c r="C613" s="490">
        <v>45789</v>
      </c>
      <c r="D613" s="491"/>
      <c r="E613" s="491"/>
      <c r="F613" s="493" t="s">
        <v>125</v>
      </c>
      <c r="G613" s="491">
        <v>1</v>
      </c>
      <c r="H613" s="431">
        <v>108</v>
      </c>
      <c r="I613" s="491">
        <f t="shared" si="84"/>
        <v>108</v>
      </c>
      <c r="J613" s="492">
        <v>6.1</v>
      </c>
      <c r="K613" s="492">
        <f t="shared" si="88"/>
        <v>658.8</v>
      </c>
    </row>
    <row r="614" s="456" customFormat="1" spans="1:14">
      <c r="A614" s="488">
        <v>45789</v>
      </c>
      <c r="B614" s="489" t="s">
        <v>57</v>
      </c>
      <c r="C614" s="490">
        <v>45789</v>
      </c>
      <c r="D614" s="491"/>
      <c r="E614" s="491"/>
      <c r="F614" s="493" t="s">
        <v>12</v>
      </c>
      <c r="G614" s="491">
        <v>1</v>
      </c>
      <c r="H614" s="431">
        <v>10</v>
      </c>
      <c r="I614" s="491">
        <f t="shared" si="84"/>
        <v>10</v>
      </c>
      <c r="J614" s="492">
        <v>6.9</v>
      </c>
      <c r="K614" s="492">
        <f t="shared" si="88"/>
        <v>69</v>
      </c>
      <c r="N614" s="456">
        <f>SUBTOTAL(9,K345:K516)</f>
        <v>55234.526</v>
      </c>
    </row>
    <row r="615" s="456" customFormat="1" spans="1:14">
      <c r="A615" s="488">
        <v>45789</v>
      </c>
      <c r="B615" s="489" t="s">
        <v>57</v>
      </c>
      <c r="C615" s="490">
        <v>45789</v>
      </c>
      <c r="D615" s="491"/>
      <c r="E615" s="491"/>
      <c r="F615" s="493" t="s">
        <v>240</v>
      </c>
      <c r="G615" s="491">
        <v>1</v>
      </c>
      <c r="H615" s="431">
        <v>75</v>
      </c>
      <c r="I615" s="491">
        <f t="shared" si="84"/>
        <v>75</v>
      </c>
      <c r="J615" s="492"/>
      <c r="K615" s="492"/>
      <c r="M615" s="456" t="s">
        <v>678</v>
      </c>
    </row>
    <row r="616" s="456" customFormat="1" spans="1:14">
      <c r="A616" s="488">
        <v>45789</v>
      </c>
      <c r="B616" s="489" t="s">
        <v>57</v>
      </c>
      <c r="C616" s="490">
        <v>45789</v>
      </c>
      <c r="D616" s="491"/>
      <c r="E616" s="491"/>
      <c r="F616" s="493" t="s">
        <v>301</v>
      </c>
      <c r="G616" s="491">
        <v>1</v>
      </c>
      <c r="H616" s="431">
        <f>SUM(H609:H615)</f>
        <v>500</v>
      </c>
      <c r="I616" s="491">
        <f t="shared" si="84"/>
        <v>500</v>
      </c>
      <c r="J616" s="492">
        <v>1</v>
      </c>
      <c r="K616" s="492">
        <f t="shared" ref="K616:K618" si="89">I616*J616</f>
        <v>500</v>
      </c>
      <c r="L616" s="456">
        <f>SUM(K609:K616)</f>
        <v>1672.8</v>
      </c>
    </row>
    <row r="617" s="457" customFormat="1" spans="1:14">
      <c r="A617" s="494">
        <v>45791</v>
      </c>
      <c r="B617" s="442" t="s">
        <v>370</v>
      </c>
      <c r="C617" s="495">
        <v>45790</v>
      </c>
      <c r="D617" s="463"/>
      <c r="E617" s="463"/>
      <c r="F617" s="496" t="s">
        <v>679</v>
      </c>
      <c r="G617" s="463">
        <v>5</v>
      </c>
      <c r="H617" s="432">
        <v>18</v>
      </c>
      <c r="I617" s="463">
        <f t="shared" si="84"/>
        <v>90</v>
      </c>
      <c r="J617" s="497">
        <v>15</v>
      </c>
      <c r="K617" s="497">
        <f t="shared" si="89"/>
        <v>1350</v>
      </c>
      <c r="L617" s="537"/>
      <c r="M617" s="537"/>
      <c r="N617" s="537"/>
    </row>
    <row r="618" s="457" customFormat="1" spans="1:14">
      <c r="A618" s="494">
        <v>45791</v>
      </c>
      <c r="B618" s="442" t="s">
        <v>370</v>
      </c>
      <c r="C618" s="495">
        <v>45790</v>
      </c>
      <c r="D618" s="463"/>
      <c r="E618" s="463"/>
      <c r="F618" s="496" t="s">
        <v>653</v>
      </c>
      <c r="G618" s="463">
        <v>5</v>
      </c>
      <c r="H618" s="432">
        <v>1</v>
      </c>
      <c r="I618" s="463">
        <f t="shared" si="84"/>
        <v>5</v>
      </c>
      <c r="J618" s="497">
        <v>12.5</v>
      </c>
      <c r="K618" s="497">
        <f t="shared" si="89"/>
        <v>62.5</v>
      </c>
      <c r="L618" s="537">
        <f>SUM(K617:K618)</f>
        <v>1412.5</v>
      </c>
      <c r="M618" s="537"/>
      <c r="N618" s="537"/>
    </row>
    <row r="619" s="456" customFormat="1" spans="1:14">
      <c r="A619" s="488">
        <v>45793</v>
      </c>
      <c r="B619" s="489" t="s">
        <v>270</v>
      </c>
      <c r="C619" s="490">
        <v>45792</v>
      </c>
      <c r="D619" s="491"/>
      <c r="E619" s="491"/>
      <c r="F619" s="493" t="s">
        <v>680</v>
      </c>
      <c r="G619" s="491">
        <v>4</v>
      </c>
      <c r="H619" s="431">
        <v>1</v>
      </c>
      <c r="I619" s="491">
        <f t="shared" ref="I619:I634" si="90">G619*H619</f>
        <v>4</v>
      </c>
      <c r="J619" s="492">
        <v>2.5</v>
      </c>
      <c r="K619" s="492">
        <f t="shared" ref="K619:K623" si="91">I619*J619</f>
        <v>10</v>
      </c>
      <c r="L619" s="492"/>
      <c r="M619" s="536"/>
      <c r="N619" s="536"/>
    </row>
    <row r="620" s="456" customFormat="1" spans="1:14">
      <c r="A620" s="488">
        <v>45793</v>
      </c>
      <c r="B620" s="489" t="s">
        <v>270</v>
      </c>
      <c r="C620" s="490">
        <v>45792</v>
      </c>
      <c r="D620" s="491"/>
      <c r="E620" s="491"/>
      <c r="F620" s="493" t="s">
        <v>681</v>
      </c>
      <c r="G620" s="491">
        <v>2</v>
      </c>
      <c r="H620" s="431">
        <v>1</v>
      </c>
      <c r="I620" s="491">
        <f t="shared" si="90"/>
        <v>2</v>
      </c>
      <c r="J620" s="492">
        <v>5.5</v>
      </c>
      <c r="K620" s="492">
        <f t="shared" si="91"/>
        <v>11</v>
      </c>
      <c r="L620" s="492"/>
      <c r="M620" s="536"/>
      <c r="N620" s="536"/>
    </row>
    <row r="621" s="456" customFormat="1" spans="1:14">
      <c r="A621" s="488">
        <v>45793</v>
      </c>
      <c r="B621" s="489" t="s">
        <v>270</v>
      </c>
      <c r="C621" s="490">
        <v>45792</v>
      </c>
      <c r="D621" s="491"/>
      <c r="E621" s="491"/>
      <c r="F621" s="493" t="s">
        <v>682</v>
      </c>
      <c r="G621" s="491">
        <v>5</v>
      </c>
      <c r="H621" s="431">
        <v>1</v>
      </c>
      <c r="I621" s="491">
        <f t="shared" si="90"/>
        <v>5</v>
      </c>
      <c r="J621" s="492">
        <v>12.5</v>
      </c>
      <c r="K621" s="492">
        <f t="shared" si="91"/>
        <v>62.5</v>
      </c>
      <c r="L621" s="492"/>
      <c r="M621" s="536"/>
      <c r="N621" s="536"/>
    </row>
    <row r="622" s="456" customFormat="1" spans="1:14">
      <c r="A622" s="488">
        <v>45793</v>
      </c>
      <c r="B622" s="489" t="s">
        <v>270</v>
      </c>
      <c r="C622" s="490">
        <v>45792</v>
      </c>
      <c r="D622" s="491"/>
      <c r="E622" s="491"/>
      <c r="F622" s="493" t="s">
        <v>251</v>
      </c>
      <c r="G622" s="491">
        <v>1</v>
      </c>
      <c r="H622" s="431">
        <v>150</v>
      </c>
      <c r="I622" s="491">
        <f t="shared" si="90"/>
        <v>150</v>
      </c>
      <c r="J622" s="492"/>
      <c r="K622" s="492"/>
    </row>
    <row r="623" s="456" customFormat="1" spans="1:14">
      <c r="A623" s="488">
        <v>45793</v>
      </c>
      <c r="B623" s="489" t="s">
        <v>270</v>
      </c>
      <c r="C623" s="490">
        <v>45792</v>
      </c>
      <c r="D623" s="491"/>
      <c r="E623" s="491"/>
      <c r="F623" s="493">
        <v>808</v>
      </c>
      <c r="G623" s="491">
        <v>1</v>
      </c>
      <c r="H623" s="431">
        <v>105</v>
      </c>
      <c r="I623" s="491">
        <f t="shared" si="90"/>
        <v>105</v>
      </c>
      <c r="J623" s="492">
        <v>8.9</v>
      </c>
      <c r="K623" s="492">
        <f>I623*J623</f>
        <v>934.5</v>
      </c>
    </row>
    <row r="624" s="456" customFormat="1" spans="1:14">
      <c r="A624" s="488">
        <v>45793</v>
      </c>
      <c r="B624" s="489" t="s">
        <v>270</v>
      </c>
      <c r="C624" s="490">
        <v>45792</v>
      </c>
      <c r="D624" s="491"/>
      <c r="E624" s="491"/>
      <c r="F624" s="493" t="s">
        <v>599</v>
      </c>
      <c r="G624" s="491">
        <v>1</v>
      </c>
      <c r="H624" s="431">
        <v>62</v>
      </c>
      <c r="I624" s="491">
        <f t="shared" si="90"/>
        <v>62</v>
      </c>
      <c r="J624" s="492"/>
      <c r="K624" s="492"/>
    </row>
    <row r="625" s="456" customFormat="1" spans="1:14">
      <c r="A625" s="488">
        <v>45793</v>
      </c>
      <c r="B625" s="489" t="s">
        <v>270</v>
      </c>
      <c r="C625" s="490">
        <v>45792</v>
      </c>
      <c r="D625" s="491"/>
      <c r="E625" s="491"/>
      <c r="F625" s="493" t="s">
        <v>553</v>
      </c>
      <c r="G625" s="491">
        <v>1</v>
      </c>
      <c r="H625" s="431">
        <v>89</v>
      </c>
      <c r="I625" s="491">
        <f t="shared" si="90"/>
        <v>89</v>
      </c>
      <c r="J625" s="492"/>
      <c r="K625" s="492"/>
      <c r="M625" s="456" t="s">
        <v>51</v>
      </c>
    </row>
    <row r="626" s="456" customFormat="1" spans="1:14">
      <c r="A626" s="488">
        <v>45793</v>
      </c>
      <c r="B626" s="489" t="s">
        <v>270</v>
      </c>
      <c r="C626" s="490">
        <v>45792</v>
      </c>
      <c r="D626" s="491"/>
      <c r="E626" s="491"/>
      <c r="F626" s="493" t="s">
        <v>12</v>
      </c>
      <c r="G626" s="491">
        <v>1</v>
      </c>
      <c r="H626" s="431">
        <v>50</v>
      </c>
      <c r="I626" s="491">
        <f t="shared" si="90"/>
        <v>50</v>
      </c>
      <c r="J626" s="492">
        <v>6.9</v>
      </c>
      <c r="K626" s="492">
        <f>I626*J626</f>
        <v>345</v>
      </c>
    </row>
    <row r="627" s="456" customFormat="1" spans="1:14">
      <c r="A627" s="488">
        <v>45793</v>
      </c>
      <c r="B627" s="489" t="s">
        <v>270</v>
      </c>
      <c r="C627" s="490">
        <v>45792</v>
      </c>
      <c r="D627" s="491"/>
      <c r="E627" s="491"/>
      <c r="F627" s="493" t="s">
        <v>125</v>
      </c>
      <c r="G627" s="491">
        <v>1</v>
      </c>
      <c r="H627" s="431">
        <v>44</v>
      </c>
      <c r="I627" s="491">
        <f t="shared" si="90"/>
        <v>44</v>
      </c>
      <c r="J627" s="492">
        <v>6.1</v>
      </c>
      <c r="K627" s="492">
        <f>I627*J627</f>
        <v>268.4</v>
      </c>
      <c r="L627" s="456" t="s">
        <v>683</v>
      </c>
    </row>
    <row r="628" s="456" customFormat="1" spans="1:14">
      <c r="A628" s="488">
        <v>45793</v>
      </c>
      <c r="B628" s="489" t="s">
        <v>270</v>
      </c>
      <c r="C628" s="490">
        <v>45792</v>
      </c>
      <c r="D628" s="491"/>
      <c r="E628" s="491"/>
      <c r="F628" s="493" t="s">
        <v>47</v>
      </c>
      <c r="G628" s="491">
        <v>1</v>
      </c>
      <c r="H628" s="431">
        <f>SUM(H622:H627)</f>
        <v>500</v>
      </c>
      <c r="I628" s="491">
        <f t="shared" si="90"/>
        <v>500</v>
      </c>
      <c r="J628" s="492">
        <v>1</v>
      </c>
      <c r="K628" s="492">
        <f>I628*J628</f>
        <v>500</v>
      </c>
      <c r="L628" s="456">
        <f>SUM(K619:K629)</f>
        <v>2256.4</v>
      </c>
    </row>
    <row r="629" s="456" customFormat="1" spans="1:14">
      <c r="A629" s="488">
        <v>45793</v>
      </c>
      <c r="B629" s="489" t="s">
        <v>270</v>
      </c>
      <c r="C629" s="490">
        <v>45792</v>
      </c>
      <c r="D629" s="491"/>
      <c r="E629" s="491"/>
      <c r="F629" s="456" t="s">
        <v>684</v>
      </c>
      <c r="G629" s="456">
        <v>10</v>
      </c>
      <c r="H629" s="456">
        <v>1</v>
      </c>
      <c r="I629" s="491">
        <f t="shared" si="90"/>
        <v>10</v>
      </c>
      <c r="J629" s="456">
        <v>12.5</v>
      </c>
      <c r="K629" s="492">
        <f>I629*J629</f>
        <v>125</v>
      </c>
    </row>
    <row r="630" s="457" customFormat="1" spans="1:14">
      <c r="A630" s="494">
        <v>45793</v>
      </c>
      <c r="B630" s="442" t="s">
        <v>272</v>
      </c>
      <c r="C630" s="495">
        <v>45792</v>
      </c>
      <c r="D630" s="463"/>
      <c r="E630" s="463"/>
      <c r="F630" s="496" t="s">
        <v>16</v>
      </c>
      <c r="G630" s="463">
        <v>1</v>
      </c>
      <c r="H630" s="432">
        <v>48</v>
      </c>
      <c r="I630" s="463">
        <f t="shared" si="90"/>
        <v>48</v>
      </c>
      <c r="J630" s="497">
        <v>13.5</v>
      </c>
      <c r="K630" s="497"/>
    </row>
    <row r="631" s="457" customFormat="1" spans="1:14">
      <c r="A631" s="494">
        <v>45793</v>
      </c>
      <c r="B631" s="442" t="s">
        <v>272</v>
      </c>
      <c r="C631" s="495">
        <v>45792</v>
      </c>
      <c r="D631" s="463"/>
      <c r="E631" s="463"/>
      <c r="F631" s="496">
        <v>996</v>
      </c>
      <c r="G631" s="463">
        <v>1</v>
      </c>
      <c r="H631" s="432">
        <v>150</v>
      </c>
      <c r="I631" s="463">
        <f t="shared" si="90"/>
        <v>150</v>
      </c>
      <c r="J631" s="497">
        <v>16</v>
      </c>
      <c r="K631" s="497"/>
    </row>
    <row r="632" s="457" customFormat="1" spans="1:14">
      <c r="A632" s="494">
        <v>45793</v>
      </c>
      <c r="B632" s="442" t="s">
        <v>272</v>
      </c>
      <c r="C632" s="495">
        <v>45792</v>
      </c>
      <c r="D632" s="463"/>
      <c r="E632" s="463"/>
      <c r="F632" s="496" t="s">
        <v>12</v>
      </c>
      <c r="G632" s="463">
        <v>1</v>
      </c>
      <c r="H632" s="432">
        <v>30</v>
      </c>
      <c r="I632" s="463">
        <f t="shared" si="90"/>
        <v>30</v>
      </c>
      <c r="J632" s="497">
        <v>6.9</v>
      </c>
      <c r="K632" s="497">
        <f>I632*J632</f>
        <v>207</v>
      </c>
    </row>
    <row r="633" s="457" customFormat="1" spans="1:14">
      <c r="A633" s="494">
        <v>45793</v>
      </c>
      <c r="B633" s="442" t="s">
        <v>272</v>
      </c>
      <c r="C633" s="495">
        <v>45792</v>
      </c>
      <c r="D633" s="463"/>
      <c r="E633" s="463"/>
      <c r="F633" s="496" t="s">
        <v>152</v>
      </c>
      <c r="G633" s="463">
        <v>1</v>
      </c>
      <c r="H633" s="432">
        <v>30</v>
      </c>
      <c r="I633" s="463">
        <f t="shared" si="90"/>
        <v>30</v>
      </c>
      <c r="J633" s="497">
        <v>6.9</v>
      </c>
      <c r="K633" s="497">
        <f>I633*J633</f>
        <v>207</v>
      </c>
      <c r="M633" s="554" t="s">
        <v>685</v>
      </c>
      <c r="N633" s="554"/>
    </row>
    <row r="634" s="457" customFormat="1" spans="1:14">
      <c r="A634" s="494">
        <v>45793</v>
      </c>
      <c r="B634" s="442" t="s">
        <v>272</v>
      </c>
      <c r="C634" s="495">
        <v>45792</v>
      </c>
      <c r="D634" s="463"/>
      <c r="E634" s="463"/>
      <c r="F634" s="496" t="s">
        <v>456</v>
      </c>
      <c r="G634" s="463">
        <v>1</v>
      </c>
      <c r="H634" s="432">
        <f>SUM(H630:H633)</f>
        <v>258</v>
      </c>
      <c r="I634" s="463">
        <f t="shared" si="90"/>
        <v>258</v>
      </c>
      <c r="J634" s="497">
        <v>3</v>
      </c>
      <c r="K634" s="497">
        <f>I634*J634</f>
        <v>774</v>
      </c>
      <c r="L634" s="457">
        <f>SUM(K630:K634)</f>
        <v>1188</v>
      </c>
    </row>
    <row r="635" s="456" customFormat="1" spans="1:14">
      <c r="A635" s="488"/>
      <c r="B635" s="489"/>
      <c r="C635" s="490"/>
      <c r="D635" s="491"/>
      <c r="E635" s="491"/>
      <c r="F635" s="498" t="s">
        <v>686</v>
      </c>
      <c r="G635" s="491"/>
      <c r="H635" s="431"/>
      <c r="I635" s="463"/>
      <c r="J635" s="492"/>
      <c r="K635" s="497"/>
      <c r="L635" s="537"/>
    </row>
    <row r="636" s="456" customFormat="1" spans="1:14">
      <c r="A636" s="488">
        <v>45797</v>
      </c>
      <c r="B636" s="489" t="s">
        <v>280</v>
      </c>
      <c r="C636" s="490">
        <v>45794</v>
      </c>
      <c r="D636" s="491"/>
      <c r="E636" s="491"/>
      <c r="F636" s="493" t="s">
        <v>687</v>
      </c>
      <c r="G636" s="491">
        <v>3</v>
      </c>
      <c r="H636" s="431">
        <v>1</v>
      </c>
      <c r="I636" s="491">
        <f>G636*H636</f>
        <v>3</v>
      </c>
      <c r="J636" s="492">
        <v>5.5</v>
      </c>
      <c r="K636" s="492">
        <f>I636*J636</f>
        <v>16.5</v>
      </c>
      <c r="L636" s="492"/>
      <c r="M636" s="536"/>
      <c r="N636" s="536"/>
    </row>
    <row r="637" s="456" customFormat="1" spans="1:14">
      <c r="A637" s="488">
        <v>45797</v>
      </c>
      <c r="B637" s="489" t="s">
        <v>280</v>
      </c>
      <c r="C637" s="490">
        <v>45796</v>
      </c>
      <c r="D637" s="491"/>
      <c r="E637" s="491"/>
      <c r="F637" s="493" t="s">
        <v>688</v>
      </c>
      <c r="G637" s="491">
        <v>5</v>
      </c>
      <c r="H637" s="431">
        <v>1</v>
      </c>
      <c r="I637" s="491">
        <f t="shared" ref="I637:I648" si="92">G637*H637</f>
        <v>5</v>
      </c>
      <c r="J637" s="492">
        <v>2.5</v>
      </c>
      <c r="K637" s="492">
        <f>I637*J637</f>
        <v>12.5</v>
      </c>
      <c r="L637" s="492"/>
      <c r="M637" s="536"/>
      <c r="N637" s="536"/>
    </row>
    <row r="638" s="456" customFormat="1" spans="1:14">
      <c r="A638" s="488">
        <v>45797</v>
      </c>
      <c r="B638" s="489" t="s">
        <v>280</v>
      </c>
      <c r="C638" s="490">
        <v>45796</v>
      </c>
      <c r="D638" s="491"/>
      <c r="E638" s="491"/>
      <c r="F638" s="493" t="s">
        <v>689</v>
      </c>
      <c r="G638" s="491">
        <v>1</v>
      </c>
      <c r="H638" s="431">
        <v>1</v>
      </c>
      <c r="I638" s="491">
        <f t="shared" si="92"/>
        <v>1</v>
      </c>
      <c r="J638" s="492">
        <v>12.2</v>
      </c>
      <c r="K638" s="492">
        <f>I638*J638</f>
        <v>12.2</v>
      </c>
    </row>
    <row r="639" s="456" customFormat="1" spans="1:14">
      <c r="A639" s="488">
        <v>45797</v>
      </c>
      <c r="B639" s="489" t="s">
        <v>280</v>
      </c>
      <c r="C639" s="490">
        <v>45797</v>
      </c>
      <c r="D639" s="491"/>
      <c r="E639" s="491"/>
      <c r="F639" s="493" t="s">
        <v>251</v>
      </c>
      <c r="G639" s="489">
        <v>1</v>
      </c>
      <c r="H639" s="431">
        <v>56</v>
      </c>
      <c r="I639" s="491">
        <f t="shared" si="92"/>
        <v>56</v>
      </c>
      <c r="J639" s="492"/>
      <c r="K639" s="492"/>
    </row>
    <row r="640" s="456" customFormat="1" spans="1:14">
      <c r="A640" s="488">
        <v>45797</v>
      </c>
      <c r="B640" s="489" t="s">
        <v>280</v>
      </c>
      <c r="C640" s="490">
        <v>45797</v>
      </c>
      <c r="D640" s="491"/>
      <c r="E640" s="491"/>
      <c r="F640" s="493" t="s">
        <v>13</v>
      </c>
      <c r="G640" s="489">
        <v>1</v>
      </c>
      <c r="H640" s="431">
        <v>40</v>
      </c>
      <c r="I640" s="491">
        <f t="shared" si="92"/>
        <v>40</v>
      </c>
      <c r="J640" s="492"/>
      <c r="K640" s="492"/>
    </row>
    <row r="641" s="456" customFormat="1" spans="1:19">
      <c r="A641" s="488">
        <v>45797</v>
      </c>
      <c r="B641" s="489" t="s">
        <v>280</v>
      </c>
      <c r="C641" s="490">
        <v>45797</v>
      </c>
      <c r="D641" s="491"/>
      <c r="E641" s="491"/>
      <c r="F641" s="493" t="s">
        <v>533</v>
      </c>
      <c r="G641" s="489">
        <v>1</v>
      </c>
      <c r="H641" s="431">
        <v>56</v>
      </c>
      <c r="I641" s="491">
        <f t="shared" si="92"/>
        <v>56</v>
      </c>
      <c r="J641" s="492"/>
      <c r="K641" s="492"/>
    </row>
    <row r="642" s="456" customFormat="1" spans="1:19">
      <c r="A642" s="488">
        <v>45797</v>
      </c>
      <c r="B642" s="489" t="s">
        <v>280</v>
      </c>
      <c r="C642" s="490">
        <v>45797</v>
      </c>
      <c r="D642" s="491"/>
      <c r="E642" s="491"/>
      <c r="F642" s="493" t="s">
        <v>547</v>
      </c>
      <c r="G642" s="489">
        <v>1</v>
      </c>
      <c r="H642" s="431">
        <v>14</v>
      </c>
      <c r="I642" s="491">
        <f t="shared" si="92"/>
        <v>14</v>
      </c>
      <c r="J642" s="492"/>
      <c r="K642" s="492"/>
      <c r="L642" s="456" t="s">
        <v>116</v>
      </c>
      <c r="M642" s="459" t="s">
        <v>690</v>
      </c>
    </row>
    <row r="643" s="456" customFormat="1" spans="1:19">
      <c r="A643" s="488">
        <v>45797</v>
      </c>
      <c r="B643" s="489" t="s">
        <v>280</v>
      </c>
      <c r="C643" s="490">
        <v>45797</v>
      </c>
      <c r="D643" s="491"/>
      <c r="E643" s="491"/>
      <c r="F643" s="493">
        <v>808</v>
      </c>
      <c r="G643" s="489">
        <v>1</v>
      </c>
      <c r="H643" s="431">
        <v>10</v>
      </c>
      <c r="I643" s="491">
        <f t="shared" si="92"/>
        <v>10</v>
      </c>
      <c r="J643" s="492">
        <v>8.6</v>
      </c>
      <c r="K643" s="492">
        <f t="shared" ref="K643:K648" si="93">I643*J643</f>
        <v>86</v>
      </c>
      <c r="M643" s="459"/>
    </row>
    <row r="644" s="456" customFormat="1" spans="1:19">
      <c r="A644" s="488">
        <v>45797</v>
      </c>
      <c r="B644" s="489" t="s">
        <v>280</v>
      </c>
      <c r="C644" s="490">
        <v>45797</v>
      </c>
      <c r="D644" s="491"/>
      <c r="E644" s="491"/>
      <c r="F644" s="493" t="s">
        <v>12</v>
      </c>
      <c r="G644" s="489">
        <v>1</v>
      </c>
      <c r="H644" s="431">
        <v>24</v>
      </c>
      <c r="I644" s="491">
        <f t="shared" si="92"/>
        <v>24</v>
      </c>
      <c r="J644" s="492">
        <v>6.8</v>
      </c>
      <c r="K644" s="492">
        <f t="shared" si="93"/>
        <v>163.2</v>
      </c>
    </row>
    <row r="645" s="456" customFormat="1" spans="1:19">
      <c r="A645" s="488">
        <v>45797</v>
      </c>
      <c r="B645" s="489" t="s">
        <v>280</v>
      </c>
      <c r="C645" s="490">
        <v>45797</v>
      </c>
      <c r="D645" s="491"/>
      <c r="E645" s="491"/>
      <c r="F645" s="493" t="s">
        <v>17</v>
      </c>
      <c r="G645" s="489">
        <v>1</v>
      </c>
      <c r="H645" s="431">
        <f>SUM(H639:H644)</f>
        <v>200</v>
      </c>
      <c r="I645" s="491">
        <f t="shared" si="92"/>
        <v>200</v>
      </c>
      <c r="J645" s="492">
        <v>1</v>
      </c>
      <c r="K645" s="492">
        <f t="shared" si="93"/>
        <v>200</v>
      </c>
      <c r="L645" s="456">
        <f>SUM(K636:K645)</f>
        <v>490.4</v>
      </c>
      <c r="S645" s="539"/>
    </row>
    <row r="646" s="457" customFormat="1" spans="1:19">
      <c r="A646" s="494">
        <v>45799</v>
      </c>
      <c r="B646" s="442" t="s">
        <v>187</v>
      </c>
      <c r="C646" s="495">
        <v>45799</v>
      </c>
      <c r="D646" s="463"/>
      <c r="E646" s="463"/>
      <c r="F646" s="496" t="s">
        <v>691</v>
      </c>
      <c r="G646" s="442">
        <v>4</v>
      </c>
      <c r="H646" s="432">
        <v>1</v>
      </c>
      <c r="I646" s="463">
        <f t="shared" si="92"/>
        <v>4</v>
      </c>
      <c r="J646" s="497">
        <v>2.5</v>
      </c>
      <c r="K646" s="497">
        <f t="shared" si="93"/>
        <v>10</v>
      </c>
      <c r="L646" s="457" t="s">
        <v>692</v>
      </c>
      <c r="S646" s="526"/>
    </row>
    <row r="647" s="457" customFormat="1" spans="1:19">
      <c r="A647" s="494">
        <v>45799</v>
      </c>
      <c r="B647" s="442" t="s">
        <v>187</v>
      </c>
      <c r="C647" s="495">
        <v>45799</v>
      </c>
      <c r="D647" s="463"/>
      <c r="E647" s="463"/>
      <c r="F647" s="496" t="s">
        <v>693</v>
      </c>
      <c r="G647" s="463">
        <v>1</v>
      </c>
      <c r="H647" s="432">
        <v>1</v>
      </c>
      <c r="I647" s="463">
        <f t="shared" si="92"/>
        <v>1</v>
      </c>
      <c r="J647" s="497">
        <v>59</v>
      </c>
      <c r="K647" s="497">
        <f t="shared" si="93"/>
        <v>59</v>
      </c>
      <c r="L647" s="457" t="s">
        <v>694</v>
      </c>
    </row>
    <row r="648" s="457" customFormat="1" spans="1:19">
      <c r="A648" s="494">
        <v>45799</v>
      </c>
      <c r="B648" s="442" t="s">
        <v>187</v>
      </c>
      <c r="C648" s="495">
        <v>45799</v>
      </c>
      <c r="D648" s="463"/>
      <c r="E648" s="463"/>
      <c r="F648" s="496" t="s">
        <v>687</v>
      </c>
      <c r="G648" s="463">
        <v>1</v>
      </c>
      <c r="H648" s="432">
        <v>1</v>
      </c>
      <c r="I648" s="463">
        <f t="shared" si="92"/>
        <v>1</v>
      </c>
      <c r="J648" s="497">
        <v>5.5</v>
      </c>
      <c r="K648" s="497">
        <f t="shared" si="93"/>
        <v>5.5</v>
      </c>
      <c r="L648" s="457" t="s">
        <v>692</v>
      </c>
    </row>
    <row r="649" s="457" customFormat="1" spans="1:19">
      <c r="A649" s="494">
        <v>45799</v>
      </c>
      <c r="B649" s="442" t="s">
        <v>187</v>
      </c>
      <c r="C649" s="495">
        <v>45799</v>
      </c>
      <c r="D649" s="463"/>
      <c r="E649" s="463"/>
      <c r="F649" s="496" t="s">
        <v>251</v>
      </c>
      <c r="G649" s="442">
        <v>1</v>
      </c>
      <c r="H649" s="432">
        <v>42</v>
      </c>
      <c r="I649" s="463">
        <f t="shared" ref="I649:I666" si="94">G649*H649</f>
        <v>42</v>
      </c>
      <c r="J649" s="497"/>
      <c r="K649" s="497"/>
    </row>
    <row r="650" s="457" customFormat="1" spans="1:19">
      <c r="A650" s="494">
        <v>45799</v>
      </c>
      <c r="B650" s="442" t="s">
        <v>187</v>
      </c>
      <c r="C650" s="495">
        <v>45799</v>
      </c>
      <c r="D650" s="463"/>
      <c r="E650" s="463"/>
      <c r="F650" s="496" t="s">
        <v>183</v>
      </c>
      <c r="G650" s="442">
        <v>1</v>
      </c>
      <c r="H650" s="432">
        <v>30</v>
      </c>
      <c r="I650" s="463">
        <f t="shared" si="94"/>
        <v>30</v>
      </c>
      <c r="J650" s="497"/>
      <c r="K650" s="497"/>
    </row>
    <row r="651" s="457" customFormat="1" spans="1:19">
      <c r="A651" s="494">
        <v>45799</v>
      </c>
      <c r="B651" s="442" t="s">
        <v>187</v>
      </c>
      <c r="C651" s="495">
        <v>45799</v>
      </c>
      <c r="D651" s="463"/>
      <c r="E651" s="463"/>
      <c r="F651" s="496" t="s">
        <v>533</v>
      </c>
      <c r="G651" s="442">
        <v>1</v>
      </c>
      <c r="H651" s="432">
        <v>50</v>
      </c>
      <c r="I651" s="463">
        <f t="shared" si="94"/>
        <v>50</v>
      </c>
      <c r="J651" s="497"/>
      <c r="K651" s="497"/>
      <c r="M651" s="459" t="s">
        <v>695</v>
      </c>
    </row>
    <row r="652" s="457" customFormat="1" spans="1:19">
      <c r="A652" s="494">
        <v>45799</v>
      </c>
      <c r="B652" s="442" t="s">
        <v>187</v>
      </c>
      <c r="C652" s="495">
        <v>45799</v>
      </c>
      <c r="D652" s="463"/>
      <c r="E652" s="463"/>
      <c r="F652" s="496" t="s">
        <v>547</v>
      </c>
      <c r="G652" s="442">
        <v>1</v>
      </c>
      <c r="H652" s="432">
        <v>28</v>
      </c>
      <c r="I652" s="463">
        <f t="shared" si="94"/>
        <v>28</v>
      </c>
      <c r="J652" s="497"/>
      <c r="K652" s="497"/>
    </row>
    <row r="653" spans="1:19">
      <c r="A653" s="494">
        <v>45799</v>
      </c>
      <c r="B653" s="442" t="s">
        <v>187</v>
      </c>
      <c r="C653" s="495">
        <v>45799</v>
      </c>
      <c r="D653" s="463"/>
      <c r="E653" s="463"/>
      <c r="F653" s="496">
        <v>808</v>
      </c>
      <c r="G653" s="442">
        <v>1</v>
      </c>
      <c r="H653" s="432">
        <v>20</v>
      </c>
      <c r="I653" s="463">
        <f t="shared" si="94"/>
        <v>20</v>
      </c>
      <c r="J653" s="497">
        <v>8.6</v>
      </c>
      <c r="K653" s="497">
        <f>I653*J653</f>
        <v>172</v>
      </c>
    </row>
    <row r="654" spans="1:19">
      <c r="A654" s="494">
        <v>45799</v>
      </c>
      <c r="B654" s="442" t="s">
        <v>187</v>
      </c>
      <c r="C654" s="495">
        <v>45799</v>
      </c>
      <c r="D654" s="463"/>
      <c r="E654" s="463"/>
      <c r="F654" s="496" t="s">
        <v>12</v>
      </c>
      <c r="G654" s="442">
        <v>1</v>
      </c>
      <c r="H654" s="432">
        <v>30</v>
      </c>
      <c r="I654" s="463">
        <f t="shared" si="94"/>
        <v>30</v>
      </c>
      <c r="J654" s="497">
        <v>6.8</v>
      </c>
      <c r="K654" s="497">
        <f>I654*J654</f>
        <v>204</v>
      </c>
      <c r="L654" s="456"/>
    </row>
    <row r="655" spans="1:19">
      <c r="A655" s="494">
        <v>45799</v>
      </c>
      <c r="B655" s="442" t="s">
        <v>187</v>
      </c>
      <c r="C655" s="495">
        <v>45799</v>
      </c>
      <c r="D655" s="463"/>
      <c r="E655" s="463"/>
      <c r="F655" s="496" t="s">
        <v>696</v>
      </c>
      <c r="G655" s="442">
        <v>1</v>
      </c>
      <c r="H655" s="432">
        <f>SUM(H649:H654)</f>
        <v>200</v>
      </c>
      <c r="I655" s="463">
        <f t="shared" si="94"/>
        <v>200</v>
      </c>
      <c r="J655" s="497">
        <v>1</v>
      </c>
      <c r="K655" s="497">
        <f>I655*J655</f>
        <v>200</v>
      </c>
      <c r="L655" s="457">
        <f>SUM(K646:K655)</f>
        <v>650.5</v>
      </c>
    </row>
    <row r="656" s="465" customFormat="1" spans="1:19">
      <c r="A656" s="540">
        <v>45801</v>
      </c>
      <c r="B656" s="541" t="s">
        <v>192</v>
      </c>
      <c r="C656" s="542">
        <v>45800</v>
      </c>
      <c r="D656" s="523"/>
      <c r="E656" s="523"/>
      <c r="F656" s="522" t="s">
        <v>697</v>
      </c>
      <c r="G656" s="541">
        <v>1</v>
      </c>
      <c r="H656" s="524">
        <v>1</v>
      </c>
      <c r="I656" s="523">
        <f t="shared" si="94"/>
        <v>1</v>
      </c>
      <c r="J656" s="525">
        <v>5.5</v>
      </c>
      <c r="K656" s="525">
        <f>I656*J656</f>
        <v>5.5</v>
      </c>
      <c r="L656" s="461" t="s">
        <v>698</v>
      </c>
    </row>
    <row r="657" s="461" customFormat="1" spans="1:19">
      <c r="A657" s="540">
        <v>45801</v>
      </c>
      <c r="B657" s="541" t="s">
        <v>192</v>
      </c>
      <c r="C657" s="542">
        <v>45801</v>
      </c>
      <c r="D657" s="523"/>
      <c r="E657" s="523"/>
      <c r="F657" s="522" t="s">
        <v>251</v>
      </c>
      <c r="G657" s="541">
        <v>1</v>
      </c>
      <c r="H657" s="524">
        <v>100</v>
      </c>
      <c r="I657" s="523">
        <f t="shared" si="94"/>
        <v>100</v>
      </c>
      <c r="J657" s="525"/>
      <c r="K657" s="525"/>
    </row>
    <row r="658" s="461" customFormat="1" spans="1:19">
      <c r="A658" s="540">
        <v>45801</v>
      </c>
      <c r="B658" s="541" t="s">
        <v>192</v>
      </c>
      <c r="C658" s="542">
        <v>45801</v>
      </c>
      <c r="D658" s="523"/>
      <c r="E658" s="523"/>
      <c r="F658" s="522" t="s">
        <v>183</v>
      </c>
      <c r="G658" s="541">
        <v>1</v>
      </c>
      <c r="H658" s="524">
        <v>72</v>
      </c>
      <c r="I658" s="523">
        <f t="shared" si="94"/>
        <v>72</v>
      </c>
      <c r="J658" s="525"/>
      <c r="K658" s="525"/>
    </row>
    <row r="659" s="461" customFormat="1" spans="1:19">
      <c r="A659" s="540">
        <v>45801</v>
      </c>
      <c r="B659" s="541" t="s">
        <v>192</v>
      </c>
      <c r="C659" s="542">
        <v>45801</v>
      </c>
      <c r="D659" s="523"/>
      <c r="E659" s="523"/>
      <c r="F659" s="522" t="s">
        <v>533</v>
      </c>
      <c r="G659" s="541">
        <v>1</v>
      </c>
      <c r="H659" s="524">
        <v>120</v>
      </c>
      <c r="I659" s="523">
        <f t="shared" si="94"/>
        <v>120</v>
      </c>
      <c r="J659" s="525"/>
      <c r="K659" s="525"/>
      <c r="M659" s="461" t="s">
        <v>695</v>
      </c>
    </row>
    <row r="660" s="461" customFormat="1" spans="1:19">
      <c r="A660" s="540">
        <v>45801</v>
      </c>
      <c r="B660" s="541" t="s">
        <v>192</v>
      </c>
      <c r="C660" s="542">
        <v>45801</v>
      </c>
      <c r="D660" s="523"/>
      <c r="E660" s="523"/>
      <c r="F660" s="522" t="s">
        <v>547</v>
      </c>
      <c r="G660" s="541">
        <v>1</v>
      </c>
      <c r="H660" s="524">
        <v>67</v>
      </c>
      <c r="I660" s="523">
        <f t="shared" si="94"/>
        <v>67</v>
      </c>
      <c r="J660" s="525"/>
      <c r="K660" s="525"/>
    </row>
    <row r="661" s="465" customFormat="1" spans="1:19">
      <c r="A661" s="540">
        <v>45801</v>
      </c>
      <c r="B661" s="541" t="s">
        <v>192</v>
      </c>
      <c r="C661" s="542">
        <v>45801</v>
      </c>
      <c r="D661" s="523"/>
      <c r="E661" s="523"/>
      <c r="F661" s="522">
        <v>808</v>
      </c>
      <c r="G661" s="541">
        <v>1</v>
      </c>
      <c r="H661" s="524">
        <v>49</v>
      </c>
      <c r="I661" s="523">
        <f t="shared" si="94"/>
        <v>49</v>
      </c>
      <c r="J661" s="525">
        <v>8.6</v>
      </c>
      <c r="K661" s="525">
        <f t="shared" ref="K661:K665" si="95">I661*J661</f>
        <v>421.4</v>
      </c>
    </row>
    <row r="662" s="465" customFormat="1" spans="1:19">
      <c r="A662" s="540">
        <v>45801</v>
      </c>
      <c r="B662" s="541" t="s">
        <v>192</v>
      </c>
      <c r="C662" s="542">
        <v>45801</v>
      </c>
      <c r="D662" s="523"/>
      <c r="E662" s="523"/>
      <c r="F662" s="522" t="s">
        <v>12</v>
      </c>
      <c r="G662" s="541">
        <v>1</v>
      </c>
      <c r="H662" s="524">
        <v>72</v>
      </c>
      <c r="I662" s="523">
        <f t="shared" si="94"/>
        <v>72</v>
      </c>
      <c r="J662" s="525">
        <v>6.8</v>
      </c>
      <c r="K662" s="525">
        <f t="shared" si="95"/>
        <v>489.6</v>
      </c>
      <c r="L662" s="461"/>
    </row>
    <row r="663" s="465" customFormat="1" spans="1:19">
      <c r="A663" s="540">
        <v>45801</v>
      </c>
      <c r="B663" s="541" t="s">
        <v>192</v>
      </c>
      <c r="C663" s="542">
        <v>45801</v>
      </c>
      <c r="D663" s="523"/>
      <c r="E663" s="523"/>
      <c r="F663" s="522" t="s">
        <v>696</v>
      </c>
      <c r="G663" s="541">
        <v>1</v>
      </c>
      <c r="H663" s="524">
        <f>SUM(H657:H662)</f>
        <v>480</v>
      </c>
      <c r="I663" s="523">
        <f t="shared" si="94"/>
        <v>480</v>
      </c>
      <c r="J663" s="525">
        <v>1</v>
      </c>
      <c r="K663" s="525">
        <f t="shared" si="95"/>
        <v>480</v>
      </c>
      <c r="L663" s="461">
        <f>SUM(K656:K663)</f>
        <v>1396.5</v>
      </c>
    </row>
    <row r="664" s="7" customFormat="1" spans="1:19">
      <c r="A664" s="488">
        <v>45803</v>
      </c>
      <c r="B664" s="489" t="s">
        <v>512</v>
      </c>
      <c r="C664" s="490">
        <v>45803</v>
      </c>
      <c r="D664" s="491"/>
      <c r="E664" s="491"/>
      <c r="F664" s="493" t="s">
        <v>699</v>
      </c>
      <c r="G664" s="489">
        <v>2</v>
      </c>
      <c r="H664" s="431">
        <v>1</v>
      </c>
      <c r="I664" s="491">
        <f t="shared" ref="I664:I684" si="96">G664*H664</f>
        <v>2</v>
      </c>
      <c r="J664" s="492">
        <v>12.5</v>
      </c>
      <c r="K664" s="492">
        <f t="shared" si="95"/>
        <v>25</v>
      </c>
      <c r="L664" s="456"/>
    </row>
    <row r="665" s="7" customFormat="1" spans="1:19">
      <c r="A665" s="488">
        <v>45803</v>
      </c>
      <c r="B665" s="489" t="s">
        <v>512</v>
      </c>
      <c r="C665" s="490">
        <v>45803</v>
      </c>
      <c r="D665" s="491"/>
      <c r="E665" s="491"/>
      <c r="F665" s="493" t="s">
        <v>700</v>
      </c>
      <c r="G665" s="489">
        <v>1</v>
      </c>
      <c r="H665" s="431">
        <v>8</v>
      </c>
      <c r="I665" s="491">
        <f t="shared" si="96"/>
        <v>8</v>
      </c>
      <c r="J665" s="492">
        <v>8.6</v>
      </c>
      <c r="K665" s="492">
        <f t="shared" si="95"/>
        <v>68.8</v>
      </c>
      <c r="L665" s="456"/>
    </row>
    <row r="666" s="456" customFormat="1" spans="1:19">
      <c r="A666" s="488">
        <v>45803</v>
      </c>
      <c r="B666" s="489" t="s">
        <v>512</v>
      </c>
      <c r="C666" s="490">
        <v>45803</v>
      </c>
      <c r="D666" s="491"/>
      <c r="E666" s="491"/>
      <c r="F666" s="496" t="s">
        <v>251</v>
      </c>
      <c r="G666" s="489">
        <v>1</v>
      </c>
      <c r="H666" s="431">
        <v>336</v>
      </c>
      <c r="I666" s="491">
        <f t="shared" si="96"/>
        <v>336</v>
      </c>
      <c r="J666" s="492"/>
      <c r="K666" s="492"/>
    </row>
    <row r="667" s="456" customFormat="1" spans="1:19">
      <c r="A667" s="488">
        <v>45803</v>
      </c>
      <c r="B667" s="489" t="s">
        <v>512</v>
      </c>
      <c r="C667" s="490">
        <v>45803</v>
      </c>
      <c r="D667" s="491"/>
      <c r="E667" s="491"/>
      <c r="F667" s="493" t="s">
        <v>13</v>
      </c>
      <c r="G667" s="489">
        <v>1</v>
      </c>
      <c r="H667" s="431">
        <v>240</v>
      </c>
      <c r="I667" s="491">
        <f t="shared" si="96"/>
        <v>240</v>
      </c>
      <c r="J667" s="492"/>
      <c r="K667" s="492"/>
    </row>
    <row r="668" s="456" customFormat="1" spans="1:19">
      <c r="A668" s="488">
        <v>45803</v>
      </c>
      <c r="B668" s="489" t="s">
        <v>512</v>
      </c>
      <c r="C668" s="490">
        <v>45803</v>
      </c>
      <c r="D668" s="491"/>
      <c r="E668" s="491"/>
      <c r="F668" s="498" t="s">
        <v>701</v>
      </c>
      <c r="G668" s="489">
        <v>1</v>
      </c>
      <c r="H668" s="431">
        <v>372</v>
      </c>
      <c r="I668" s="491">
        <f t="shared" si="96"/>
        <v>372</v>
      </c>
      <c r="J668" s="492"/>
      <c r="K668" s="492"/>
    </row>
    <row r="669" s="456" customFormat="1" spans="1:19">
      <c r="A669" s="488">
        <v>45803</v>
      </c>
      <c r="B669" s="489" t="s">
        <v>512</v>
      </c>
      <c r="C669" s="490">
        <v>45803</v>
      </c>
      <c r="D669" s="491"/>
      <c r="E669" s="491"/>
      <c r="F669" s="493" t="s">
        <v>547</v>
      </c>
      <c r="G669" s="489">
        <v>1</v>
      </c>
      <c r="H669" s="431">
        <v>84</v>
      </c>
      <c r="I669" s="491">
        <f t="shared" si="96"/>
        <v>84</v>
      </c>
      <c r="J669" s="492"/>
      <c r="K669" s="492"/>
      <c r="L669" s="456" t="s">
        <v>116</v>
      </c>
      <c r="M669" s="459" t="s">
        <v>690</v>
      </c>
    </row>
    <row r="670" s="456" customFormat="1" spans="1:19">
      <c r="A670" s="488">
        <v>45803</v>
      </c>
      <c r="B670" s="489" t="s">
        <v>512</v>
      </c>
      <c r="C670" s="490">
        <v>45803</v>
      </c>
      <c r="D670" s="491"/>
      <c r="E670" s="491"/>
      <c r="F670" s="493">
        <v>808</v>
      </c>
      <c r="G670" s="489">
        <v>1</v>
      </c>
      <c r="H670" s="431">
        <v>60</v>
      </c>
      <c r="I670" s="491">
        <f t="shared" si="96"/>
        <v>60</v>
      </c>
      <c r="J670" s="492">
        <v>8.6</v>
      </c>
      <c r="K670" s="492">
        <f>I670*J670</f>
        <v>516</v>
      </c>
      <c r="M670" s="459"/>
    </row>
    <row r="671" s="456" customFormat="1" spans="1:19">
      <c r="A671" s="488">
        <v>45803</v>
      </c>
      <c r="B671" s="489" t="s">
        <v>512</v>
      </c>
      <c r="C671" s="490">
        <v>45803</v>
      </c>
      <c r="D671" s="491"/>
      <c r="E671" s="491"/>
      <c r="F671" s="493" t="s">
        <v>12</v>
      </c>
      <c r="G671" s="489">
        <v>1</v>
      </c>
      <c r="H671" s="431">
        <v>108</v>
      </c>
      <c r="I671" s="491">
        <f t="shared" si="96"/>
        <v>108</v>
      </c>
      <c r="J671" s="492">
        <v>6.8</v>
      </c>
      <c r="K671" s="492">
        <f>I671*J671</f>
        <v>734.4</v>
      </c>
    </row>
    <row r="672" s="456" customFormat="1" spans="1:19">
      <c r="A672" s="488">
        <v>45803</v>
      </c>
      <c r="B672" s="489" t="s">
        <v>512</v>
      </c>
      <c r="C672" s="490">
        <v>45803</v>
      </c>
      <c r="D672" s="491"/>
      <c r="E672" s="491"/>
      <c r="F672" s="493" t="s">
        <v>17</v>
      </c>
      <c r="G672" s="489">
        <v>1</v>
      </c>
      <c r="H672" s="431">
        <f>SUM(H666:H671)</f>
        <v>1200</v>
      </c>
      <c r="I672" s="491">
        <f t="shared" si="96"/>
        <v>1200</v>
      </c>
      <c r="J672" s="492">
        <v>1</v>
      </c>
      <c r="K672" s="492">
        <f>I672*J672</f>
        <v>1200</v>
      </c>
      <c r="L672" s="456">
        <f>SUM(K664:K672)</f>
        <v>2544.2</v>
      </c>
      <c r="S672" s="539"/>
    </row>
    <row r="673" s="457" customFormat="1" spans="1:14">
      <c r="A673" s="494">
        <v>45805</v>
      </c>
      <c r="B673" s="442" t="s">
        <v>385</v>
      </c>
      <c r="C673" s="495" t="s">
        <v>702</v>
      </c>
      <c r="D673" s="463"/>
      <c r="E673" s="463"/>
      <c r="F673" s="496" t="s">
        <v>176</v>
      </c>
      <c r="G673" s="463">
        <v>1</v>
      </c>
      <c r="H673" s="432">
        <v>50</v>
      </c>
      <c r="I673" s="463">
        <f t="shared" si="96"/>
        <v>50</v>
      </c>
      <c r="J673" s="497"/>
      <c r="K673" s="497"/>
    </row>
    <row r="674" s="457" customFormat="1" spans="1:14">
      <c r="A674" s="494">
        <v>45805</v>
      </c>
      <c r="B674" s="442" t="s">
        <v>385</v>
      </c>
      <c r="C674" s="495" t="s">
        <v>702</v>
      </c>
      <c r="D674" s="463"/>
      <c r="E674" s="463"/>
      <c r="F674" s="496" t="s">
        <v>662</v>
      </c>
      <c r="G674" s="463">
        <v>1</v>
      </c>
      <c r="H674" s="432">
        <v>2</v>
      </c>
      <c r="I674" s="463">
        <f t="shared" si="96"/>
        <v>2</v>
      </c>
      <c r="J674" s="497"/>
      <c r="K674" s="497"/>
      <c r="L674" s="537"/>
      <c r="M674" s="537"/>
      <c r="N674" s="537"/>
    </row>
    <row r="675" s="457" customFormat="1" spans="1:14">
      <c r="A675" s="494">
        <v>45805</v>
      </c>
      <c r="B675" s="442" t="s">
        <v>385</v>
      </c>
      <c r="C675" s="495" t="s">
        <v>702</v>
      </c>
      <c r="D675" s="463"/>
      <c r="E675" s="463"/>
      <c r="F675" s="496" t="s">
        <v>663</v>
      </c>
      <c r="G675" s="463">
        <v>1</v>
      </c>
      <c r="H675" s="432">
        <v>25</v>
      </c>
      <c r="I675" s="463">
        <f t="shared" si="96"/>
        <v>25</v>
      </c>
      <c r="J675" s="497"/>
      <c r="K675" s="497"/>
      <c r="L675" s="537"/>
      <c r="M675" s="537"/>
      <c r="N675" s="537"/>
    </row>
    <row r="676" s="457" customFormat="1" spans="1:14">
      <c r="A676" s="494">
        <v>45805</v>
      </c>
      <c r="B676" s="442" t="s">
        <v>385</v>
      </c>
      <c r="C676" s="495" t="s">
        <v>702</v>
      </c>
      <c r="D676" s="463"/>
      <c r="E676" s="463"/>
      <c r="F676" s="496">
        <v>808</v>
      </c>
      <c r="G676" s="463">
        <v>1</v>
      </c>
      <c r="H676" s="432">
        <v>45</v>
      </c>
      <c r="I676" s="463">
        <f t="shared" si="96"/>
        <v>45</v>
      </c>
      <c r="J676" s="497">
        <v>8.6</v>
      </c>
      <c r="K676" s="497">
        <f t="shared" ref="K676:K678" si="97">I676*J676</f>
        <v>387</v>
      </c>
      <c r="L676" s="537" t="s">
        <v>472</v>
      </c>
      <c r="M676" s="537"/>
      <c r="N676" s="537"/>
    </row>
    <row r="677" s="457" customFormat="1" spans="1:14">
      <c r="A677" s="494">
        <v>45805</v>
      </c>
      <c r="B677" s="442" t="s">
        <v>385</v>
      </c>
      <c r="C677" s="495" t="s">
        <v>702</v>
      </c>
      <c r="D677" s="463"/>
      <c r="E677" s="463"/>
      <c r="F677" s="496" t="s">
        <v>125</v>
      </c>
      <c r="G677" s="463">
        <v>1</v>
      </c>
      <c r="H677" s="432">
        <v>50</v>
      </c>
      <c r="I677" s="463">
        <f t="shared" si="96"/>
        <v>50</v>
      </c>
      <c r="J677" s="497">
        <v>6.1</v>
      </c>
      <c r="K677" s="497">
        <f t="shared" si="97"/>
        <v>305</v>
      </c>
      <c r="L677" s="537"/>
      <c r="M677" s="537" t="s">
        <v>473</v>
      </c>
      <c r="N677" s="537"/>
    </row>
    <row r="678" s="457" customFormat="1" spans="1:14">
      <c r="A678" s="494">
        <v>45805</v>
      </c>
      <c r="B678" s="442" t="s">
        <v>385</v>
      </c>
      <c r="C678" s="495" t="s">
        <v>702</v>
      </c>
      <c r="D678" s="463"/>
      <c r="E678" s="463"/>
      <c r="F678" s="496" t="s">
        <v>412</v>
      </c>
      <c r="G678" s="463">
        <v>1</v>
      </c>
      <c r="H678" s="432">
        <f>SUM(H673:H677)</f>
        <v>172</v>
      </c>
      <c r="I678" s="463">
        <f t="shared" si="96"/>
        <v>172</v>
      </c>
      <c r="J678" s="497">
        <v>5</v>
      </c>
      <c r="K678" s="497">
        <f t="shared" si="97"/>
        <v>860</v>
      </c>
      <c r="L678" s="537">
        <f>SUM(K673:K678)</f>
        <v>1552</v>
      </c>
      <c r="M678" s="537"/>
      <c r="N678" s="537"/>
    </row>
    <row r="679" s="456" customFormat="1" spans="1:14">
      <c r="A679" s="488">
        <v>45805</v>
      </c>
      <c r="B679" s="489" t="s">
        <v>324</v>
      </c>
      <c r="C679" s="490">
        <v>45805</v>
      </c>
      <c r="D679" s="491"/>
      <c r="E679" s="491"/>
      <c r="F679" s="493" t="s">
        <v>16</v>
      </c>
      <c r="G679" s="491">
        <v>1</v>
      </c>
      <c r="H679" s="431">
        <v>75</v>
      </c>
      <c r="I679" s="491">
        <f t="shared" ref="I679:I692" si="98">G679*H679</f>
        <v>75</v>
      </c>
      <c r="J679" s="492"/>
      <c r="K679" s="492"/>
    </row>
    <row r="680" s="456" customFormat="1" spans="1:14">
      <c r="A680" s="488">
        <v>45805</v>
      </c>
      <c r="B680" s="489" t="s">
        <v>324</v>
      </c>
      <c r="C680" s="490">
        <v>45805</v>
      </c>
      <c r="D680" s="491"/>
      <c r="E680" s="491"/>
      <c r="F680" s="493" t="s">
        <v>300</v>
      </c>
      <c r="G680" s="491">
        <v>1</v>
      </c>
      <c r="H680" s="431">
        <v>75</v>
      </c>
      <c r="I680" s="491">
        <f t="shared" si="98"/>
        <v>75</v>
      </c>
      <c r="J680" s="492"/>
      <c r="K680" s="492"/>
    </row>
    <row r="681" s="456" customFormat="1" spans="1:14">
      <c r="A681" s="488">
        <v>45805</v>
      </c>
      <c r="B681" s="489" t="s">
        <v>324</v>
      </c>
      <c r="C681" s="490">
        <v>45805</v>
      </c>
      <c r="D681" s="491"/>
      <c r="E681" s="491"/>
      <c r="F681" s="493" t="s">
        <v>546</v>
      </c>
      <c r="G681" s="491">
        <v>1</v>
      </c>
      <c r="H681" s="431">
        <v>107</v>
      </c>
      <c r="I681" s="491">
        <f t="shared" si="98"/>
        <v>107</v>
      </c>
      <c r="J681" s="492"/>
      <c r="K681" s="492"/>
    </row>
    <row r="682" s="456" customFormat="1" spans="1:14">
      <c r="A682" s="488">
        <v>45805</v>
      </c>
      <c r="B682" s="489" t="s">
        <v>324</v>
      </c>
      <c r="C682" s="490">
        <v>45805</v>
      </c>
      <c r="D682" s="491"/>
      <c r="E682" s="491"/>
      <c r="F682" s="493">
        <v>808</v>
      </c>
      <c r="G682" s="491">
        <v>1</v>
      </c>
      <c r="H682" s="431">
        <v>50</v>
      </c>
      <c r="I682" s="491">
        <f t="shared" si="98"/>
        <v>50</v>
      </c>
      <c r="J682" s="492">
        <v>8.6</v>
      </c>
      <c r="K682" s="492">
        <f t="shared" ref="K682:K684" si="99">I682*J682</f>
        <v>430</v>
      </c>
      <c r="L682" s="456" t="s">
        <v>126</v>
      </c>
    </row>
    <row r="683" s="456" customFormat="1" spans="1:14">
      <c r="A683" s="488">
        <v>45805</v>
      </c>
      <c r="B683" s="489" t="s">
        <v>324</v>
      </c>
      <c r="C683" s="490">
        <v>45805</v>
      </c>
      <c r="D683" s="491"/>
      <c r="E683" s="491"/>
      <c r="F683" s="493" t="s">
        <v>125</v>
      </c>
      <c r="G683" s="491">
        <v>1</v>
      </c>
      <c r="H683" s="431">
        <v>108</v>
      </c>
      <c r="I683" s="491">
        <f t="shared" si="98"/>
        <v>108</v>
      </c>
      <c r="J683" s="492">
        <v>6.1</v>
      </c>
      <c r="K683" s="492">
        <f t="shared" si="99"/>
        <v>658.8</v>
      </c>
    </row>
    <row r="684" s="456" customFormat="1" spans="1:14">
      <c r="A684" s="488">
        <v>45805</v>
      </c>
      <c r="B684" s="489" t="s">
        <v>324</v>
      </c>
      <c r="C684" s="490">
        <v>45805</v>
      </c>
      <c r="D684" s="491"/>
      <c r="E684" s="491"/>
      <c r="F684" s="493" t="s">
        <v>12</v>
      </c>
      <c r="G684" s="491">
        <v>1</v>
      </c>
      <c r="H684" s="431">
        <v>10</v>
      </c>
      <c r="I684" s="491">
        <f t="shared" si="98"/>
        <v>10</v>
      </c>
      <c r="J684" s="492">
        <v>6.7</v>
      </c>
      <c r="K684" s="492">
        <f t="shared" si="99"/>
        <v>67</v>
      </c>
      <c r="N684" s="456">
        <f>SUBTOTAL(9,K416:K587)</f>
        <v>82984.52</v>
      </c>
    </row>
    <row r="685" s="456" customFormat="1" spans="1:14">
      <c r="A685" s="488">
        <v>45805</v>
      </c>
      <c r="B685" s="489" t="s">
        <v>324</v>
      </c>
      <c r="C685" s="490">
        <v>45805</v>
      </c>
      <c r="D685" s="491"/>
      <c r="E685" s="491"/>
      <c r="F685" s="493" t="s">
        <v>240</v>
      </c>
      <c r="G685" s="491">
        <v>1</v>
      </c>
      <c r="H685" s="431">
        <v>75</v>
      </c>
      <c r="I685" s="491">
        <f t="shared" si="98"/>
        <v>75</v>
      </c>
      <c r="J685" s="492"/>
      <c r="K685" s="492"/>
      <c r="M685" s="456" t="s">
        <v>678</v>
      </c>
    </row>
    <row r="686" s="456" customFormat="1" spans="1:14">
      <c r="A686" s="488">
        <v>45805</v>
      </c>
      <c r="B686" s="489" t="s">
        <v>324</v>
      </c>
      <c r="C686" s="490">
        <v>45805</v>
      </c>
      <c r="D686" s="491"/>
      <c r="E686" s="491"/>
      <c r="F686" s="493" t="s">
        <v>301</v>
      </c>
      <c r="G686" s="491">
        <v>1</v>
      </c>
      <c r="H686" s="431">
        <f>SUM(H679:H685)</f>
        <v>500</v>
      </c>
      <c r="I686" s="491">
        <f t="shared" si="98"/>
        <v>500</v>
      </c>
      <c r="J686" s="492">
        <v>1</v>
      </c>
      <c r="K686" s="492">
        <f>I686*J686</f>
        <v>500</v>
      </c>
      <c r="L686" s="456">
        <f>SUM(K679:K686)</f>
        <v>1655.8</v>
      </c>
    </row>
    <row r="687" s="5" customFormat="1" spans="1:14">
      <c r="A687" s="494">
        <v>45805</v>
      </c>
      <c r="B687" s="442" t="s">
        <v>327</v>
      </c>
      <c r="C687" s="495">
        <v>45805</v>
      </c>
      <c r="D687" s="463"/>
      <c r="E687" s="463"/>
      <c r="F687" s="522" t="s">
        <v>703</v>
      </c>
      <c r="G687" s="442">
        <v>3</v>
      </c>
      <c r="H687" s="432">
        <v>25</v>
      </c>
      <c r="I687" s="463">
        <f t="shared" si="98"/>
        <v>75</v>
      </c>
      <c r="J687" s="497">
        <v>16</v>
      </c>
      <c r="K687" s="497">
        <f>I687*J687</f>
        <v>1200</v>
      </c>
      <c r="L687" s="457"/>
    </row>
    <row r="688" s="457" customFormat="1" spans="1:14">
      <c r="A688" s="494">
        <v>45805</v>
      </c>
      <c r="B688" s="442" t="s">
        <v>327</v>
      </c>
      <c r="C688" s="495">
        <v>45805</v>
      </c>
      <c r="D688" s="463"/>
      <c r="E688" s="463"/>
      <c r="F688" s="496" t="s">
        <v>16</v>
      </c>
      <c r="G688" s="463">
        <v>1</v>
      </c>
      <c r="H688" s="432">
        <v>48</v>
      </c>
      <c r="I688" s="463">
        <f t="shared" si="98"/>
        <v>48</v>
      </c>
      <c r="J688" s="497">
        <v>13.5</v>
      </c>
      <c r="K688" s="497"/>
    </row>
    <row r="689" s="457" customFormat="1" spans="1:14">
      <c r="A689" s="494">
        <v>45805</v>
      </c>
      <c r="B689" s="442" t="s">
        <v>327</v>
      </c>
      <c r="C689" s="495">
        <v>45805</v>
      </c>
      <c r="D689" s="463"/>
      <c r="E689" s="463"/>
      <c r="F689" s="496">
        <v>996</v>
      </c>
      <c r="G689" s="463">
        <v>1</v>
      </c>
      <c r="H689" s="432">
        <v>150</v>
      </c>
      <c r="I689" s="463">
        <f t="shared" si="98"/>
        <v>150</v>
      </c>
      <c r="J689" s="497">
        <v>16</v>
      </c>
      <c r="K689" s="497">
        <f>I689*J689</f>
        <v>2400</v>
      </c>
    </row>
    <row r="690" s="457" customFormat="1" spans="1:14">
      <c r="A690" s="494">
        <v>45805</v>
      </c>
      <c r="B690" s="442" t="s">
        <v>327</v>
      </c>
      <c r="C690" s="495">
        <v>45805</v>
      </c>
      <c r="D690" s="463"/>
      <c r="E690" s="463"/>
      <c r="F690" s="496">
        <v>808</v>
      </c>
      <c r="G690" s="463">
        <v>1</v>
      </c>
      <c r="H690" s="432">
        <v>30</v>
      </c>
      <c r="I690" s="463">
        <f t="shared" si="98"/>
        <v>30</v>
      </c>
      <c r="J690" s="497">
        <v>8.6</v>
      </c>
      <c r="K690" s="497">
        <f t="shared" ref="K690:K692" si="100">I690*J690</f>
        <v>258</v>
      </c>
    </row>
    <row r="691" s="457" customFormat="1" spans="1:14">
      <c r="A691" s="494">
        <v>45805</v>
      </c>
      <c r="B691" s="442" t="s">
        <v>327</v>
      </c>
      <c r="C691" s="495">
        <v>45805</v>
      </c>
      <c r="D691" s="463"/>
      <c r="E691" s="463"/>
      <c r="F691" s="496" t="s">
        <v>12</v>
      </c>
      <c r="G691" s="463">
        <v>1</v>
      </c>
      <c r="H691" s="432">
        <v>30</v>
      </c>
      <c r="I691" s="463">
        <f t="shared" si="98"/>
        <v>30</v>
      </c>
      <c r="J691" s="497">
        <v>6.7</v>
      </c>
      <c r="K691" s="497">
        <f t="shared" si="100"/>
        <v>201</v>
      </c>
      <c r="M691" s="554" t="s">
        <v>685</v>
      </c>
      <c r="N691" s="554"/>
    </row>
    <row r="692" s="457" customFormat="1" spans="1:14">
      <c r="A692" s="494">
        <v>45805</v>
      </c>
      <c r="B692" s="442" t="s">
        <v>327</v>
      </c>
      <c r="C692" s="495">
        <v>45805</v>
      </c>
      <c r="D692" s="463"/>
      <c r="E692" s="463"/>
      <c r="F692" s="496" t="s">
        <v>456</v>
      </c>
      <c r="G692" s="463">
        <v>1</v>
      </c>
      <c r="H692" s="432">
        <f>SUM(H688:H691)</f>
        <v>258</v>
      </c>
      <c r="I692" s="463">
        <f t="shared" si="98"/>
        <v>258</v>
      </c>
      <c r="J692" s="497">
        <v>3</v>
      </c>
      <c r="K692" s="497">
        <f t="shared" si="100"/>
        <v>774</v>
      </c>
      <c r="L692" s="457">
        <f>SUM(K687:K692)</f>
        <v>4833</v>
      </c>
    </row>
    <row r="693" s="456" customFormat="1" spans="1:14">
      <c r="A693" s="488">
        <v>45807</v>
      </c>
      <c r="B693" s="489" t="s">
        <v>113</v>
      </c>
      <c r="C693" s="490">
        <v>45806</v>
      </c>
      <c r="D693" s="491"/>
      <c r="E693" s="491"/>
      <c r="F693" s="488" t="s">
        <v>16</v>
      </c>
      <c r="G693" s="491">
        <v>1</v>
      </c>
      <c r="H693" s="431">
        <v>10</v>
      </c>
      <c r="I693" s="491">
        <f t="shared" ref="I693:I698" si="101">G693*H693</f>
        <v>10</v>
      </c>
      <c r="J693" s="492"/>
      <c r="K693" s="492"/>
    </row>
    <row r="694" s="456" customFormat="1" spans="1:14">
      <c r="A694" s="488">
        <v>45807</v>
      </c>
      <c r="B694" s="489" t="s">
        <v>113</v>
      </c>
      <c r="C694" s="490">
        <v>45806</v>
      </c>
      <c r="D694" s="491"/>
      <c r="E694" s="491"/>
      <c r="F694" s="493" t="s">
        <v>547</v>
      </c>
      <c r="G694" s="491">
        <v>1</v>
      </c>
      <c r="H694" s="431">
        <v>17.5</v>
      </c>
      <c r="I694" s="491">
        <f t="shared" si="101"/>
        <v>17.5</v>
      </c>
      <c r="J694" s="492"/>
      <c r="K694" s="492"/>
    </row>
    <row r="695" s="456" customFormat="1" spans="1:14">
      <c r="A695" s="488">
        <v>45807</v>
      </c>
      <c r="B695" s="489" t="s">
        <v>113</v>
      </c>
      <c r="C695" s="490">
        <v>45806</v>
      </c>
      <c r="D695" s="491"/>
      <c r="E695" s="491"/>
      <c r="F695" s="493" t="s">
        <v>704</v>
      </c>
      <c r="G695" s="491">
        <v>1</v>
      </c>
      <c r="H695" s="431">
        <v>10</v>
      </c>
      <c r="I695" s="491">
        <f t="shared" si="101"/>
        <v>10</v>
      </c>
      <c r="J695" s="492"/>
      <c r="K695" s="492"/>
    </row>
    <row r="696" s="456" customFormat="1" spans="1:14">
      <c r="A696" s="488">
        <v>45807</v>
      </c>
      <c r="B696" s="489" t="s">
        <v>113</v>
      </c>
      <c r="C696" s="490">
        <v>45806</v>
      </c>
      <c r="D696" s="491"/>
      <c r="E696" s="491"/>
      <c r="F696" s="493" t="s">
        <v>240</v>
      </c>
      <c r="G696" s="491">
        <v>1</v>
      </c>
      <c r="H696" s="431">
        <v>8</v>
      </c>
      <c r="I696" s="491">
        <f t="shared" si="101"/>
        <v>8</v>
      </c>
      <c r="J696" s="492"/>
      <c r="K696" s="492"/>
    </row>
    <row r="697" s="456" customFormat="1" spans="1:14">
      <c r="A697" s="488">
        <v>45807</v>
      </c>
      <c r="B697" s="489" t="s">
        <v>113</v>
      </c>
      <c r="C697" s="490">
        <v>45806</v>
      </c>
      <c r="D697" s="491"/>
      <c r="E697" s="491"/>
      <c r="F697" s="493">
        <v>808</v>
      </c>
      <c r="G697" s="491">
        <v>1</v>
      </c>
      <c r="H697" s="431">
        <v>5</v>
      </c>
      <c r="I697" s="491">
        <f t="shared" si="101"/>
        <v>5</v>
      </c>
      <c r="J697" s="492">
        <v>8.6</v>
      </c>
      <c r="K697" s="492">
        <f>I697*J697</f>
        <v>43</v>
      </c>
    </row>
    <row r="698" s="456" customFormat="1" spans="1:14">
      <c r="A698" s="488">
        <v>45807</v>
      </c>
      <c r="B698" s="489" t="s">
        <v>113</v>
      </c>
      <c r="C698" s="490">
        <v>45806</v>
      </c>
      <c r="D698" s="491"/>
      <c r="E698" s="491"/>
      <c r="F698" s="493" t="s">
        <v>12</v>
      </c>
      <c r="G698" s="491">
        <v>1</v>
      </c>
      <c r="H698" s="431">
        <v>6.5</v>
      </c>
      <c r="I698" s="491">
        <f t="shared" si="101"/>
        <v>6.5</v>
      </c>
      <c r="J698" s="492">
        <v>6.7</v>
      </c>
      <c r="K698" s="492">
        <f>I698*J698</f>
        <v>43.55</v>
      </c>
    </row>
    <row r="699" s="456" customFormat="1" spans="1:14">
      <c r="A699" s="488">
        <v>45807</v>
      </c>
      <c r="B699" s="489" t="s">
        <v>113</v>
      </c>
      <c r="C699" s="490">
        <v>45806</v>
      </c>
      <c r="D699" s="491"/>
      <c r="E699" s="491"/>
      <c r="F699" s="499" t="s">
        <v>705</v>
      </c>
      <c r="G699" s="501">
        <v>1</v>
      </c>
      <c r="H699" s="500">
        <f>SUM(H693:H698)</f>
        <v>57</v>
      </c>
      <c r="I699" s="501">
        <f>SUM(I693:I698)</f>
        <v>57</v>
      </c>
      <c r="J699" s="502">
        <v>1</v>
      </c>
      <c r="K699" s="502">
        <f>I699*J699</f>
        <v>57</v>
      </c>
    </row>
    <row r="700" s="456" customFormat="1" spans="1:14">
      <c r="A700" s="488">
        <v>45807</v>
      </c>
      <c r="B700" s="489" t="s">
        <v>113</v>
      </c>
      <c r="C700" s="490">
        <v>45807</v>
      </c>
      <c r="D700" s="491"/>
      <c r="E700" s="491"/>
      <c r="F700" s="493" t="s">
        <v>16</v>
      </c>
      <c r="G700" s="491">
        <v>1</v>
      </c>
      <c r="H700" s="431">
        <v>5.2</v>
      </c>
      <c r="I700" s="491">
        <f t="shared" ref="I700:I710" si="102">H700</f>
        <v>5.2</v>
      </c>
      <c r="J700" s="492"/>
      <c r="K700" s="492"/>
    </row>
    <row r="701" s="456" customFormat="1" spans="1:14">
      <c r="A701" s="488">
        <v>45807</v>
      </c>
      <c r="B701" s="489" t="s">
        <v>113</v>
      </c>
      <c r="C701" s="490">
        <v>45807</v>
      </c>
      <c r="D701" s="491"/>
      <c r="E701" s="491"/>
      <c r="F701" s="493" t="s">
        <v>704</v>
      </c>
      <c r="G701" s="491">
        <v>1</v>
      </c>
      <c r="H701" s="431">
        <v>10.5</v>
      </c>
      <c r="I701" s="491">
        <f t="shared" si="102"/>
        <v>10.5</v>
      </c>
      <c r="J701" s="492"/>
      <c r="K701" s="492"/>
    </row>
    <row r="702" s="456" customFormat="1" spans="1:14">
      <c r="A702" s="488">
        <v>45807</v>
      </c>
      <c r="B702" s="489" t="s">
        <v>113</v>
      </c>
      <c r="C702" s="490">
        <v>45807</v>
      </c>
      <c r="D702" s="491"/>
      <c r="E702" s="491"/>
      <c r="F702" s="493" t="s">
        <v>533</v>
      </c>
      <c r="G702" s="491">
        <v>1</v>
      </c>
      <c r="H702" s="431">
        <v>6</v>
      </c>
      <c r="I702" s="491">
        <f t="shared" si="102"/>
        <v>6</v>
      </c>
      <c r="J702" s="492"/>
      <c r="K702" s="492"/>
    </row>
    <row r="703" s="456" customFormat="1" spans="1:14">
      <c r="A703" s="488">
        <v>45807</v>
      </c>
      <c r="B703" s="489" t="s">
        <v>113</v>
      </c>
      <c r="C703" s="490">
        <v>45807</v>
      </c>
      <c r="D703" s="491"/>
      <c r="E703" s="491"/>
      <c r="F703" s="493" t="s">
        <v>547</v>
      </c>
      <c r="G703" s="491">
        <v>1</v>
      </c>
      <c r="H703" s="431">
        <v>7.6</v>
      </c>
      <c r="I703" s="491">
        <f t="shared" si="102"/>
        <v>7.6</v>
      </c>
      <c r="J703" s="492"/>
      <c r="K703" s="492"/>
    </row>
    <row r="704" s="456" customFormat="1" spans="1:14">
      <c r="A704" s="488">
        <v>45807</v>
      </c>
      <c r="B704" s="489" t="s">
        <v>113</v>
      </c>
      <c r="C704" s="490">
        <v>45807</v>
      </c>
      <c r="D704" s="491"/>
      <c r="E704" s="491"/>
      <c r="F704" s="493" t="s">
        <v>211</v>
      </c>
      <c r="G704" s="491">
        <v>1</v>
      </c>
      <c r="H704" s="431">
        <v>0.1</v>
      </c>
      <c r="I704" s="491">
        <f t="shared" si="102"/>
        <v>0.1</v>
      </c>
      <c r="J704" s="492"/>
      <c r="K704" s="492"/>
    </row>
    <row r="705" s="456" customFormat="1" spans="1:17">
      <c r="A705" s="488">
        <v>45807</v>
      </c>
      <c r="B705" s="489" t="s">
        <v>113</v>
      </c>
      <c r="C705" s="490">
        <v>45807</v>
      </c>
      <c r="D705" s="491"/>
      <c r="E705" s="491"/>
      <c r="F705" s="493" t="s">
        <v>191</v>
      </c>
      <c r="G705" s="491">
        <v>1</v>
      </c>
      <c r="H705" s="431">
        <v>1.3</v>
      </c>
      <c r="I705" s="491">
        <f t="shared" si="102"/>
        <v>1.3</v>
      </c>
      <c r="J705" s="492">
        <v>17</v>
      </c>
      <c r="K705" s="492">
        <f t="shared" ref="K705:K710" si="103">I705*J705</f>
        <v>22.1</v>
      </c>
    </row>
    <row r="706" s="456" customFormat="1" spans="1:17">
      <c r="A706" s="488">
        <v>45807</v>
      </c>
      <c r="B706" s="489" t="s">
        <v>113</v>
      </c>
      <c r="C706" s="490">
        <v>45807</v>
      </c>
      <c r="D706" s="491"/>
      <c r="E706" s="491"/>
      <c r="F706" s="493" t="s">
        <v>137</v>
      </c>
      <c r="G706" s="491">
        <v>1</v>
      </c>
      <c r="H706" s="431">
        <v>2.6</v>
      </c>
      <c r="I706" s="491">
        <f t="shared" si="102"/>
        <v>2.6</v>
      </c>
      <c r="J706" s="492">
        <v>0.9</v>
      </c>
      <c r="K706" s="492">
        <f t="shared" si="103"/>
        <v>2.34</v>
      </c>
    </row>
    <row r="707" s="456" customFormat="1" spans="1:17">
      <c r="A707" s="488">
        <v>45807</v>
      </c>
      <c r="B707" s="489" t="s">
        <v>113</v>
      </c>
      <c r="C707" s="490">
        <v>45807</v>
      </c>
      <c r="D707" s="491"/>
      <c r="E707" s="491"/>
      <c r="F707" s="493" t="s">
        <v>132</v>
      </c>
      <c r="G707" s="491">
        <v>1</v>
      </c>
      <c r="H707" s="431">
        <v>14.6</v>
      </c>
      <c r="I707" s="491">
        <f t="shared" si="102"/>
        <v>14.6</v>
      </c>
      <c r="J707" s="492">
        <v>3.5</v>
      </c>
      <c r="K707" s="492">
        <f t="shared" si="103"/>
        <v>51.1</v>
      </c>
    </row>
    <row r="708" s="456" customFormat="1" spans="1:17">
      <c r="A708" s="488">
        <v>45807</v>
      </c>
      <c r="B708" s="489" t="s">
        <v>113</v>
      </c>
      <c r="C708" s="490">
        <v>45807</v>
      </c>
      <c r="D708" s="491"/>
      <c r="E708" s="491"/>
      <c r="F708" s="493" t="s">
        <v>152</v>
      </c>
      <c r="G708" s="491">
        <v>1</v>
      </c>
      <c r="H708" s="431">
        <v>4</v>
      </c>
      <c r="I708" s="491">
        <f t="shared" si="102"/>
        <v>4</v>
      </c>
      <c r="J708" s="492">
        <v>6.7</v>
      </c>
      <c r="K708" s="492">
        <f t="shared" si="103"/>
        <v>26.8</v>
      </c>
    </row>
    <row r="709" s="456" customFormat="1" spans="1:17">
      <c r="A709" s="488">
        <v>45807</v>
      </c>
      <c r="B709" s="489" t="s">
        <v>113</v>
      </c>
      <c r="C709" s="490">
        <v>45807</v>
      </c>
      <c r="D709" s="491"/>
      <c r="E709" s="491"/>
      <c r="F709" s="493" t="s">
        <v>125</v>
      </c>
      <c r="G709" s="491">
        <v>1</v>
      </c>
      <c r="H709" s="431">
        <v>3</v>
      </c>
      <c r="I709" s="491">
        <f t="shared" si="102"/>
        <v>3</v>
      </c>
      <c r="J709" s="492">
        <v>6.1</v>
      </c>
      <c r="K709" s="492">
        <f t="shared" si="103"/>
        <v>18.3</v>
      </c>
    </row>
    <row r="710" s="456" customFormat="1" spans="1:17">
      <c r="A710" s="488">
        <v>45807</v>
      </c>
      <c r="B710" s="489" t="s">
        <v>113</v>
      </c>
      <c r="C710" s="490">
        <v>45807</v>
      </c>
      <c r="D710" s="491"/>
      <c r="E710" s="491"/>
      <c r="F710" s="499" t="s">
        <v>706</v>
      </c>
      <c r="G710" s="501">
        <v>1</v>
      </c>
      <c r="H710" s="555">
        <f>SUM(H700:H709)</f>
        <v>54.9</v>
      </c>
      <c r="I710" s="555">
        <f t="shared" si="102"/>
        <v>54.9</v>
      </c>
      <c r="J710" s="502">
        <v>1</v>
      </c>
      <c r="K710" s="492">
        <f t="shared" si="103"/>
        <v>54.9</v>
      </c>
      <c r="L710" s="456">
        <f>SUM(K693:K710)</f>
        <v>319.09</v>
      </c>
    </row>
    <row r="711" customFormat="1" ht="22.5" spans="1:17">
      <c r="A711" s="494"/>
      <c r="B711" s="442"/>
      <c r="C711" s="495"/>
      <c r="D711" s="463"/>
      <c r="E711" s="463"/>
      <c r="F711" s="546" t="s">
        <v>707</v>
      </c>
      <c r="G711" s="442"/>
      <c r="H711" s="432"/>
      <c r="I711" s="491"/>
      <c r="J711" s="497"/>
      <c r="K711" s="497"/>
      <c r="L711" s="457"/>
      <c r="N711" s="556">
        <f>K712-O713</f>
        <v>0</v>
      </c>
    </row>
    <row r="712" s="458" customFormat="1" ht="26" customHeight="1" spans="1:17">
      <c r="A712" s="509" t="s">
        <v>708</v>
      </c>
      <c r="B712" s="510"/>
      <c r="C712" s="510"/>
      <c r="D712" s="510"/>
      <c r="E712" s="510"/>
      <c r="F712" s="510"/>
      <c r="G712" s="510"/>
      <c r="H712" s="510"/>
      <c r="I712" s="510"/>
      <c r="J712" s="511" t="s">
        <v>28</v>
      </c>
      <c r="K712" s="557">
        <f>SUM(K715:K942)</f>
        <v>63390.124</v>
      </c>
      <c r="L712" s="458" t="s">
        <v>29</v>
      </c>
      <c r="M712" s="509">
        <f>材料!L163</f>
        <v>38440.404</v>
      </c>
      <c r="N712" s="513" t="s">
        <v>30</v>
      </c>
      <c r="O712" s="509">
        <f>K725+K732+K740+K747+K755+K765+K777+K787+K792+K800+K807+K815+K82+K822+K830+K836+K844+K855+K865+K870+K878+K883+K893+K903+K912+K925+K935+K942</f>
        <v>21475.22</v>
      </c>
      <c r="P712" s="510" t="s">
        <v>31</v>
      </c>
      <c r="Q712" s="509">
        <f>K758+K759+K756</f>
        <v>2860</v>
      </c>
    </row>
    <row r="713" s="458" customFormat="1" ht="26" customHeight="1" spans="1:17">
      <c r="A713" s="509"/>
      <c r="B713" s="510"/>
      <c r="C713" s="510"/>
      <c r="D713" s="510"/>
      <c r="E713" s="510"/>
      <c r="F713" s="510"/>
      <c r="G713" s="510"/>
      <c r="H713" s="510"/>
      <c r="I713" s="510"/>
      <c r="J713" s="510" t="s">
        <v>32</v>
      </c>
      <c r="K713" s="510"/>
      <c r="L713" s="458" t="s">
        <v>33</v>
      </c>
      <c r="M713" s="509">
        <f>J749+K757+K760+K768+K778+N823+K779+K914+K915</f>
        <v>614.5</v>
      </c>
      <c r="N713" s="514" t="s">
        <v>34</v>
      </c>
      <c r="O713" s="557">
        <f>M712+M713+O712+Q712</f>
        <v>63390.124</v>
      </c>
    </row>
    <row r="714" s="442" customFormat="1" ht="26" customHeight="1" spans="1:17">
      <c r="A714" s="483" t="s">
        <v>35</v>
      </c>
      <c r="B714" s="484" t="s">
        <v>36</v>
      </c>
      <c r="C714" s="485" t="s">
        <v>37</v>
      </c>
      <c r="D714" s="485"/>
      <c r="E714" s="485"/>
      <c r="F714" s="485" t="s">
        <v>38</v>
      </c>
      <c r="G714" s="485" t="s">
        <v>4</v>
      </c>
      <c r="H714" s="485" t="s">
        <v>5</v>
      </c>
      <c r="I714" s="485" t="s">
        <v>6</v>
      </c>
      <c r="J714" s="485" t="s">
        <v>7</v>
      </c>
      <c r="K714" s="485" t="s">
        <v>8</v>
      </c>
      <c r="L714" s="485" t="s">
        <v>39</v>
      </c>
      <c r="M714" s="485" t="s">
        <v>40</v>
      </c>
      <c r="N714" s="427"/>
      <c r="O714" s="427"/>
    </row>
    <row r="715" s="456" customFormat="1" spans="1:17">
      <c r="A715" s="488">
        <v>45812</v>
      </c>
      <c r="B715" s="489" t="s">
        <v>148</v>
      </c>
      <c r="C715" s="490">
        <v>45811</v>
      </c>
      <c r="D715" s="491"/>
      <c r="E715" s="491"/>
      <c r="F715" s="493">
        <v>808</v>
      </c>
      <c r="G715" s="491">
        <v>1</v>
      </c>
      <c r="H715" s="431">
        <v>150</v>
      </c>
      <c r="I715" s="491">
        <f>G715*H715</f>
        <v>150</v>
      </c>
      <c r="J715" s="492">
        <v>8.6</v>
      </c>
      <c r="K715" s="492">
        <f>I715*J715</f>
        <v>1290</v>
      </c>
    </row>
    <row r="716" s="456" customFormat="1" spans="1:17">
      <c r="A716" s="488">
        <v>45812</v>
      </c>
      <c r="B716" s="489" t="s">
        <v>148</v>
      </c>
      <c r="C716" s="490">
        <v>45811</v>
      </c>
      <c r="D716" s="491"/>
      <c r="E716" s="491"/>
      <c r="F716" s="493" t="s">
        <v>12</v>
      </c>
      <c r="G716" s="491">
        <v>1</v>
      </c>
      <c r="H716" s="431">
        <v>130</v>
      </c>
      <c r="I716" s="491">
        <f t="shared" ref="I716:I724" si="104">G716*H716</f>
        <v>130</v>
      </c>
      <c r="J716" s="492">
        <v>6.7</v>
      </c>
      <c r="K716" s="492">
        <f>I716*J716</f>
        <v>871</v>
      </c>
    </row>
    <row r="717" s="456" customFormat="1" spans="1:17">
      <c r="A717" s="488">
        <v>45812</v>
      </c>
      <c r="B717" s="489" t="s">
        <v>148</v>
      </c>
      <c r="C717" s="490">
        <v>45811</v>
      </c>
      <c r="D717" s="491"/>
      <c r="E717" s="491"/>
      <c r="F717" s="493" t="s">
        <v>152</v>
      </c>
      <c r="G717" s="491">
        <v>1</v>
      </c>
      <c r="H717" s="431">
        <v>100</v>
      </c>
      <c r="I717" s="491">
        <f t="shared" si="104"/>
        <v>100</v>
      </c>
      <c r="J717" s="492">
        <v>6.7</v>
      </c>
      <c r="K717" s="492">
        <f>I717*J717</f>
        <v>670</v>
      </c>
    </row>
    <row r="718" s="456" customFormat="1" spans="1:17">
      <c r="A718" s="488">
        <v>45812</v>
      </c>
      <c r="B718" s="489" t="s">
        <v>148</v>
      </c>
      <c r="C718" s="490">
        <v>45811</v>
      </c>
      <c r="D718" s="491"/>
      <c r="E718" s="491"/>
      <c r="F718" s="493" t="s">
        <v>709</v>
      </c>
      <c r="G718" s="491">
        <v>1</v>
      </c>
      <c r="H718" s="431">
        <v>120</v>
      </c>
      <c r="I718" s="491">
        <f t="shared" si="104"/>
        <v>120</v>
      </c>
      <c r="J718" s="492"/>
      <c r="K718" s="492"/>
      <c r="L718" s="456" t="s">
        <v>126</v>
      </c>
    </row>
    <row r="719" s="456" customFormat="1" spans="1:17">
      <c r="A719" s="488">
        <v>45812</v>
      </c>
      <c r="B719" s="489" t="s">
        <v>148</v>
      </c>
      <c r="C719" s="490">
        <v>45811</v>
      </c>
      <c r="D719" s="491"/>
      <c r="E719" s="491"/>
      <c r="F719" s="493" t="s">
        <v>710</v>
      </c>
      <c r="G719" s="491">
        <v>1</v>
      </c>
      <c r="H719" s="431">
        <v>145</v>
      </c>
      <c r="I719" s="491">
        <f t="shared" si="104"/>
        <v>145</v>
      </c>
      <c r="J719" s="492"/>
      <c r="K719" s="492"/>
    </row>
    <row r="720" s="456" customFormat="1" spans="1:17">
      <c r="A720" s="488">
        <v>45812</v>
      </c>
      <c r="B720" s="489" t="s">
        <v>148</v>
      </c>
      <c r="C720" s="490">
        <v>45811</v>
      </c>
      <c r="D720" s="491"/>
      <c r="E720" s="491"/>
      <c r="F720" s="493" t="s">
        <v>711</v>
      </c>
      <c r="G720" s="491">
        <v>1</v>
      </c>
      <c r="H720" s="431">
        <v>103</v>
      </c>
      <c r="I720" s="491">
        <f t="shared" si="104"/>
        <v>103</v>
      </c>
      <c r="J720" s="492"/>
      <c r="K720" s="492"/>
      <c r="N720" s="456">
        <f>SUBTOTAL(9,K452:K623)</f>
        <v>91099.82</v>
      </c>
    </row>
    <row r="721" s="456" customFormat="1" spans="1:14">
      <c r="A721" s="488">
        <v>45812</v>
      </c>
      <c r="B721" s="489" t="s">
        <v>148</v>
      </c>
      <c r="C721" s="490">
        <v>45811</v>
      </c>
      <c r="D721" s="491"/>
      <c r="E721" s="491"/>
      <c r="F721" s="493" t="s">
        <v>191</v>
      </c>
      <c r="G721" s="491">
        <v>1</v>
      </c>
      <c r="H721" s="431">
        <v>30</v>
      </c>
      <c r="I721" s="491">
        <f t="shared" si="104"/>
        <v>30</v>
      </c>
      <c r="J721" s="492">
        <v>17</v>
      </c>
      <c r="K721" s="492">
        <f t="shared" ref="K718:K727" si="105">I721*J721</f>
        <v>510</v>
      </c>
      <c r="M721" s="456" t="s">
        <v>678</v>
      </c>
    </row>
    <row r="722" s="456" customFormat="1" spans="1:14">
      <c r="A722" s="488">
        <v>45812</v>
      </c>
      <c r="B722" s="489" t="s">
        <v>148</v>
      </c>
      <c r="C722" s="490">
        <v>45811</v>
      </c>
      <c r="D722" s="491"/>
      <c r="E722" s="491"/>
      <c r="F722" s="493" t="s">
        <v>211</v>
      </c>
      <c r="G722" s="491">
        <v>1</v>
      </c>
      <c r="H722" s="431">
        <v>3</v>
      </c>
      <c r="I722" s="491">
        <f t="shared" si="104"/>
        <v>3</v>
      </c>
      <c r="J722" s="492"/>
      <c r="K722" s="492"/>
      <c r="L722" s="456">
        <f>SUM(K715:K725)</f>
        <v>4609.5</v>
      </c>
    </row>
    <row r="723" s="456" customFormat="1" spans="1:14">
      <c r="A723" s="488">
        <v>45812</v>
      </c>
      <c r="B723" s="489" t="s">
        <v>148</v>
      </c>
      <c r="C723" s="490">
        <v>45811</v>
      </c>
      <c r="D723" s="491"/>
      <c r="E723" s="491"/>
      <c r="F723" s="493" t="s">
        <v>16</v>
      </c>
      <c r="G723" s="491">
        <v>1</v>
      </c>
      <c r="H723" s="431">
        <v>150</v>
      </c>
      <c r="I723" s="491">
        <f t="shared" si="104"/>
        <v>150</v>
      </c>
      <c r="J723" s="492"/>
      <c r="K723" s="492"/>
    </row>
    <row r="724" s="456" customFormat="1" spans="1:14">
      <c r="A724" s="488">
        <v>45812</v>
      </c>
      <c r="B724" s="489" t="s">
        <v>148</v>
      </c>
      <c r="C724" s="490">
        <v>45811</v>
      </c>
      <c r="D724" s="491"/>
      <c r="E724" s="491"/>
      <c r="F724" s="493" t="s">
        <v>132</v>
      </c>
      <c r="G724" s="491">
        <v>1</v>
      </c>
      <c r="H724" s="431">
        <v>75</v>
      </c>
      <c r="I724" s="491">
        <f t="shared" si="104"/>
        <v>75</v>
      </c>
      <c r="J724" s="492">
        <v>3.5</v>
      </c>
      <c r="K724" s="492">
        <f t="shared" si="105"/>
        <v>262.5</v>
      </c>
    </row>
    <row r="725" s="456" customFormat="1" spans="1:14">
      <c r="A725" s="488">
        <v>45812</v>
      </c>
      <c r="B725" s="489" t="s">
        <v>148</v>
      </c>
      <c r="C725" s="490">
        <v>45811</v>
      </c>
      <c r="D725" s="491"/>
      <c r="E725" s="491"/>
      <c r="F725" s="493" t="s">
        <v>304</v>
      </c>
      <c r="G725" s="491">
        <v>1</v>
      </c>
      <c r="H725" s="431">
        <f>SUM(H715:H724)</f>
        <v>1006</v>
      </c>
      <c r="I725" s="491">
        <f t="shared" ref="I725:I731" si="106">G725*H725</f>
        <v>1006</v>
      </c>
      <c r="J725" s="492">
        <v>1</v>
      </c>
      <c r="K725" s="492">
        <f t="shared" si="105"/>
        <v>1006</v>
      </c>
    </row>
    <row r="726" s="457" customFormat="1" spans="1:14">
      <c r="A726" s="494">
        <v>45812</v>
      </c>
      <c r="B726" s="442" t="s">
        <v>151</v>
      </c>
      <c r="C726" s="495">
        <v>45811</v>
      </c>
      <c r="D726" s="463"/>
      <c r="E726" s="463"/>
      <c r="F726" s="496">
        <v>808</v>
      </c>
      <c r="G726" s="463">
        <v>1</v>
      </c>
      <c r="H726" s="432">
        <v>21.6</v>
      </c>
      <c r="I726" s="463">
        <f t="shared" si="106"/>
        <v>21.6</v>
      </c>
      <c r="J726" s="497">
        <v>8.6</v>
      </c>
      <c r="K726" s="497">
        <f t="shared" si="105"/>
        <v>185.76</v>
      </c>
    </row>
    <row r="727" s="457" customFormat="1" spans="1:14">
      <c r="A727" s="494">
        <v>45812</v>
      </c>
      <c r="B727" s="442" t="s">
        <v>151</v>
      </c>
      <c r="C727" s="495">
        <v>45811</v>
      </c>
      <c r="D727" s="463"/>
      <c r="E727" s="463"/>
      <c r="F727" s="496" t="s">
        <v>12</v>
      </c>
      <c r="G727" s="463">
        <v>1</v>
      </c>
      <c r="H727" s="432">
        <v>23.4</v>
      </c>
      <c r="I727" s="463">
        <f t="shared" si="106"/>
        <v>23.4</v>
      </c>
      <c r="J727" s="497">
        <v>6.7</v>
      </c>
      <c r="K727" s="497">
        <f t="shared" si="105"/>
        <v>156.78</v>
      </c>
    </row>
    <row r="728" s="457" customFormat="1" spans="1:14">
      <c r="A728" s="494">
        <v>45812</v>
      </c>
      <c r="B728" s="442" t="s">
        <v>151</v>
      </c>
      <c r="C728" s="495">
        <v>45811</v>
      </c>
      <c r="D728" s="463"/>
      <c r="E728" s="463"/>
      <c r="F728" s="496" t="s">
        <v>13</v>
      </c>
      <c r="G728" s="463">
        <v>1</v>
      </c>
      <c r="H728" s="432">
        <v>32.5</v>
      </c>
      <c r="I728" s="463">
        <f t="shared" si="106"/>
        <v>32.5</v>
      </c>
      <c r="J728" s="497"/>
      <c r="K728" s="497"/>
    </row>
    <row r="729" s="457" customFormat="1" spans="1:14">
      <c r="A729" s="494">
        <v>45812</v>
      </c>
      <c r="B729" s="442" t="s">
        <v>151</v>
      </c>
      <c r="C729" s="495">
        <v>45811</v>
      </c>
      <c r="D729" s="463"/>
      <c r="E729" s="463"/>
      <c r="F729" s="496" t="s">
        <v>533</v>
      </c>
      <c r="G729" s="463">
        <v>1</v>
      </c>
      <c r="H729" s="432">
        <v>37</v>
      </c>
      <c r="I729" s="463">
        <f t="shared" si="106"/>
        <v>37</v>
      </c>
      <c r="J729" s="497"/>
      <c r="K729" s="497"/>
      <c r="L729" s="457" t="s">
        <v>126</v>
      </c>
    </row>
    <row r="730" s="457" customFormat="1" spans="1:14">
      <c r="A730" s="494">
        <v>45812</v>
      </c>
      <c r="B730" s="442" t="s">
        <v>151</v>
      </c>
      <c r="C730" s="495">
        <v>45811</v>
      </c>
      <c r="D730" s="463"/>
      <c r="E730" s="463"/>
      <c r="F730" s="496" t="s">
        <v>547</v>
      </c>
      <c r="G730" s="463">
        <v>1</v>
      </c>
      <c r="H730" s="432">
        <v>25.2</v>
      </c>
      <c r="I730" s="463">
        <f t="shared" si="106"/>
        <v>25.2</v>
      </c>
      <c r="J730" s="497"/>
      <c r="K730" s="497"/>
    </row>
    <row r="731" s="457" customFormat="1" spans="1:14">
      <c r="A731" s="494">
        <v>45812</v>
      </c>
      <c r="B731" s="442" t="s">
        <v>151</v>
      </c>
      <c r="C731" s="495">
        <v>45811</v>
      </c>
      <c r="D731" s="463"/>
      <c r="E731" s="463"/>
      <c r="F731" s="496" t="s">
        <v>16</v>
      </c>
      <c r="G731" s="463">
        <v>1</v>
      </c>
      <c r="H731" s="432">
        <v>41.5</v>
      </c>
      <c r="I731" s="463">
        <f t="shared" si="106"/>
        <v>41.5</v>
      </c>
      <c r="J731" s="497"/>
      <c r="K731" s="497"/>
      <c r="N731" s="457">
        <f>SUBTOTAL(9,K463:K634)</f>
        <v>91715.22</v>
      </c>
    </row>
    <row r="732" s="457" customFormat="1" spans="1:14">
      <c r="A732" s="494">
        <v>45812</v>
      </c>
      <c r="B732" s="442" t="s">
        <v>151</v>
      </c>
      <c r="C732" s="495">
        <v>45811</v>
      </c>
      <c r="D732" s="463"/>
      <c r="E732" s="463"/>
      <c r="F732" s="496" t="s">
        <v>17</v>
      </c>
      <c r="G732" s="463">
        <v>1</v>
      </c>
      <c r="H732" s="432">
        <f>SUM(H726:H731)</f>
        <v>181.2</v>
      </c>
      <c r="I732" s="432">
        <f>SUM(I726:I731)</f>
        <v>181.2</v>
      </c>
      <c r="J732" s="497">
        <v>1</v>
      </c>
      <c r="K732" s="497">
        <f>I732*J732</f>
        <v>181.2</v>
      </c>
      <c r="L732" s="457">
        <f>SUM(K726:K732)</f>
        <v>523.74</v>
      </c>
    </row>
    <row r="733" s="456" customFormat="1" spans="1:14">
      <c r="A733" s="488">
        <v>45814</v>
      </c>
      <c r="B733" s="489" t="s">
        <v>153</v>
      </c>
      <c r="C733" s="490">
        <v>45813</v>
      </c>
      <c r="D733" s="491"/>
      <c r="E733" s="491"/>
      <c r="F733" s="493">
        <v>808</v>
      </c>
      <c r="G733" s="491">
        <v>1</v>
      </c>
      <c r="H733" s="431">
        <v>50</v>
      </c>
      <c r="I733" s="491">
        <f t="shared" ref="I733:I776" si="107">G733*H733</f>
        <v>50</v>
      </c>
      <c r="J733" s="492">
        <v>8.6</v>
      </c>
      <c r="K733" s="492">
        <f>I733*J733</f>
        <v>430</v>
      </c>
    </row>
    <row r="734" s="456" customFormat="1" spans="1:14">
      <c r="A734" s="488">
        <v>45814</v>
      </c>
      <c r="B734" s="489" t="s">
        <v>153</v>
      </c>
      <c r="C734" s="490">
        <v>45813</v>
      </c>
      <c r="D734" s="491"/>
      <c r="E734" s="491"/>
      <c r="F734" s="493" t="s">
        <v>12</v>
      </c>
      <c r="G734" s="491">
        <v>1</v>
      </c>
      <c r="H734" s="431">
        <v>74</v>
      </c>
      <c r="I734" s="491">
        <f t="shared" si="107"/>
        <v>74</v>
      </c>
      <c r="J734" s="492">
        <v>6.7</v>
      </c>
      <c r="K734" s="492">
        <f>I734*J734</f>
        <v>495.8</v>
      </c>
    </row>
    <row r="735" s="456" customFormat="1" spans="1:14">
      <c r="A735" s="488">
        <v>45814</v>
      </c>
      <c r="B735" s="489" t="s">
        <v>153</v>
      </c>
      <c r="C735" s="490">
        <v>45813</v>
      </c>
      <c r="D735" s="491"/>
      <c r="E735" s="491"/>
      <c r="F735" s="493" t="s">
        <v>152</v>
      </c>
      <c r="G735" s="491">
        <v>1</v>
      </c>
      <c r="H735" s="431">
        <v>155</v>
      </c>
      <c r="I735" s="491">
        <f t="shared" si="107"/>
        <v>155</v>
      </c>
      <c r="J735" s="492">
        <v>6.7</v>
      </c>
      <c r="K735" s="492">
        <f>I735*J735</f>
        <v>1038.5</v>
      </c>
    </row>
    <row r="736" s="456" customFormat="1" spans="1:14">
      <c r="A736" s="488">
        <v>45814</v>
      </c>
      <c r="B736" s="489" t="s">
        <v>153</v>
      </c>
      <c r="C736" s="490">
        <v>45813</v>
      </c>
      <c r="D736" s="491"/>
      <c r="E736" s="491"/>
      <c r="F736" s="493" t="s">
        <v>709</v>
      </c>
      <c r="G736" s="491">
        <v>1</v>
      </c>
      <c r="H736" s="431">
        <v>150</v>
      </c>
      <c r="I736" s="491">
        <f t="shared" si="107"/>
        <v>150</v>
      </c>
      <c r="J736" s="492"/>
      <c r="K736" s="492"/>
      <c r="L736" s="456" t="s">
        <v>126</v>
      </c>
    </row>
    <row r="737" s="456" customFormat="1" spans="1:14">
      <c r="A737" s="488">
        <v>45814</v>
      </c>
      <c r="B737" s="489" t="s">
        <v>153</v>
      </c>
      <c r="C737" s="490">
        <v>45813</v>
      </c>
      <c r="D737" s="491"/>
      <c r="E737" s="491"/>
      <c r="F737" s="493" t="s">
        <v>710</v>
      </c>
      <c r="G737" s="491">
        <v>1</v>
      </c>
      <c r="H737" s="431">
        <v>253</v>
      </c>
      <c r="I737" s="491">
        <f t="shared" si="107"/>
        <v>253</v>
      </c>
      <c r="J737" s="492"/>
      <c r="K737" s="492"/>
    </row>
    <row r="738" s="456" customFormat="1" spans="1:14">
      <c r="A738" s="488">
        <v>45814</v>
      </c>
      <c r="B738" s="489" t="s">
        <v>153</v>
      </c>
      <c r="C738" s="490">
        <v>45813</v>
      </c>
      <c r="D738" s="491"/>
      <c r="E738" s="491"/>
      <c r="F738" s="493" t="s">
        <v>712</v>
      </c>
      <c r="G738" s="491">
        <v>1</v>
      </c>
      <c r="H738" s="431">
        <v>168</v>
      </c>
      <c r="I738" s="491">
        <f t="shared" si="107"/>
        <v>168</v>
      </c>
      <c r="J738" s="492"/>
      <c r="K738" s="492"/>
      <c r="N738" s="456">
        <f>SUBTOTAL(9,K470:K641)</f>
        <v>89421.82</v>
      </c>
    </row>
    <row r="739" s="456" customFormat="1" spans="1:14">
      <c r="A739" s="488">
        <v>45814</v>
      </c>
      <c r="B739" s="489" t="s">
        <v>153</v>
      </c>
      <c r="C739" s="490">
        <v>45813</v>
      </c>
      <c r="D739" s="491"/>
      <c r="E739" s="491"/>
      <c r="F739" s="493" t="s">
        <v>16</v>
      </c>
      <c r="G739" s="491">
        <v>1</v>
      </c>
      <c r="H739" s="431">
        <v>150</v>
      </c>
      <c r="I739" s="491">
        <f t="shared" si="107"/>
        <v>150</v>
      </c>
      <c r="J739" s="492"/>
      <c r="K739" s="492"/>
    </row>
    <row r="740" s="456" customFormat="1" spans="1:14">
      <c r="A740" s="488">
        <v>45814</v>
      </c>
      <c r="B740" s="489" t="s">
        <v>153</v>
      </c>
      <c r="C740" s="490">
        <v>45813</v>
      </c>
      <c r="D740" s="491"/>
      <c r="E740" s="491"/>
      <c r="F740" s="493" t="s">
        <v>713</v>
      </c>
      <c r="G740" s="491">
        <v>1</v>
      </c>
      <c r="H740" s="431">
        <f>SUM(H733:H739)</f>
        <v>1000</v>
      </c>
      <c r="I740" s="491">
        <f t="shared" si="107"/>
        <v>1000</v>
      </c>
      <c r="J740" s="492">
        <v>1</v>
      </c>
      <c r="K740" s="492">
        <f>I740*J740</f>
        <v>1000</v>
      </c>
      <c r="L740" s="456">
        <f>SUM(K733:K740)</f>
        <v>2964.3</v>
      </c>
    </row>
    <row r="741" s="457" customFormat="1" spans="1:14">
      <c r="A741" s="494">
        <v>45814</v>
      </c>
      <c r="B741" s="442" t="s">
        <v>154</v>
      </c>
      <c r="C741" s="495">
        <v>45813</v>
      </c>
      <c r="D741" s="463"/>
      <c r="E741" s="463"/>
      <c r="F741" s="496">
        <v>808</v>
      </c>
      <c r="G741" s="463">
        <v>1</v>
      </c>
      <c r="H741" s="432">
        <v>102</v>
      </c>
      <c r="I741" s="463">
        <f t="shared" si="107"/>
        <v>102</v>
      </c>
      <c r="J741" s="497">
        <v>8.6</v>
      </c>
      <c r="K741" s="497">
        <f>I741*J741</f>
        <v>877.2</v>
      </c>
    </row>
    <row r="742" s="457" customFormat="1" spans="1:14">
      <c r="A742" s="494">
        <v>45814</v>
      </c>
      <c r="B742" s="442" t="s">
        <v>154</v>
      </c>
      <c r="C742" s="495">
        <v>45813</v>
      </c>
      <c r="D742" s="463"/>
      <c r="E742" s="463"/>
      <c r="F742" s="496" t="s">
        <v>12</v>
      </c>
      <c r="G742" s="463">
        <v>1</v>
      </c>
      <c r="H742" s="432">
        <v>114</v>
      </c>
      <c r="I742" s="463">
        <f t="shared" si="107"/>
        <v>114</v>
      </c>
      <c r="J742" s="497">
        <v>6.7</v>
      </c>
      <c r="K742" s="497">
        <f>I742*J742</f>
        <v>763.8</v>
      </c>
    </row>
    <row r="743" s="457" customFormat="1" spans="1:14">
      <c r="A743" s="494">
        <v>45814</v>
      </c>
      <c r="B743" s="442" t="s">
        <v>154</v>
      </c>
      <c r="C743" s="495">
        <v>45813</v>
      </c>
      <c r="D743" s="463"/>
      <c r="E743" s="463"/>
      <c r="F743" s="496" t="s">
        <v>709</v>
      </c>
      <c r="G743" s="463">
        <v>1</v>
      </c>
      <c r="H743" s="432">
        <v>150</v>
      </c>
      <c r="I743" s="463">
        <f t="shared" si="107"/>
        <v>150</v>
      </c>
      <c r="J743" s="497"/>
      <c r="K743" s="497"/>
      <c r="L743" s="457" t="s">
        <v>126</v>
      </c>
    </row>
    <row r="744" s="457" customFormat="1" spans="1:14">
      <c r="A744" s="494">
        <v>45814</v>
      </c>
      <c r="B744" s="442" t="s">
        <v>154</v>
      </c>
      <c r="C744" s="495">
        <v>45813</v>
      </c>
      <c r="D744" s="463"/>
      <c r="E744" s="463"/>
      <c r="F744" s="496" t="s">
        <v>710</v>
      </c>
      <c r="G744" s="463">
        <v>1</v>
      </c>
      <c r="H744" s="432">
        <v>140</v>
      </c>
      <c r="I744" s="463">
        <f t="shared" si="107"/>
        <v>140</v>
      </c>
      <c r="J744" s="497"/>
      <c r="K744" s="497"/>
    </row>
    <row r="745" s="457" customFormat="1" spans="1:14">
      <c r="A745" s="494">
        <v>45814</v>
      </c>
      <c r="B745" s="442" t="s">
        <v>154</v>
      </c>
      <c r="C745" s="495">
        <v>45813</v>
      </c>
      <c r="D745" s="463"/>
      <c r="E745" s="463"/>
      <c r="F745" s="496" t="s">
        <v>711</v>
      </c>
      <c r="G745" s="463">
        <v>1</v>
      </c>
      <c r="H745" s="432">
        <v>286</v>
      </c>
      <c r="I745" s="463">
        <f t="shared" si="107"/>
        <v>286</v>
      </c>
      <c r="J745" s="497"/>
      <c r="K745" s="497"/>
      <c r="N745" s="457">
        <f>SUBTOTAL(9,K481:K652)</f>
        <v>87991.2</v>
      </c>
    </row>
    <row r="746" s="457" customFormat="1" spans="1:14">
      <c r="A746" s="494">
        <v>45814</v>
      </c>
      <c r="B746" s="442" t="s">
        <v>154</v>
      </c>
      <c r="C746" s="495">
        <v>45813</v>
      </c>
      <c r="D746" s="463"/>
      <c r="E746" s="463"/>
      <c r="F746" s="496" t="s">
        <v>16</v>
      </c>
      <c r="G746" s="463">
        <v>1</v>
      </c>
      <c r="H746" s="432">
        <v>208</v>
      </c>
      <c r="I746" s="463">
        <f t="shared" si="107"/>
        <v>208</v>
      </c>
      <c r="J746" s="497"/>
      <c r="K746" s="497"/>
    </row>
    <row r="747" s="457" customFormat="1" spans="1:14">
      <c r="A747" s="494">
        <v>45814</v>
      </c>
      <c r="B747" s="442" t="s">
        <v>154</v>
      </c>
      <c r="C747" s="495">
        <v>45813</v>
      </c>
      <c r="D747" s="463"/>
      <c r="E747" s="463"/>
      <c r="F747" s="496" t="s">
        <v>714</v>
      </c>
      <c r="G747" s="463">
        <v>1</v>
      </c>
      <c r="H747" s="432">
        <f>SUM(H741:H746)</f>
        <v>1000</v>
      </c>
      <c r="I747" s="463">
        <f t="shared" si="107"/>
        <v>1000</v>
      </c>
      <c r="J747" s="497">
        <v>1</v>
      </c>
      <c r="K747" s="497">
        <f t="shared" ref="K747:K751" si="108">I747*J747</f>
        <v>1000</v>
      </c>
      <c r="L747" s="457">
        <f>SUM(K741:K749)</f>
        <v>2680.6</v>
      </c>
    </row>
    <row r="748" s="457" customFormat="1" spans="1:14">
      <c r="A748" s="494">
        <v>45814</v>
      </c>
      <c r="B748" s="442" t="s">
        <v>154</v>
      </c>
      <c r="C748" s="495">
        <v>45814</v>
      </c>
      <c r="D748" s="463"/>
      <c r="E748" s="463"/>
      <c r="F748" s="496" t="s">
        <v>53</v>
      </c>
      <c r="G748" s="463">
        <v>1</v>
      </c>
      <c r="H748" s="432">
        <v>9</v>
      </c>
      <c r="I748" s="463">
        <f t="shared" si="107"/>
        <v>9</v>
      </c>
      <c r="J748" s="497">
        <v>3.4</v>
      </c>
      <c r="K748" s="497">
        <f t="shared" si="108"/>
        <v>30.6</v>
      </c>
    </row>
    <row r="749" s="457" customFormat="1" spans="1:14">
      <c r="A749" s="494">
        <v>45814</v>
      </c>
      <c r="B749" s="442" t="s">
        <v>154</v>
      </c>
      <c r="C749" s="495">
        <v>45814</v>
      </c>
      <c r="D749" s="463"/>
      <c r="E749" s="463"/>
      <c r="F749" s="496" t="s">
        <v>715</v>
      </c>
      <c r="G749" s="463">
        <v>1</v>
      </c>
      <c r="H749" s="432">
        <v>1</v>
      </c>
      <c r="I749" s="463">
        <f t="shared" si="107"/>
        <v>1</v>
      </c>
      <c r="J749" s="497">
        <v>9</v>
      </c>
      <c r="K749" s="497">
        <f t="shared" si="108"/>
        <v>9</v>
      </c>
    </row>
    <row r="750" s="456" customFormat="1" spans="1:14">
      <c r="A750" s="488">
        <v>45816</v>
      </c>
      <c r="B750" s="489" t="s">
        <v>158</v>
      </c>
      <c r="C750" s="490" t="s">
        <v>716</v>
      </c>
      <c r="D750" s="491"/>
      <c r="E750" s="491"/>
      <c r="F750" s="493" t="s">
        <v>176</v>
      </c>
      <c r="G750" s="491">
        <v>1</v>
      </c>
      <c r="H750" s="431">
        <v>200</v>
      </c>
      <c r="I750" s="491">
        <f t="shared" si="107"/>
        <v>200</v>
      </c>
      <c r="J750" s="492"/>
      <c r="K750" s="492"/>
    </row>
    <row r="751" s="456" customFormat="1" spans="1:14">
      <c r="A751" s="488">
        <v>45816</v>
      </c>
      <c r="B751" s="489" t="s">
        <v>158</v>
      </c>
      <c r="C751" s="490" t="s">
        <v>716</v>
      </c>
      <c r="D751" s="491"/>
      <c r="E751" s="491"/>
      <c r="F751" s="493" t="s">
        <v>170</v>
      </c>
      <c r="G751" s="491">
        <v>1</v>
      </c>
      <c r="H751" s="431">
        <v>25</v>
      </c>
      <c r="I751" s="491">
        <f t="shared" si="107"/>
        <v>25</v>
      </c>
      <c r="J751" s="492">
        <v>75</v>
      </c>
      <c r="K751" s="492">
        <f t="shared" si="108"/>
        <v>1875</v>
      </c>
      <c r="L751" s="536"/>
      <c r="M751" s="536"/>
      <c r="N751" s="536"/>
    </row>
    <row r="752" s="456" customFormat="1" spans="1:14">
      <c r="A752" s="488">
        <v>45816</v>
      </c>
      <c r="B752" s="489" t="s">
        <v>158</v>
      </c>
      <c r="C752" s="490" t="s">
        <v>716</v>
      </c>
      <c r="D752" s="491"/>
      <c r="E752" s="491"/>
      <c r="F752" s="493" t="s">
        <v>171</v>
      </c>
      <c r="G752" s="491">
        <v>1</v>
      </c>
      <c r="H752" s="431">
        <v>100</v>
      </c>
      <c r="I752" s="491">
        <f t="shared" si="107"/>
        <v>100</v>
      </c>
      <c r="J752" s="492"/>
      <c r="K752" s="492"/>
      <c r="L752" s="536"/>
      <c r="M752" s="536"/>
      <c r="N752" s="536"/>
    </row>
    <row r="753" s="456" customFormat="1" spans="1:20">
      <c r="A753" s="488">
        <v>45816</v>
      </c>
      <c r="B753" s="489" t="s">
        <v>158</v>
      </c>
      <c r="C753" s="490" t="s">
        <v>716</v>
      </c>
      <c r="D753" s="491"/>
      <c r="E753" s="491"/>
      <c r="F753" s="493">
        <v>808</v>
      </c>
      <c r="G753" s="491">
        <v>1</v>
      </c>
      <c r="H753" s="431">
        <v>300</v>
      </c>
      <c r="I753" s="491">
        <f t="shared" si="107"/>
        <v>300</v>
      </c>
      <c r="J753" s="492">
        <v>8.6</v>
      </c>
      <c r="K753" s="492">
        <f t="shared" ref="K753:K760" si="109">I753*J753</f>
        <v>2580</v>
      </c>
      <c r="L753" s="536" t="s">
        <v>472</v>
      </c>
      <c r="M753" s="536"/>
      <c r="N753" s="536"/>
    </row>
    <row r="754" s="456" customFormat="1" spans="1:20">
      <c r="A754" s="488">
        <v>45816</v>
      </c>
      <c r="B754" s="489" t="s">
        <v>158</v>
      </c>
      <c r="C754" s="490" t="s">
        <v>716</v>
      </c>
      <c r="D754" s="491"/>
      <c r="E754" s="491"/>
      <c r="F754" s="493" t="s">
        <v>125</v>
      </c>
      <c r="G754" s="491">
        <v>1</v>
      </c>
      <c r="H754" s="431">
        <v>125</v>
      </c>
      <c r="I754" s="491">
        <f t="shared" si="107"/>
        <v>125</v>
      </c>
      <c r="J754" s="492">
        <v>6.1</v>
      </c>
      <c r="K754" s="492">
        <f t="shared" si="109"/>
        <v>762.5</v>
      </c>
      <c r="L754" s="536"/>
      <c r="M754" s="536" t="s">
        <v>473</v>
      </c>
      <c r="N754" s="536"/>
    </row>
    <row r="755" s="456" customFormat="1" spans="1:20">
      <c r="A755" s="488">
        <v>45816</v>
      </c>
      <c r="B755" s="489" t="s">
        <v>158</v>
      </c>
      <c r="C755" s="490" t="s">
        <v>716</v>
      </c>
      <c r="D755" s="491"/>
      <c r="E755" s="491"/>
      <c r="F755" s="493" t="s">
        <v>179</v>
      </c>
      <c r="G755" s="491">
        <v>1</v>
      </c>
      <c r="H755" s="431">
        <f>SUM(H750:H754)</f>
        <v>750</v>
      </c>
      <c r="I755" s="491">
        <f t="shared" si="107"/>
        <v>750</v>
      </c>
      <c r="J755" s="492">
        <v>7.5</v>
      </c>
      <c r="K755" s="492">
        <f t="shared" si="109"/>
        <v>5625</v>
      </c>
      <c r="L755" s="536">
        <f>SUM(K750:K755)</f>
        <v>10842.5</v>
      </c>
      <c r="M755" s="536"/>
      <c r="N755" s="536"/>
    </row>
    <row r="756" s="457" customFormat="1" spans="1:20">
      <c r="A756" s="494">
        <v>45817</v>
      </c>
      <c r="B756" s="442" t="s">
        <v>52</v>
      </c>
      <c r="C756" s="495">
        <v>45817</v>
      </c>
      <c r="D756" s="463"/>
      <c r="E756" s="463"/>
      <c r="F756" s="496" t="s">
        <v>679</v>
      </c>
      <c r="G756" s="463">
        <v>6</v>
      </c>
      <c r="H756" s="432">
        <v>18</v>
      </c>
      <c r="I756" s="463">
        <f t="shared" si="107"/>
        <v>108</v>
      </c>
      <c r="J756" s="497">
        <v>15</v>
      </c>
      <c r="K756" s="497">
        <f t="shared" si="109"/>
        <v>1620</v>
      </c>
      <c r="L756" s="537"/>
      <c r="M756" s="537"/>
      <c r="N756" s="537"/>
    </row>
    <row r="757" s="457" customFormat="1" spans="1:20">
      <c r="A757" s="494">
        <v>45817</v>
      </c>
      <c r="B757" s="442" t="s">
        <v>52</v>
      </c>
      <c r="C757" s="495">
        <v>45817</v>
      </c>
      <c r="D757" s="463"/>
      <c r="E757" s="463"/>
      <c r="F757" s="496" t="s">
        <v>653</v>
      </c>
      <c r="G757" s="463">
        <v>6</v>
      </c>
      <c r="H757" s="432">
        <v>1</v>
      </c>
      <c r="I757" s="463">
        <f t="shared" si="107"/>
        <v>6</v>
      </c>
      <c r="J757" s="497">
        <v>12.5</v>
      </c>
      <c r="K757" s="497">
        <f t="shared" si="109"/>
        <v>75</v>
      </c>
      <c r="L757" s="537"/>
      <c r="M757" s="537"/>
      <c r="N757" s="537"/>
    </row>
    <row r="758" s="457" customFormat="1" spans="1:20">
      <c r="A758" s="494">
        <v>45817</v>
      </c>
      <c r="B758" s="442" t="s">
        <v>52</v>
      </c>
      <c r="C758" s="495">
        <v>45817</v>
      </c>
      <c r="D758" s="463"/>
      <c r="E758" s="463"/>
      <c r="F758" s="550" t="s">
        <v>284</v>
      </c>
      <c r="G758" s="463">
        <v>4</v>
      </c>
      <c r="H758" s="432">
        <v>10</v>
      </c>
      <c r="I758" s="463">
        <f t="shared" si="107"/>
        <v>40</v>
      </c>
      <c r="J758" s="497">
        <v>15.5</v>
      </c>
      <c r="K758" s="497">
        <f t="shared" si="109"/>
        <v>620</v>
      </c>
      <c r="L758" s="457" t="s">
        <v>616</v>
      </c>
      <c r="M758" s="442"/>
      <c r="O758" s="442"/>
      <c r="S758" s="442"/>
      <c r="T758" s="457" t="s">
        <v>617</v>
      </c>
    </row>
    <row r="759" s="457" customFormat="1" spans="1:20">
      <c r="A759" s="494">
        <v>45817</v>
      </c>
      <c r="B759" s="442" t="s">
        <v>52</v>
      </c>
      <c r="C759" s="495">
        <v>45817</v>
      </c>
      <c r="D759" s="463"/>
      <c r="E759" s="463"/>
      <c r="F759" s="550" t="s">
        <v>284</v>
      </c>
      <c r="G759" s="463">
        <v>10</v>
      </c>
      <c r="H759" s="432">
        <v>4</v>
      </c>
      <c r="I759" s="463">
        <f t="shared" si="107"/>
        <v>40</v>
      </c>
      <c r="J759" s="497">
        <v>15.5</v>
      </c>
      <c r="K759" s="497">
        <f t="shared" si="109"/>
        <v>620</v>
      </c>
      <c r="L759" s="457" t="s">
        <v>616</v>
      </c>
      <c r="M759" s="442"/>
      <c r="O759" s="442"/>
      <c r="S759" s="442"/>
      <c r="T759" s="457" t="s">
        <v>617</v>
      </c>
    </row>
    <row r="760" s="457" customFormat="1" spans="1:20">
      <c r="A760" s="494">
        <v>45817</v>
      </c>
      <c r="B760" s="442" t="s">
        <v>52</v>
      </c>
      <c r="C760" s="495">
        <v>45817</v>
      </c>
      <c r="D760" s="463"/>
      <c r="E760" s="463"/>
      <c r="F760" s="550" t="s">
        <v>666</v>
      </c>
      <c r="G760" s="463">
        <v>10</v>
      </c>
      <c r="H760" s="432">
        <v>1</v>
      </c>
      <c r="I760" s="463">
        <f t="shared" si="107"/>
        <v>10</v>
      </c>
      <c r="J760" s="497">
        <v>5.5</v>
      </c>
      <c r="K760" s="497">
        <f t="shared" si="109"/>
        <v>55</v>
      </c>
      <c r="L760" s="496">
        <f>SUM(K756:K760)</f>
        <v>2990</v>
      </c>
    </row>
    <row r="761" s="456" customFormat="1" spans="1:20">
      <c r="A761" s="488">
        <v>45817</v>
      </c>
      <c r="B761" s="489" t="s">
        <v>57</v>
      </c>
      <c r="C761" s="490">
        <v>45817</v>
      </c>
      <c r="D761" s="491"/>
      <c r="E761" s="491"/>
      <c r="F761" s="493" t="s">
        <v>16</v>
      </c>
      <c r="G761" s="491">
        <v>1</v>
      </c>
      <c r="H761" s="431">
        <v>3</v>
      </c>
      <c r="I761" s="491">
        <f t="shared" si="107"/>
        <v>3</v>
      </c>
      <c r="J761" s="492">
        <v>12.5</v>
      </c>
      <c r="K761" s="492"/>
    </row>
    <row r="762" s="456" customFormat="1" spans="1:20">
      <c r="A762" s="488">
        <v>45817</v>
      </c>
      <c r="B762" s="489" t="s">
        <v>57</v>
      </c>
      <c r="C762" s="490">
        <v>45817</v>
      </c>
      <c r="D762" s="491"/>
      <c r="E762" s="491"/>
      <c r="F762" s="493" t="s">
        <v>513</v>
      </c>
      <c r="G762" s="491">
        <v>1</v>
      </c>
      <c r="H762" s="431">
        <v>20</v>
      </c>
      <c r="I762" s="491">
        <f t="shared" si="107"/>
        <v>20</v>
      </c>
      <c r="J762" s="492">
        <v>15</v>
      </c>
      <c r="K762" s="492">
        <f t="shared" ref="K762:K768" si="110">I762*J762</f>
        <v>300</v>
      </c>
    </row>
    <row r="763" s="456" customFormat="1" spans="1:20">
      <c r="A763" s="488">
        <v>45817</v>
      </c>
      <c r="B763" s="489" t="s">
        <v>57</v>
      </c>
      <c r="C763" s="490">
        <v>45817</v>
      </c>
      <c r="D763" s="491"/>
      <c r="E763" s="491"/>
      <c r="F763" s="493" t="s">
        <v>152</v>
      </c>
      <c r="G763" s="491">
        <v>1</v>
      </c>
      <c r="H763" s="431">
        <v>73</v>
      </c>
      <c r="I763" s="491">
        <f t="shared" si="107"/>
        <v>73</v>
      </c>
      <c r="J763" s="492">
        <v>6.7</v>
      </c>
      <c r="K763" s="492">
        <f t="shared" si="110"/>
        <v>489.1</v>
      </c>
    </row>
    <row r="764" s="456" customFormat="1" spans="1:20">
      <c r="A764" s="488">
        <v>45817</v>
      </c>
      <c r="B764" s="489" t="s">
        <v>57</v>
      </c>
      <c r="C764" s="490">
        <v>45817</v>
      </c>
      <c r="D764" s="491"/>
      <c r="E764" s="491"/>
      <c r="F764" s="493" t="s">
        <v>125</v>
      </c>
      <c r="G764" s="491">
        <v>1</v>
      </c>
      <c r="H764" s="431">
        <v>64</v>
      </c>
      <c r="I764" s="491">
        <f t="shared" si="107"/>
        <v>64</v>
      </c>
      <c r="J764" s="492">
        <v>5.9</v>
      </c>
      <c r="K764" s="492">
        <f t="shared" si="110"/>
        <v>377.6</v>
      </c>
    </row>
    <row r="765" s="456" customFormat="1" spans="1:20">
      <c r="A765" s="488">
        <v>45817</v>
      </c>
      <c r="B765" s="489" t="s">
        <v>57</v>
      </c>
      <c r="C765" s="490">
        <v>45817</v>
      </c>
      <c r="D765" s="491"/>
      <c r="E765" s="491"/>
      <c r="F765" s="493" t="s">
        <v>389</v>
      </c>
      <c r="G765" s="491">
        <v>1</v>
      </c>
      <c r="H765" s="431">
        <f>SUM(H761:H764)</f>
        <v>160</v>
      </c>
      <c r="I765" s="491">
        <f t="shared" si="107"/>
        <v>160</v>
      </c>
      <c r="J765" s="492">
        <v>1</v>
      </c>
      <c r="K765" s="492">
        <f t="shared" si="110"/>
        <v>160</v>
      </c>
    </row>
    <row r="766" s="456" customFormat="1" spans="1:20">
      <c r="A766" s="488">
        <v>45817</v>
      </c>
      <c r="B766" s="489" t="s">
        <v>57</v>
      </c>
      <c r="C766" s="490">
        <v>45817</v>
      </c>
      <c r="D766" s="491"/>
      <c r="E766" s="491"/>
      <c r="F766" s="493" t="s">
        <v>717</v>
      </c>
      <c r="G766" s="491">
        <v>1</v>
      </c>
      <c r="H766" s="431">
        <v>8</v>
      </c>
      <c r="I766" s="491">
        <f t="shared" si="107"/>
        <v>8</v>
      </c>
      <c r="J766" s="492">
        <v>6.7</v>
      </c>
      <c r="K766" s="492">
        <f t="shared" si="110"/>
        <v>53.6</v>
      </c>
    </row>
    <row r="767" s="456" customFormat="1" spans="1:20">
      <c r="A767" s="488">
        <v>45817</v>
      </c>
      <c r="B767" s="489" t="s">
        <v>57</v>
      </c>
      <c r="C767" s="490">
        <v>45817</v>
      </c>
      <c r="D767" s="491"/>
      <c r="E767" s="491"/>
      <c r="F767" s="493" t="s">
        <v>718</v>
      </c>
      <c r="G767" s="491">
        <v>1</v>
      </c>
      <c r="H767" s="431">
        <v>2</v>
      </c>
      <c r="I767" s="491">
        <f t="shared" si="107"/>
        <v>2</v>
      </c>
      <c r="J767" s="515">
        <v>175</v>
      </c>
      <c r="K767" s="492">
        <f t="shared" si="110"/>
        <v>350</v>
      </c>
    </row>
    <row r="768" s="456" customFormat="1" spans="1:20">
      <c r="A768" s="488">
        <v>45817</v>
      </c>
      <c r="B768" s="489" t="s">
        <v>57</v>
      </c>
      <c r="C768" s="490">
        <v>45817</v>
      </c>
      <c r="D768" s="491"/>
      <c r="E768" s="491"/>
      <c r="F768" s="493" t="s">
        <v>719</v>
      </c>
      <c r="G768" s="491">
        <v>1</v>
      </c>
      <c r="H768" s="431">
        <v>1</v>
      </c>
      <c r="I768" s="491">
        <f t="shared" si="107"/>
        <v>1</v>
      </c>
      <c r="J768" s="492">
        <v>12.5</v>
      </c>
      <c r="K768" s="492">
        <f t="shared" si="110"/>
        <v>12.5</v>
      </c>
      <c r="L768" s="456">
        <f>SUM(K761:K768)</f>
        <v>1742.8</v>
      </c>
    </row>
    <row r="769" s="457" customFormat="1" spans="1:12">
      <c r="A769" s="494"/>
      <c r="B769" s="442"/>
      <c r="C769" s="495"/>
      <c r="D769" s="463"/>
      <c r="E769" s="463"/>
      <c r="F769" s="558" t="s">
        <v>623</v>
      </c>
      <c r="G769" s="463"/>
      <c r="H769" s="432"/>
      <c r="I769" s="463"/>
      <c r="J769" s="497"/>
      <c r="K769" s="497"/>
      <c r="L769" s="496"/>
    </row>
    <row r="770" s="457" customFormat="1" spans="1:12">
      <c r="A770" s="494">
        <v>45818</v>
      </c>
      <c r="B770" s="442" t="s">
        <v>419</v>
      </c>
      <c r="C770" s="495">
        <v>45818</v>
      </c>
      <c r="D770" s="463"/>
      <c r="E770" s="463"/>
      <c r="F770" s="457" t="s">
        <v>16</v>
      </c>
      <c r="G770" s="442">
        <v>1</v>
      </c>
      <c r="H770" s="442">
        <v>90</v>
      </c>
      <c r="I770" s="463">
        <f t="shared" ref="I770:I787" si="111">G770*H770</f>
        <v>90</v>
      </c>
      <c r="J770" s="497"/>
      <c r="K770" s="497"/>
    </row>
    <row r="771" s="457" customFormat="1" spans="1:12">
      <c r="A771" s="494">
        <v>45818</v>
      </c>
      <c r="B771" s="442" t="s">
        <v>419</v>
      </c>
      <c r="C771" s="495">
        <v>45818</v>
      </c>
      <c r="D771" s="463"/>
      <c r="E771" s="463"/>
      <c r="F771" s="457" t="s">
        <v>533</v>
      </c>
      <c r="G771" s="442">
        <v>1</v>
      </c>
      <c r="H771" s="442">
        <v>140</v>
      </c>
      <c r="I771" s="463">
        <f t="shared" si="111"/>
        <v>140</v>
      </c>
      <c r="J771" s="497"/>
      <c r="K771" s="497"/>
    </row>
    <row r="772" s="457" customFormat="1" spans="1:12">
      <c r="A772" s="494">
        <v>45818</v>
      </c>
      <c r="B772" s="442" t="s">
        <v>419</v>
      </c>
      <c r="C772" s="495">
        <v>45818</v>
      </c>
      <c r="D772" s="463"/>
      <c r="E772" s="463"/>
      <c r="F772" s="457" t="s">
        <v>547</v>
      </c>
      <c r="G772" s="442">
        <v>1</v>
      </c>
      <c r="H772" s="442">
        <v>35</v>
      </c>
      <c r="I772" s="463">
        <f t="shared" si="111"/>
        <v>35</v>
      </c>
      <c r="J772" s="559" t="s">
        <v>720</v>
      </c>
      <c r="K772" s="559"/>
      <c r="L772" s="560"/>
    </row>
    <row r="773" s="457" customFormat="1" spans="1:12">
      <c r="A773" s="494">
        <v>45818</v>
      </c>
      <c r="B773" s="442" t="s">
        <v>419</v>
      </c>
      <c r="C773" s="495">
        <v>45818</v>
      </c>
      <c r="D773" s="463"/>
      <c r="E773" s="463"/>
      <c r="F773" s="457" t="s">
        <v>352</v>
      </c>
      <c r="G773" s="442">
        <v>1</v>
      </c>
      <c r="H773" s="442">
        <v>100</v>
      </c>
      <c r="I773" s="463">
        <f t="shared" si="111"/>
        <v>100</v>
      </c>
      <c r="J773" s="497"/>
      <c r="K773" s="497"/>
      <c r="L773" s="457" t="s">
        <v>116</v>
      </c>
    </row>
    <row r="774" s="457" customFormat="1" spans="1:12">
      <c r="A774" s="494">
        <v>45818</v>
      </c>
      <c r="B774" s="442" t="s">
        <v>419</v>
      </c>
      <c r="C774" s="495">
        <v>45818</v>
      </c>
      <c r="D774" s="463"/>
      <c r="E774" s="463"/>
      <c r="F774" s="457" t="s">
        <v>115</v>
      </c>
      <c r="G774" s="442">
        <v>1</v>
      </c>
      <c r="H774" s="442">
        <v>50</v>
      </c>
      <c r="I774" s="463">
        <f t="shared" si="111"/>
        <v>50</v>
      </c>
      <c r="J774" s="497"/>
      <c r="K774" s="497"/>
    </row>
    <row r="775" s="457" customFormat="1" spans="1:12">
      <c r="A775" s="494">
        <v>45818</v>
      </c>
      <c r="B775" s="442" t="s">
        <v>419</v>
      </c>
      <c r="C775" s="495">
        <v>45818</v>
      </c>
      <c r="D775" s="463"/>
      <c r="E775" s="463"/>
      <c r="F775" s="496">
        <v>808</v>
      </c>
      <c r="G775" s="442">
        <v>1</v>
      </c>
      <c r="H775" s="442">
        <v>26</v>
      </c>
      <c r="I775" s="463">
        <f t="shared" si="111"/>
        <v>26</v>
      </c>
      <c r="J775" s="497">
        <v>8.6</v>
      </c>
      <c r="K775" s="497">
        <f t="shared" ref="K775:K779" si="112">I775*J775</f>
        <v>223.6</v>
      </c>
    </row>
    <row r="776" s="457" customFormat="1" spans="1:12">
      <c r="A776" s="494">
        <v>45818</v>
      </c>
      <c r="B776" s="442" t="s">
        <v>419</v>
      </c>
      <c r="C776" s="495">
        <v>45818</v>
      </c>
      <c r="D776" s="463"/>
      <c r="E776" s="463"/>
      <c r="F776" s="496" t="s">
        <v>125</v>
      </c>
      <c r="G776" s="442">
        <v>1</v>
      </c>
      <c r="H776" s="442">
        <v>60</v>
      </c>
      <c r="I776" s="463">
        <f t="shared" si="111"/>
        <v>60</v>
      </c>
      <c r="J776" s="497">
        <v>5.9</v>
      </c>
      <c r="K776" s="497">
        <f t="shared" si="112"/>
        <v>354</v>
      </c>
    </row>
    <row r="777" s="457" customFormat="1" ht="18" customHeight="1" spans="1:12">
      <c r="A777" s="494">
        <v>45818</v>
      </c>
      <c r="B777" s="442" t="s">
        <v>419</v>
      </c>
      <c r="C777" s="495">
        <v>45818</v>
      </c>
      <c r="D777" s="463"/>
      <c r="E777" s="463"/>
      <c r="F777" s="457" t="s">
        <v>435</v>
      </c>
      <c r="G777" s="442">
        <v>1</v>
      </c>
      <c r="H777" s="442">
        <f>SUM(H770:H776)</f>
        <v>501</v>
      </c>
      <c r="I777" s="463">
        <f t="shared" si="111"/>
        <v>501</v>
      </c>
      <c r="J777" s="497">
        <v>1</v>
      </c>
      <c r="K777" s="497">
        <f t="shared" si="112"/>
        <v>501</v>
      </c>
      <c r="L777" s="457">
        <f>SUM(K770:K778)</f>
        <v>1153.6</v>
      </c>
    </row>
    <row r="778" s="457" customFormat="1" spans="1:12">
      <c r="A778" s="494">
        <v>45818</v>
      </c>
      <c r="B778" s="442" t="s">
        <v>419</v>
      </c>
      <c r="C778" s="495">
        <v>45818</v>
      </c>
      <c r="D778" s="463"/>
      <c r="E778" s="463"/>
      <c r="F778" s="550" t="s">
        <v>719</v>
      </c>
      <c r="G778" s="463">
        <v>6</v>
      </c>
      <c r="H778" s="432">
        <v>1</v>
      </c>
      <c r="I778" s="463">
        <f t="shared" si="111"/>
        <v>6</v>
      </c>
      <c r="J778" s="497">
        <v>12.5</v>
      </c>
      <c r="K778" s="497">
        <f t="shared" si="112"/>
        <v>75</v>
      </c>
      <c r="L778" s="496"/>
    </row>
    <row r="779" s="456" customFormat="1" spans="1:12">
      <c r="A779" s="488">
        <v>45822</v>
      </c>
      <c r="B779" s="489" t="s">
        <v>305</v>
      </c>
      <c r="C779" s="490">
        <v>45821</v>
      </c>
      <c r="D779" s="491"/>
      <c r="E779" s="491"/>
      <c r="F779" s="561" t="s">
        <v>721</v>
      </c>
      <c r="G779" s="491">
        <v>25</v>
      </c>
      <c r="H779" s="431">
        <v>1</v>
      </c>
      <c r="I779" s="491">
        <f t="shared" si="111"/>
        <v>25</v>
      </c>
      <c r="J779" s="492">
        <v>12.5</v>
      </c>
      <c r="K779" s="525">
        <f t="shared" si="112"/>
        <v>312.5</v>
      </c>
      <c r="L779" s="493"/>
    </row>
    <row r="780" s="456" customFormat="1" spans="1:12">
      <c r="A780" s="488">
        <v>45822</v>
      </c>
      <c r="B780" s="489" t="s">
        <v>305</v>
      </c>
      <c r="C780" s="490">
        <v>45821</v>
      </c>
      <c r="D780" s="491"/>
      <c r="E780" s="491"/>
      <c r="F780" s="456" t="s">
        <v>722</v>
      </c>
      <c r="G780" s="489">
        <v>1</v>
      </c>
      <c r="H780" s="489">
        <v>82</v>
      </c>
      <c r="I780" s="491">
        <f t="shared" si="111"/>
        <v>82</v>
      </c>
      <c r="J780" s="492"/>
      <c r="K780" s="492"/>
    </row>
    <row r="781" s="456" customFormat="1" spans="1:12">
      <c r="A781" s="488">
        <v>45822</v>
      </c>
      <c r="B781" s="489" t="s">
        <v>305</v>
      </c>
      <c r="C781" s="490">
        <v>45821</v>
      </c>
      <c r="D781" s="491"/>
      <c r="E781" s="491"/>
      <c r="F781" s="493">
        <v>808</v>
      </c>
      <c r="G781" s="489">
        <v>1</v>
      </c>
      <c r="H781" s="489">
        <v>66</v>
      </c>
      <c r="I781" s="489">
        <v>66</v>
      </c>
      <c r="J781" s="492">
        <v>8.6</v>
      </c>
      <c r="K781" s="492">
        <f t="shared" ref="K781:K787" si="113">I781*J781</f>
        <v>567.6</v>
      </c>
    </row>
    <row r="782" s="456" customFormat="1" spans="1:12">
      <c r="A782" s="488">
        <v>45822</v>
      </c>
      <c r="B782" s="489" t="s">
        <v>305</v>
      </c>
      <c r="C782" s="490">
        <v>45821</v>
      </c>
      <c r="D782" s="491"/>
      <c r="E782" s="491"/>
      <c r="F782" s="493" t="s">
        <v>152</v>
      </c>
      <c r="G782" s="489">
        <v>1</v>
      </c>
      <c r="H782" s="489">
        <v>33</v>
      </c>
      <c r="I782" s="491">
        <v>33</v>
      </c>
      <c r="J782" s="491">
        <v>6.7</v>
      </c>
      <c r="K782" s="492">
        <f t="shared" si="113"/>
        <v>221.1</v>
      </c>
    </row>
    <row r="783" s="456" customFormat="1" spans="1:12">
      <c r="A783" s="488">
        <v>45822</v>
      </c>
      <c r="B783" s="489" t="s">
        <v>305</v>
      </c>
      <c r="C783" s="490">
        <v>45821</v>
      </c>
      <c r="D783" s="491"/>
      <c r="E783" s="491"/>
      <c r="F783" s="456" t="s">
        <v>125</v>
      </c>
      <c r="G783" s="489">
        <v>1</v>
      </c>
      <c r="H783" s="489">
        <v>175</v>
      </c>
      <c r="I783" s="491">
        <f t="shared" ref="I783:I802" si="114">G783*H783</f>
        <v>175</v>
      </c>
      <c r="J783" s="492">
        <v>5.9</v>
      </c>
      <c r="K783" s="492">
        <f t="shared" si="113"/>
        <v>1032.5</v>
      </c>
    </row>
    <row r="784" s="456" customFormat="1" spans="1:12">
      <c r="A784" s="488">
        <v>45822</v>
      </c>
      <c r="B784" s="489" t="s">
        <v>305</v>
      </c>
      <c r="C784" s="490">
        <v>45821</v>
      </c>
      <c r="D784" s="491"/>
      <c r="E784" s="491"/>
      <c r="F784" s="456" t="s">
        <v>132</v>
      </c>
      <c r="G784" s="489">
        <v>1</v>
      </c>
      <c r="H784" s="489">
        <v>144</v>
      </c>
      <c r="I784" s="491">
        <f t="shared" si="114"/>
        <v>144</v>
      </c>
      <c r="J784" s="492">
        <v>3.5</v>
      </c>
      <c r="K784" s="492">
        <f t="shared" si="113"/>
        <v>504</v>
      </c>
      <c r="L784" s="456" t="s">
        <v>126</v>
      </c>
    </row>
    <row r="785" s="456" customFormat="1" spans="1:14">
      <c r="A785" s="488">
        <v>45822</v>
      </c>
      <c r="B785" s="489" t="s">
        <v>305</v>
      </c>
      <c r="C785" s="490">
        <v>45821</v>
      </c>
      <c r="D785" s="491"/>
      <c r="E785" s="491"/>
      <c r="F785" s="456" t="s">
        <v>183</v>
      </c>
      <c r="G785" s="489">
        <v>1</v>
      </c>
      <c r="H785" s="489">
        <v>79</v>
      </c>
      <c r="I785" s="491">
        <f t="shared" si="114"/>
        <v>79</v>
      </c>
      <c r="J785" s="492"/>
      <c r="K785" s="492"/>
      <c r="L785" s="562" t="s">
        <v>723</v>
      </c>
    </row>
    <row r="786" s="456" customFormat="1" spans="1:14">
      <c r="A786" s="488">
        <v>45822</v>
      </c>
      <c r="B786" s="489" t="s">
        <v>305</v>
      </c>
      <c r="C786" s="490">
        <v>45821</v>
      </c>
      <c r="D786" s="491"/>
      <c r="E786" s="491"/>
      <c r="F786" s="493" t="s">
        <v>191</v>
      </c>
      <c r="G786" s="489">
        <v>1</v>
      </c>
      <c r="H786" s="489">
        <v>18</v>
      </c>
      <c r="I786" s="491">
        <f t="shared" si="114"/>
        <v>18</v>
      </c>
      <c r="J786" s="492">
        <v>17</v>
      </c>
      <c r="K786" s="492">
        <f t="shared" si="113"/>
        <v>306</v>
      </c>
    </row>
    <row r="787" s="456" customFormat="1" ht="18" customHeight="1" spans="1:14">
      <c r="A787" s="488">
        <v>45822</v>
      </c>
      <c r="B787" s="489" t="s">
        <v>305</v>
      </c>
      <c r="C787" s="490">
        <v>45821</v>
      </c>
      <c r="D787" s="491"/>
      <c r="E787" s="491"/>
      <c r="F787" s="456" t="s">
        <v>724</v>
      </c>
      <c r="G787" s="489">
        <v>1</v>
      </c>
      <c r="H787" s="489">
        <f>SUM(H780:H786)</f>
        <v>597</v>
      </c>
      <c r="I787" s="491">
        <f t="shared" si="114"/>
        <v>597</v>
      </c>
      <c r="J787" s="492">
        <v>1</v>
      </c>
      <c r="K787" s="492">
        <f t="shared" si="113"/>
        <v>597</v>
      </c>
      <c r="L787" s="456">
        <f>SUM(K779:K787)</f>
        <v>3540.7</v>
      </c>
    </row>
    <row r="788" s="457" customFormat="1" spans="1:14">
      <c r="A788" s="494">
        <v>45824</v>
      </c>
      <c r="B788" s="442" t="s">
        <v>175</v>
      </c>
      <c r="C788" s="495">
        <v>45824</v>
      </c>
      <c r="D788" s="463"/>
      <c r="E788" s="463"/>
      <c r="F788" s="496" t="s">
        <v>16</v>
      </c>
      <c r="G788" s="463">
        <v>1</v>
      </c>
      <c r="H788" s="432">
        <v>50</v>
      </c>
      <c r="I788" s="463">
        <f t="shared" si="114"/>
        <v>50</v>
      </c>
      <c r="J788" s="497"/>
      <c r="K788" s="497"/>
      <c r="N788" s="456"/>
    </row>
    <row r="789" s="457" customFormat="1" spans="1:14">
      <c r="A789" s="494">
        <v>45824</v>
      </c>
      <c r="B789" s="442" t="s">
        <v>175</v>
      </c>
      <c r="C789" s="495">
        <v>45824</v>
      </c>
      <c r="D789" s="463"/>
      <c r="E789" s="463"/>
      <c r="F789" s="496" t="s">
        <v>93</v>
      </c>
      <c r="G789" s="463">
        <v>1</v>
      </c>
      <c r="H789" s="432">
        <v>125</v>
      </c>
      <c r="I789" s="463">
        <f t="shared" si="114"/>
        <v>125</v>
      </c>
      <c r="J789" s="497"/>
      <c r="K789" s="497"/>
      <c r="N789" s="456"/>
    </row>
    <row r="790" s="457" customFormat="1" spans="1:14">
      <c r="A790" s="494">
        <v>45824</v>
      </c>
      <c r="B790" s="442" t="s">
        <v>175</v>
      </c>
      <c r="C790" s="495">
        <v>45824</v>
      </c>
      <c r="D790" s="463"/>
      <c r="E790" s="463"/>
      <c r="F790" s="496">
        <v>808</v>
      </c>
      <c r="G790" s="463">
        <v>1</v>
      </c>
      <c r="H790" s="432">
        <v>25</v>
      </c>
      <c r="I790" s="463">
        <f t="shared" si="114"/>
        <v>25</v>
      </c>
      <c r="J790" s="497">
        <v>8.6</v>
      </c>
      <c r="K790" s="497">
        <f t="shared" ref="K790:K792" si="115">I790*J790</f>
        <v>215</v>
      </c>
      <c r="N790" s="456"/>
    </row>
    <row r="791" s="457" customFormat="1" spans="1:14">
      <c r="A791" s="494">
        <v>45824</v>
      </c>
      <c r="B791" s="442" t="s">
        <v>175</v>
      </c>
      <c r="C791" s="495">
        <v>45824</v>
      </c>
      <c r="D791" s="463"/>
      <c r="E791" s="463"/>
      <c r="F791" s="496" t="s">
        <v>12</v>
      </c>
      <c r="G791" s="463">
        <v>1</v>
      </c>
      <c r="H791" s="432">
        <v>25</v>
      </c>
      <c r="I791" s="463">
        <f t="shared" si="114"/>
        <v>25</v>
      </c>
      <c r="J791" s="497">
        <v>6.7</v>
      </c>
      <c r="K791" s="497">
        <f t="shared" si="115"/>
        <v>167.5</v>
      </c>
    </row>
    <row r="792" s="457" customFormat="1" spans="1:14">
      <c r="A792" s="494">
        <v>45824</v>
      </c>
      <c r="B792" s="442" t="s">
        <v>175</v>
      </c>
      <c r="C792" s="495">
        <v>45824</v>
      </c>
      <c r="D792" s="463"/>
      <c r="E792" s="463"/>
      <c r="F792" s="496" t="s">
        <v>628</v>
      </c>
      <c r="G792" s="463">
        <v>1</v>
      </c>
      <c r="H792" s="432">
        <f>SUM(H788:H791)</f>
        <v>225</v>
      </c>
      <c r="I792" s="463">
        <f t="shared" si="114"/>
        <v>225</v>
      </c>
      <c r="J792" s="533">
        <v>5</v>
      </c>
      <c r="K792" s="497">
        <f t="shared" si="115"/>
        <v>1125</v>
      </c>
      <c r="L792" s="457">
        <f>SUM(K789:K792)</f>
        <v>1507.5</v>
      </c>
    </row>
    <row r="793" s="456" customFormat="1" spans="1:14">
      <c r="A793" s="488">
        <v>45824</v>
      </c>
      <c r="B793" s="489" t="s">
        <v>180</v>
      </c>
      <c r="C793" s="490">
        <v>45824</v>
      </c>
      <c r="D793" s="491"/>
      <c r="E793" s="491"/>
      <c r="F793" s="493" t="s">
        <v>16</v>
      </c>
      <c r="G793" s="491">
        <v>1</v>
      </c>
      <c r="H793" s="431">
        <v>65</v>
      </c>
      <c r="I793" s="491">
        <f t="shared" si="114"/>
        <v>65</v>
      </c>
      <c r="J793" s="492"/>
      <c r="K793" s="492"/>
    </row>
    <row r="794" s="456" customFormat="1" spans="1:14">
      <c r="A794" s="488">
        <v>45824</v>
      </c>
      <c r="B794" s="489" t="s">
        <v>180</v>
      </c>
      <c r="C794" s="490">
        <v>45824</v>
      </c>
      <c r="D794" s="491"/>
      <c r="E794" s="491"/>
      <c r="F794" s="493" t="s">
        <v>300</v>
      </c>
      <c r="G794" s="491">
        <v>1</v>
      </c>
      <c r="H794" s="431">
        <v>65</v>
      </c>
      <c r="I794" s="491">
        <f t="shared" si="114"/>
        <v>65</v>
      </c>
      <c r="J794" s="492"/>
      <c r="K794" s="492"/>
    </row>
    <row r="795" s="456" customFormat="1" spans="1:14">
      <c r="A795" s="488">
        <v>45824</v>
      </c>
      <c r="B795" s="489" t="s">
        <v>180</v>
      </c>
      <c r="C795" s="490">
        <v>45824</v>
      </c>
      <c r="D795" s="491"/>
      <c r="E795" s="491"/>
      <c r="F795" s="493" t="s">
        <v>546</v>
      </c>
      <c r="G795" s="491">
        <v>1</v>
      </c>
      <c r="H795" s="431">
        <v>93</v>
      </c>
      <c r="I795" s="491">
        <f t="shared" si="114"/>
        <v>93</v>
      </c>
      <c r="J795" s="492"/>
      <c r="K795" s="492"/>
    </row>
    <row r="796" s="456" customFormat="1" spans="1:14">
      <c r="A796" s="488">
        <v>45824</v>
      </c>
      <c r="B796" s="489" t="s">
        <v>180</v>
      </c>
      <c r="C796" s="490">
        <v>45824</v>
      </c>
      <c r="D796" s="491"/>
      <c r="E796" s="491"/>
      <c r="F796" s="493">
        <v>808</v>
      </c>
      <c r="G796" s="491">
        <v>1</v>
      </c>
      <c r="H796" s="431">
        <v>43</v>
      </c>
      <c r="I796" s="491">
        <f t="shared" si="114"/>
        <v>43</v>
      </c>
      <c r="J796" s="492">
        <v>8.6</v>
      </c>
      <c r="K796" s="492">
        <f t="shared" ref="K796:K798" si="116">I796*J796</f>
        <v>369.8</v>
      </c>
      <c r="L796" s="456" t="s">
        <v>126</v>
      </c>
    </row>
    <row r="797" s="456" customFormat="1" spans="1:14">
      <c r="A797" s="488">
        <v>45824</v>
      </c>
      <c r="B797" s="489" t="s">
        <v>180</v>
      </c>
      <c r="C797" s="490">
        <v>45824</v>
      </c>
      <c r="D797" s="491"/>
      <c r="E797" s="491"/>
      <c r="F797" s="493" t="s">
        <v>125</v>
      </c>
      <c r="G797" s="491">
        <v>1</v>
      </c>
      <c r="H797" s="431">
        <v>94</v>
      </c>
      <c r="I797" s="491">
        <f t="shared" si="114"/>
        <v>94</v>
      </c>
      <c r="J797" s="492">
        <v>5.9</v>
      </c>
      <c r="K797" s="492">
        <f t="shared" si="116"/>
        <v>554.6</v>
      </c>
    </row>
    <row r="798" s="456" customFormat="1" spans="1:14">
      <c r="A798" s="488">
        <v>45824</v>
      </c>
      <c r="B798" s="489" t="s">
        <v>180</v>
      </c>
      <c r="C798" s="490">
        <v>45824</v>
      </c>
      <c r="D798" s="491"/>
      <c r="E798" s="491"/>
      <c r="F798" s="493" t="s">
        <v>12</v>
      </c>
      <c r="G798" s="491">
        <v>1</v>
      </c>
      <c r="H798" s="431">
        <v>9</v>
      </c>
      <c r="I798" s="491">
        <f t="shared" si="114"/>
        <v>9</v>
      </c>
      <c r="J798" s="492">
        <v>6.7</v>
      </c>
      <c r="K798" s="492">
        <f t="shared" si="116"/>
        <v>60.3</v>
      </c>
    </row>
    <row r="799" s="456" customFormat="1" spans="1:14">
      <c r="A799" s="488">
        <v>45824</v>
      </c>
      <c r="B799" s="489" t="s">
        <v>180</v>
      </c>
      <c r="C799" s="490">
        <v>45824</v>
      </c>
      <c r="D799" s="491"/>
      <c r="E799" s="491"/>
      <c r="F799" s="493" t="s">
        <v>240</v>
      </c>
      <c r="G799" s="491">
        <v>1</v>
      </c>
      <c r="H799" s="431">
        <v>65</v>
      </c>
      <c r="I799" s="491">
        <f t="shared" si="114"/>
        <v>65</v>
      </c>
      <c r="J799" s="492"/>
      <c r="K799" s="492"/>
      <c r="M799" s="456" t="s">
        <v>678</v>
      </c>
    </row>
    <row r="800" s="456" customFormat="1" spans="1:14">
      <c r="A800" s="488">
        <v>45824</v>
      </c>
      <c r="B800" s="489" t="s">
        <v>180</v>
      </c>
      <c r="C800" s="490">
        <v>45824</v>
      </c>
      <c r="D800" s="491"/>
      <c r="E800" s="491"/>
      <c r="F800" s="493" t="s">
        <v>301</v>
      </c>
      <c r="G800" s="491">
        <v>1</v>
      </c>
      <c r="H800" s="431">
        <f>SUM(H793:H799)</f>
        <v>434</v>
      </c>
      <c r="I800" s="491">
        <f t="shared" si="114"/>
        <v>434</v>
      </c>
      <c r="J800" s="492">
        <v>1</v>
      </c>
      <c r="K800" s="492">
        <f t="shared" ref="K800:K802" si="117">I800*J800</f>
        <v>434</v>
      </c>
      <c r="L800" s="456">
        <f>SUM(K793:K800)</f>
        <v>1418.7</v>
      </c>
    </row>
    <row r="801" s="457" customFormat="1" spans="1:14">
      <c r="A801" s="494">
        <v>45825</v>
      </c>
      <c r="B801" s="442" t="s">
        <v>279</v>
      </c>
      <c r="C801" s="495">
        <v>45825</v>
      </c>
      <c r="D801" s="463"/>
      <c r="E801" s="463"/>
      <c r="F801" s="496">
        <v>808</v>
      </c>
      <c r="G801" s="463">
        <v>1</v>
      </c>
      <c r="H801" s="432">
        <v>102</v>
      </c>
      <c r="I801" s="463">
        <f t="shared" si="114"/>
        <v>102</v>
      </c>
      <c r="J801" s="497">
        <v>8.6</v>
      </c>
      <c r="K801" s="497">
        <f t="shared" si="117"/>
        <v>877.2</v>
      </c>
      <c r="M801" s="456"/>
    </row>
    <row r="802" s="457" customFormat="1" spans="1:14">
      <c r="A802" s="494">
        <v>45825</v>
      </c>
      <c r="B802" s="442" t="s">
        <v>279</v>
      </c>
      <c r="C802" s="495">
        <v>45825</v>
      </c>
      <c r="D802" s="463"/>
      <c r="E802" s="463"/>
      <c r="F802" s="496" t="s">
        <v>12</v>
      </c>
      <c r="G802" s="463">
        <v>1</v>
      </c>
      <c r="H802" s="432">
        <v>42</v>
      </c>
      <c r="I802" s="463">
        <f t="shared" si="114"/>
        <v>42</v>
      </c>
      <c r="J802" s="497">
        <v>6.7</v>
      </c>
      <c r="K802" s="497">
        <f t="shared" si="117"/>
        <v>281.4</v>
      </c>
    </row>
    <row r="803" s="457" customFormat="1" spans="1:14">
      <c r="A803" s="494">
        <v>45825</v>
      </c>
      <c r="B803" s="442" t="s">
        <v>279</v>
      </c>
      <c r="C803" s="495">
        <v>45825</v>
      </c>
      <c r="D803" s="463"/>
      <c r="E803" s="463"/>
      <c r="F803" s="496" t="s">
        <v>709</v>
      </c>
      <c r="G803" s="463">
        <v>1</v>
      </c>
      <c r="H803" s="432">
        <v>150</v>
      </c>
      <c r="I803" s="463">
        <f t="shared" ref="I803:I821" si="118">G803*H803</f>
        <v>150</v>
      </c>
      <c r="J803" s="497"/>
      <c r="K803" s="497"/>
      <c r="L803" s="457" t="s">
        <v>126</v>
      </c>
    </row>
    <row r="804" s="457" customFormat="1" spans="1:14">
      <c r="A804" s="494">
        <v>45825</v>
      </c>
      <c r="B804" s="442" t="s">
        <v>279</v>
      </c>
      <c r="C804" s="495">
        <v>45825</v>
      </c>
      <c r="D804" s="463"/>
      <c r="E804" s="463"/>
      <c r="F804" s="496" t="s">
        <v>710</v>
      </c>
      <c r="G804" s="463">
        <v>1</v>
      </c>
      <c r="H804" s="432">
        <v>140</v>
      </c>
      <c r="I804" s="463">
        <f t="shared" si="118"/>
        <v>140</v>
      </c>
      <c r="J804" s="497"/>
      <c r="K804" s="497"/>
    </row>
    <row r="805" s="457" customFormat="1" spans="1:14">
      <c r="A805" s="494">
        <v>45825</v>
      </c>
      <c r="B805" s="442" t="s">
        <v>279</v>
      </c>
      <c r="C805" s="495">
        <v>45825</v>
      </c>
      <c r="D805" s="463"/>
      <c r="E805" s="463"/>
      <c r="F805" s="498" t="s">
        <v>725</v>
      </c>
      <c r="G805" s="463">
        <v>1</v>
      </c>
      <c r="H805" s="432">
        <v>358</v>
      </c>
      <c r="I805" s="463">
        <f t="shared" si="118"/>
        <v>358</v>
      </c>
      <c r="J805" s="497"/>
      <c r="K805" s="497"/>
      <c r="N805" s="457">
        <f>SUBTOTAL(9,K541:K712)</f>
        <v>139482.204</v>
      </c>
    </row>
    <row r="806" s="457" customFormat="1" spans="1:14">
      <c r="A806" s="494">
        <v>45825</v>
      </c>
      <c r="B806" s="442" t="s">
        <v>279</v>
      </c>
      <c r="C806" s="495">
        <v>45825</v>
      </c>
      <c r="D806" s="463"/>
      <c r="E806" s="463"/>
      <c r="F806" s="496" t="s">
        <v>16</v>
      </c>
      <c r="G806" s="463">
        <v>1</v>
      </c>
      <c r="H806" s="432">
        <v>208</v>
      </c>
      <c r="I806" s="463">
        <f t="shared" si="118"/>
        <v>208</v>
      </c>
      <c r="J806" s="497"/>
      <c r="K806" s="497"/>
    </row>
    <row r="807" s="457" customFormat="1" spans="1:14">
      <c r="A807" s="494">
        <v>45825</v>
      </c>
      <c r="B807" s="442" t="s">
        <v>279</v>
      </c>
      <c r="C807" s="495">
        <v>45825</v>
      </c>
      <c r="D807" s="463"/>
      <c r="E807" s="463"/>
      <c r="F807" s="496" t="s">
        <v>714</v>
      </c>
      <c r="G807" s="463">
        <v>1</v>
      </c>
      <c r="H807" s="432">
        <f>SUM(H801:H806)</f>
        <v>1000</v>
      </c>
      <c r="I807" s="463">
        <f t="shared" si="118"/>
        <v>1000</v>
      </c>
      <c r="J807" s="497">
        <v>1</v>
      </c>
      <c r="K807" s="497">
        <f>I807*J807</f>
        <v>1000</v>
      </c>
      <c r="L807" s="457">
        <f>SUM(K801:K807)</f>
        <v>2158.6</v>
      </c>
    </row>
    <row r="808" s="456" customFormat="1" spans="1:14">
      <c r="A808" s="488">
        <v>45825</v>
      </c>
      <c r="B808" s="489" t="s">
        <v>281</v>
      </c>
      <c r="C808" s="490">
        <v>45825</v>
      </c>
      <c r="D808" s="491"/>
      <c r="E808" s="491"/>
      <c r="F808" s="456" t="s">
        <v>16</v>
      </c>
      <c r="G808" s="489">
        <v>1</v>
      </c>
      <c r="H808" s="489">
        <v>90</v>
      </c>
      <c r="I808" s="491">
        <f t="shared" si="118"/>
        <v>90</v>
      </c>
      <c r="J808" s="492"/>
      <c r="K808" s="492"/>
    </row>
    <row r="809" s="456" customFormat="1" spans="1:14">
      <c r="A809" s="488">
        <v>45825</v>
      </c>
      <c r="B809" s="489" t="s">
        <v>281</v>
      </c>
      <c r="C809" s="490">
        <v>45825</v>
      </c>
      <c r="D809" s="491"/>
      <c r="E809" s="491"/>
      <c r="F809" s="459" t="s">
        <v>726</v>
      </c>
      <c r="G809" s="489">
        <v>1</v>
      </c>
      <c r="H809" s="489">
        <v>195</v>
      </c>
      <c r="I809" s="491">
        <f t="shared" si="118"/>
        <v>195</v>
      </c>
      <c r="J809" s="492"/>
      <c r="K809" s="492"/>
    </row>
    <row r="810" s="456" customFormat="1" spans="1:14">
      <c r="A810" s="488">
        <v>45825</v>
      </c>
      <c r="B810" s="489" t="s">
        <v>281</v>
      </c>
      <c r="C810" s="490">
        <v>45825</v>
      </c>
      <c r="D810" s="491"/>
      <c r="E810" s="491"/>
      <c r="F810" s="456" t="s">
        <v>547</v>
      </c>
      <c r="G810" s="489">
        <v>1</v>
      </c>
      <c r="H810" s="489">
        <v>35</v>
      </c>
      <c r="I810" s="491">
        <f t="shared" si="118"/>
        <v>35</v>
      </c>
      <c r="J810" s="492"/>
      <c r="K810" s="492"/>
    </row>
    <row r="811" s="456" customFormat="1" spans="1:14">
      <c r="A811" s="488">
        <v>45825</v>
      </c>
      <c r="B811" s="489" t="s">
        <v>281</v>
      </c>
      <c r="C811" s="490">
        <v>45825</v>
      </c>
      <c r="D811" s="491"/>
      <c r="E811" s="491"/>
      <c r="F811" s="456" t="s">
        <v>352</v>
      </c>
      <c r="G811" s="489">
        <v>1</v>
      </c>
      <c r="H811" s="489">
        <v>100</v>
      </c>
      <c r="I811" s="491">
        <f t="shared" si="118"/>
        <v>100</v>
      </c>
      <c r="J811" s="492"/>
      <c r="K811" s="492"/>
      <c r="L811" s="456" t="s">
        <v>116</v>
      </c>
    </row>
    <row r="812" s="456" customFormat="1" spans="1:14">
      <c r="A812" s="488">
        <v>45825</v>
      </c>
      <c r="B812" s="489" t="s">
        <v>281</v>
      </c>
      <c r="C812" s="490">
        <v>45825</v>
      </c>
      <c r="D812" s="491"/>
      <c r="E812" s="491"/>
      <c r="F812" s="456" t="s">
        <v>115</v>
      </c>
      <c r="G812" s="489">
        <v>1</v>
      </c>
      <c r="H812" s="489">
        <v>50</v>
      </c>
      <c r="I812" s="491">
        <f t="shared" si="118"/>
        <v>50</v>
      </c>
      <c r="J812" s="492"/>
      <c r="K812" s="492"/>
    </row>
    <row r="813" s="456" customFormat="1" spans="1:14">
      <c r="A813" s="488">
        <v>45825</v>
      </c>
      <c r="B813" s="489" t="s">
        <v>281</v>
      </c>
      <c r="C813" s="490">
        <v>45825</v>
      </c>
      <c r="D813" s="491"/>
      <c r="E813" s="491"/>
      <c r="F813" s="493">
        <v>808</v>
      </c>
      <c r="G813" s="489">
        <v>1</v>
      </c>
      <c r="H813" s="489">
        <v>26</v>
      </c>
      <c r="I813" s="491">
        <f t="shared" si="118"/>
        <v>26</v>
      </c>
      <c r="J813" s="492">
        <v>8.6</v>
      </c>
      <c r="K813" s="492">
        <f t="shared" ref="K813:K815" si="119">I813*J813</f>
        <v>223.6</v>
      </c>
    </row>
    <row r="814" s="456" customFormat="1" spans="1:14">
      <c r="A814" s="488">
        <v>45825</v>
      </c>
      <c r="B814" s="489" t="s">
        <v>281</v>
      </c>
      <c r="C814" s="490">
        <v>45825</v>
      </c>
      <c r="D814" s="491"/>
      <c r="E814" s="491"/>
      <c r="F814" s="493" t="s">
        <v>12</v>
      </c>
      <c r="G814" s="489">
        <v>1</v>
      </c>
      <c r="H814" s="489">
        <v>6</v>
      </c>
      <c r="I814" s="491">
        <f t="shared" si="118"/>
        <v>6</v>
      </c>
      <c r="J814" s="492">
        <v>6.7</v>
      </c>
      <c r="K814" s="492">
        <f t="shared" si="119"/>
        <v>40.2</v>
      </c>
    </row>
    <row r="815" s="456" customFormat="1" ht="18" customHeight="1" spans="1:14">
      <c r="A815" s="488">
        <v>45825</v>
      </c>
      <c r="B815" s="489" t="s">
        <v>281</v>
      </c>
      <c r="C815" s="490">
        <v>45825</v>
      </c>
      <c r="D815" s="491"/>
      <c r="E815" s="491"/>
      <c r="F815" s="456" t="s">
        <v>435</v>
      </c>
      <c r="G815" s="489">
        <v>1</v>
      </c>
      <c r="H815" s="489">
        <f>SUM(H808:H814)</f>
        <v>502</v>
      </c>
      <c r="I815" s="491">
        <f t="shared" si="118"/>
        <v>502</v>
      </c>
      <c r="J815" s="492">
        <v>1</v>
      </c>
      <c r="K815" s="492">
        <f t="shared" si="119"/>
        <v>502</v>
      </c>
      <c r="L815" s="456">
        <f>SUM(K808:K815)</f>
        <v>765.8</v>
      </c>
    </row>
    <row r="816" s="457" customFormat="1" spans="1:14">
      <c r="A816" s="494">
        <v>45827</v>
      </c>
      <c r="B816" s="442" t="s">
        <v>309</v>
      </c>
      <c r="C816" s="495" t="s">
        <v>727</v>
      </c>
      <c r="D816" s="463"/>
      <c r="E816" s="463"/>
      <c r="F816" s="496" t="s">
        <v>16</v>
      </c>
      <c r="G816" s="463">
        <v>1</v>
      </c>
      <c r="H816" s="432">
        <v>70</v>
      </c>
      <c r="I816" s="463">
        <f t="shared" si="118"/>
        <v>70</v>
      </c>
      <c r="J816" s="497"/>
      <c r="K816" s="497"/>
    </row>
    <row r="817" s="457" customFormat="1" spans="1:13">
      <c r="A817" s="494">
        <v>45827</v>
      </c>
      <c r="B817" s="442" t="s">
        <v>309</v>
      </c>
      <c r="C817" s="495" t="s">
        <v>727</v>
      </c>
      <c r="D817" s="463"/>
      <c r="E817" s="463"/>
      <c r="F817" s="496" t="s">
        <v>405</v>
      </c>
      <c r="G817" s="463">
        <v>1</v>
      </c>
      <c r="H817" s="432">
        <v>3</v>
      </c>
      <c r="I817" s="463">
        <f t="shared" si="118"/>
        <v>3</v>
      </c>
      <c r="J817" s="497"/>
      <c r="K817" s="497"/>
    </row>
    <row r="818" s="457" customFormat="1" spans="1:13">
      <c r="A818" s="494">
        <v>45827</v>
      </c>
      <c r="B818" s="442" t="s">
        <v>309</v>
      </c>
      <c r="C818" s="495" t="s">
        <v>727</v>
      </c>
      <c r="D818" s="463"/>
      <c r="E818" s="463"/>
      <c r="F818" s="496" t="s">
        <v>624</v>
      </c>
      <c r="G818" s="463">
        <v>1</v>
      </c>
      <c r="H818" s="432">
        <v>20</v>
      </c>
      <c r="I818" s="463">
        <f t="shared" si="118"/>
        <v>20</v>
      </c>
      <c r="J818" s="497"/>
      <c r="K818" s="497"/>
    </row>
    <row r="819" s="457" customFormat="1" spans="1:13">
      <c r="A819" s="494">
        <v>45827</v>
      </c>
      <c r="B819" s="442" t="s">
        <v>309</v>
      </c>
      <c r="C819" s="495" t="s">
        <v>727</v>
      </c>
      <c r="D819" s="463"/>
      <c r="E819" s="463"/>
      <c r="F819" s="496">
        <v>808</v>
      </c>
      <c r="G819" s="463">
        <v>1</v>
      </c>
      <c r="H819" s="432">
        <v>36</v>
      </c>
      <c r="I819" s="463">
        <f t="shared" si="118"/>
        <v>36</v>
      </c>
      <c r="J819" s="497">
        <v>8.6</v>
      </c>
      <c r="K819" s="497">
        <f t="shared" ref="K819:K824" si="120">I819*J819</f>
        <v>309.6</v>
      </c>
      <c r="M819" s="457" t="s">
        <v>728</v>
      </c>
    </row>
    <row r="820" s="457" customFormat="1" spans="1:13">
      <c r="A820" s="494">
        <v>45827</v>
      </c>
      <c r="B820" s="442" t="s">
        <v>309</v>
      </c>
      <c r="C820" s="495" t="s">
        <v>727</v>
      </c>
      <c r="D820" s="463"/>
      <c r="E820" s="463"/>
      <c r="F820" s="496" t="s">
        <v>125</v>
      </c>
      <c r="G820" s="463">
        <v>1</v>
      </c>
      <c r="H820" s="432">
        <v>40</v>
      </c>
      <c r="I820" s="463">
        <f t="shared" si="118"/>
        <v>40</v>
      </c>
      <c r="J820" s="497">
        <v>5.9</v>
      </c>
      <c r="K820" s="497">
        <f t="shared" si="120"/>
        <v>236</v>
      </c>
    </row>
    <row r="821" s="457" customFormat="1" spans="1:13">
      <c r="A821" s="494">
        <v>45827</v>
      </c>
      <c r="B821" s="442" t="s">
        <v>309</v>
      </c>
      <c r="C821" s="495" t="s">
        <v>727</v>
      </c>
      <c r="D821" s="463"/>
      <c r="E821" s="463"/>
      <c r="F821" s="496" t="s">
        <v>12</v>
      </c>
      <c r="G821" s="463">
        <v>1</v>
      </c>
      <c r="H821" s="432">
        <v>10</v>
      </c>
      <c r="I821" s="463">
        <f t="shared" si="118"/>
        <v>10</v>
      </c>
      <c r="J821" s="497">
        <v>6.7</v>
      </c>
      <c r="K821" s="497">
        <f t="shared" si="120"/>
        <v>67</v>
      </c>
    </row>
    <row r="822" s="457" customFormat="1" spans="1:13">
      <c r="A822" s="494">
        <v>45827</v>
      </c>
      <c r="B822" s="442" t="s">
        <v>309</v>
      </c>
      <c r="C822" s="495" t="s">
        <v>727</v>
      </c>
      <c r="D822" s="463"/>
      <c r="E822" s="463"/>
      <c r="F822" s="496" t="s">
        <v>626</v>
      </c>
      <c r="G822" s="463">
        <v>1</v>
      </c>
      <c r="H822" s="432">
        <f>SUM(H816:H821)</f>
        <v>179</v>
      </c>
      <c r="I822" s="463">
        <f t="shared" ref="I822:I838" si="121">G822*H822</f>
        <v>179</v>
      </c>
      <c r="J822" s="533">
        <v>5</v>
      </c>
      <c r="K822" s="497">
        <f t="shared" si="120"/>
        <v>895</v>
      </c>
      <c r="L822" s="457">
        <f>SUM(K818:K822)</f>
        <v>1507.6</v>
      </c>
    </row>
    <row r="823" s="456" customFormat="1" spans="1:13">
      <c r="A823" s="488">
        <v>45829</v>
      </c>
      <c r="B823" s="489" t="s">
        <v>312</v>
      </c>
      <c r="C823" s="490">
        <v>45828</v>
      </c>
      <c r="D823" s="491"/>
      <c r="E823" s="491"/>
      <c r="F823" s="493">
        <v>808</v>
      </c>
      <c r="G823" s="491">
        <v>1</v>
      </c>
      <c r="H823" s="491">
        <v>62</v>
      </c>
      <c r="I823" s="491">
        <f t="shared" si="121"/>
        <v>62</v>
      </c>
      <c r="J823" s="492">
        <v>8.6</v>
      </c>
      <c r="K823" s="492">
        <f t="shared" si="120"/>
        <v>533.2</v>
      </c>
    </row>
    <row r="824" s="456" customFormat="1" spans="1:13">
      <c r="A824" s="488">
        <v>45829</v>
      </c>
      <c r="B824" s="489" t="s">
        <v>312</v>
      </c>
      <c r="C824" s="490">
        <v>45828</v>
      </c>
      <c r="D824" s="491"/>
      <c r="E824" s="491"/>
      <c r="F824" s="493" t="s">
        <v>125</v>
      </c>
      <c r="G824" s="491">
        <v>1</v>
      </c>
      <c r="H824" s="491">
        <v>50</v>
      </c>
      <c r="I824" s="491">
        <f t="shared" si="121"/>
        <v>50</v>
      </c>
      <c r="J824" s="492">
        <v>5.9</v>
      </c>
      <c r="K824" s="492">
        <f t="shared" si="120"/>
        <v>295</v>
      </c>
    </row>
    <row r="825" s="456" customFormat="1" spans="1:13">
      <c r="A825" s="488">
        <v>45829</v>
      </c>
      <c r="B825" s="489" t="s">
        <v>312</v>
      </c>
      <c r="C825" s="490">
        <v>45828</v>
      </c>
      <c r="D825" s="491"/>
      <c r="E825" s="491"/>
      <c r="F825" s="498" t="s">
        <v>729</v>
      </c>
      <c r="G825" s="491">
        <v>1</v>
      </c>
      <c r="H825" s="491">
        <v>74</v>
      </c>
      <c r="I825" s="491">
        <f t="shared" si="121"/>
        <v>74</v>
      </c>
      <c r="J825" s="492"/>
      <c r="K825" s="492"/>
    </row>
    <row r="826" s="456" customFormat="1" spans="1:13">
      <c r="A826" s="488">
        <v>45829</v>
      </c>
      <c r="B826" s="489" t="s">
        <v>312</v>
      </c>
      <c r="C826" s="490">
        <v>45828</v>
      </c>
      <c r="D826" s="491"/>
      <c r="E826" s="491"/>
      <c r="F826" s="493" t="s">
        <v>529</v>
      </c>
      <c r="G826" s="491">
        <v>1</v>
      </c>
      <c r="H826" s="491">
        <v>73</v>
      </c>
      <c r="I826" s="491">
        <f t="shared" si="121"/>
        <v>73</v>
      </c>
      <c r="J826" s="492"/>
      <c r="K826" s="492"/>
    </row>
    <row r="827" s="456" customFormat="1" spans="1:13">
      <c r="A827" s="488">
        <v>45829</v>
      </c>
      <c r="B827" s="489" t="s">
        <v>312</v>
      </c>
      <c r="C827" s="490">
        <v>45828</v>
      </c>
      <c r="D827" s="491"/>
      <c r="E827" s="491"/>
      <c r="F827" s="498" t="s">
        <v>730</v>
      </c>
      <c r="G827" s="491">
        <v>1</v>
      </c>
      <c r="H827" s="491">
        <v>128</v>
      </c>
      <c r="I827" s="491">
        <f t="shared" si="121"/>
        <v>128</v>
      </c>
      <c r="J827" s="492"/>
      <c r="K827" s="492"/>
      <c r="L827" s="456" t="s">
        <v>731</v>
      </c>
    </row>
    <row r="828" s="456" customFormat="1" spans="1:13">
      <c r="A828" s="488">
        <v>45829</v>
      </c>
      <c r="B828" s="489" t="s">
        <v>312</v>
      </c>
      <c r="C828" s="490">
        <v>45828</v>
      </c>
      <c r="D828" s="491"/>
      <c r="E828" s="491"/>
      <c r="F828" s="493" t="s">
        <v>115</v>
      </c>
      <c r="G828" s="491">
        <v>1</v>
      </c>
      <c r="H828" s="491">
        <v>63</v>
      </c>
      <c r="I828" s="491">
        <f t="shared" si="121"/>
        <v>63</v>
      </c>
      <c r="J828" s="492"/>
      <c r="K828" s="492"/>
    </row>
    <row r="829" s="456" customFormat="1" spans="1:13">
      <c r="A829" s="488">
        <v>45829</v>
      </c>
      <c r="B829" s="489" t="s">
        <v>312</v>
      </c>
      <c r="C829" s="490">
        <v>45828</v>
      </c>
      <c r="D829" s="491"/>
      <c r="E829" s="491"/>
      <c r="F829" s="493" t="s">
        <v>328</v>
      </c>
      <c r="G829" s="491">
        <v>1</v>
      </c>
      <c r="H829" s="491">
        <v>50</v>
      </c>
      <c r="I829" s="491">
        <f t="shared" si="121"/>
        <v>50</v>
      </c>
      <c r="J829" s="492"/>
      <c r="K829" s="492"/>
    </row>
    <row r="830" s="456" customFormat="1" spans="1:13">
      <c r="A830" s="488">
        <v>45829</v>
      </c>
      <c r="B830" s="489" t="s">
        <v>312</v>
      </c>
      <c r="C830" s="490">
        <v>45828</v>
      </c>
      <c r="D830" s="491"/>
      <c r="E830" s="491"/>
      <c r="F830" s="493" t="s">
        <v>330</v>
      </c>
      <c r="G830" s="491">
        <v>1</v>
      </c>
      <c r="H830" s="431">
        <f>SUM(H823:H829)</f>
        <v>500</v>
      </c>
      <c r="I830" s="491">
        <f t="shared" si="121"/>
        <v>500</v>
      </c>
      <c r="J830" s="492">
        <v>1</v>
      </c>
      <c r="K830" s="492">
        <f>I830*J830</f>
        <v>500</v>
      </c>
      <c r="L830" s="456">
        <f>SUM(K823:K830)</f>
        <v>1328.2</v>
      </c>
    </row>
    <row r="831" s="457" customFormat="1" spans="1:13">
      <c r="A831" s="494">
        <v>45829</v>
      </c>
      <c r="B831" s="442" t="s">
        <v>192</v>
      </c>
      <c r="C831" s="495" t="s">
        <v>732</v>
      </c>
      <c r="D831" s="463"/>
      <c r="E831" s="463"/>
      <c r="F831" s="496" t="s">
        <v>16</v>
      </c>
      <c r="G831" s="463">
        <v>1</v>
      </c>
      <c r="H831" s="432">
        <v>50</v>
      </c>
      <c r="I831" s="463">
        <f t="shared" si="121"/>
        <v>50</v>
      </c>
      <c r="J831" s="497"/>
      <c r="K831" s="497"/>
    </row>
    <row r="832" s="457" customFormat="1" spans="1:13">
      <c r="A832" s="494">
        <v>45829</v>
      </c>
      <c r="B832" s="442" t="s">
        <v>192</v>
      </c>
      <c r="C832" s="495" t="s">
        <v>732</v>
      </c>
      <c r="D832" s="463"/>
      <c r="E832" s="463"/>
      <c r="F832" s="496" t="s">
        <v>405</v>
      </c>
      <c r="G832" s="463">
        <v>1</v>
      </c>
      <c r="H832" s="432">
        <v>2</v>
      </c>
      <c r="I832" s="463">
        <f t="shared" si="121"/>
        <v>2</v>
      </c>
      <c r="J832" s="497"/>
      <c r="K832" s="497"/>
    </row>
    <row r="833" s="457" customFormat="1" spans="1:14">
      <c r="A833" s="494">
        <v>45829</v>
      </c>
      <c r="B833" s="442" t="s">
        <v>192</v>
      </c>
      <c r="C833" s="495" t="s">
        <v>732</v>
      </c>
      <c r="D833" s="463"/>
      <c r="E833" s="463"/>
      <c r="F833" s="496" t="s">
        <v>733</v>
      </c>
      <c r="G833" s="463">
        <v>1</v>
      </c>
      <c r="H833" s="432">
        <v>25</v>
      </c>
      <c r="I833" s="463">
        <f t="shared" si="121"/>
        <v>25</v>
      </c>
      <c r="J833" s="497"/>
      <c r="K833" s="497"/>
    </row>
    <row r="834" s="457" customFormat="1" spans="1:14">
      <c r="A834" s="494">
        <v>45829</v>
      </c>
      <c r="B834" s="442" t="s">
        <v>192</v>
      </c>
      <c r="C834" s="495" t="s">
        <v>732</v>
      </c>
      <c r="D834" s="463"/>
      <c r="E834" s="463"/>
      <c r="F834" s="496">
        <v>808</v>
      </c>
      <c r="G834" s="463">
        <v>1</v>
      </c>
      <c r="H834" s="432">
        <v>45</v>
      </c>
      <c r="I834" s="463">
        <f t="shared" si="121"/>
        <v>45</v>
      </c>
      <c r="J834" s="497">
        <v>8.6</v>
      </c>
      <c r="K834" s="497">
        <f t="shared" ref="K834:K839" si="122">I834*J834</f>
        <v>387</v>
      </c>
      <c r="M834" s="457" t="s">
        <v>728</v>
      </c>
    </row>
    <row r="835" s="457" customFormat="1" spans="1:14">
      <c r="A835" s="494">
        <v>45829</v>
      </c>
      <c r="B835" s="442" t="s">
        <v>192</v>
      </c>
      <c r="C835" s="495" t="s">
        <v>732</v>
      </c>
      <c r="D835" s="463"/>
      <c r="E835" s="463"/>
      <c r="F835" s="496" t="s">
        <v>125</v>
      </c>
      <c r="G835" s="463">
        <v>1</v>
      </c>
      <c r="H835" s="432">
        <v>50</v>
      </c>
      <c r="I835" s="463">
        <f t="shared" si="121"/>
        <v>50</v>
      </c>
      <c r="J835" s="497">
        <v>5.9</v>
      </c>
      <c r="K835" s="497">
        <f t="shared" si="122"/>
        <v>295</v>
      </c>
    </row>
    <row r="836" s="457" customFormat="1" spans="1:14">
      <c r="A836" s="494">
        <v>45829</v>
      </c>
      <c r="B836" s="442" t="s">
        <v>192</v>
      </c>
      <c r="C836" s="495" t="s">
        <v>732</v>
      </c>
      <c r="D836" s="463"/>
      <c r="E836" s="463"/>
      <c r="F836" s="496" t="s">
        <v>412</v>
      </c>
      <c r="G836" s="463">
        <v>1</v>
      </c>
      <c r="H836" s="432">
        <f>SUM(H831:H835)</f>
        <v>172</v>
      </c>
      <c r="I836" s="463">
        <f t="shared" ref="I836:I840" si="123">G836*H836</f>
        <v>172</v>
      </c>
      <c r="J836" s="533">
        <v>5</v>
      </c>
      <c r="K836" s="497">
        <f t="shared" si="122"/>
        <v>860</v>
      </c>
      <c r="L836" s="457">
        <f>SUM(K833:K836)</f>
        <v>1542</v>
      </c>
    </row>
    <row r="837" s="456" customFormat="1" spans="1:14">
      <c r="A837" s="488">
        <v>45829</v>
      </c>
      <c r="B837" s="489" t="s">
        <v>98</v>
      </c>
      <c r="C837" s="490">
        <v>45829</v>
      </c>
      <c r="D837" s="491"/>
      <c r="E837" s="491"/>
      <c r="F837" s="493">
        <v>808</v>
      </c>
      <c r="G837" s="491">
        <v>1</v>
      </c>
      <c r="H837" s="431">
        <v>50</v>
      </c>
      <c r="I837" s="491">
        <f t="shared" si="123"/>
        <v>50</v>
      </c>
      <c r="J837" s="492">
        <v>8.6</v>
      </c>
      <c r="K837" s="492">
        <f t="shared" si="122"/>
        <v>430</v>
      </c>
      <c r="L837" s="456" t="s">
        <v>126</v>
      </c>
    </row>
    <row r="838" s="456" customFormat="1" spans="1:14">
      <c r="A838" s="488">
        <v>45829</v>
      </c>
      <c r="B838" s="489" t="s">
        <v>98</v>
      </c>
      <c r="C838" s="490">
        <v>45829</v>
      </c>
      <c r="D838" s="491"/>
      <c r="E838" s="491"/>
      <c r="F838" s="493" t="s">
        <v>125</v>
      </c>
      <c r="G838" s="491">
        <v>1</v>
      </c>
      <c r="H838" s="431">
        <v>108</v>
      </c>
      <c r="I838" s="491">
        <f t="shared" si="123"/>
        <v>108</v>
      </c>
      <c r="J838" s="492">
        <v>5.9</v>
      </c>
      <c r="K838" s="492">
        <f t="shared" si="122"/>
        <v>637.2</v>
      </c>
    </row>
    <row r="839" s="456" customFormat="1" spans="1:14">
      <c r="A839" s="488">
        <v>45829</v>
      </c>
      <c r="B839" s="489" t="s">
        <v>98</v>
      </c>
      <c r="C839" s="490">
        <v>45829</v>
      </c>
      <c r="D839" s="491"/>
      <c r="E839" s="491"/>
      <c r="F839" s="493" t="s">
        <v>12</v>
      </c>
      <c r="G839" s="491">
        <v>1</v>
      </c>
      <c r="H839" s="431">
        <v>10</v>
      </c>
      <c r="I839" s="491">
        <f t="shared" si="123"/>
        <v>10</v>
      </c>
      <c r="J839" s="492">
        <v>6.7</v>
      </c>
      <c r="K839" s="492">
        <f t="shared" si="122"/>
        <v>67</v>
      </c>
      <c r="N839" s="456">
        <f>SUBTOTAL(9,K561:K732)</f>
        <v>139902.144</v>
      </c>
    </row>
    <row r="840" s="456" customFormat="1" spans="1:14">
      <c r="A840" s="488">
        <v>45829</v>
      </c>
      <c r="B840" s="489" t="s">
        <v>98</v>
      </c>
      <c r="C840" s="490">
        <v>45829</v>
      </c>
      <c r="D840" s="491"/>
      <c r="E840" s="491"/>
      <c r="F840" s="493" t="s">
        <v>240</v>
      </c>
      <c r="G840" s="491">
        <v>1</v>
      </c>
      <c r="H840" s="431">
        <v>75</v>
      </c>
      <c r="I840" s="491">
        <f t="shared" si="123"/>
        <v>75</v>
      </c>
      <c r="J840" s="492"/>
      <c r="K840" s="492"/>
      <c r="M840" s="456" t="s">
        <v>678</v>
      </c>
    </row>
    <row r="841" s="456" customFormat="1" spans="1:14">
      <c r="A841" s="488">
        <v>45829</v>
      </c>
      <c r="B841" s="489" t="s">
        <v>98</v>
      </c>
      <c r="C841" s="490">
        <v>45829</v>
      </c>
      <c r="D841" s="491"/>
      <c r="E841" s="491"/>
      <c r="F841" s="493" t="s">
        <v>16</v>
      </c>
      <c r="G841" s="491">
        <v>1</v>
      </c>
      <c r="H841" s="431">
        <v>75</v>
      </c>
      <c r="I841" s="491">
        <f t="shared" ref="I841:I893" si="124">G841*H841</f>
        <v>75</v>
      </c>
      <c r="J841" s="492"/>
      <c r="K841" s="492"/>
    </row>
    <row r="842" s="456" customFormat="1" spans="1:14">
      <c r="A842" s="488">
        <v>45829</v>
      </c>
      <c r="B842" s="489" t="s">
        <v>98</v>
      </c>
      <c r="C842" s="490">
        <v>45829</v>
      </c>
      <c r="D842" s="491"/>
      <c r="E842" s="491"/>
      <c r="F842" s="493" t="s">
        <v>300</v>
      </c>
      <c r="G842" s="491">
        <v>1</v>
      </c>
      <c r="H842" s="431">
        <v>75</v>
      </c>
      <c r="I842" s="491">
        <f t="shared" si="124"/>
        <v>75</v>
      </c>
      <c r="J842" s="492"/>
      <c r="K842" s="492"/>
    </row>
    <row r="843" s="456" customFormat="1" spans="1:14">
      <c r="A843" s="488">
        <v>45829</v>
      </c>
      <c r="B843" s="489" t="s">
        <v>98</v>
      </c>
      <c r="C843" s="490">
        <v>45829</v>
      </c>
      <c r="D843" s="491"/>
      <c r="E843" s="491"/>
      <c r="F843" s="493" t="s">
        <v>546</v>
      </c>
      <c r="G843" s="491">
        <v>1</v>
      </c>
      <c r="H843" s="431">
        <v>107</v>
      </c>
      <c r="I843" s="491">
        <f t="shared" si="124"/>
        <v>107</v>
      </c>
      <c r="J843" s="492"/>
      <c r="K843" s="492"/>
    </row>
    <row r="844" s="456" customFormat="1" spans="1:14">
      <c r="A844" s="488">
        <v>45829</v>
      </c>
      <c r="B844" s="489" t="s">
        <v>98</v>
      </c>
      <c r="C844" s="490">
        <v>45829</v>
      </c>
      <c r="D844" s="491"/>
      <c r="E844" s="491"/>
      <c r="F844" s="493" t="s">
        <v>301</v>
      </c>
      <c r="G844" s="491">
        <v>1</v>
      </c>
      <c r="H844" s="431">
        <f>SUM(H837:H843)</f>
        <v>500</v>
      </c>
      <c r="I844" s="491">
        <f t="shared" si="124"/>
        <v>500</v>
      </c>
      <c r="J844" s="492">
        <v>1</v>
      </c>
      <c r="K844" s="492">
        <f>I844*J844</f>
        <v>500</v>
      </c>
      <c r="L844" s="456">
        <f>SUM(K837:K844)</f>
        <v>1634.2</v>
      </c>
    </row>
    <row r="845" s="457" customFormat="1" spans="1:14">
      <c r="A845" s="494">
        <v>45829</v>
      </c>
      <c r="B845" s="442" t="s">
        <v>512</v>
      </c>
      <c r="C845" s="495">
        <v>45829</v>
      </c>
      <c r="D845" s="463"/>
      <c r="E845" s="463"/>
      <c r="F845" s="496">
        <v>808</v>
      </c>
      <c r="G845" s="463">
        <v>1</v>
      </c>
      <c r="H845" s="432">
        <v>150</v>
      </c>
      <c r="I845" s="463">
        <f t="shared" si="124"/>
        <v>150</v>
      </c>
      <c r="J845" s="497">
        <v>8.6</v>
      </c>
      <c r="K845" s="497">
        <f t="shared" ref="K844:K847" si="125">I845*J845</f>
        <v>1290</v>
      </c>
    </row>
    <row r="846" s="457" customFormat="1" spans="1:14">
      <c r="A846" s="494">
        <v>45829</v>
      </c>
      <c r="B846" s="442" t="s">
        <v>512</v>
      </c>
      <c r="C846" s="495">
        <v>45829</v>
      </c>
      <c r="D846" s="463"/>
      <c r="E846" s="463"/>
      <c r="F846" s="496" t="s">
        <v>12</v>
      </c>
      <c r="G846" s="463">
        <v>1</v>
      </c>
      <c r="H846" s="432">
        <v>130</v>
      </c>
      <c r="I846" s="463">
        <f t="shared" si="124"/>
        <v>130</v>
      </c>
      <c r="J846" s="497">
        <v>6.7</v>
      </c>
      <c r="K846" s="497">
        <f t="shared" si="125"/>
        <v>871</v>
      </c>
    </row>
    <row r="847" s="457" customFormat="1" spans="1:14">
      <c r="A847" s="494">
        <v>45829</v>
      </c>
      <c r="B847" s="442" t="s">
        <v>512</v>
      </c>
      <c r="C847" s="495">
        <v>45829</v>
      </c>
      <c r="D847" s="463"/>
      <c r="E847" s="463"/>
      <c r="F847" s="496" t="s">
        <v>152</v>
      </c>
      <c r="G847" s="463">
        <v>1</v>
      </c>
      <c r="H847" s="432">
        <v>100</v>
      </c>
      <c r="I847" s="463">
        <f t="shared" si="124"/>
        <v>100</v>
      </c>
      <c r="J847" s="497">
        <v>6.7</v>
      </c>
      <c r="K847" s="497">
        <f t="shared" si="125"/>
        <v>670</v>
      </c>
    </row>
    <row r="848" s="457" customFormat="1" spans="1:14">
      <c r="A848" s="494">
        <v>45829</v>
      </c>
      <c r="B848" s="442" t="s">
        <v>512</v>
      </c>
      <c r="C848" s="495">
        <v>45829</v>
      </c>
      <c r="D848" s="463"/>
      <c r="E848" s="463"/>
      <c r="F848" s="496" t="s">
        <v>709</v>
      </c>
      <c r="G848" s="463">
        <v>1</v>
      </c>
      <c r="H848" s="432">
        <v>120</v>
      </c>
      <c r="I848" s="463">
        <f t="shared" si="124"/>
        <v>120</v>
      </c>
      <c r="J848" s="497"/>
      <c r="K848" s="497"/>
      <c r="L848" s="457" t="s">
        <v>126</v>
      </c>
    </row>
    <row r="849" s="457" customFormat="1" spans="1:14">
      <c r="A849" s="494">
        <v>45829</v>
      </c>
      <c r="B849" s="442" t="s">
        <v>512</v>
      </c>
      <c r="C849" s="495">
        <v>45829</v>
      </c>
      <c r="D849" s="463"/>
      <c r="E849" s="463"/>
      <c r="F849" s="496" t="s">
        <v>710</v>
      </c>
      <c r="G849" s="463">
        <v>1</v>
      </c>
      <c r="H849" s="432">
        <v>145</v>
      </c>
      <c r="I849" s="463">
        <f t="shared" si="124"/>
        <v>145</v>
      </c>
      <c r="J849" s="497"/>
      <c r="K849" s="497"/>
    </row>
    <row r="850" s="457" customFormat="1" spans="1:14">
      <c r="A850" s="494">
        <v>45829</v>
      </c>
      <c r="B850" s="442" t="s">
        <v>512</v>
      </c>
      <c r="C850" s="495">
        <v>45829</v>
      </c>
      <c r="D850" s="463"/>
      <c r="E850" s="463"/>
      <c r="F850" s="498" t="s">
        <v>725</v>
      </c>
      <c r="G850" s="463">
        <v>1</v>
      </c>
      <c r="H850" s="432">
        <v>147</v>
      </c>
      <c r="I850" s="463">
        <f t="shared" si="124"/>
        <v>147</v>
      </c>
      <c r="J850" s="497"/>
      <c r="K850" s="497"/>
      <c r="N850" s="457">
        <f>SUBTOTAL(9,K582:K753)</f>
        <v>110608.254</v>
      </c>
    </row>
    <row r="851" s="457" customFormat="1" spans="1:14">
      <c r="A851" s="494">
        <v>45829</v>
      </c>
      <c r="B851" s="442" t="s">
        <v>512</v>
      </c>
      <c r="C851" s="495">
        <v>45829</v>
      </c>
      <c r="D851" s="463"/>
      <c r="E851" s="463"/>
      <c r="F851" s="496" t="s">
        <v>191</v>
      </c>
      <c r="G851" s="463">
        <v>1</v>
      </c>
      <c r="H851" s="432">
        <v>30</v>
      </c>
      <c r="I851" s="463">
        <f t="shared" si="124"/>
        <v>30</v>
      </c>
      <c r="J851" s="497">
        <v>17</v>
      </c>
      <c r="K851" s="497">
        <f t="shared" ref="K851:K855" si="126">I851*J851</f>
        <v>510</v>
      </c>
      <c r="M851" s="457" t="s">
        <v>678</v>
      </c>
    </row>
    <row r="852" s="457" customFormat="1" spans="1:14">
      <c r="A852" s="494">
        <v>45829</v>
      </c>
      <c r="B852" s="442" t="s">
        <v>512</v>
      </c>
      <c r="C852" s="495">
        <v>45829</v>
      </c>
      <c r="D852" s="463"/>
      <c r="E852" s="463"/>
      <c r="F852" s="496" t="s">
        <v>211</v>
      </c>
      <c r="G852" s="463">
        <v>1</v>
      </c>
      <c r="H852" s="432">
        <v>3</v>
      </c>
      <c r="I852" s="463">
        <f t="shared" si="124"/>
        <v>3</v>
      </c>
      <c r="J852" s="497"/>
      <c r="K852" s="497"/>
      <c r="L852" s="457">
        <f>SUM(K845:K855)</f>
        <v>4455.5</v>
      </c>
    </row>
    <row r="853" s="457" customFormat="1" spans="1:14">
      <c r="A853" s="494">
        <v>45829</v>
      </c>
      <c r="B853" s="442" t="s">
        <v>512</v>
      </c>
      <c r="C853" s="495">
        <v>45829</v>
      </c>
      <c r="D853" s="463"/>
      <c r="E853" s="463"/>
      <c r="F853" s="496" t="s">
        <v>16</v>
      </c>
      <c r="G853" s="463">
        <v>1</v>
      </c>
      <c r="H853" s="432">
        <v>150</v>
      </c>
      <c r="I853" s="463">
        <f t="shared" si="124"/>
        <v>150</v>
      </c>
      <c r="J853" s="497"/>
      <c r="K853" s="497"/>
    </row>
    <row r="854" s="457" customFormat="1" spans="1:14">
      <c r="A854" s="494">
        <v>45829</v>
      </c>
      <c r="B854" s="442" t="s">
        <v>512</v>
      </c>
      <c r="C854" s="495">
        <v>45829</v>
      </c>
      <c r="D854" s="463"/>
      <c r="E854" s="463"/>
      <c r="F854" s="496" t="s">
        <v>132</v>
      </c>
      <c r="G854" s="463">
        <v>1</v>
      </c>
      <c r="H854" s="432">
        <v>31</v>
      </c>
      <c r="I854" s="463">
        <f t="shared" si="124"/>
        <v>31</v>
      </c>
      <c r="J854" s="497">
        <v>3.5</v>
      </c>
      <c r="K854" s="497">
        <f t="shared" si="126"/>
        <v>108.5</v>
      </c>
    </row>
    <row r="855" s="457" customFormat="1" spans="1:14">
      <c r="A855" s="494">
        <v>45829</v>
      </c>
      <c r="B855" s="442" t="s">
        <v>512</v>
      </c>
      <c r="C855" s="495">
        <v>45829</v>
      </c>
      <c r="D855" s="463"/>
      <c r="E855" s="463"/>
      <c r="F855" s="496" t="s">
        <v>304</v>
      </c>
      <c r="G855" s="463">
        <v>1</v>
      </c>
      <c r="H855" s="432">
        <f>SUM(H845:H854)</f>
        <v>1006</v>
      </c>
      <c r="I855" s="463">
        <f t="shared" si="124"/>
        <v>1006</v>
      </c>
      <c r="J855" s="497">
        <v>1</v>
      </c>
      <c r="K855" s="497">
        <f t="shared" ref="K855:K858" si="127">I855*J855</f>
        <v>1006</v>
      </c>
    </row>
    <row r="856" s="456" customFormat="1" spans="1:14">
      <c r="A856" s="488">
        <v>45829</v>
      </c>
      <c r="B856" s="489" t="s">
        <v>384</v>
      </c>
      <c r="C856" s="490">
        <v>45829</v>
      </c>
      <c r="D856" s="491"/>
      <c r="E856" s="491"/>
      <c r="F856" s="493" t="s">
        <v>132</v>
      </c>
      <c r="G856" s="491">
        <v>1</v>
      </c>
      <c r="H856" s="431">
        <v>95</v>
      </c>
      <c r="I856" s="491">
        <f t="shared" si="124"/>
        <v>95</v>
      </c>
      <c r="J856" s="492">
        <v>3.5</v>
      </c>
      <c r="K856" s="492">
        <f t="shared" si="127"/>
        <v>332.5</v>
      </c>
      <c r="L856" s="456" t="s">
        <v>116</v>
      </c>
    </row>
    <row r="857" s="456" customFormat="1" spans="1:14">
      <c r="A857" s="488">
        <v>45829</v>
      </c>
      <c r="B857" s="489" t="s">
        <v>384</v>
      </c>
      <c r="C857" s="490">
        <v>45829</v>
      </c>
      <c r="D857" s="491"/>
      <c r="E857" s="491"/>
      <c r="F857" s="493" t="s">
        <v>125</v>
      </c>
      <c r="G857" s="491">
        <v>1</v>
      </c>
      <c r="H857" s="431">
        <v>48</v>
      </c>
      <c r="I857" s="491">
        <f t="shared" si="124"/>
        <v>48</v>
      </c>
      <c r="J857" s="492">
        <v>5.9</v>
      </c>
      <c r="K857" s="492">
        <f t="shared" ref="K857:K865" si="128">I857*J857</f>
        <v>283.2</v>
      </c>
    </row>
    <row r="858" s="456" customFormat="1" spans="1:14">
      <c r="A858" s="488">
        <v>45829</v>
      </c>
      <c r="B858" s="489" t="s">
        <v>384</v>
      </c>
      <c r="C858" s="490">
        <v>45829</v>
      </c>
      <c r="D858" s="491"/>
      <c r="E858" s="491"/>
      <c r="F858" s="493" t="s">
        <v>13</v>
      </c>
      <c r="G858" s="491">
        <v>1</v>
      </c>
      <c r="H858" s="431">
        <v>135</v>
      </c>
      <c r="I858" s="491">
        <f t="shared" si="124"/>
        <v>135</v>
      </c>
      <c r="J858" s="492"/>
      <c r="K858" s="492"/>
      <c r="N858" s="456">
        <f>SUBTOTAL(9,K580:K751)</f>
        <v>108388.154</v>
      </c>
    </row>
    <row r="859" s="456" customFormat="1" spans="1:14">
      <c r="A859" s="488">
        <v>45829</v>
      </c>
      <c r="B859" s="489" t="s">
        <v>384</v>
      </c>
      <c r="C859" s="490">
        <v>45829</v>
      </c>
      <c r="D859" s="491"/>
      <c r="E859" s="491"/>
      <c r="F859" s="493" t="s">
        <v>726</v>
      </c>
      <c r="G859" s="491">
        <v>1</v>
      </c>
      <c r="H859" s="431">
        <v>72</v>
      </c>
      <c r="I859" s="491">
        <f t="shared" si="124"/>
        <v>72</v>
      </c>
      <c r="J859" s="492"/>
      <c r="K859" s="492"/>
      <c r="M859" s="456" t="s">
        <v>678</v>
      </c>
    </row>
    <row r="860" s="456" customFormat="1" spans="1:14">
      <c r="A860" s="488">
        <v>45829</v>
      </c>
      <c r="B860" s="489" t="s">
        <v>384</v>
      </c>
      <c r="C860" s="490">
        <v>45829</v>
      </c>
      <c r="D860" s="491"/>
      <c r="E860" s="491"/>
      <c r="F860" s="493" t="s">
        <v>547</v>
      </c>
      <c r="G860" s="491">
        <v>1</v>
      </c>
      <c r="H860" s="431">
        <v>57</v>
      </c>
      <c r="I860" s="491">
        <f t="shared" si="124"/>
        <v>57</v>
      </c>
      <c r="J860" s="492"/>
      <c r="K860" s="492"/>
    </row>
    <row r="861" s="456" customFormat="1" spans="1:14">
      <c r="A861" s="488">
        <v>45829</v>
      </c>
      <c r="B861" s="489" t="s">
        <v>384</v>
      </c>
      <c r="C861" s="490">
        <v>45829</v>
      </c>
      <c r="D861" s="491"/>
      <c r="E861" s="491"/>
      <c r="F861" s="493" t="s">
        <v>211</v>
      </c>
      <c r="G861" s="491">
        <v>1</v>
      </c>
      <c r="H861" s="431">
        <v>1.5</v>
      </c>
      <c r="I861" s="491">
        <f t="shared" si="124"/>
        <v>1.5</v>
      </c>
      <c r="J861" s="492"/>
      <c r="K861" s="492"/>
    </row>
    <row r="862" s="456" customFormat="1" spans="1:14">
      <c r="A862" s="488">
        <v>45829</v>
      </c>
      <c r="B862" s="489" t="s">
        <v>384</v>
      </c>
      <c r="C862" s="490">
        <v>45829</v>
      </c>
      <c r="D862" s="491"/>
      <c r="E862" s="491"/>
      <c r="F862" s="493" t="s">
        <v>191</v>
      </c>
      <c r="G862" s="491">
        <v>1</v>
      </c>
      <c r="H862" s="431">
        <v>2.8</v>
      </c>
      <c r="I862" s="491">
        <f t="shared" si="124"/>
        <v>2.8</v>
      </c>
      <c r="J862" s="492">
        <v>17</v>
      </c>
      <c r="K862" s="492">
        <f t="shared" si="128"/>
        <v>47.6</v>
      </c>
    </row>
    <row r="863" s="456" customFormat="1" spans="1:14">
      <c r="A863" s="488">
        <v>45829</v>
      </c>
      <c r="B863" s="489" t="s">
        <v>384</v>
      </c>
      <c r="C863" s="490">
        <v>45829</v>
      </c>
      <c r="D863" s="491"/>
      <c r="E863" s="491"/>
      <c r="F863" s="493" t="s">
        <v>466</v>
      </c>
      <c r="G863" s="491">
        <v>1</v>
      </c>
      <c r="H863" s="431">
        <v>24</v>
      </c>
      <c r="I863" s="491">
        <f t="shared" si="124"/>
        <v>24</v>
      </c>
      <c r="J863" s="492">
        <v>0.9</v>
      </c>
      <c r="K863" s="492">
        <f t="shared" si="128"/>
        <v>21.6</v>
      </c>
    </row>
    <row r="864" s="456" customFormat="1" spans="1:14">
      <c r="A864" s="488">
        <v>45829</v>
      </c>
      <c r="B864" s="489" t="s">
        <v>384</v>
      </c>
      <c r="C864" s="490">
        <v>45829</v>
      </c>
      <c r="D864" s="491"/>
      <c r="E864" s="491"/>
      <c r="F864" s="493" t="s">
        <v>16</v>
      </c>
      <c r="G864" s="491">
        <v>1</v>
      </c>
      <c r="H864" s="431">
        <v>65</v>
      </c>
      <c r="I864" s="491">
        <f t="shared" si="124"/>
        <v>65</v>
      </c>
      <c r="J864" s="492"/>
      <c r="K864" s="492">
        <f t="shared" si="128"/>
        <v>0</v>
      </c>
    </row>
    <row r="865" s="456" customFormat="1" spans="1:14">
      <c r="A865" s="488">
        <v>45829</v>
      </c>
      <c r="B865" s="489" t="s">
        <v>384</v>
      </c>
      <c r="C865" s="490">
        <v>45829</v>
      </c>
      <c r="D865" s="491"/>
      <c r="E865" s="491"/>
      <c r="F865" s="493" t="s">
        <v>734</v>
      </c>
      <c r="G865" s="491">
        <v>1</v>
      </c>
      <c r="H865" s="431">
        <f>SUM(H856:H864)</f>
        <v>500.3</v>
      </c>
      <c r="I865" s="491">
        <f t="shared" si="124"/>
        <v>500.3</v>
      </c>
      <c r="J865" s="492">
        <v>1</v>
      </c>
      <c r="K865" s="492">
        <f t="shared" si="128"/>
        <v>500.3</v>
      </c>
      <c r="L865" s="456">
        <f>SUM(K856:K865)</f>
        <v>1185.2</v>
      </c>
    </row>
    <row r="866" s="457" customFormat="1" spans="1:14">
      <c r="A866" s="494">
        <v>45833</v>
      </c>
      <c r="B866" s="442" t="s">
        <v>113</v>
      </c>
      <c r="C866" s="495">
        <v>45831</v>
      </c>
      <c r="D866" s="463"/>
      <c r="E866" s="463"/>
      <c r="F866" s="496" t="s">
        <v>16</v>
      </c>
      <c r="G866" s="463">
        <v>1</v>
      </c>
      <c r="H866" s="432">
        <v>3</v>
      </c>
      <c r="I866" s="463">
        <f t="shared" si="124"/>
        <v>3</v>
      </c>
      <c r="J866" s="497">
        <v>12.5</v>
      </c>
      <c r="K866" s="497"/>
    </row>
    <row r="867" s="457" customFormat="1" spans="1:14">
      <c r="A867" s="494">
        <v>45833</v>
      </c>
      <c r="B867" s="442" t="s">
        <v>113</v>
      </c>
      <c r="C867" s="495">
        <v>45831</v>
      </c>
      <c r="D867" s="463"/>
      <c r="E867" s="463"/>
      <c r="F867" s="496" t="s">
        <v>513</v>
      </c>
      <c r="G867" s="463">
        <v>1</v>
      </c>
      <c r="H867" s="432">
        <v>20</v>
      </c>
      <c r="I867" s="463">
        <f t="shared" si="124"/>
        <v>20</v>
      </c>
      <c r="J867" s="497">
        <v>15</v>
      </c>
      <c r="K867" s="497">
        <f t="shared" ref="K867:K870" si="129">I867*J867</f>
        <v>300</v>
      </c>
    </row>
    <row r="868" s="457" customFormat="1" spans="1:14">
      <c r="A868" s="494">
        <v>45833</v>
      </c>
      <c r="B868" s="442" t="s">
        <v>113</v>
      </c>
      <c r="C868" s="495">
        <v>45831</v>
      </c>
      <c r="D868" s="463"/>
      <c r="E868" s="463"/>
      <c r="F868" s="496" t="s">
        <v>152</v>
      </c>
      <c r="G868" s="463">
        <v>1</v>
      </c>
      <c r="H868" s="432">
        <v>73</v>
      </c>
      <c r="I868" s="463">
        <f t="shared" si="124"/>
        <v>73</v>
      </c>
      <c r="J868" s="497">
        <v>6.7</v>
      </c>
      <c r="K868" s="497">
        <f t="shared" si="129"/>
        <v>489.1</v>
      </c>
    </row>
    <row r="869" s="457" customFormat="1" spans="1:14">
      <c r="A869" s="494">
        <v>45833</v>
      </c>
      <c r="B869" s="442" t="s">
        <v>113</v>
      </c>
      <c r="C869" s="495">
        <v>45831</v>
      </c>
      <c r="D869" s="463"/>
      <c r="E869" s="463"/>
      <c r="F869" s="496" t="s">
        <v>125</v>
      </c>
      <c r="G869" s="463">
        <v>1</v>
      </c>
      <c r="H869" s="432">
        <v>64</v>
      </c>
      <c r="I869" s="463">
        <f t="shared" si="124"/>
        <v>64</v>
      </c>
      <c r="J869" s="497">
        <v>5.5</v>
      </c>
      <c r="K869" s="497">
        <f t="shared" si="129"/>
        <v>352</v>
      </c>
    </row>
    <row r="870" s="457" customFormat="1" spans="1:14">
      <c r="A870" s="494">
        <v>45833</v>
      </c>
      <c r="B870" s="442" t="s">
        <v>113</v>
      </c>
      <c r="C870" s="495">
        <v>45831</v>
      </c>
      <c r="D870" s="463"/>
      <c r="E870" s="463"/>
      <c r="F870" s="496" t="s">
        <v>389</v>
      </c>
      <c r="G870" s="463">
        <v>1</v>
      </c>
      <c r="H870" s="432">
        <f>SUM(H866:H869)</f>
        <v>160</v>
      </c>
      <c r="I870" s="463">
        <f t="shared" si="124"/>
        <v>160</v>
      </c>
      <c r="J870" s="497">
        <v>1</v>
      </c>
      <c r="K870" s="497">
        <f t="shared" si="129"/>
        <v>160</v>
      </c>
      <c r="L870" s="457">
        <f>SUM(K866:K870)</f>
        <v>1301.1</v>
      </c>
    </row>
    <row r="871" s="456" customFormat="1" spans="1:14">
      <c r="A871" s="488">
        <v>45834</v>
      </c>
      <c r="B871" s="489" t="s">
        <v>119</v>
      </c>
      <c r="C871" s="490">
        <v>45833</v>
      </c>
      <c r="D871" s="491"/>
      <c r="E871" s="491"/>
      <c r="F871" s="493" t="s">
        <v>122</v>
      </c>
      <c r="G871" s="491">
        <v>1</v>
      </c>
      <c r="H871" s="431">
        <v>100</v>
      </c>
      <c r="I871" s="491">
        <f t="shared" si="124"/>
        <v>100</v>
      </c>
      <c r="J871" s="492"/>
      <c r="K871" s="492"/>
      <c r="L871" s="536"/>
      <c r="M871" s="536"/>
      <c r="N871" s="536"/>
    </row>
    <row r="872" s="456" customFormat="1" spans="1:14">
      <c r="A872" s="488">
        <v>45834</v>
      </c>
      <c r="B872" s="489" t="s">
        <v>119</v>
      </c>
      <c r="C872" s="490">
        <v>45833</v>
      </c>
      <c r="D872" s="491"/>
      <c r="E872" s="491"/>
      <c r="F872" s="493" t="s">
        <v>123</v>
      </c>
      <c r="G872" s="491">
        <v>1</v>
      </c>
      <c r="H872" s="431">
        <v>12</v>
      </c>
      <c r="I872" s="491">
        <f t="shared" si="124"/>
        <v>12</v>
      </c>
      <c r="J872" s="492"/>
      <c r="K872" s="492"/>
      <c r="L872" s="536"/>
      <c r="M872" s="536"/>
      <c r="N872" s="536"/>
    </row>
    <row r="873" s="456" customFormat="1" spans="1:14">
      <c r="A873" s="488">
        <v>45834</v>
      </c>
      <c r="B873" s="489" t="s">
        <v>119</v>
      </c>
      <c r="C873" s="490">
        <v>45833</v>
      </c>
      <c r="D873" s="491"/>
      <c r="E873" s="491"/>
      <c r="F873" s="493" t="s">
        <v>124</v>
      </c>
      <c r="G873" s="491">
        <v>1</v>
      </c>
      <c r="H873" s="431">
        <v>60</v>
      </c>
      <c r="I873" s="491">
        <f t="shared" si="124"/>
        <v>60</v>
      </c>
      <c r="J873" s="492"/>
      <c r="K873" s="492"/>
      <c r="L873" s="536"/>
      <c r="M873" s="536"/>
      <c r="N873" s="536"/>
    </row>
    <row r="874" s="456" customFormat="1" spans="1:14">
      <c r="A874" s="488">
        <v>45834</v>
      </c>
      <c r="B874" s="489" t="s">
        <v>119</v>
      </c>
      <c r="C874" s="490">
        <v>45833</v>
      </c>
      <c r="D874" s="491"/>
      <c r="E874" s="491"/>
      <c r="F874" s="493" t="s">
        <v>735</v>
      </c>
      <c r="G874" s="491">
        <v>1</v>
      </c>
      <c r="H874" s="431">
        <v>30</v>
      </c>
      <c r="I874" s="491">
        <f t="shared" si="124"/>
        <v>30</v>
      </c>
      <c r="J874" s="492"/>
      <c r="K874" s="492"/>
      <c r="L874" s="536"/>
      <c r="M874" s="536"/>
      <c r="N874" s="536"/>
    </row>
    <row r="875" s="456" customFormat="1" spans="1:14">
      <c r="A875" s="488">
        <v>45834</v>
      </c>
      <c r="B875" s="489" t="s">
        <v>119</v>
      </c>
      <c r="C875" s="490">
        <v>45833</v>
      </c>
      <c r="D875" s="491"/>
      <c r="E875" s="491"/>
      <c r="F875" s="493" t="s">
        <v>529</v>
      </c>
      <c r="G875" s="491">
        <v>1</v>
      </c>
      <c r="H875" s="431">
        <v>58</v>
      </c>
      <c r="I875" s="491">
        <f t="shared" si="124"/>
        <v>58</v>
      </c>
      <c r="J875" s="492"/>
      <c r="K875" s="492"/>
      <c r="L875" s="536"/>
      <c r="M875" s="536"/>
      <c r="N875" s="536"/>
    </row>
    <row r="876" s="456" customFormat="1" spans="1:14">
      <c r="A876" s="488">
        <v>45834</v>
      </c>
      <c r="B876" s="489" t="s">
        <v>119</v>
      </c>
      <c r="C876" s="490">
        <v>45833</v>
      </c>
      <c r="D876" s="491"/>
      <c r="E876" s="491"/>
      <c r="F876" s="493">
        <v>808</v>
      </c>
      <c r="G876" s="491">
        <v>1</v>
      </c>
      <c r="H876" s="431">
        <v>80</v>
      </c>
      <c r="I876" s="491">
        <f t="shared" si="124"/>
        <v>80</v>
      </c>
      <c r="J876" s="491">
        <v>8.6</v>
      </c>
      <c r="K876" s="492">
        <f t="shared" ref="K876:K878" si="130">I876*J876</f>
        <v>688</v>
      </c>
      <c r="L876" s="536"/>
      <c r="M876" s="536"/>
      <c r="N876" s="536"/>
    </row>
    <row r="877" s="456" customFormat="1" spans="1:14">
      <c r="A877" s="488">
        <v>45834</v>
      </c>
      <c r="B877" s="489" t="s">
        <v>119</v>
      </c>
      <c r="C877" s="490">
        <v>45833</v>
      </c>
      <c r="D877" s="491"/>
      <c r="E877" s="491"/>
      <c r="F877" s="493" t="s">
        <v>125</v>
      </c>
      <c r="G877" s="491">
        <v>1</v>
      </c>
      <c r="H877" s="431">
        <v>60</v>
      </c>
      <c r="I877" s="491">
        <f t="shared" si="124"/>
        <v>60</v>
      </c>
      <c r="J877" s="491">
        <v>5.5</v>
      </c>
      <c r="K877" s="492">
        <f t="shared" si="130"/>
        <v>330</v>
      </c>
      <c r="L877" s="536" t="s">
        <v>126</v>
      </c>
      <c r="M877" s="536">
        <f>SUBTOTAL(9,K754:K934)</f>
        <v>45634.884</v>
      </c>
      <c r="N877" s="536"/>
    </row>
    <row r="878" s="456" customFormat="1" spans="1:14">
      <c r="A878" s="488">
        <v>45834</v>
      </c>
      <c r="B878" s="489" t="s">
        <v>119</v>
      </c>
      <c r="C878" s="490">
        <v>45833</v>
      </c>
      <c r="D878" s="491"/>
      <c r="E878" s="491"/>
      <c r="F878" s="493" t="s">
        <v>127</v>
      </c>
      <c r="G878" s="491">
        <v>1</v>
      </c>
      <c r="H878" s="431">
        <f>SUM(H871:H877)</f>
        <v>400</v>
      </c>
      <c r="I878" s="491">
        <f t="shared" si="124"/>
        <v>400</v>
      </c>
      <c r="J878" s="491">
        <v>1</v>
      </c>
      <c r="K878" s="492">
        <f t="shared" si="130"/>
        <v>400</v>
      </c>
      <c r="L878" s="536">
        <f>SUM(K871:K878)</f>
        <v>1418</v>
      </c>
      <c r="M878" s="536"/>
      <c r="N878" s="536"/>
    </row>
    <row r="879" s="457" customFormat="1" spans="1:14">
      <c r="A879" s="494">
        <v>45834</v>
      </c>
      <c r="B879" s="442" t="s">
        <v>135</v>
      </c>
      <c r="C879" s="495">
        <v>45834</v>
      </c>
      <c r="D879" s="463"/>
      <c r="E879" s="463"/>
      <c r="F879" s="496" t="s">
        <v>16</v>
      </c>
      <c r="G879" s="463">
        <v>1</v>
      </c>
      <c r="H879" s="432">
        <v>48</v>
      </c>
      <c r="I879" s="463">
        <f t="shared" si="124"/>
        <v>48</v>
      </c>
      <c r="J879" s="497">
        <v>13.5</v>
      </c>
      <c r="K879" s="497"/>
    </row>
    <row r="880" s="457" customFormat="1" spans="1:14">
      <c r="A880" s="494">
        <v>45834</v>
      </c>
      <c r="B880" s="442" t="s">
        <v>135</v>
      </c>
      <c r="C880" s="495">
        <v>45834</v>
      </c>
      <c r="D880" s="463"/>
      <c r="E880" s="463"/>
      <c r="F880" s="496">
        <v>996</v>
      </c>
      <c r="G880" s="463">
        <v>1</v>
      </c>
      <c r="H880" s="432">
        <v>150</v>
      </c>
      <c r="I880" s="463">
        <f t="shared" si="124"/>
        <v>150</v>
      </c>
      <c r="J880" s="497">
        <v>16</v>
      </c>
      <c r="K880" s="497">
        <f t="shared" ref="K880:K883" si="131">I880*J880</f>
        <v>2400</v>
      </c>
    </row>
    <row r="881" s="457" customFormat="1" spans="1:14">
      <c r="A881" s="494">
        <v>45834</v>
      </c>
      <c r="B881" s="442" t="s">
        <v>135</v>
      </c>
      <c r="C881" s="495">
        <v>45834</v>
      </c>
      <c r="D881" s="463"/>
      <c r="E881" s="463"/>
      <c r="F881" s="496">
        <v>808</v>
      </c>
      <c r="G881" s="463">
        <v>1</v>
      </c>
      <c r="H881" s="432">
        <v>30</v>
      </c>
      <c r="I881" s="463">
        <f t="shared" si="124"/>
        <v>30</v>
      </c>
      <c r="J881" s="497">
        <v>8.6</v>
      </c>
      <c r="K881" s="497">
        <f t="shared" si="131"/>
        <v>258</v>
      </c>
    </row>
    <row r="882" s="457" customFormat="1" spans="1:14">
      <c r="A882" s="494">
        <v>45834</v>
      </c>
      <c r="B882" s="442" t="s">
        <v>135</v>
      </c>
      <c r="C882" s="495">
        <v>45834</v>
      </c>
      <c r="D882" s="463"/>
      <c r="E882" s="463"/>
      <c r="F882" s="496" t="s">
        <v>12</v>
      </c>
      <c r="G882" s="463">
        <v>1</v>
      </c>
      <c r="H882" s="432">
        <v>30</v>
      </c>
      <c r="I882" s="463">
        <f t="shared" si="124"/>
        <v>30</v>
      </c>
      <c r="J882" s="497">
        <v>6.7</v>
      </c>
      <c r="K882" s="497">
        <f t="shared" si="131"/>
        <v>201</v>
      </c>
      <c r="M882" s="554"/>
      <c r="N882" s="554"/>
    </row>
    <row r="883" s="457" customFormat="1" spans="1:14">
      <c r="A883" s="494">
        <v>45834</v>
      </c>
      <c r="B883" s="442" t="s">
        <v>135</v>
      </c>
      <c r="C883" s="495">
        <v>45834</v>
      </c>
      <c r="D883" s="463"/>
      <c r="E883" s="463"/>
      <c r="F883" s="496" t="s">
        <v>456</v>
      </c>
      <c r="G883" s="463">
        <v>1</v>
      </c>
      <c r="H883" s="432">
        <f>SUM(H879:H882)</f>
        <v>258</v>
      </c>
      <c r="I883" s="463">
        <f t="shared" si="124"/>
        <v>258</v>
      </c>
      <c r="J883" s="497">
        <v>3</v>
      </c>
      <c r="K883" s="497">
        <f t="shared" si="131"/>
        <v>774</v>
      </c>
      <c r="L883" s="457">
        <f>SUM(K879:K883)</f>
        <v>3633</v>
      </c>
    </row>
    <row r="884" s="456" customFormat="1" spans="1:14">
      <c r="A884" s="488">
        <v>45834</v>
      </c>
      <c r="B884" s="489" t="s">
        <v>213</v>
      </c>
      <c r="C884" s="490">
        <v>45834</v>
      </c>
      <c r="D884" s="491"/>
      <c r="E884" s="491"/>
      <c r="F884" s="493">
        <v>808</v>
      </c>
      <c r="G884" s="491">
        <v>1</v>
      </c>
      <c r="H884" s="431">
        <v>5.3</v>
      </c>
      <c r="I884" s="463">
        <f t="shared" ref="I884:I912" si="132">G884*H884</f>
        <v>5.3</v>
      </c>
      <c r="J884" s="492">
        <v>8.6</v>
      </c>
      <c r="K884" s="492">
        <f t="shared" ref="K884:K887" si="133">I884*J884</f>
        <v>45.58</v>
      </c>
      <c r="L884" s="536"/>
      <c r="M884" s="536"/>
      <c r="N884" s="536"/>
    </row>
    <row r="885" s="456" customFormat="1" spans="1:14">
      <c r="A885" s="488">
        <v>45834</v>
      </c>
      <c r="B885" s="489" t="s">
        <v>213</v>
      </c>
      <c r="C885" s="490">
        <v>45834</v>
      </c>
      <c r="D885" s="491"/>
      <c r="E885" s="491"/>
      <c r="F885" s="493" t="s">
        <v>152</v>
      </c>
      <c r="G885" s="491">
        <v>1</v>
      </c>
      <c r="H885" s="431">
        <v>1.7</v>
      </c>
      <c r="I885" s="463">
        <f t="shared" si="132"/>
        <v>1.7</v>
      </c>
      <c r="J885" s="492">
        <v>6.7</v>
      </c>
      <c r="K885" s="492">
        <f t="shared" si="133"/>
        <v>11.39</v>
      </c>
      <c r="L885" s="536"/>
      <c r="M885" s="536"/>
      <c r="N885" s="536"/>
    </row>
    <row r="886" s="456" customFormat="1" spans="1:14">
      <c r="A886" s="488">
        <v>45834</v>
      </c>
      <c r="B886" s="489" t="s">
        <v>213</v>
      </c>
      <c r="C886" s="490">
        <v>45834</v>
      </c>
      <c r="D886" s="491"/>
      <c r="E886" s="491"/>
      <c r="F886" s="493" t="s">
        <v>125</v>
      </c>
      <c r="G886" s="491">
        <v>1</v>
      </c>
      <c r="H886" s="431">
        <v>0.9</v>
      </c>
      <c r="I886" s="463">
        <f t="shared" si="132"/>
        <v>0.9</v>
      </c>
      <c r="J886" s="492">
        <v>5.5</v>
      </c>
      <c r="K886" s="492">
        <f t="shared" si="133"/>
        <v>4.95</v>
      </c>
      <c r="L886" s="536"/>
      <c r="M886" s="536"/>
      <c r="N886" s="536"/>
    </row>
    <row r="887" s="456" customFormat="1" spans="1:14">
      <c r="A887" s="488">
        <v>45834</v>
      </c>
      <c r="B887" s="489" t="s">
        <v>213</v>
      </c>
      <c r="C887" s="490">
        <v>45834</v>
      </c>
      <c r="D887" s="491"/>
      <c r="E887" s="491"/>
      <c r="F887" s="493" t="s">
        <v>12</v>
      </c>
      <c r="G887" s="491">
        <v>1</v>
      </c>
      <c r="H887" s="431">
        <v>2</v>
      </c>
      <c r="I887" s="463">
        <f t="shared" si="132"/>
        <v>2</v>
      </c>
      <c r="J887" s="492">
        <v>6.7</v>
      </c>
      <c r="K887" s="492">
        <f t="shared" si="133"/>
        <v>13.4</v>
      </c>
      <c r="L887" s="536" t="s">
        <v>736</v>
      </c>
      <c r="M887" s="536"/>
      <c r="N887" s="536"/>
    </row>
    <row r="888" s="456" customFormat="1" spans="1:14">
      <c r="A888" s="488">
        <v>45834</v>
      </c>
      <c r="B888" s="489" t="s">
        <v>213</v>
      </c>
      <c r="C888" s="490">
        <v>45834</v>
      </c>
      <c r="D888" s="491"/>
      <c r="E888" s="491"/>
      <c r="F888" s="493" t="s">
        <v>240</v>
      </c>
      <c r="G888" s="491">
        <v>1</v>
      </c>
      <c r="H888" s="431">
        <v>3.3</v>
      </c>
      <c r="I888" s="463">
        <f t="shared" si="132"/>
        <v>3.3</v>
      </c>
      <c r="J888" s="492"/>
      <c r="K888" s="492"/>
      <c r="L888" s="536"/>
      <c r="M888" s="536"/>
      <c r="N888" s="536"/>
    </row>
    <row r="889" s="456" customFormat="1" spans="1:14">
      <c r="A889" s="488">
        <v>45834</v>
      </c>
      <c r="B889" s="489" t="s">
        <v>213</v>
      </c>
      <c r="C889" s="490">
        <v>45834</v>
      </c>
      <c r="D889" s="491"/>
      <c r="E889" s="491"/>
      <c r="F889" s="493" t="s">
        <v>737</v>
      </c>
      <c r="G889" s="491">
        <v>1</v>
      </c>
      <c r="H889" s="431">
        <v>4.9</v>
      </c>
      <c r="I889" s="463">
        <f t="shared" si="132"/>
        <v>4.9</v>
      </c>
      <c r="J889" s="492"/>
      <c r="K889" s="492"/>
      <c r="L889" s="536"/>
      <c r="M889" s="536"/>
      <c r="N889" s="536"/>
    </row>
    <row r="890" s="456" customFormat="1" spans="1:14">
      <c r="A890" s="488">
        <v>45834</v>
      </c>
      <c r="B890" s="489" t="s">
        <v>213</v>
      </c>
      <c r="C890" s="490">
        <v>45834</v>
      </c>
      <c r="D890" s="491"/>
      <c r="E890" s="491"/>
      <c r="F890" s="493" t="s">
        <v>553</v>
      </c>
      <c r="G890" s="491">
        <v>1</v>
      </c>
      <c r="H890" s="431">
        <v>6.1</v>
      </c>
      <c r="I890" s="463">
        <f t="shared" si="132"/>
        <v>6.1</v>
      </c>
      <c r="J890" s="492"/>
      <c r="K890" s="492"/>
      <c r="L890" s="536"/>
      <c r="M890" s="536"/>
      <c r="N890" s="536"/>
    </row>
    <row r="891" s="456" customFormat="1" spans="1:14">
      <c r="A891" s="488">
        <v>45834</v>
      </c>
      <c r="B891" s="489" t="s">
        <v>213</v>
      </c>
      <c r="C891" s="490">
        <v>45834</v>
      </c>
      <c r="D891" s="491"/>
      <c r="E891" s="491"/>
      <c r="F891" s="493" t="s">
        <v>438</v>
      </c>
      <c r="G891" s="491">
        <v>1</v>
      </c>
      <c r="H891" s="431">
        <v>5</v>
      </c>
      <c r="I891" s="463">
        <f t="shared" si="132"/>
        <v>5</v>
      </c>
      <c r="J891" s="492"/>
      <c r="K891" s="492"/>
      <c r="L891" s="536"/>
      <c r="M891" s="536"/>
      <c r="N891" s="536"/>
    </row>
    <row r="892" s="456" customFormat="1" spans="1:14">
      <c r="A892" s="488">
        <v>45834</v>
      </c>
      <c r="B892" s="489" t="s">
        <v>213</v>
      </c>
      <c r="C892" s="490">
        <v>45834</v>
      </c>
      <c r="D892" s="491"/>
      <c r="E892" s="491"/>
      <c r="F892" s="493" t="s">
        <v>16</v>
      </c>
      <c r="G892" s="491">
        <v>1</v>
      </c>
      <c r="H892" s="431">
        <v>5</v>
      </c>
      <c r="I892" s="463">
        <f t="shared" si="132"/>
        <v>5</v>
      </c>
      <c r="J892" s="492"/>
      <c r="K892" s="492"/>
      <c r="L892" s="536"/>
      <c r="M892" s="536"/>
      <c r="N892" s="536"/>
    </row>
    <row r="893" s="456" customFormat="1" spans="1:14">
      <c r="A893" s="488">
        <v>45834</v>
      </c>
      <c r="B893" s="489" t="s">
        <v>213</v>
      </c>
      <c r="C893" s="490">
        <v>45834</v>
      </c>
      <c r="D893" s="491"/>
      <c r="E893" s="491"/>
      <c r="F893" s="493" t="s">
        <v>738</v>
      </c>
      <c r="G893" s="491">
        <v>1</v>
      </c>
      <c r="H893" s="431">
        <f>SUM(H884:H892)</f>
        <v>34.2</v>
      </c>
      <c r="I893" s="463">
        <f t="shared" si="132"/>
        <v>34.2</v>
      </c>
      <c r="J893" s="492">
        <v>1</v>
      </c>
      <c r="K893" s="492">
        <f>I893*J893</f>
        <v>34.2</v>
      </c>
      <c r="L893" s="536">
        <f>SUM(K884:K893)</f>
        <v>109.52</v>
      </c>
      <c r="M893" s="536"/>
      <c r="N893" s="536"/>
    </row>
    <row r="894" s="457" customFormat="1" spans="1:14">
      <c r="A894" s="494">
        <v>45835</v>
      </c>
      <c r="B894" s="442" t="s">
        <v>220</v>
      </c>
      <c r="C894" s="495">
        <v>45835</v>
      </c>
      <c r="D894" s="463"/>
      <c r="E894" s="463"/>
      <c r="F894" s="496">
        <v>808</v>
      </c>
      <c r="G894" s="463">
        <v>1</v>
      </c>
      <c r="H894" s="432">
        <v>80</v>
      </c>
      <c r="I894" s="463">
        <f t="shared" si="132"/>
        <v>80</v>
      </c>
      <c r="J894" s="497">
        <v>8.6</v>
      </c>
      <c r="K894" s="497">
        <f>I894*J894</f>
        <v>688</v>
      </c>
      <c r="L894" s="537"/>
      <c r="M894" s="537"/>
      <c r="N894" s="537"/>
    </row>
    <row r="895" s="457" customFormat="1" spans="1:14">
      <c r="A895" s="494">
        <v>45835</v>
      </c>
      <c r="B895" s="442" t="s">
        <v>220</v>
      </c>
      <c r="C895" s="495">
        <v>45835</v>
      </c>
      <c r="D895" s="463"/>
      <c r="E895" s="463"/>
      <c r="F895" s="496" t="s">
        <v>152</v>
      </c>
      <c r="G895" s="463">
        <v>1</v>
      </c>
      <c r="H895" s="432">
        <v>26</v>
      </c>
      <c r="I895" s="463">
        <f t="shared" si="132"/>
        <v>26</v>
      </c>
      <c r="J895" s="497">
        <v>6.7</v>
      </c>
      <c r="K895" s="497">
        <f>I895*J895</f>
        <v>174.2</v>
      </c>
      <c r="L895" s="537"/>
      <c r="M895" s="537"/>
      <c r="N895" s="537"/>
    </row>
    <row r="896" s="457" customFormat="1" spans="1:14">
      <c r="A896" s="494">
        <v>45835</v>
      </c>
      <c r="B896" s="442" t="s">
        <v>220</v>
      </c>
      <c r="C896" s="495">
        <v>45835</v>
      </c>
      <c r="D896" s="463"/>
      <c r="E896" s="463"/>
      <c r="F896" s="496" t="s">
        <v>125</v>
      </c>
      <c r="G896" s="463">
        <v>1</v>
      </c>
      <c r="H896" s="432">
        <v>13.5</v>
      </c>
      <c r="I896" s="463">
        <f t="shared" si="132"/>
        <v>13.5</v>
      </c>
      <c r="J896" s="497">
        <v>5.5</v>
      </c>
      <c r="K896" s="497">
        <f>I896*J896</f>
        <v>74.25</v>
      </c>
      <c r="L896" s="537"/>
      <c r="M896" s="537"/>
      <c r="N896" s="537"/>
    </row>
    <row r="897" s="457" customFormat="1" spans="1:14">
      <c r="A897" s="494">
        <v>45835</v>
      </c>
      <c r="B897" s="442" t="s">
        <v>220</v>
      </c>
      <c r="C897" s="495">
        <v>45835</v>
      </c>
      <c r="D897" s="463"/>
      <c r="E897" s="463"/>
      <c r="F897" s="496" t="s">
        <v>12</v>
      </c>
      <c r="G897" s="463">
        <v>1</v>
      </c>
      <c r="H897" s="432">
        <v>30</v>
      </c>
      <c r="I897" s="463">
        <f t="shared" si="132"/>
        <v>30</v>
      </c>
      <c r="J897" s="497">
        <v>6.7</v>
      </c>
      <c r="K897" s="497">
        <f>I897*J897</f>
        <v>201</v>
      </c>
      <c r="L897" s="537" t="s">
        <v>739</v>
      </c>
      <c r="M897" s="537"/>
      <c r="N897" s="537"/>
    </row>
    <row r="898" s="457" customFormat="1" spans="1:14">
      <c r="A898" s="494">
        <v>45835</v>
      </c>
      <c r="B898" s="442" t="s">
        <v>220</v>
      </c>
      <c r="C898" s="495">
        <v>45835</v>
      </c>
      <c r="D898" s="463"/>
      <c r="E898" s="463"/>
      <c r="F898" s="496" t="s">
        <v>240</v>
      </c>
      <c r="G898" s="463">
        <v>1</v>
      </c>
      <c r="H898" s="432">
        <v>50</v>
      </c>
      <c r="I898" s="463">
        <f t="shared" si="132"/>
        <v>50</v>
      </c>
      <c r="J898" s="497"/>
      <c r="K898" s="497"/>
      <c r="L898" s="537"/>
      <c r="M898" s="537"/>
      <c r="N898" s="537"/>
    </row>
    <row r="899" s="457" customFormat="1" spans="1:14">
      <c r="A899" s="494">
        <v>45835</v>
      </c>
      <c r="B899" s="442" t="s">
        <v>220</v>
      </c>
      <c r="C899" s="495">
        <v>45835</v>
      </c>
      <c r="D899" s="463"/>
      <c r="E899" s="463"/>
      <c r="F899" s="496" t="s">
        <v>737</v>
      </c>
      <c r="G899" s="463">
        <v>1</v>
      </c>
      <c r="H899" s="432">
        <v>73.5</v>
      </c>
      <c r="I899" s="463">
        <f t="shared" si="132"/>
        <v>73.5</v>
      </c>
      <c r="J899" s="497"/>
      <c r="K899" s="497"/>
      <c r="L899" s="537"/>
      <c r="M899" s="537"/>
      <c r="N899" s="537"/>
    </row>
    <row r="900" s="457" customFormat="1" spans="1:14">
      <c r="A900" s="494">
        <v>45835</v>
      </c>
      <c r="B900" s="442" t="s">
        <v>220</v>
      </c>
      <c r="C900" s="495">
        <v>45835</v>
      </c>
      <c r="D900" s="463"/>
      <c r="E900" s="463"/>
      <c r="F900" s="496" t="s">
        <v>553</v>
      </c>
      <c r="G900" s="463">
        <v>1</v>
      </c>
      <c r="H900" s="432">
        <v>92</v>
      </c>
      <c r="I900" s="463">
        <f t="shared" si="132"/>
        <v>92</v>
      </c>
      <c r="J900" s="497"/>
      <c r="K900" s="497"/>
      <c r="L900" s="537"/>
      <c r="M900" s="537"/>
      <c r="N900" s="537"/>
    </row>
    <row r="901" s="457" customFormat="1" spans="1:14">
      <c r="A901" s="494">
        <v>45835</v>
      </c>
      <c r="B901" s="442" t="s">
        <v>220</v>
      </c>
      <c r="C901" s="495">
        <v>45835</v>
      </c>
      <c r="D901" s="463"/>
      <c r="E901" s="463"/>
      <c r="F901" s="496" t="s">
        <v>438</v>
      </c>
      <c r="G901" s="463">
        <v>1</v>
      </c>
      <c r="H901" s="432">
        <v>75</v>
      </c>
      <c r="I901" s="463">
        <f t="shared" si="132"/>
        <v>75</v>
      </c>
      <c r="J901" s="497"/>
      <c r="K901" s="497"/>
      <c r="L901" s="537"/>
      <c r="M901" s="537"/>
      <c r="N901" s="537"/>
    </row>
    <row r="902" s="457" customFormat="1" spans="1:14">
      <c r="A902" s="494">
        <v>45835</v>
      </c>
      <c r="B902" s="442" t="s">
        <v>220</v>
      </c>
      <c r="C902" s="495">
        <v>45835</v>
      </c>
      <c r="D902" s="463"/>
      <c r="E902" s="463"/>
      <c r="F902" s="496" t="s">
        <v>16</v>
      </c>
      <c r="G902" s="463">
        <v>1</v>
      </c>
      <c r="H902" s="432">
        <v>75</v>
      </c>
      <c r="I902" s="463">
        <f t="shared" si="132"/>
        <v>75</v>
      </c>
      <c r="J902" s="497"/>
      <c r="K902" s="497"/>
      <c r="L902" s="537"/>
      <c r="M902" s="537"/>
      <c r="N902" s="537"/>
    </row>
    <row r="903" s="457" customFormat="1" spans="1:14">
      <c r="A903" s="494">
        <v>45835</v>
      </c>
      <c r="B903" s="442" t="s">
        <v>220</v>
      </c>
      <c r="C903" s="495">
        <v>45835</v>
      </c>
      <c r="D903" s="463"/>
      <c r="E903" s="463"/>
      <c r="F903" s="496" t="s">
        <v>738</v>
      </c>
      <c r="G903" s="463">
        <v>1</v>
      </c>
      <c r="H903" s="432">
        <f>SUM(H894:H902)</f>
        <v>515</v>
      </c>
      <c r="I903" s="463">
        <f t="shared" si="132"/>
        <v>515</v>
      </c>
      <c r="J903" s="497">
        <v>1</v>
      </c>
      <c r="K903" s="497">
        <f t="shared" ref="K903:K906" si="134">I903*J903</f>
        <v>515</v>
      </c>
      <c r="L903" s="537">
        <f>SUM(K894:K903)</f>
        <v>1652.45</v>
      </c>
      <c r="M903" s="537"/>
      <c r="N903" s="537"/>
    </row>
    <row r="904" s="456" customFormat="1" spans="1:14">
      <c r="A904" s="488">
        <v>45835</v>
      </c>
      <c r="B904" s="489" t="s">
        <v>224</v>
      </c>
      <c r="C904" s="490">
        <v>45835</v>
      </c>
      <c r="D904" s="491"/>
      <c r="E904" s="491"/>
      <c r="F904" s="493">
        <v>808</v>
      </c>
      <c r="G904" s="491">
        <v>1</v>
      </c>
      <c r="H904" s="431">
        <v>4</v>
      </c>
      <c r="I904" s="491">
        <f t="shared" si="132"/>
        <v>4</v>
      </c>
      <c r="J904" s="492">
        <v>8.6</v>
      </c>
      <c r="K904" s="492">
        <f t="shared" si="134"/>
        <v>34.4</v>
      </c>
    </row>
    <row r="905" s="456" customFormat="1" spans="1:14">
      <c r="A905" s="488">
        <v>45835</v>
      </c>
      <c r="B905" s="489" t="s">
        <v>224</v>
      </c>
      <c r="C905" s="490">
        <v>45835</v>
      </c>
      <c r="D905" s="491"/>
      <c r="E905" s="491"/>
      <c r="F905" s="493" t="s">
        <v>12</v>
      </c>
      <c r="G905" s="491">
        <v>1</v>
      </c>
      <c r="H905" s="431">
        <v>3.9</v>
      </c>
      <c r="I905" s="491">
        <f t="shared" si="132"/>
        <v>3.9</v>
      </c>
      <c r="J905" s="492">
        <v>6.7</v>
      </c>
      <c r="K905" s="492">
        <f t="shared" si="134"/>
        <v>26.13</v>
      </c>
    </row>
    <row r="906" s="456" customFormat="1" spans="1:14">
      <c r="A906" s="488">
        <v>45835</v>
      </c>
      <c r="B906" s="489" t="s">
        <v>224</v>
      </c>
      <c r="C906" s="490">
        <v>45835</v>
      </c>
      <c r="D906" s="491"/>
      <c r="E906" s="491"/>
      <c r="F906" s="493" t="s">
        <v>152</v>
      </c>
      <c r="G906" s="491">
        <v>1</v>
      </c>
      <c r="H906" s="431">
        <v>7.92</v>
      </c>
      <c r="I906" s="491">
        <f t="shared" si="132"/>
        <v>7.92</v>
      </c>
      <c r="J906" s="492">
        <v>6.7</v>
      </c>
      <c r="K906" s="492">
        <f t="shared" si="134"/>
        <v>53.064</v>
      </c>
    </row>
    <row r="907" s="456" customFormat="1" spans="1:14">
      <c r="A907" s="488">
        <v>45835</v>
      </c>
      <c r="B907" s="489" t="s">
        <v>224</v>
      </c>
      <c r="C907" s="490">
        <v>45835</v>
      </c>
      <c r="D907" s="491"/>
      <c r="E907" s="491"/>
      <c r="F907" s="493" t="s">
        <v>709</v>
      </c>
      <c r="G907" s="491">
        <v>1</v>
      </c>
      <c r="H907" s="431">
        <v>6</v>
      </c>
      <c r="I907" s="491">
        <f t="shared" si="132"/>
        <v>6</v>
      </c>
      <c r="J907" s="492"/>
      <c r="K907" s="492"/>
      <c r="L907" s="456" t="s">
        <v>126</v>
      </c>
    </row>
    <row r="908" s="456" customFormat="1" spans="1:14">
      <c r="A908" s="488">
        <v>45835</v>
      </c>
      <c r="B908" s="489" t="s">
        <v>224</v>
      </c>
      <c r="C908" s="490">
        <v>45835</v>
      </c>
      <c r="D908" s="491"/>
      <c r="E908" s="491"/>
      <c r="F908" s="493" t="s">
        <v>710</v>
      </c>
      <c r="G908" s="491">
        <v>1</v>
      </c>
      <c r="H908" s="431">
        <v>5.8</v>
      </c>
      <c r="I908" s="491">
        <f t="shared" si="132"/>
        <v>5.8</v>
      </c>
      <c r="J908" s="492"/>
      <c r="K908" s="492"/>
    </row>
    <row r="909" s="456" customFormat="1" spans="1:14">
      <c r="A909" s="488">
        <v>45835</v>
      </c>
      <c r="B909" s="489" t="s">
        <v>224</v>
      </c>
      <c r="C909" s="490">
        <v>45835</v>
      </c>
      <c r="D909" s="491"/>
      <c r="E909" s="491"/>
      <c r="F909" s="493" t="s">
        <v>725</v>
      </c>
      <c r="G909" s="491">
        <v>1</v>
      </c>
      <c r="H909" s="431">
        <v>5.2</v>
      </c>
      <c r="I909" s="491">
        <f t="shared" si="132"/>
        <v>5.2</v>
      </c>
      <c r="J909" s="492"/>
      <c r="K909" s="492"/>
      <c r="N909" s="456">
        <f>SUBTOTAL(9,K642:K813)</f>
        <v>113146.554</v>
      </c>
    </row>
    <row r="910" s="456" customFormat="1" spans="1:14">
      <c r="A910" s="488">
        <v>45835</v>
      </c>
      <c r="B910" s="489" t="s">
        <v>224</v>
      </c>
      <c r="C910" s="490">
        <v>45835</v>
      </c>
      <c r="D910" s="491"/>
      <c r="E910" s="491"/>
      <c r="F910" s="493" t="s">
        <v>191</v>
      </c>
      <c r="G910" s="491">
        <v>1</v>
      </c>
      <c r="H910" s="431">
        <v>1.2</v>
      </c>
      <c r="I910" s="491">
        <f t="shared" si="132"/>
        <v>1.2</v>
      </c>
      <c r="J910" s="492">
        <v>17</v>
      </c>
      <c r="K910" s="492">
        <f>I910*J910</f>
        <v>20.4</v>
      </c>
      <c r="M910" s="456" t="s">
        <v>678</v>
      </c>
    </row>
    <row r="911" s="456" customFormat="1" spans="1:14">
      <c r="A911" s="488">
        <v>45835</v>
      </c>
      <c r="B911" s="489" t="s">
        <v>224</v>
      </c>
      <c r="C911" s="490">
        <v>45835</v>
      </c>
      <c r="D911" s="491"/>
      <c r="E911" s="491"/>
      <c r="F911" s="499" t="s">
        <v>740</v>
      </c>
      <c r="G911" s="491">
        <v>1</v>
      </c>
      <c r="H911" s="431">
        <v>6</v>
      </c>
      <c r="I911" s="491">
        <f t="shared" ref="I911:I926" si="135">G911*H911</f>
        <v>6</v>
      </c>
      <c r="J911" s="492"/>
      <c r="K911" s="492"/>
    </row>
    <row r="912" s="456" customFormat="1" spans="1:14">
      <c r="A912" s="488">
        <v>45835</v>
      </c>
      <c r="B912" s="489" t="s">
        <v>224</v>
      </c>
      <c r="C912" s="490">
        <v>45835</v>
      </c>
      <c r="D912" s="491"/>
      <c r="E912" s="491"/>
      <c r="F912" s="493" t="s">
        <v>741</v>
      </c>
      <c r="G912" s="491">
        <v>1</v>
      </c>
      <c r="H912" s="431">
        <f>SUM(H904:H911)</f>
        <v>40.02</v>
      </c>
      <c r="I912" s="491">
        <f t="shared" si="135"/>
        <v>40.02</v>
      </c>
      <c r="J912" s="492">
        <v>1</v>
      </c>
      <c r="K912" s="492">
        <f>I912*J912</f>
        <v>40.02</v>
      </c>
      <c r="L912" s="456">
        <f>SUM(K904:K912)</f>
        <v>174.014</v>
      </c>
    </row>
    <row r="913" s="457" customFormat="1" spans="1:13">
      <c r="A913" s="494"/>
      <c r="B913" s="442"/>
      <c r="C913" s="495"/>
      <c r="D913" s="463"/>
      <c r="E913" s="463"/>
      <c r="F913" s="496" t="s">
        <v>623</v>
      </c>
      <c r="G913" s="463"/>
      <c r="H913" s="432"/>
      <c r="I913" s="463"/>
      <c r="J913" s="497"/>
      <c r="K913" s="497"/>
    </row>
    <row r="914" s="459" customFormat="1" spans="1:13">
      <c r="A914" s="563">
        <v>45836</v>
      </c>
      <c r="B914" s="564" t="s">
        <v>390</v>
      </c>
      <c r="C914" s="565">
        <v>45835</v>
      </c>
      <c r="D914" s="566"/>
      <c r="E914" s="566"/>
      <c r="F914" s="493" t="s">
        <v>494</v>
      </c>
      <c r="G914" s="566">
        <v>10</v>
      </c>
      <c r="H914" s="567">
        <v>1</v>
      </c>
      <c r="I914" s="566">
        <f>G914*H914</f>
        <v>10</v>
      </c>
      <c r="J914" s="568">
        <v>7</v>
      </c>
      <c r="K914" s="568">
        <f>I914*J914</f>
        <v>70</v>
      </c>
      <c r="L914" s="569">
        <v>45835</v>
      </c>
    </row>
    <row r="915" s="459" customFormat="1" spans="1:13">
      <c r="A915" s="563">
        <v>45836</v>
      </c>
      <c r="B915" s="564" t="s">
        <v>390</v>
      </c>
      <c r="C915" s="565">
        <v>45836</v>
      </c>
      <c r="D915" s="566"/>
      <c r="E915" s="566"/>
      <c r="F915" s="493" t="s">
        <v>500</v>
      </c>
      <c r="G915" s="566">
        <v>1</v>
      </c>
      <c r="H915" s="567">
        <v>1</v>
      </c>
      <c r="I915" s="566">
        <f>G915*H915</f>
        <v>1</v>
      </c>
      <c r="J915" s="568">
        <v>5.5</v>
      </c>
      <c r="K915" s="568">
        <f>I915*J915</f>
        <v>5.5</v>
      </c>
      <c r="L915" s="569">
        <v>45836</v>
      </c>
    </row>
    <row r="916" s="456" customFormat="1" spans="1:13">
      <c r="A916" s="563">
        <v>45836</v>
      </c>
      <c r="B916" s="564" t="s">
        <v>390</v>
      </c>
      <c r="C916" s="565">
        <v>45836</v>
      </c>
      <c r="D916" s="566"/>
      <c r="E916" s="566"/>
      <c r="F916" s="570" t="s">
        <v>42</v>
      </c>
      <c r="G916" s="566">
        <v>1</v>
      </c>
      <c r="H916" s="570">
        <v>80</v>
      </c>
      <c r="I916" s="566">
        <f t="shared" si="135"/>
        <v>80</v>
      </c>
      <c r="J916" s="568"/>
      <c r="K916" s="568"/>
      <c r="L916" s="571"/>
      <c r="M916" s="457"/>
    </row>
    <row r="917" s="456" customFormat="1" spans="1:13">
      <c r="A917" s="563">
        <v>45836</v>
      </c>
      <c r="B917" s="564" t="s">
        <v>390</v>
      </c>
      <c r="C917" s="565">
        <v>45836</v>
      </c>
      <c r="D917" s="566"/>
      <c r="E917" s="566"/>
      <c r="F917" s="570" t="s">
        <v>207</v>
      </c>
      <c r="G917" s="566">
        <v>1</v>
      </c>
      <c r="H917" s="570">
        <v>160</v>
      </c>
      <c r="I917" s="566">
        <f t="shared" si="135"/>
        <v>160</v>
      </c>
      <c r="J917" s="568"/>
      <c r="K917" s="568"/>
      <c r="L917" s="571"/>
      <c r="M917" s="457"/>
    </row>
    <row r="918" s="456" customFormat="1" spans="1:13">
      <c r="A918" s="563">
        <v>45836</v>
      </c>
      <c r="B918" s="564" t="s">
        <v>390</v>
      </c>
      <c r="C918" s="565">
        <v>45836</v>
      </c>
      <c r="D918" s="566"/>
      <c r="E918" s="566"/>
      <c r="F918" s="570" t="s">
        <v>742</v>
      </c>
      <c r="G918" s="566">
        <v>1</v>
      </c>
      <c r="H918" s="570">
        <v>113</v>
      </c>
      <c r="I918" s="566">
        <f t="shared" si="135"/>
        <v>113</v>
      </c>
      <c r="J918" s="568"/>
      <c r="K918" s="568"/>
      <c r="L918" s="571"/>
      <c r="M918" s="457"/>
    </row>
    <row r="919" s="456" customFormat="1" spans="1:13">
      <c r="A919" s="563">
        <v>45836</v>
      </c>
      <c r="B919" s="564" t="s">
        <v>390</v>
      </c>
      <c r="C919" s="565">
        <v>45836</v>
      </c>
      <c r="D919" s="566"/>
      <c r="E919" s="566"/>
      <c r="F919" s="570" t="s">
        <v>553</v>
      </c>
      <c r="G919" s="566">
        <v>1</v>
      </c>
      <c r="H919" s="570">
        <v>115</v>
      </c>
      <c r="I919" s="566">
        <f t="shared" si="135"/>
        <v>115</v>
      </c>
      <c r="J919" s="568"/>
      <c r="K919" s="568"/>
      <c r="L919" s="571"/>
      <c r="M919" s="457"/>
    </row>
    <row r="920" s="456" customFormat="1" spans="1:13">
      <c r="A920" s="563">
        <v>45836</v>
      </c>
      <c r="B920" s="564" t="s">
        <v>390</v>
      </c>
      <c r="C920" s="565">
        <v>45836</v>
      </c>
      <c r="D920" s="566"/>
      <c r="E920" s="566"/>
      <c r="F920" s="571" t="s">
        <v>191</v>
      </c>
      <c r="G920" s="566">
        <v>1</v>
      </c>
      <c r="H920" s="570">
        <v>20</v>
      </c>
      <c r="I920" s="566">
        <f t="shared" si="135"/>
        <v>20</v>
      </c>
      <c r="J920" s="568">
        <v>17</v>
      </c>
      <c r="K920" s="568">
        <f>I920*J920</f>
        <v>340</v>
      </c>
      <c r="L920" s="571"/>
      <c r="M920" s="457"/>
    </row>
    <row r="921" s="456" customFormat="1" spans="1:13">
      <c r="A921" s="563">
        <v>45836</v>
      </c>
      <c r="B921" s="564" t="s">
        <v>390</v>
      </c>
      <c r="C921" s="565">
        <v>45836</v>
      </c>
      <c r="D921" s="566"/>
      <c r="E921" s="566"/>
      <c r="F921" s="570" t="s">
        <v>152</v>
      </c>
      <c r="G921" s="566">
        <v>1</v>
      </c>
      <c r="H921" s="570">
        <v>73</v>
      </c>
      <c r="I921" s="566">
        <f t="shared" si="135"/>
        <v>73</v>
      </c>
      <c r="J921" s="568">
        <v>6.7</v>
      </c>
      <c r="K921" s="568">
        <f>I921*J921</f>
        <v>489.1</v>
      </c>
      <c r="L921" s="571"/>
    </row>
    <row r="922" s="456" customFormat="1" spans="1:13">
      <c r="A922" s="563">
        <v>45836</v>
      </c>
      <c r="B922" s="564" t="s">
        <v>390</v>
      </c>
      <c r="C922" s="565">
        <v>45836</v>
      </c>
      <c r="D922" s="566"/>
      <c r="E922" s="566"/>
      <c r="F922" s="570" t="s">
        <v>132</v>
      </c>
      <c r="G922" s="566">
        <v>1</v>
      </c>
      <c r="H922" s="570">
        <v>186</v>
      </c>
      <c r="I922" s="566">
        <f t="shared" si="135"/>
        <v>186</v>
      </c>
      <c r="J922" s="568">
        <v>3.5</v>
      </c>
      <c r="K922" s="568">
        <f>I922*J922</f>
        <v>651</v>
      </c>
      <c r="L922" s="571" t="s">
        <v>743</v>
      </c>
      <c r="M922" s="457" t="s">
        <v>744</v>
      </c>
    </row>
    <row r="923" s="456" customFormat="1" spans="1:13">
      <c r="A923" s="563">
        <v>45836</v>
      </c>
      <c r="B923" s="564" t="s">
        <v>390</v>
      </c>
      <c r="C923" s="565">
        <v>45836</v>
      </c>
      <c r="D923" s="566"/>
      <c r="E923" s="566"/>
      <c r="F923" s="570" t="s">
        <v>211</v>
      </c>
      <c r="G923" s="566">
        <v>1</v>
      </c>
      <c r="H923" s="570">
        <v>2</v>
      </c>
      <c r="I923" s="566">
        <f t="shared" ref="I923:I956" si="136">G923*H923</f>
        <v>2</v>
      </c>
      <c r="J923" s="568"/>
      <c r="K923" s="568"/>
      <c r="L923" s="571"/>
      <c r="M923" s="457"/>
    </row>
    <row r="924" s="456" customFormat="1" spans="1:13">
      <c r="A924" s="563">
        <v>45836</v>
      </c>
      <c r="B924" s="564" t="s">
        <v>390</v>
      </c>
      <c r="C924" s="565">
        <v>45836</v>
      </c>
      <c r="D924" s="566"/>
      <c r="E924" s="566"/>
      <c r="F924" s="570" t="s">
        <v>125</v>
      </c>
      <c r="G924" s="566">
        <v>1</v>
      </c>
      <c r="H924" s="570">
        <v>47</v>
      </c>
      <c r="I924" s="566">
        <f t="shared" si="136"/>
        <v>47</v>
      </c>
      <c r="J924" s="568">
        <v>5.5</v>
      </c>
      <c r="K924" s="568">
        <f>I924*J924</f>
        <v>258.5</v>
      </c>
      <c r="L924" s="571"/>
      <c r="M924" s="457"/>
    </row>
    <row r="925" s="456" customFormat="1" spans="1:13">
      <c r="A925" s="563">
        <v>45836</v>
      </c>
      <c r="B925" s="564" t="s">
        <v>390</v>
      </c>
      <c r="C925" s="565">
        <v>45836</v>
      </c>
      <c r="D925" s="566"/>
      <c r="E925" s="566"/>
      <c r="F925" s="570" t="s">
        <v>212</v>
      </c>
      <c r="G925" s="566">
        <v>1</v>
      </c>
      <c r="H925" s="572">
        <f>SUM(H916:H924)</f>
        <v>796</v>
      </c>
      <c r="I925" s="566">
        <f t="shared" si="136"/>
        <v>796</v>
      </c>
      <c r="J925" s="568">
        <v>1</v>
      </c>
      <c r="K925" s="568">
        <f>I925*J925</f>
        <v>796</v>
      </c>
      <c r="L925" s="571">
        <f>SUM(K914:K925)</f>
        <v>2610.1</v>
      </c>
      <c r="M925" s="457"/>
    </row>
    <row r="926" s="456" customFormat="1" spans="1:13">
      <c r="A926" s="488">
        <v>45836</v>
      </c>
      <c r="B926" s="489" t="s">
        <v>518</v>
      </c>
      <c r="C926" s="490">
        <v>45836</v>
      </c>
      <c r="D926" s="491"/>
      <c r="E926" s="491"/>
      <c r="F926" s="493" t="s">
        <v>42</v>
      </c>
      <c r="G926" s="491">
        <v>1</v>
      </c>
      <c r="H926" s="431">
        <v>20</v>
      </c>
      <c r="I926" s="491">
        <f t="shared" si="136"/>
        <v>20</v>
      </c>
      <c r="J926" s="492"/>
      <c r="K926" s="492"/>
    </row>
    <row r="927" s="456" customFormat="1" spans="1:13">
      <c r="A927" s="488">
        <v>45836</v>
      </c>
      <c r="B927" s="489" t="s">
        <v>518</v>
      </c>
      <c r="C927" s="490">
        <v>45836</v>
      </c>
      <c r="D927" s="491"/>
      <c r="E927" s="491"/>
      <c r="F927" s="493" t="s">
        <v>207</v>
      </c>
      <c r="G927" s="491">
        <v>1</v>
      </c>
      <c r="H927" s="431">
        <v>40</v>
      </c>
      <c r="I927" s="491">
        <f t="shared" si="136"/>
        <v>40</v>
      </c>
      <c r="J927" s="492"/>
      <c r="K927" s="492"/>
    </row>
    <row r="928" s="456" customFormat="1" spans="1:13">
      <c r="A928" s="488">
        <v>45836</v>
      </c>
      <c r="B928" s="489" t="s">
        <v>518</v>
      </c>
      <c r="C928" s="490">
        <v>45836</v>
      </c>
      <c r="D928" s="491"/>
      <c r="E928" s="491"/>
      <c r="F928" s="493" t="s">
        <v>742</v>
      </c>
      <c r="G928" s="491">
        <v>1</v>
      </c>
      <c r="H928" s="431">
        <v>30</v>
      </c>
      <c r="I928" s="491">
        <f t="shared" si="136"/>
        <v>30</v>
      </c>
      <c r="J928" s="492"/>
      <c r="K928" s="492"/>
    </row>
    <row r="929" s="456" customFormat="1" spans="1:17">
      <c r="A929" s="488">
        <v>45836</v>
      </c>
      <c r="B929" s="489" t="s">
        <v>518</v>
      </c>
      <c r="C929" s="490">
        <v>45836</v>
      </c>
      <c r="D929" s="491"/>
      <c r="E929" s="491"/>
      <c r="F929" s="493" t="s">
        <v>553</v>
      </c>
      <c r="G929" s="491">
        <v>1</v>
      </c>
      <c r="H929" s="431">
        <v>30</v>
      </c>
      <c r="I929" s="491">
        <f t="shared" si="136"/>
        <v>30</v>
      </c>
      <c r="J929" s="492"/>
      <c r="K929" s="492"/>
    </row>
    <row r="930" s="456" customFormat="1" spans="1:17">
      <c r="A930" s="488">
        <v>45836</v>
      </c>
      <c r="B930" s="489" t="s">
        <v>518</v>
      </c>
      <c r="C930" s="490">
        <v>45836</v>
      </c>
      <c r="D930" s="491"/>
      <c r="E930" s="491"/>
      <c r="F930" s="456" t="s">
        <v>191</v>
      </c>
      <c r="G930" s="491">
        <v>1</v>
      </c>
      <c r="H930" s="431">
        <v>25</v>
      </c>
      <c r="I930" s="491">
        <f t="shared" si="136"/>
        <v>25</v>
      </c>
      <c r="J930" s="492">
        <v>17</v>
      </c>
      <c r="K930" s="492">
        <f t="shared" ref="K930:K932" si="137">I930*J930</f>
        <v>425</v>
      </c>
      <c r="L930" s="456" t="s">
        <v>745</v>
      </c>
      <c r="M930" s="457"/>
    </row>
    <row r="931" s="456" customFormat="1" spans="1:17">
      <c r="A931" s="488">
        <v>45836</v>
      </c>
      <c r="B931" s="489" t="s">
        <v>518</v>
      </c>
      <c r="C931" s="490">
        <v>45836</v>
      </c>
      <c r="D931" s="491"/>
      <c r="E931" s="491"/>
      <c r="F931" s="493" t="s">
        <v>152</v>
      </c>
      <c r="G931" s="491">
        <v>1</v>
      </c>
      <c r="H931" s="431">
        <v>19</v>
      </c>
      <c r="I931" s="491">
        <f t="shared" si="136"/>
        <v>19</v>
      </c>
      <c r="J931" s="492">
        <v>6.7</v>
      </c>
      <c r="K931" s="492">
        <f t="shared" si="137"/>
        <v>127.3</v>
      </c>
    </row>
    <row r="932" s="456" customFormat="1" spans="1:17">
      <c r="A932" s="488">
        <v>45836</v>
      </c>
      <c r="B932" s="489" t="s">
        <v>518</v>
      </c>
      <c r="C932" s="490">
        <v>45836</v>
      </c>
      <c r="D932" s="491"/>
      <c r="E932" s="491"/>
      <c r="F932" s="493" t="s">
        <v>132</v>
      </c>
      <c r="G932" s="491">
        <v>1</v>
      </c>
      <c r="H932" s="431">
        <v>114</v>
      </c>
      <c r="I932" s="491">
        <f t="shared" si="136"/>
        <v>114</v>
      </c>
      <c r="J932" s="492">
        <v>3.5</v>
      </c>
      <c r="K932" s="492">
        <f t="shared" si="137"/>
        <v>399</v>
      </c>
      <c r="L932" s="456" t="s">
        <v>746</v>
      </c>
    </row>
    <row r="933" s="456" customFormat="1" spans="1:17">
      <c r="A933" s="488">
        <v>45836</v>
      </c>
      <c r="B933" s="489" t="s">
        <v>518</v>
      </c>
      <c r="C933" s="490">
        <v>45836</v>
      </c>
      <c r="D933" s="491"/>
      <c r="E933" s="491"/>
      <c r="F933" s="493" t="s">
        <v>211</v>
      </c>
      <c r="G933" s="491">
        <v>1</v>
      </c>
      <c r="H933" s="431">
        <v>0.5</v>
      </c>
      <c r="I933" s="491">
        <f t="shared" si="136"/>
        <v>0.5</v>
      </c>
      <c r="J933" s="492"/>
      <c r="K933" s="492"/>
    </row>
    <row r="934" s="456" customFormat="1" spans="1:17">
      <c r="A934" s="488">
        <v>45836</v>
      </c>
      <c r="B934" s="489" t="s">
        <v>518</v>
      </c>
      <c r="C934" s="490">
        <v>45836</v>
      </c>
      <c r="D934" s="491"/>
      <c r="E934" s="491"/>
      <c r="F934" s="493" t="s">
        <v>125</v>
      </c>
      <c r="G934" s="491">
        <v>1</v>
      </c>
      <c r="H934" s="431">
        <v>85</v>
      </c>
      <c r="I934" s="491">
        <f t="shared" si="136"/>
        <v>85</v>
      </c>
      <c r="J934" s="492">
        <v>5.5</v>
      </c>
      <c r="K934" s="492">
        <f t="shared" ref="K934:K937" si="138">I934*J934</f>
        <v>467.5</v>
      </c>
      <c r="L934" s="456" t="s">
        <v>747</v>
      </c>
      <c r="M934" s="456" t="s">
        <v>748</v>
      </c>
    </row>
    <row r="935" s="457" customFormat="1" spans="1:17">
      <c r="A935" s="488">
        <v>45836</v>
      </c>
      <c r="B935" s="489" t="s">
        <v>518</v>
      </c>
      <c r="C935" s="490">
        <v>45836</v>
      </c>
      <c r="D935" s="491"/>
      <c r="E935" s="491"/>
      <c r="F935" s="493" t="s">
        <v>749</v>
      </c>
      <c r="G935" s="491">
        <v>1</v>
      </c>
      <c r="H935" s="431">
        <f>SUM(H926:H934)</f>
        <v>363.5</v>
      </c>
      <c r="I935" s="491">
        <f t="shared" si="136"/>
        <v>363.5</v>
      </c>
      <c r="J935" s="492">
        <v>1</v>
      </c>
      <c r="K935" s="492">
        <f t="shared" si="138"/>
        <v>363.5</v>
      </c>
      <c r="L935" s="456">
        <f>SUM(K926:K935)</f>
        <v>1782.3</v>
      </c>
    </row>
    <row r="936" s="457" customFormat="1" spans="1:17">
      <c r="A936" s="494">
        <v>45838</v>
      </c>
      <c r="B936" s="442" t="s">
        <v>483</v>
      </c>
      <c r="C936" s="495">
        <v>45838</v>
      </c>
      <c r="D936" s="463"/>
      <c r="E936" s="463"/>
      <c r="F936" s="496">
        <v>808</v>
      </c>
      <c r="G936" s="463">
        <v>1</v>
      </c>
      <c r="H936" s="432">
        <v>102</v>
      </c>
      <c r="I936" s="463">
        <f t="shared" si="136"/>
        <v>102</v>
      </c>
      <c r="J936" s="497">
        <v>8.6</v>
      </c>
      <c r="K936" s="497">
        <f t="shared" si="138"/>
        <v>877.2</v>
      </c>
    </row>
    <row r="937" s="457" customFormat="1" spans="1:17">
      <c r="A937" s="494">
        <v>45838</v>
      </c>
      <c r="B937" s="442" t="s">
        <v>483</v>
      </c>
      <c r="C937" s="495">
        <v>45838</v>
      </c>
      <c r="D937" s="463"/>
      <c r="E937" s="463"/>
      <c r="F937" s="496" t="s">
        <v>12</v>
      </c>
      <c r="G937" s="463">
        <v>1</v>
      </c>
      <c r="H937" s="432">
        <v>42</v>
      </c>
      <c r="I937" s="463">
        <f t="shared" si="136"/>
        <v>42</v>
      </c>
      <c r="J937" s="497">
        <v>6.7</v>
      </c>
      <c r="K937" s="497">
        <f t="shared" si="138"/>
        <v>281.4</v>
      </c>
    </row>
    <row r="938" s="457" customFormat="1" spans="1:17">
      <c r="A938" s="494">
        <v>45838</v>
      </c>
      <c r="B938" s="442" t="s">
        <v>483</v>
      </c>
      <c r="C938" s="495">
        <v>45838</v>
      </c>
      <c r="D938" s="463"/>
      <c r="E938" s="463"/>
      <c r="F938" s="496" t="s">
        <v>709</v>
      </c>
      <c r="G938" s="463">
        <v>1</v>
      </c>
      <c r="H938" s="432">
        <v>150</v>
      </c>
      <c r="I938" s="463">
        <f t="shared" si="136"/>
        <v>150</v>
      </c>
      <c r="J938" s="497"/>
      <c r="K938" s="497"/>
      <c r="L938" s="457" t="s">
        <v>126</v>
      </c>
    </row>
    <row r="939" s="457" customFormat="1" spans="1:17">
      <c r="A939" s="494">
        <v>45838</v>
      </c>
      <c r="B939" s="442" t="s">
        <v>483</v>
      </c>
      <c r="C939" s="495">
        <v>45838</v>
      </c>
      <c r="D939" s="463"/>
      <c r="E939" s="463"/>
      <c r="F939" s="496" t="s">
        <v>710</v>
      </c>
      <c r="G939" s="463">
        <v>1</v>
      </c>
      <c r="H939" s="432">
        <v>140</v>
      </c>
      <c r="I939" s="463">
        <f t="shared" si="136"/>
        <v>140</v>
      </c>
      <c r="J939" s="497"/>
      <c r="K939" s="497"/>
    </row>
    <row r="940" s="457" customFormat="1" spans="1:17">
      <c r="A940" s="494">
        <v>45838</v>
      </c>
      <c r="B940" s="442" t="s">
        <v>483</v>
      </c>
      <c r="C940" s="495">
        <v>45838</v>
      </c>
      <c r="D940" s="463"/>
      <c r="E940" s="463"/>
      <c r="F940" s="498" t="s">
        <v>725</v>
      </c>
      <c r="G940" s="463">
        <v>1</v>
      </c>
      <c r="H940" s="432">
        <v>358</v>
      </c>
      <c r="I940" s="463">
        <f t="shared" si="136"/>
        <v>358</v>
      </c>
      <c r="J940" s="497"/>
      <c r="K940" s="497"/>
      <c r="N940" s="457">
        <f>SUBTOTAL(9,K676:K847)</f>
        <v>117491.354</v>
      </c>
    </row>
    <row r="941" s="457" customFormat="1" spans="1:17">
      <c r="A941" s="494">
        <v>45838</v>
      </c>
      <c r="B941" s="442" t="s">
        <v>483</v>
      </c>
      <c r="C941" s="495">
        <v>45838</v>
      </c>
      <c r="D941" s="463"/>
      <c r="E941" s="463"/>
      <c r="F941" s="496" t="s">
        <v>16</v>
      </c>
      <c r="G941" s="463">
        <v>1</v>
      </c>
      <c r="H941" s="432">
        <v>208</v>
      </c>
      <c r="I941" s="463">
        <f t="shared" si="136"/>
        <v>208</v>
      </c>
      <c r="J941" s="497"/>
      <c r="K941" s="497"/>
    </row>
    <row r="942" s="457" customFormat="1" spans="1:17">
      <c r="A942" s="494">
        <v>45838</v>
      </c>
      <c r="B942" s="442" t="s">
        <v>483</v>
      </c>
      <c r="C942" s="495">
        <v>45838</v>
      </c>
      <c r="D942" s="463"/>
      <c r="E942" s="463"/>
      <c r="F942" s="496" t="s">
        <v>714</v>
      </c>
      <c r="G942" s="463">
        <v>1</v>
      </c>
      <c r="H942" s="432">
        <f>SUM(H936:H941)</f>
        <v>1000</v>
      </c>
      <c r="I942" s="463">
        <f t="shared" si="136"/>
        <v>1000</v>
      </c>
      <c r="J942" s="497">
        <v>1</v>
      </c>
      <c r="K942" s="497">
        <f>I942*J942</f>
        <v>1000</v>
      </c>
      <c r="L942" s="457">
        <f>SUM(K936:K942)</f>
        <v>2158.6</v>
      </c>
    </row>
    <row r="943" s="458" customFormat="1" ht="26" customHeight="1" spans="1:17">
      <c r="A943" s="509" t="s">
        <v>750</v>
      </c>
      <c r="B943" s="510"/>
      <c r="C943" s="510"/>
      <c r="D943" s="510"/>
      <c r="E943" s="510"/>
      <c r="F943" s="510"/>
      <c r="G943" s="510"/>
      <c r="H943" s="510"/>
      <c r="I943" s="510"/>
      <c r="J943" s="511" t="s">
        <v>28</v>
      </c>
      <c r="K943" s="557">
        <f>SUM(K946:K1108)</f>
        <v>41634.35</v>
      </c>
      <c r="L943" s="458" t="s">
        <v>29</v>
      </c>
      <c r="M943" s="509">
        <f>材料!L139+K975+K1100</f>
        <v>21219.775</v>
      </c>
      <c r="N943" s="513" t="s">
        <v>30</v>
      </c>
      <c r="O943" s="509">
        <f>K950+K957+K965+K973+K984+K994+K1004+K1012+K1020+K1032+K1039+K1049+K1056+K1062+K1069+K1078+K1091+K1103+K1108</f>
        <v>14084.575</v>
      </c>
      <c r="P943" s="510" t="s">
        <v>31</v>
      </c>
      <c r="Q943" s="509">
        <f>K985+K986+N104+K1084+K1082</f>
        <v>5030</v>
      </c>
    </row>
    <row r="944" s="458" customFormat="1" ht="26" customHeight="1" spans="1:17">
      <c r="A944" s="509"/>
      <c r="B944" s="510"/>
      <c r="C944" s="510"/>
      <c r="D944" s="510"/>
      <c r="E944" s="510"/>
      <c r="F944" s="510"/>
      <c r="G944" s="510"/>
      <c r="H944" s="510"/>
      <c r="I944" s="510"/>
      <c r="J944" s="510" t="s">
        <v>32</v>
      </c>
      <c r="K944" s="510"/>
      <c r="L944" s="458" t="s">
        <v>33</v>
      </c>
      <c r="M944" s="509">
        <f>K958+K966+K976+K974+K987+K995+K1005+K1013+K1021+K1024+K1041+K1057+K1070+K1071+K1080+K1081+K1085+K1083</f>
        <v>1300</v>
      </c>
      <c r="N944" s="514" t="s">
        <v>34</v>
      </c>
      <c r="O944" s="557">
        <f>M943+M944+O943+Q943</f>
        <v>41634.35</v>
      </c>
    </row>
    <row r="945" s="442" customFormat="1" ht="26" customHeight="1" spans="1:15">
      <c r="A945" s="483" t="s">
        <v>35</v>
      </c>
      <c r="B945" s="484" t="s">
        <v>36</v>
      </c>
      <c r="C945" s="485" t="s">
        <v>37</v>
      </c>
      <c r="D945" s="485"/>
      <c r="E945" s="485"/>
      <c r="F945" s="485" t="s">
        <v>38</v>
      </c>
      <c r="G945" s="485" t="s">
        <v>4</v>
      </c>
      <c r="H945" s="485" t="s">
        <v>5</v>
      </c>
      <c r="I945" s="485" t="s">
        <v>6</v>
      </c>
      <c r="J945" s="485" t="s">
        <v>7</v>
      </c>
      <c r="K945" s="485" t="s">
        <v>8</v>
      </c>
      <c r="L945" s="485" t="s">
        <v>39</v>
      </c>
      <c r="M945" s="485" t="s">
        <v>40</v>
      </c>
      <c r="N945" s="427"/>
      <c r="O945" s="427"/>
    </row>
    <row r="946" s="456" customFormat="1" spans="1:15">
      <c r="A946" s="488">
        <v>45839</v>
      </c>
      <c r="B946" s="489" t="s">
        <v>145</v>
      </c>
      <c r="C946" s="490">
        <v>45839</v>
      </c>
      <c r="D946" s="491"/>
      <c r="E946" s="491"/>
      <c r="F946" s="493" t="s">
        <v>16</v>
      </c>
      <c r="G946" s="491">
        <v>1</v>
      </c>
      <c r="H946" s="431">
        <v>48</v>
      </c>
      <c r="I946" s="491">
        <f t="shared" ref="I946:I952" si="139">G946*H946</f>
        <v>48</v>
      </c>
      <c r="J946" s="492">
        <v>13.5</v>
      </c>
      <c r="K946" s="492"/>
    </row>
    <row r="947" s="456" customFormat="1" spans="1:15">
      <c r="A947" s="488">
        <v>45839</v>
      </c>
      <c r="B947" s="489" t="s">
        <v>145</v>
      </c>
      <c r="C947" s="490">
        <v>45839</v>
      </c>
      <c r="D947" s="491"/>
      <c r="E947" s="491"/>
      <c r="F947" s="493">
        <v>996</v>
      </c>
      <c r="G947" s="491">
        <v>1</v>
      </c>
      <c r="H947" s="431">
        <v>150</v>
      </c>
      <c r="I947" s="491">
        <f t="shared" si="139"/>
        <v>150</v>
      </c>
      <c r="J947" s="492">
        <v>16</v>
      </c>
      <c r="K947" s="492">
        <f>I947*J947</f>
        <v>2400</v>
      </c>
    </row>
    <row r="948" s="456" customFormat="1" spans="1:15">
      <c r="A948" s="488">
        <v>45839</v>
      </c>
      <c r="B948" s="489" t="s">
        <v>145</v>
      </c>
      <c r="C948" s="490">
        <v>45839</v>
      </c>
      <c r="D948" s="491"/>
      <c r="E948" s="491"/>
      <c r="F948" s="493">
        <v>808</v>
      </c>
      <c r="G948" s="491">
        <v>1</v>
      </c>
      <c r="H948" s="431">
        <v>30</v>
      </c>
      <c r="I948" s="491">
        <f t="shared" si="139"/>
        <v>30</v>
      </c>
      <c r="J948" s="492">
        <v>8.6</v>
      </c>
      <c r="K948" s="492">
        <f>I948*J948</f>
        <v>258</v>
      </c>
      <c r="M948" s="457"/>
    </row>
    <row r="949" s="456" customFormat="1" spans="1:15">
      <c r="A949" s="488">
        <v>45839</v>
      </c>
      <c r="B949" s="489" t="s">
        <v>145</v>
      </c>
      <c r="C949" s="490">
        <v>45839</v>
      </c>
      <c r="D949" s="491"/>
      <c r="E949" s="491"/>
      <c r="F949" s="493" t="s">
        <v>12</v>
      </c>
      <c r="G949" s="491">
        <v>1</v>
      </c>
      <c r="H949" s="431">
        <v>30</v>
      </c>
      <c r="I949" s="491">
        <f t="shared" si="139"/>
        <v>30</v>
      </c>
      <c r="J949" s="492">
        <v>6.7</v>
      </c>
      <c r="K949" s="492">
        <f>I949*J949</f>
        <v>201</v>
      </c>
      <c r="M949" s="573"/>
      <c r="N949" s="573"/>
    </row>
    <row r="950" s="456" customFormat="1" spans="1:15">
      <c r="A950" s="488">
        <v>45839</v>
      </c>
      <c r="B950" s="489" t="s">
        <v>145</v>
      </c>
      <c r="C950" s="490">
        <v>45839</v>
      </c>
      <c r="D950" s="491"/>
      <c r="E950" s="491"/>
      <c r="F950" s="493" t="s">
        <v>456</v>
      </c>
      <c r="G950" s="491">
        <v>1</v>
      </c>
      <c r="H950" s="431">
        <f>SUM(H946:H949)</f>
        <v>258</v>
      </c>
      <c r="I950" s="491">
        <f t="shared" si="139"/>
        <v>258</v>
      </c>
      <c r="J950" s="492">
        <v>3</v>
      </c>
      <c r="K950" s="492">
        <f>I950*J950</f>
        <v>774</v>
      </c>
      <c r="L950" s="456">
        <f>SUM(K946:K950)</f>
        <v>3633</v>
      </c>
    </row>
    <row r="951" s="457" customFormat="1" spans="1:15">
      <c r="A951" s="494">
        <v>45840</v>
      </c>
      <c r="B951" s="442" t="s">
        <v>148</v>
      </c>
      <c r="C951" s="495">
        <v>45840</v>
      </c>
      <c r="D951" s="463"/>
      <c r="E951" s="463"/>
      <c r="F951" s="496" t="s">
        <v>132</v>
      </c>
      <c r="G951" s="463">
        <v>1</v>
      </c>
      <c r="H951" s="432">
        <v>3.5</v>
      </c>
      <c r="I951" s="463">
        <f t="shared" si="139"/>
        <v>3.5</v>
      </c>
      <c r="J951" s="497">
        <v>3.5</v>
      </c>
      <c r="K951" s="497">
        <f>I951*J951</f>
        <v>12.25</v>
      </c>
    </row>
    <row r="952" s="457" customFormat="1" spans="1:15">
      <c r="A952" s="494">
        <v>45840</v>
      </c>
      <c r="B952" s="442" t="s">
        <v>148</v>
      </c>
      <c r="C952" s="495">
        <v>45840</v>
      </c>
      <c r="D952" s="463"/>
      <c r="E952" s="463"/>
      <c r="F952" s="496" t="s">
        <v>207</v>
      </c>
      <c r="G952" s="463">
        <v>1</v>
      </c>
      <c r="H952" s="432">
        <v>4.5</v>
      </c>
      <c r="I952" s="463">
        <f t="shared" si="139"/>
        <v>4.5</v>
      </c>
      <c r="J952" s="497"/>
      <c r="K952" s="497"/>
      <c r="L952" s="457" t="s">
        <v>116</v>
      </c>
    </row>
    <row r="953" s="457" customFormat="1" spans="1:15">
      <c r="A953" s="494">
        <v>45840</v>
      </c>
      <c r="B953" s="442" t="s">
        <v>148</v>
      </c>
      <c r="C953" s="495">
        <v>45840</v>
      </c>
      <c r="D953" s="463"/>
      <c r="E953" s="463"/>
      <c r="F953" s="496" t="s">
        <v>710</v>
      </c>
      <c r="G953" s="463">
        <v>1</v>
      </c>
      <c r="H953" s="432">
        <v>4.5</v>
      </c>
      <c r="I953" s="463">
        <f t="shared" ref="I953:I958" si="140">G953*H953</f>
        <v>4.5</v>
      </c>
      <c r="J953" s="497"/>
      <c r="K953" s="497"/>
    </row>
    <row r="954" s="457" customFormat="1" spans="1:15">
      <c r="A954" s="494">
        <v>45840</v>
      </c>
      <c r="B954" s="442" t="s">
        <v>148</v>
      </c>
      <c r="C954" s="495">
        <v>45840</v>
      </c>
      <c r="D954" s="463"/>
      <c r="E954" s="463"/>
      <c r="F954" s="496" t="s">
        <v>725</v>
      </c>
      <c r="G954" s="463">
        <v>1</v>
      </c>
      <c r="H954" s="432">
        <v>3.24</v>
      </c>
      <c r="I954" s="463">
        <f t="shared" si="140"/>
        <v>3.24</v>
      </c>
      <c r="J954" s="497"/>
      <c r="K954" s="497"/>
      <c r="N954" s="457">
        <f>SUBTOTAL(9,K686:K857)</f>
        <v>117023.754</v>
      </c>
    </row>
    <row r="955" s="457" customFormat="1" spans="1:15">
      <c r="A955" s="494">
        <v>45840</v>
      </c>
      <c r="B955" s="442" t="s">
        <v>148</v>
      </c>
      <c r="C955" s="495">
        <v>45840</v>
      </c>
      <c r="D955" s="463"/>
      <c r="E955" s="463"/>
      <c r="F955" s="496" t="s">
        <v>191</v>
      </c>
      <c r="G955" s="463">
        <v>1</v>
      </c>
      <c r="H955" s="432">
        <v>0.45</v>
      </c>
      <c r="I955" s="463">
        <f t="shared" si="140"/>
        <v>0.45</v>
      </c>
      <c r="J955" s="497">
        <v>17</v>
      </c>
      <c r="K955" s="497">
        <f t="shared" ref="K955:K959" si="141">I955*J955</f>
        <v>7.65</v>
      </c>
    </row>
    <row r="956" s="457" customFormat="1" spans="1:15">
      <c r="A956" s="494">
        <v>45840</v>
      </c>
      <c r="B956" s="442" t="s">
        <v>148</v>
      </c>
      <c r="C956" s="495">
        <v>45840</v>
      </c>
      <c r="D956" s="463"/>
      <c r="E956" s="463"/>
      <c r="F956" s="496" t="s">
        <v>740</v>
      </c>
      <c r="G956" s="463">
        <v>1</v>
      </c>
      <c r="H956" s="432">
        <v>1.8</v>
      </c>
      <c r="I956" s="463">
        <f t="shared" si="140"/>
        <v>1.8</v>
      </c>
      <c r="J956" s="497"/>
      <c r="K956" s="497"/>
    </row>
    <row r="957" s="457" customFormat="1" spans="1:15">
      <c r="A957" s="494">
        <v>45840</v>
      </c>
      <c r="B957" s="442" t="s">
        <v>148</v>
      </c>
      <c r="C957" s="495">
        <v>45840</v>
      </c>
      <c r="D957" s="463"/>
      <c r="E957" s="463"/>
      <c r="F957" s="496" t="s">
        <v>751</v>
      </c>
      <c r="G957" s="463">
        <v>1</v>
      </c>
      <c r="H957" s="574">
        <f>SUM(H951:H956)</f>
        <v>17.99</v>
      </c>
      <c r="I957" s="574">
        <f t="shared" si="140"/>
        <v>17.99</v>
      </c>
      <c r="J957" s="497">
        <v>1</v>
      </c>
      <c r="K957" s="574">
        <f t="shared" si="141"/>
        <v>17.99</v>
      </c>
      <c r="L957" s="457">
        <f>SUM(K951:K958)</f>
        <v>50.39</v>
      </c>
    </row>
    <row r="958" s="457" customFormat="1" spans="1:15">
      <c r="A958" s="494">
        <v>45840</v>
      </c>
      <c r="B958" s="442" t="s">
        <v>148</v>
      </c>
      <c r="C958" s="495">
        <v>45840</v>
      </c>
      <c r="D958" s="463"/>
      <c r="E958" s="463"/>
      <c r="F958" s="496" t="s">
        <v>719</v>
      </c>
      <c r="G958" s="463">
        <v>1</v>
      </c>
      <c r="H958" s="574">
        <v>1</v>
      </c>
      <c r="I958" s="574">
        <f t="shared" si="140"/>
        <v>1</v>
      </c>
      <c r="J958" s="497">
        <v>12.5</v>
      </c>
      <c r="K958" s="574">
        <f t="shared" si="141"/>
        <v>12.5</v>
      </c>
    </row>
    <row r="959" s="456" customFormat="1" spans="1:15">
      <c r="A959" s="488">
        <v>45840</v>
      </c>
      <c r="B959" s="489" t="s">
        <v>151</v>
      </c>
      <c r="C959" s="490">
        <v>45840</v>
      </c>
      <c r="D959" s="491"/>
      <c r="E959" s="491"/>
      <c r="F959" s="493" t="s">
        <v>132</v>
      </c>
      <c r="G959" s="491">
        <v>1</v>
      </c>
      <c r="H959" s="431">
        <v>3.5</v>
      </c>
      <c r="I959" s="491">
        <f t="shared" ref="I959:I976" si="142">G959*H959</f>
        <v>3.5</v>
      </c>
      <c r="J959" s="492">
        <v>3.5</v>
      </c>
      <c r="K959" s="492">
        <f t="shared" si="141"/>
        <v>12.25</v>
      </c>
    </row>
    <row r="960" s="456" customFormat="1" spans="1:15">
      <c r="A960" s="488">
        <v>45840</v>
      </c>
      <c r="B960" s="489" t="s">
        <v>151</v>
      </c>
      <c r="C960" s="490">
        <v>45840</v>
      </c>
      <c r="D960" s="491"/>
      <c r="E960" s="491"/>
      <c r="F960" s="493" t="s">
        <v>114</v>
      </c>
      <c r="G960" s="491">
        <v>1</v>
      </c>
      <c r="H960" s="431">
        <v>4.5</v>
      </c>
      <c r="I960" s="491">
        <f t="shared" si="142"/>
        <v>4.5</v>
      </c>
      <c r="J960" s="492"/>
      <c r="K960" s="492"/>
      <c r="L960" s="456" t="s">
        <v>116</v>
      </c>
    </row>
    <row r="961" s="456" customFormat="1" spans="1:14">
      <c r="A961" s="488">
        <v>45840</v>
      </c>
      <c r="B961" s="489" t="s">
        <v>151</v>
      </c>
      <c r="C961" s="490">
        <v>45840</v>
      </c>
      <c r="D961" s="491"/>
      <c r="E961" s="491"/>
      <c r="F961" s="493" t="s">
        <v>710</v>
      </c>
      <c r="G961" s="491">
        <v>1</v>
      </c>
      <c r="H961" s="431">
        <v>4.5</v>
      </c>
      <c r="I961" s="491">
        <f t="shared" si="142"/>
        <v>4.5</v>
      </c>
      <c r="J961" s="492"/>
      <c r="K961" s="492"/>
    </row>
    <row r="962" s="456" customFormat="1" spans="1:14">
      <c r="A962" s="488">
        <v>45840</v>
      </c>
      <c r="B962" s="489" t="s">
        <v>151</v>
      </c>
      <c r="C962" s="490">
        <v>45840</v>
      </c>
      <c r="D962" s="491"/>
      <c r="E962" s="491"/>
      <c r="F962" s="493" t="s">
        <v>725</v>
      </c>
      <c r="G962" s="491">
        <v>1</v>
      </c>
      <c r="H962" s="431">
        <v>3.24</v>
      </c>
      <c r="I962" s="491">
        <f t="shared" si="142"/>
        <v>3.24</v>
      </c>
      <c r="J962" s="492"/>
      <c r="K962" s="492"/>
      <c r="N962" s="456">
        <f>SUBTOTAL(9,K693:K864)</f>
        <v>111759.954</v>
      </c>
    </row>
    <row r="963" s="456" customFormat="1" spans="1:14">
      <c r="A963" s="488">
        <v>45840</v>
      </c>
      <c r="B963" s="489" t="s">
        <v>151</v>
      </c>
      <c r="C963" s="490">
        <v>45840</v>
      </c>
      <c r="D963" s="491"/>
      <c r="E963" s="491"/>
      <c r="F963" s="493" t="s">
        <v>191</v>
      </c>
      <c r="G963" s="491">
        <v>1</v>
      </c>
      <c r="H963" s="431">
        <v>0.45</v>
      </c>
      <c r="I963" s="491">
        <f t="shared" si="142"/>
        <v>0.45</v>
      </c>
      <c r="J963" s="492">
        <v>17</v>
      </c>
      <c r="K963" s="492">
        <f t="shared" ref="K963:K967" si="143">I963*J963</f>
        <v>7.65</v>
      </c>
      <c r="M963" s="457"/>
    </row>
    <row r="964" s="456" customFormat="1" spans="1:14">
      <c r="A964" s="488">
        <v>45840</v>
      </c>
      <c r="B964" s="489" t="s">
        <v>151</v>
      </c>
      <c r="C964" s="490">
        <v>45840</v>
      </c>
      <c r="D964" s="491"/>
      <c r="E964" s="491"/>
      <c r="F964" s="493" t="s">
        <v>740</v>
      </c>
      <c r="G964" s="491">
        <v>1</v>
      </c>
      <c r="H964" s="431">
        <v>1.8</v>
      </c>
      <c r="I964" s="491">
        <f t="shared" si="142"/>
        <v>1.8</v>
      </c>
      <c r="J964" s="492"/>
      <c r="K964" s="492"/>
    </row>
    <row r="965" s="456" customFormat="1" spans="1:14">
      <c r="A965" s="488">
        <v>45840</v>
      </c>
      <c r="B965" s="489" t="s">
        <v>151</v>
      </c>
      <c r="C965" s="490">
        <v>45840</v>
      </c>
      <c r="D965" s="491"/>
      <c r="E965" s="491"/>
      <c r="F965" s="493" t="s">
        <v>752</v>
      </c>
      <c r="G965" s="491">
        <v>1</v>
      </c>
      <c r="H965" s="575">
        <f>SUM(H959:H964)</f>
        <v>17.99</v>
      </c>
      <c r="I965" s="575">
        <f t="shared" si="142"/>
        <v>17.99</v>
      </c>
      <c r="J965" s="492">
        <v>1</v>
      </c>
      <c r="K965" s="575">
        <f t="shared" si="143"/>
        <v>17.99</v>
      </c>
      <c r="L965" s="456">
        <f>SUM(K959:K966)</f>
        <v>50.39</v>
      </c>
    </row>
    <row r="966" s="457" customFormat="1" spans="1:14">
      <c r="A966" s="488">
        <v>45840</v>
      </c>
      <c r="B966" s="489" t="s">
        <v>151</v>
      </c>
      <c r="C966" s="490">
        <v>45840</v>
      </c>
      <c r="D966" s="491"/>
      <c r="E966" s="491"/>
      <c r="F966" s="493" t="s">
        <v>719</v>
      </c>
      <c r="G966" s="491">
        <v>1</v>
      </c>
      <c r="H966" s="575">
        <v>1</v>
      </c>
      <c r="I966" s="575">
        <f t="shared" si="142"/>
        <v>1</v>
      </c>
      <c r="J966" s="492">
        <v>12.5</v>
      </c>
      <c r="K966" s="575">
        <f t="shared" si="143"/>
        <v>12.5</v>
      </c>
    </row>
    <row r="967" s="457" customFormat="1" spans="1:14">
      <c r="A967" s="494">
        <v>45840</v>
      </c>
      <c r="B967" s="442" t="s">
        <v>395</v>
      </c>
      <c r="C967" s="495">
        <v>45840</v>
      </c>
      <c r="D967" s="463"/>
      <c r="E967" s="463"/>
      <c r="F967" s="496" t="s">
        <v>132</v>
      </c>
      <c r="G967" s="463">
        <v>1</v>
      </c>
      <c r="H967" s="432">
        <v>5.02</v>
      </c>
      <c r="I967" s="463">
        <f t="shared" si="142"/>
        <v>5.02</v>
      </c>
      <c r="J967" s="497">
        <v>3.5</v>
      </c>
      <c r="K967" s="497">
        <f t="shared" si="143"/>
        <v>17.57</v>
      </c>
    </row>
    <row r="968" s="457" customFormat="1" spans="1:14">
      <c r="A968" s="494">
        <v>45840</v>
      </c>
      <c r="B968" s="442" t="s">
        <v>395</v>
      </c>
      <c r="C968" s="495">
        <v>45840</v>
      </c>
      <c r="D968" s="463"/>
      <c r="E968" s="463"/>
      <c r="F968" s="496" t="s">
        <v>753</v>
      </c>
      <c r="G968" s="463">
        <v>1</v>
      </c>
      <c r="H968" s="432">
        <v>2.55</v>
      </c>
      <c r="I968" s="463">
        <f t="shared" si="142"/>
        <v>2.55</v>
      </c>
      <c r="J968" s="497"/>
      <c r="K968" s="497"/>
    </row>
    <row r="969" s="457" customFormat="1" spans="1:14">
      <c r="A969" s="494">
        <v>45840</v>
      </c>
      <c r="B969" s="442" t="s">
        <v>395</v>
      </c>
      <c r="C969" s="495">
        <v>45840</v>
      </c>
      <c r="D969" s="463"/>
      <c r="E969" s="463"/>
      <c r="F969" s="496" t="s">
        <v>710</v>
      </c>
      <c r="G969" s="463">
        <v>1</v>
      </c>
      <c r="H969" s="432">
        <v>4.25</v>
      </c>
      <c r="I969" s="463">
        <f t="shared" si="142"/>
        <v>4.25</v>
      </c>
      <c r="J969" s="497"/>
      <c r="K969" s="497"/>
    </row>
    <row r="970" s="457" customFormat="1" spans="1:14">
      <c r="A970" s="494">
        <v>45840</v>
      </c>
      <c r="B970" s="442" t="s">
        <v>395</v>
      </c>
      <c r="C970" s="495">
        <v>45840</v>
      </c>
      <c r="D970" s="463"/>
      <c r="E970" s="463"/>
      <c r="F970" s="496" t="s">
        <v>725</v>
      </c>
      <c r="G970" s="463">
        <v>1</v>
      </c>
      <c r="H970" s="432">
        <v>3.06</v>
      </c>
      <c r="I970" s="463">
        <f t="shared" si="142"/>
        <v>3.06</v>
      </c>
      <c r="J970" s="497"/>
      <c r="K970" s="497"/>
      <c r="N970" s="457">
        <f>SUBTOTAL(9,K700:K871)</f>
        <v>113417.804</v>
      </c>
    </row>
    <row r="971" s="457" customFormat="1" spans="1:14">
      <c r="A971" s="494">
        <v>45840</v>
      </c>
      <c r="B971" s="442" t="s">
        <v>395</v>
      </c>
      <c r="C971" s="495">
        <v>45840</v>
      </c>
      <c r="D971" s="463"/>
      <c r="E971" s="463"/>
      <c r="F971" s="496" t="s">
        <v>191</v>
      </c>
      <c r="G971" s="463">
        <v>1</v>
      </c>
      <c r="H971" s="432">
        <v>0.425</v>
      </c>
      <c r="I971" s="463">
        <f t="shared" si="142"/>
        <v>0.425</v>
      </c>
      <c r="J971" s="497">
        <v>17</v>
      </c>
      <c r="K971" s="497">
        <f>I971*J971</f>
        <v>7.225</v>
      </c>
      <c r="M971" s="457" t="s">
        <v>678</v>
      </c>
    </row>
    <row r="972" s="457" customFormat="1" spans="1:14">
      <c r="A972" s="494">
        <v>45840</v>
      </c>
      <c r="B972" s="442" t="s">
        <v>395</v>
      </c>
      <c r="C972" s="495">
        <v>45840</v>
      </c>
      <c r="D972" s="463"/>
      <c r="E972" s="463"/>
      <c r="F972" s="496" t="s">
        <v>740</v>
      </c>
      <c r="G972" s="463">
        <v>1</v>
      </c>
      <c r="H972" s="432">
        <v>1.7</v>
      </c>
      <c r="I972" s="463">
        <f t="shared" si="142"/>
        <v>1.7</v>
      </c>
      <c r="J972" s="497"/>
      <c r="K972" s="497"/>
    </row>
    <row r="973" s="457" customFormat="1" spans="1:14">
      <c r="A973" s="494">
        <v>45840</v>
      </c>
      <c r="B973" s="442" t="s">
        <v>395</v>
      </c>
      <c r="C973" s="495">
        <v>45840</v>
      </c>
      <c r="D973" s="463"/>
      <c r="E973" s="463"/>
      <c r="F973" s="496" t="s">
        <v>754</v>
      </c>
      <c r="G973" s="463">
        <v>1</v>
      </c>
      <c r="H973" s="574">
        <f>SUM(H967:H972)</f>
        <v>17.005</v>
      </c>
      <c r="I973" s="574">
        <f t="shared" ref="I973:I983" si="144">G973*H973</f>
        <v>17.005</v>
      </c>
      <c r="J973" s="497">
        <v>1</v>
      </c>
      <c r="K973" s="574">
        <f t="shared" ref="K973:K979" si="145">I973*J973</f>
        <v>17.005</v>
      </c>
      <c r="L973" s="457">
        <f>SUM(K967:K976)</f>
        <v>95.8</v>
      </c>
    </row>
    <row r="974" s="457" customFormat="1" spans="1:14">
      <c r="A974" s="494">
        <v>45840</v>
      </c>
      <c r="B974" s="442" t="s">
        <v>395</v>
      </c>
      <c r="C974" s="495">
        <v>45840</v>
      </c>
      <c r="D974" s="463"/>
      <c r="E974" s="463"/>
      <c r="F974" s="496" t="s">
        <v>719</v>
      </c>
      <c r="G974" s="463">
        <v>1</v>
      </c>
      <c r="H974" s="574">
        <v>1</v>
      </c>
      <c r="I974" s="574">
        <f t="shared" si="144"/>
        <v>1</v>
      </c>
      <c r="J974" s="497">
        <v>12.5</v>
      </c>
      <c r="K974" s="574">
        <f t="shared" si="145"/>
        <v>12.5</v>
      </c>
    </row>
    <row r="975" s="457" customFormat="1" spans="1:14">
      <c r="A975" s="494">
        <v>45840</v>
      </c>
      <c r="B975" s="442" t="s">
        <v>395</v>
      </c>
      <c r="C975" s="495">
        <v>45840</v>
      </c>
      <c r="D975" s="463"/>
      <c r="E975" s="463"/>
      <c r="F975" s="498" t="s">
        <v>755</v>
      </c>
      <c r="G975" s="463">
        <v>1</v>
      </c>
      <c r="H975" s="432">
        <v>0.8</v>
      </c>
      <c r="I975" s="463">
        <f t="shared" si="144"/>
        <v>0.8</v>
      </c>
      <c r="J975" s="497">
        <v>45</v>
      </c>
      <c r="K975" s="497">
        <f t="shared" si="145"/>
        <v>36</v>
      </c>
      <c r="L975" s="457" t="s">
        <v>126</v>
      </c>
    </row>
    <row r="976" s="457" customFormat="1" spans="1:14">
      <c r="A976" s="494">
        <v>45840</v>
      </c>
      <c r="B976" s="442" t="s">
        <v>395</v>
      </c>
      <c r="C976" s="495">
        <v>45840</v>
      </c>
      <c r="D976" s="463"/>
      <c r="E976" s="463"/>
      <c r="F976" s="496" t="s">
        <v>756</v>
      </c>
      <c r="G976" s="463">
        <v>1</v>
      </c>
      <c r="H976" s="574">
        <v>1</v>
      </c>
      <c r="I976" s="574">
        <f t="shared" si="142"/>
        <v>1</v>
      </c>
      <c r="J976" s="497">
        <v>5.5</v>
      </c>
      <c r="K976" s="574">
        <f t="shared" si="145"/>
        <v>5.5</v>
      </c>
    </row>
    <row r="977" s="457" customFormat="1" ht="40" customHeight="1" spans="1:20">
      <c r="A977" s="494"/>
      <c r="B977" s="442"/>
      <c r="C977" s="495"/>
      <c r="D977" s="463"/>
      <c r="E977" s="463"/>
      <c r="F977" s="546" t="s">
        <v>757</v>
      </c>
      <c r="G977" s="463"/>
      <c r="H977" s="574"/>
      <c r="I977" s="574"/>
      <c r="J977" s="497"/>
      <c r="K977" s="574"/>
    </row>
    <row r="978" s="457" customFormat="1" spans="1:20">
      <c r="A978" s="494">
        <v>45846</v>
      </c>
      <c r="B978" s="442" t="s">
        <v>457</v>
      </c>
      <c r="C978" s="495">
        <v>45845</v>
      </c>
      <c r="D978" s="463"/>
      <c r="E978" s="463"/>
      <c r="F978" s="496">
        <v>808</v>
      </c>
      <c r="G978" s="463">
        <v>1</v>
      </c>
      <c r="H978" s="432">
        <v>120</v>
      </c>
      <c r="I978" s="463">
        <f t="shared" si="144"/>
        <v>120</v>
      </c>
      <c r="J978" s="497">
        <v>7.9</v>
      </c>
      <c r="K978" s="497">
        <f t="shared" si="145"/>
        <v>948</v>
      </c>
    </row>
    <row r="979" s="457" customFormat="1" spans="1:20">
      <c r="A979" s="494">
        <v>45846</v>
      </c>
      <c r="B979" s="442" t="s">
        <v>457</v>
      </c>
      <c r="C979" s="495">
        <v>45845</v>
      </c>
      <c r="D979" s="463"/>
      <c r="E979" s="463"/>
      <c r="F979" s="496" t="s">
        <v>12</v>
      </c>
      <c r="G979" s="463">
        <v>1</v>
      </c>
      <c r="H979" s="432">
        <v>80</v>
      </c>
      <c r="I979" s="463">
        <f t="shared" si="144"/>
        <v>80</v>
      </c>
      <c r="J979" s="497">
        <v>6.6</v>
      </c>
      <c r="K979" s="497">
        <f t="shared" si="145"/>
        <v>528</v>
      </c>
    </row>
    <row r="980" s="457" customFormat="1" spans="1:20">
      <c r="A980" s="494">
        <v>45846</v>
      </c>
      <c r="B980" s="442" t="s">
        <v>457</v>
      </c>
      <c r="C980" s="495">
        <v>45845</v>
      </c>
      <c r="D980" s="463"/>
      <c r="E980" s="463"/>
      <c r="F980" s="496" t="s">
        <v>13</v>
      </c>
      <c r="G980" s="463">
        <v>1</v>
      </c>
      <c r="H980" s="432">
        <v>180</v>
      </c>
      <c r="I980" s="463">
        <f t="shared" si="144"/>
        <v>180</v>
      </c>
      <c r="J980" s="497"/>
      <c r="K980" s="497"/>
    </row>
    <row r="981" s="457" customFormat="1" spans="1:20">
      <c r="A981" s="494">
        <v>45846</v>
      </c>
      <c r="B981" s="442" t="s">
        <v>457</v>
      </c>
      <c r="C981" s="495">
        <v>45845</v>
      </c>
      <c r="D981" s="463"/>
      <c r="E981" s="463"/>
      <c r="F981" s="496" t="s">
        <v>737</v>
      </c>
      <c r="G981" s="463">
        <v>1</v>
      </c>
      <c r="H981" s="432">
        <v>250</v>
      </c>
      <c r="I981" s="463">
        <f t="shared" si="144"/>
        <v>250</v>
      </c>
      <c r="J981" s="497"/>
      <c r="K981" s="497"/>
      <c r="L981" s="457" t="s">
        <v>116</v>
      </c>
    </row>
    <row r="982" s="457" customFormat="1" spans="1:20">
      <c r="A982" s="494">
        <v>45846</v>
      </c>
      <c r="B982" s="442" t="s">
        <v>457</v>
      </c>
      <c r="C982" s="495">
        <v>45845</v>
      </c>
      <c r="D982" s="463"/>
      <c r="E982" s="463"/>
      <c r="F982" s="496" t="s">
        <v>547</v>
      </c>
      <c r="G982" s="463">
        <v>1</v>
      </c>
      <c r="H982" s="432">
        <v>140</v>
      </c>
      <c r="I982" s="463">
        <f t="shared" si="144"/>
        <v>140</v>
      </c>
      <c r="J982" s="497"/>
      <c r="K982" s="497"/>
    </row>
    <row r="983" s="457" customFormat="1" spans="1:20">
      <c r="A983" s="494">
        <v>45846</v>
      </c>
      <c r="B983" s="442" t="s">
        <v>457</v>
      </c>
      <c r="C983" s="495">
        <v>45845</v>
      </c>
      <c r="D983" s="463"/>
      <c r="E983" s="463"/>
      <c r="F983" s="496" t="s">
        <v>16</v>
      </c>
      <c r="G983" s="463">
        <v>1</v>
      </c>
      <c r="H983" s="432">
        <v>230</v>
      </c>
      <c r="I983" s="463">
        <f t="shared" si="144"/>
        <v>230</v>
      </c>
      <c r="J983" s="497"/>
      <c r="K983" s="497"/>
      <c r="N983" s="457">
        <f>SUBTOTAL(9,K715:K886)</f>
        <v>54965.06</v>
      </c>
    </row>
    <row r="984" s="457" customFormat="1" spans="1:20">
      <c r="A984" s="494">
        <v>45846</v>
      </c>
      <c r="B984" s="442" t="s">
        <v>457</v>
      </c>
      <c r="C984" s="495">
        <v>45845</v>
      </c>
      <c r="D984" s="463"/>
      <c r="E984" s="463"/>
      <c r="F984" s="496" t="s">
        <v>17</v>
      </c>
      <c r="G984" s="463">
        <v>1</v>
      </c>
      <c r="H984" s="432">
        <f>SUM(H978:H983)</f>
        <v>1000</v>
      </c>
      <c r="I984" s="432">
        <f>SUM(I978:I983)</f>
        <v>1000</v>
      </c>
      <c r="J984" s="497">
        <v>1</v>
      </c>
      <c r="K984" s="497">
        <f>I984*J984</f>
        <v>1000</v>
      </c>
      <c r="L984" s="457">
        <f>SUM(K978:K984)</f>
        <v>2476</v>
      </c>
    </row>
    <row r="985" s="461" customFormat="1" spans="1:20">
      <c r="A985" s="540">
        <v>45847</v>
      </c>
      <c r="B985" s="541" t="s">
        <v>649</v>
      </c>
      <c r="C985" s="542">
        <v>45847</v>
      </c>
      <c r="D985" s="523"/>
      <c r="E985" s="523"/>
      <c r="F985" s="552" t="s">
        <v>284</v>
      </c>
      <c r="G985" s="523">
        <v>10</v>
      </c>
      <c r="H985" s="524">
        <v>4</v>
      </c>
      <c r="I985" s="523">
        <f>G985*H985</f>
        <v>40</v>
      </c>
      <c r="J985" s="525">
        <v>15.5</v>
      </c>
      <c r="K985" s="525">
        <f>I985*J985</f>
        <v>620</v>
      </c>
      <c r="L985" s="461" t="s">
        <v>616</v>
      </c>
      <c r="M985" s="541"/>
      <c r="O985" s="541"/>
      <c r="S985" s="541"/>
      <c r="T985" s="461" t="s">
        <v>617</v>
      </c>
    </row>
    <row r="986" s="461" customFormat="1" spans="1:20">
      <c r="A986" s="540">
        <v>45847</v>
      </c>
      <c r="B986" s="541" t="s">
        <v>649</v>
      </c>
      <c r="C986" s="542">
        <v>45847</v>
      </c>
      <c r="D986" s="523"/>
      <c r="E986" s="523"/>
      <c r="F986" s="552" t="s">
        <v>284</v>
      </c>
      <c r="G986" s="523">
        <v>6</v>
      </c>
      <c r="H986" s="524">
        <v>10</v>
      </c>
      <c r="I986" s="523">
        <f>G986*H986</f>
        <v>60</v>
      </c>
      <c r="J986" s="525">
        <v>15.5</v>
      </c>
      <c r="K986" s="525">
        <f>I986*J986</f>
        <v>930</v>
      </c>
      <c r="L986" s="461" t="s">
        <v>616</v>
      </c>
      <c r="M986" s="541"/>
      <c r="O986" s="541"/>
      <c r="S986" s="541"/>
      <c r="T986" s="461" t="s">
        <v>617</v>
      </c>
    </row>
    <row r="987" s="461" customFormat="1" spans="1:20">
      <c r="A987" s="540">
        <v>45847</v>
      </c>
      <c r="B987" s="541" t="s">
        <v>649</v>
      </c>
      <c r="C987" s="542">
        <v>45847</v>
      </c>
      <c r="D987" s="523"/>
      <c r="E987" s="523"/>
      <c r="F987" s="552" t="s">
        <v>666</v>
      </c>
      <c r="G987" s="523">
        <v>10</v>
      </c>
      <c r="H987" s="524">
        <v>1</v>
      </c>
      <c r="I987" s="523">
        <f>G987*H987</f>
        <v>10</v>
      </c>
      <c r="J987" s="525">
        <v>5.5</v>
      </c>
      <c r="K987" s="525">
        <f>I987*J987</f>
        <v>55</v>
      </c>
      <c r="L987" s="522">
        <f>SUM(K985:K987)</f>
        <v>1605</v>
      </c>
    </row>
    <row r="988" s="456" customFormat="1" spans="1:20">
      <c r="A988" s="488">
        <v>45848</v>
      </c>
      <c r="B988" s="489" t="s">
        <v>423</v>
      </c>
      <c r="C988" s="490">
        <v>45848</v>
      </c>
      <c r="D988" s="491"/>
      <c r="E988" s="491"/>
      <c r="F988" s="493" t="s">
        <v>132</v>
      </c>
      <c r="G988" s="491">
        <v>1</v>
      </c>
      <c r="H988" s="431">
        <v>14</v>
      </c>
      <c r="I988" s="491">
        <f t="shared" ref="I988:I995" si="146">G988*H988</f>
        <v>14</v>
      </c>
      <c r="J988" s="492">
        <v>3.5</v>
      </c>
      <c r="K988" s="492">
        <f>I988*J988</f>
        <v>49</v>
      </c>
    </row>
    <row r="989" s="456" customFormat="1" spans="1:20">
      <c r="A989" s="488">
        <v>45848</v>
      </c>
      <c r="B989" s="489" t="s">
        <v>423</v>
      </c>
      <c r="C989" s="490">
        <v>45848</v>
      </c>
      <c r="D989" s="491"/>
      <c r="E989" s="491"/>
      <c r="F989" s="493" t="s">
        <v>207</v>
      </c>
      <c r="G989" s="491">
        <v>1</v>
      </c>
      <c r="H989" s="431">
        <v>18</v>
      </c>
      <c r="I989" s="491">
        <f t="shared" si="146"/>
        <v>18</v>
      </c>
      <c r="J989" s="492"/>
      <c r="K989" s="492"/>
      <c r="L989" s="456" t="s">
        <v>116</v>
      </c>
    </row>
    <row r="990" s="456" customFormat="1" spans="1:20">
      <c r="A990" s="488">
        <v>45848</v>
      </c>
      <c r="B990" s="489" t="s">
        <v>423</v>
      </c>
      <c r="C990" s="490">
        <v>45848</v>
      </c>
      <c r="D990" s="491"/>
      <c r="E990" s="491"/>
      <c r="F990" s="493" t="s">
        <v>710</v>
      </c>
      <c r="G990" s="491">
        <v>1</v>
      </c>
      <c r="H990" s="431">
        <v>13</v>
      </c>
      <c r="I990" s="491">
        <f t="shared" si="146"/>
        <v>13</v>
      </c>
      <c r="J990" s="492"/>
      <c r="K990" s="492"/>
    </row>
    <row r="991" s="456" customFormat="1" spans="1:20">
      <c r="A991" s="488">
        <v>45848</v>
      </c>
      <c r="B991" s="489" t="s">
        <v>423</v>
      </c>
      <c r="C991" s="490">
        <v>45848</v>
      </c>
      <c r="D991" s="491"/>
      <c r="E991" s="491"/>
      <c r="F991" s="493" t="s">
        <v>725</v>
      </c>
      <c r="G991" s="491">
        <v>1</v>
      </c>
      <c r="H991" s="431">
        <v>18</v>
      </c>
      <c r="I991" s="491">
        <f t="shared" si="146"/>
        <v>18</v>
      </c>
      <c r="J991" s="492"/>
      <c r="K991" s="492"/>
      <c r="N991" s="456">
        <f>SUBTOTAL(9,K721:K892)</f>
        <v>52147.46</v>
      </c>
    </row>
    <row r="992" s="456" customFormat="1" spans="1:20">
      <c r="A992" s="488">
        <v>45848</v>
      </c>
      <c r="B992" s="489" t="s">
        <v>423</v>
      </c>
      <c r="C992" s="490">
        <v>45848</v>
      </c>
      <c r="D992" s="491"/>
      <c r="E992" s="491"/>
      <c r="F992" s="493" t="s">
        <v>191</v>
      </c>
      <c r="G992" s="491">
        <v>1</v>
      </c>
      <c r="H992" s="431">
        <v>1.8</v>
      </c>
      <c r="I992" s="491">
        <f t="shared" si="146"/>
        <v>1.8</v>
      </c>
      <c r="J992" s="492">
        <v>17</v>
      </c>
      <c r="K992" s="492">
        <f t="shared" ref="K992:K998" si="147">I992*J992</f>
        <v>30.6</v>
      </c>
    </row>
    <row r="993" s="456" customFormat="1" spans="1:14">
      <c r="A993" s="488">
        <v>45848</v>
      </c>
      <c r="B993" s="489" t="s">
        <v>423</v>
      </c>
      <c r="C993" s="490">
        <v>45848</v>
      </c>
      <c r="D993" s="491"/>
      <c r="E993" s="491"/>
      <c r="F993" s="493" t="s">
        <v>740</v>
      </c>
      <c r="G993" s="491">
        <v>1</v>
      </c>
      <c r="H993" s="431">
        <v>7.2</v>
      </c>
      <c r="I993" s="491">
        <f t="shared" si="146"/>
        <v>7.2</v>
      </c>
      <c r="J993" s="492"/>
      <c r="K993" s="492"/>
    </row>
    <row r="994" s="456" customFormat="1" spans="1:14">
      <c r="A994" s="488">
        <v>45848</v>
      </c>
      <c r="B994" s="489" t="s">
        <v>423</v>
      </c>
      <c r="C994" s="490">
        <v>45848</v>
      </c>
      <c r="D994" s="491"/>
      <c r="E994" s="491"/>
      <c r="F994" s="493" t="s">
        <v>751</v>
      </c>
      <c r="G994" s="491">
        <v>1</v>
      </c>
      <c r="H994" s="575">
        <f>SUM(H988:H993)</f>
        <v>72</v>
      </c>
      <c r="I994" s="575">
        <f t="shared" si="146"/>
        <v>72</v>
      </c>
      <c r="J994" s="492">
        <v>1</v>
      </c>
      <c r="K994" s="575">
        <f t="shared" si="147"/>
        <v>72</v>
      </c>
      <c r="L994" s="456">
        <f>SUM(K988:K995)</f>
        <v>201.6</v>
      </c>
    </row>
    <row r="995" s="456" customFormat="1" spans="1:14">
      <c r="A995" s="488">
        <v>45848</v>
      </c>
      <c r="B995" s="489" t="s">
        <v>423</v>
      </c>
      <c r="C995" s="490">
        <v>45848</v>
      </c>
      <c r="D995" s="491"/>
      <c r="E995" s="491"/>
      <c r="F995" s="493" t="s">
        <v>719</v>
      </c>
      <c r="G995" s="491">
        <v>4</v>
      </c>
      <c r="H995" s="575">
        <v>1</v>
      </c>
      <c r="I995" s="575">
        <f t="shared" si="146"/>
        <v>4</v>
      </c>
      <c r="J995" s="492">
        <v>12.5</v>
      </c>
      <c r="K995" s="575">
        <f t="shared" si="147"/>
        <v>50</v>
      </c>
    </row>
    <row r="996" s="457" customFormat="1" spans="1:14">
      <c r="A996" s="494">
        <v>45848</v>
      </c>
      <c r="B996" s="442" t="s">
        <v>461</v>
      </c>
      <c r="C996" s="495">
        <v>45848</v>
      </c>
      <c r="D996" s="463"/>
      <c r="E996" s="463"/>
      <c r="F996" s="496">
        <v>808</v>
      </c>
      <c r="G996" s="463">
        <v>1</v>
      </c>
      <c r="H996" s="432">
        <v>7.2</v>
      </c>
      <c r="I996" s="463">
        <f t="shared" ref="I996:I1021" si="148">G996*H996</f>
        <v>7.2</v>
      </c>
      <c r="J996" s="497">
        <v>7.9</v>
      </c>
      <c r="K996" s="497">
        <f t="shared" si="147"/>
        <v>56.88</v>
      </c>
    </row>
    <row r="997" s="457" customFormat="1" spans="1:14">
      <c r="A997" s="494">
        <v>45848</v>
      </c>
      <c r="B997" s="442" t="s">
        <v>461</v>
      </c>
      <c r="C997" s="495">
        <v>45848</v>
      </c>
      <c r="D997" s="463"/>
      <c r="E997" s="463"/>
      <c r="F997" s="496" t="s">
        <v>12</v>
      </c>
      <c r="G997" s="463">
        <v>1</v>
      </c>
      <c r="H997" s="432">
        <v>7</v>
      </c>
      <c r="I997" s="463">
        <f t="shared" si="148"/>
        <v>7</v>
      </c>
      <c r="J997" s="497">
        <v>6.6</v>
      </c>
      <c r="K997" s="497">
        <f t="shared" si="147"/>
        <v>46.2</v>
      </c>
    </row>
    <row r="998" s="457" customFormat="1" spans="1:14">
      <c r="A998" s="494">
        <v>45848</v>
      </c>
      <c r="B998" s="442" t="s">
        <v>461</v>
      </c>
      <c r="C998" s="495">
        <v>45848</v>
      </c>
      <c r="D998" s="463"/>
      <c r="E998" s="463"/>
      <c r="F998" s="496" t="s">
        <v>152</v>
      </c>
      <c r="G998" s="463">
        <v>1</v>
      </c>
      <c r="H998" s="432">
        <v>14.5</v>
      </c>
      <c r="I998" s="463">
        <f t="shared" si="148"/>
        <v>14.5</v>
      </c>
      <c r="J998" s="497">
        <v>6.7</v>
      </c>
      <c r="K998" s="497">
        <f t="shared" si="147"/>
        <v>97.15</v>
      </c>
    </row>
    <row r="999" s="457" customFormat="1" spans="1:14">
      <c r="A999" s="494">
        <v>45848</v>
      </c>
      <c r="B999" s="442" t="s">
        <v>461</v>
      </c>
      <c r="C999" s="495">
        <v>45848</v>
      </c>
      <c r="D999" s="463"/>
      <c r="E999" s="463"/>
      <c r="F999" s="496" t="s">
        <v>709</v>
      </c>
      <c r="G999" s="463">
        <v>1</v>
      </c>
      <c r="H999" s="432">
        <v>10.8</v>
      </c>
      <c r="I999" s="463">
        <f t="shared" si="148"/>
        <v>10.8</v>
      </c>
      <c r="J999" s="497"/>
      <c r="K999" s="497"/>
      <c r="L999" s="457" t="s">
        <v>126</v>
      </c>
    </row>
    <row r="1000" s="457" customFormat="1" spans="1:14">
      <c r="A1000" s="494">
        <v>45848</v>
      </c>
      <c r="B1000" s="442" t="s">
        <v>461</v>
      </c>
      <c r="C1000" s="495">
        <v>45848</v>
      </c>
      <c r="D1000" s="463"/>
      <c r="E1000" s="463"/>
      <c r="F1000" s="496" t="s">
        <v>710</v>
      </c>
      <c r="G1000" s="463">
        <v>1</v>
      </c>
      <c r="H1000" s="432">
        <v>10.5</v>
      </c>
      <c r="I1000" s="463">
        <f t="shared" si="148"/>
        <v>10.5</v>
      </c>
      <c r="J1000" s="497"/>
      <c r="K1000" s="497"/>
    </row>
    <row r="1001" s="457" customFormat="1" spans="1:14">
      <c r="A1001" s="494">
        <v>45848</v>
      </c>
      <c r="B1001" s="442" t="s">
        <v>461</v>
      </c>
      <c r="C1001" s="495">
        <v>45848</v>
      </c>
      <c r="D1001" s="463"/>
      <c r="E1001" s="463"/>
      <c r="F1001" s="496" t="s">
        <v>725</v>
      </c>
      <c r="G1001" s="463">
        <v>1</v>
      </c>
      <c r="H1001" s="432">
        <v>9.4</v>
      </c>
      <c r="I1001" s="463">
        <f t="shared" si="148"/>
        <v>9.4</v>
      </c>
      <c r="J1001" s="497"/>
      <c r="K1001" s="497"/>
      <c r="N1001" s="457">
        <f>SUBTOTAL(9,K724:K895)</f>
        <v>52533.86</v>
      </c>
    </row>
    <row r="1002" s="457" customFormat="1" spans="1:14">
      <c r="A1002" s="494">
        <v>45848</v>
      </c>
      <c r="B1002" s="442" t="s">
        <v>461</v>
      </c>
      <c r="C1002" s="495">
        <v>45848</v>
      </c>
      <c r="D1002" s="463"/>
      <c r="E1002" s="463"/>
      <c r="F1002" s="496" t="s">
        <v>191</v>
      </c>
      <c r="G1002" s="463">
        <v>1</v>
      </c>
      <c r="H1002" s="432">
        <v>2.2</v>
      </c>
      <c r="I1002" s="463">
        <f t="shared" si="148"/>
        <v>2.2</v>
      </c>
      <c r="J1002" s="497">
        <v>17</v>
      </c>
      <c r="K1002" s="497">
        <f t="shared" ref="K1002:K1006" si="149">I1002*J1002</f>
        <v>37.4</v>
      </c>
      <c r="M1002" s="457" t="s">
        <v>678</v>
      </c>
    </row>
    <row r="1003" s="457" customFormat="1" spans="1:14">
      <c r="A1003" s="494">
        <v>45848</v>
      </c>
      <c r="B1003" s="442" t="s">
        <v>461</v>
      </c>
      <c r="C1003" s="495">
        <v>45848</v>
      </c>
      <c r="D1003" s="463"/>
      <c r="E1003" s="463"/>
      <c r="F1003" s="496" t="s">
        <v>740</v>
      </c>
      <c r="G1003" s="463">
        <v>1</v>
      </c>
      <c r="H1003" s="432">
        <v>10.8</v>
      </c>
      <c r="I1003" s="463">
        <f t="shared" si="148"/>
        <v>10.8</v>
      </c>
      <c r="J1003" s="497"/>
      <c r="K1003" s="497"/>
    </row>
    <row r="1004" s="457" customFormat="1" spans="1:14">
      <c r="A1004" s="494">
        <v>45848</v>
      </c>
      <c r="B1004" s="442" t="s">
        <v>461</v>
      </c>
      <c r="C1004" s="495">
        <v>45848</v>
      </c>
      <c r="D1004" s="463"/>
      <c r="E1004" s="463"/>
      <c r="F1004" s="496" t="s">
        <v>758</v>
      </c>
      <c r="G1004" s="463">
        <v>1</v>
      </c>
      <c r="H1004" s="432">
        <f>SUM(H996:H1003)</f>
        <v>72.4</v>
      </c>
      <c r="I1004" s="463">
        <f t="shared" si="148"/>
        <v>72.4</v>
      </c>
      <c r="J1004" s="497">
        <v>1</v>
      </c>
      <c r="K1004" s="497">
        <f t="shared" si="149"/>
        <v>72.4</v>
      </c>
      <c r="L1004" s="457">
        <f>SUM(K996:K1004)</f>
        <v>310.03</v>
      </c>
    </row>
    <row r="1005" s="457" customFormat="1" spans="1:14">
      <c r="A1005" s="494">
        <v>45848</v>
      </c>
      <c r="B1005" s="442" t="s">
        <v>461</v>
      </c>
      <c r="C1005" s="495">
        <v>45848</v>
      </c>
      <c r="D1005" s="463"/>
      <c r="E1005" s="463"/>
      <c r="F1005" s="496" t="s">
        <v>719</v>
      </c>
      <c r="G1005" s="463">
        <v>4</v>
      </c>
      <c r="H1005" s="574">
        <v>1</v>
      </c>
      <c r="I1005" s="574">
        <f t="shared" si="148"/>
        <v>4</v>
      </c>
      <c r="J1005" s="497">
        <v>12.5</v>
      </c>
      <c r="K1005" s="574">
        <f t="shared" si="149"/>
        <v>50</v>
      </c>
    </row>
    <row r="1006" s="456" customFormat="1" spans="1:14">
      <c r="A1006" s="488">
        <v>45848</v>
      </c>
      <c r="B1006" s="489" t="s">
        <v>427</v>
      </c>
      <c r="C1006" s="490">
        <v>45848</v>
      </c>
      <c r="D1006" s="491"/>
      <c r="E1006" s="491"/>
      <c r="F1006" s="493" t="s">
        <v>132</v>
      </c>
      <c r="G1006" s="491">
        <v>1</v>
      </c>
      <c r="H1006" s="431">
        <v>3.5</v>
      </c>
      <c r="I1006" s="491">
        <f t="shared" si="148"/>
        <v>3.5</v>
      </c>
      <c r="J1006" s="492">
        <v>3.5</v>
      </c>
      <c r="K1006" s="492">
        <f t="shared" si="149"/>
        <v>12.25</v>
      </c>
    </row>
    <row r="1007" s="456" customFormat="1" spans="1:14">
      <c r="A1007" s="488">
        <v>45848</v>
      </c>
      <c r="B1007" s="489" t="s">
        <v>427</v>
      </c>
      <c r="C1007" s="490">
        <v>45848</v>
      </c>
      <c r="D1007" s="491"/>
      <c r="E1007" s="491"/>
      <c r="F1007" s="493" t="s">
        <v>114</v>
      </c>
      <c r="G1007" s="491">
        <v>1</v>
      </c>
      <c r="H1007" s="431">
        <v>4.5</v>
      </c>
      <c r="I1007" s="491">
        <f t="shared" si="148"/>
        <v>4.5</v>
      </c>
      <c r="J1007" s="492"/>
      <c r="K1007" s="492"/>
      <c r="L1007" s="456" t="s">
        <v>116</v>
      </c>
    </row>
    <row r="1008" s="456" customFormat="1" spans="1:14">
      <c r="A1008" s="488">
        <v>45848</v>
      </c>
      <c r="B1008" s="489" t="s">
        <v>427</v>
      </c>
      <c r="C1008" s="490">
        <v>45848</v>
      </c>
      <c r="D1008" s="491"/>
      <c r="E1008" s="491"/>
      <c r="F1008" s="493" t="s">
        <v>710</v>
      </c>
      <c r="G1008" s="491">
        <v>1</v>
      </c>
      <c r="H1008" s="431">
        <v>4.5</v>
      </c>
      <c r="I1008" s="491">
        <f t="shared" si="148"/>
        <v>4.5</v>
      </c>
      <c r="J1008" s="492"/>
      <c r="K1008" s="492"/>
    </row>
    <row r="1009" s="456" customFormat="1" spans="1:14">
      <c r="A1009" s="488">
        <v>45848</v>
      </c>
      <c r="B1009" s="489" t="s">
        <v>427</v>
      </c>
      <c r="C1009" s="490">
        <v>45848</v>
      </c>
      <c r="D1009" s="491"/>
      <c r="E1009" s="491"/>
      <c r="F1009" s="493" t="s">
        <v>725</v>
      </c>
      <c r="G1009" s="491">
        <v>1</v>
      </c>
      <c r="H1009" s="431">
        <v>3.24</v>
      </c>
      <c r="I1009" s="491">
        <f t="shared" si="148"/>
        <v>3.24</v>
      </c>
      <c r="J1009" s="492"/>
      <c r="K1009" s="492"/>
      <c r="N1009" s="456">
        <f>SUBTOTAL(9,K738:K909)</f>
        <v>49681.164</v>
      </c>
    </row>
    <row r="1010" s="456" customFormat="1" spans="1:14">
      <c r="A1010" s="488">
        <v>45848</v>
      </c>
      <c r="B1010" s="489" t="s">
        <v>427</v>
      </c>
      <c r="C1010" s="490">
        <v>45848</v>
      </c>
      <c r="D1010" s="491"/>
      <c r="E1010" s="491"/>
      <c r="F1010" s="493" t="s">
        <v>191</v>
      </c>
      <c r="G1010" s="491">
        <v>1</v>
      </c>
      <c r="H1010" s="431">
        <v>0.45</v>
      </c>
      <c r="I1010" s="491">
        <f t="shared" si="148"/>
        <v>0.45</v>
      </c>
      <c r="J1010" s="492">
        <v>17</v>
      </c>
      <c r="K1010" s="492">
        <f t="shared" ref="K1010:K1014" si="150">I1010*J1010</f>
        <v>7.65</v>
      </c>
      <c r="M1010" s="457"/>
    </row>
    <row r="1011" s="456" customFormat="1" spans="1:14">
      <c r="A1011" s="488">
        <v>45848</v>
      </c>
      <c r="B1011" s="489" t="s">
        <v>427</v>
      </c>
      <c r="C1011" s="490">
        <v>45848</v>
      </c>
      <c r="D1011" s="491"/>
      <c r="E1011" s="491"/>
      <c r="F1011" s="493" t="s">
        <v>740</v>
      </c>
      <c r="G1011" s="491">
        <v>1</v>
      </c>
      <c r="H1011" s="431">
        <v>1.8</v>
      </c>
      <c r="I1011" s="491">
        <f t="shared" si="148"/>
        <v>1.8</v>
      </c>
      <c r="J1011" s="492"/>
      <c r="K1011" s="492"/>
    </row>
    <row r="1012" s="456" customFormat="1" spans="1:14">
      <c r="A1012" s="488">
        <v>45848</v>
      </c>
      <c r="B1012" s="489" t="s">
        <v>427</v>
      </c>
      <c r="C1012" s="490">
        <v>45848</v>
      </c>
      <c r="D1012" s="491"/>
      <c r="E1012" s="491"/>
      <c r="F1012" s="493" t="s">
        <v>752</v>
      </c>
      <c r="G1012" s="491">
        <v>1</v>
      </c>
      <c r="H1012" s="575">
        <f>SUM(H1006:H1011)</f>
        <v>17.99</v>
      </c>
      <c r="I1012" s="575">
        <f t="shared" si="148"/>
        <v>17.99</v>
      </c>
      <c r="J1012" s="492">
        <v>1</v>
      </c>
      <c r="K1012" s="575">
        <f t="shared" si="150"/>
        <v>17.99</v>
      </c>
      <c r="L1012" s="456">
        <f>SUM(K1006:K1013)</f>
        <v>63.89</v>
      </c>
    </row>
    <row r="1013" s="457" customFormat="1" spans="1:14">
      <c r="A1013" s="488">
        <v>45848</v>
      </c>
      <c r="B1013" s="489" t="s">
        <v>427</v>
      </c>
      <c r="C1013" s="490">
        <v>45848</v>
      </c>
      <c r="D1013" s="491"/>
      <c r="E1013" s="491"/>
      <c r="F1013" s="493" t="s">
        <v>759</v>
      </c>
      <c r="G1013" s="491">
        <v>2</v>
      </c>
      <c r="H1013" s="575">
        <v>1</v>
      </c>
      <c r="I1013" s="491">
        <f t="shared" si="148"/>
        <v>2</v>
      </c>
      <c r="J1013" s="492">
        <v>13</v>
      </c>
      <c r="K1013" s="575">
        <f t="shared" si="150"/>
        <v>26</v>
      </c>
    </row>
    <row r="1014" s="457" customFormat="1" spans="1:14">
      <c r="A1014" s="494">
        <v>45848</v>
      </c>
      <c r="B1014" s="442" t="s">
        <v>369</v>
      </c>
      <c r="C1014" s="495">
        <v>45848</v>
      </c>
      <c r="D1014" s="463"/>
      <c r="E1014" s="463"/>
      <c r="F1014" s="496" t="s">
        <v>132</v>
      </c>
      <c r="G1014" s="463">
        <v>1</v>
      </c>
      <c r="H1014" s="432">
        <v>15</v>
      </c>
      <c r="I1014" s="463">
        <f t="shared" si="148"/>
        <v>15</v>
      </c>
      <c r="J1014" s="497">
        <v>3.5</v>
      </c>
      <c r="K1014" s="497">
        <f t="shared" si="150"/>
        <v>52.5</v>
      </c>
    </row>
    <row r="1015" s="457" customFormat="1" spans="1:14">
      <c r="A1015" s="494">
        <v>45848</v>
      </c>
      <c r="B1015" s="442" t="s">
        <v>369</v>
      </c>
      <c r="C1015" s="495">
        <v>45848</v>
      </c>
      <c r="D1015" s="463"/>
      <c r="E1015" s="463"/>
      <c r="F1015" s="496" t="s">
        <v>753</v>
      </c>
      <c r="G1015" s="463">
        <v>1</v>
      </c>
      <c r="H1015" s="432">
        <v>7.7</v>
      </c>
      <c r="I1015" s="463">
        <f t="shared" si="148"/>
        <v>7.7</v>
      </c>
      <c r="J1015" s="497"/>
      <c r="K1015" s="497"/>
    </row>
    <row r="1016" s="457" customFormat="1" spans="1:14">
      <c r="A1016" s="494">
        <v>45848</v>
      </c>
      <c r="B1016" s="442" t="s">
        <v>369</v>
      </c>
      <c r="C1016" s="495">
        <v>45848</v>
      </c>
      <c r="D1016" s="463"/>
      <c r="E1016" s="463"/>
      <c r="F1016" s="496" t="s">
        <v>710</v>
      </c>
      <c r="G1016" s="463">
        <v>1</v>
      </c>
      <c r="H1016" s="432">
        <v>12.8</v>
      </c>
      <c r="I1016" s="463">
        <f t="shared" si="148"/>
        <v>12.8</v>
      </c>
      <c r="J1016" s="497"/>
      <c r="K1016" s="497"/>
    </row>
    <row r="1017" s="457" customFormat="1" spans="1:14">
      <c r="A1017" s="494">
        <v>45848</v>
      </c>
      <c r="B1017" s="442" t="s">
        <v>369</v>
      </c>
      <c r="C1017" s="495">
        <v>45848</v>
      </c>
      <c r="D1017" s="463"/>
      <c r="E1017" s="463"/>
      <c r="F1017" s="496" t="s">
        <v>725</v>
      </c>
      <c r="G1017" s="463">
        <v>1</v>
      </c>
      <c r="H1017" s="432">
        <v>9.2</v>
      </c>
      <c r="I1017" s="463">
        <f t="shared" ref="I1017:I1039" si="151">G1017*H1017</f>
        <v>9.2</v>
      </c>
      <c r="J1017" s="497"/>
      <c r="K1017" s="497"/>
      <c r="N1017" s="457">
        <f>SUBTOTAL(9,K745:K916)</f>
        <v>47176.084</v>
      </c>
    </row>
    <row r="1018" s="457" customFormat="1" spans="1:14">
      <c r="A1018" s="494">
        <v>45848</v>
      </c>
      <c r="B1018" s="442" t="s">
        <v>369</v>
      </c>
      <c r="C1018" s="495">
        <v>45848</v>
      </c>
      <c r="D1018" s="463"/>
      <c r="E1018" s="463"/>
      <c r="F1018" s="496" t="s">
        <v>191</v>
      </c>
      <c r="G1018" s="463">
        <v>1</v>
      </c>
      <c r="H1018" s="432">
        <v>1.3</v>
      </c>
      <c r="I1018" s="463">
        <f t="shared" si="151"/>
        <v>1.3</v>
      </c>
      <c r="J1018" s="497">
        <v>17</v>
      </c>
      <c r="K1018" s="497">
        <f t="shared" ref="K1018:K1024" si="152">I1018*J1018</f>
        <v>22.1</v>
      </c>
      <c r="L1018" s="457" t="s">
        <v>126</v>
      </c>
      <c r="M1018" s="457" t="s">
        <v>678</v>
      </c>
    </row>
    <row r="1019" s="457" customFormat="1" spans="1:14">
      <c r="A1019" s="494">
        <v>45848</v>
      </c>
      <c r="B1019" s="442" t="s">
        <v>369</v>
      </c>
      <c r="C1019" s="495">
        <v>45848</v>
      </c>
      <c r="D1019" s="463"/>
      <c r="E1019" s="463"/>
      <c r="F1019" s="496" t="s">
        <v>740</v>
      </c>
      <c r="G1019" s="463">
        <v>1</v>
      </c>
      <c r="H1019" s="432">
        <v>5.1</v>
      </c>
      <c r="I1019" s="463">
        <f t="shared" si="151"/>
        <v>5.1</v>
      </c>
      <c r="J1019" s="497"/>
      <c r="K1019" s="497"/>
    </row>
    <row r="1020" s="457" customFormat="1" spans="1:14">
      <c r="A1020" s="494">
        <v>45848</v>
      </c>
      <c r="B1020" s="442" t="s">
        <v>369</v>
      </c>
      <c r="C1020" s="495">
        <v>45848</v>
      </c>
      <c r="D1020" s="463"/>
      <c r="E1020" s="463"/>
      <c r="F1020" s="496" t="s">
        <v>754</v>
      </c>
      <c r="G1020" s="463">
        <v>1</v>
      </c>
      <c r="H1020" s="574">
        <f>SUM(H1014:H1019)</f>
        <v>51.1</v>
      </c>
      <c r="I1020" s="463">
        <f t="shared" si="151"/>
        <v>51.1</v>
      </c>
      <c r="J1020" s="497">
        <v>1</v>
      </c>
      <c r="K1020" s="574">
        <f t="shared" si="152"/>
        <v>51.1</v>
      </c>
      <c r="L1020" s="457">
        <f>SUM(K1014:K1024)</f>
        <v>1077.5</v>
      </c>
    </row>
    <row r="1021" s="457" customFormat="1" spans="1:14">
      <c r="A1021" s="494">
        <v>45848</v>
      </c>
      <c r="B1021" s="442" t="s">
        <v>369</v>
      </c>
      <c r="C1021" s="495">
        <v>45848</v>
      </c>
      <c r="D1021" s="463"/>
      <c r="E1021" s="463"/>
      <c r="F1021" s="496" t="s">
        <v>760</v>
      </c>
      <c r="G1021" s="463">
        <v>3</v>
      </c>
      <c r="H1021" s="574">
        <v>1</v>
      </c>
      <c r="I1021" s="463">
        <f t="shared" si="151"/>
        <v>3</v>
      </c>
      <c r="J1021" s="497">
        <v>13</v>
      </c>
      <c r="K1021" s="574">
        <f t="shared" si="152"/>
        <v>39</v>
      </c>
    </row>
    <row r="1022" s="457" customFormat="1" ht="19" customHeight="1" spans="1:14">
      <c r="A1022" s="494">
        <v>45848</v>
      </c>
      <c r="B1022" s="442" t="s">
        <v>369</v>
      </c>
      <c r="C1022" s="495">
        <v>45848</v>
      </c>
      <c r="D1022" s="463"/>
      <c r="E1022" s="463"/>
      <c r="F1022" s="459" t="s">
        <v>761</v>
      </c>
      <c r="G1022" s="442">
        <v>1</v>
      </c>
      <c r="H1022" s="442">
        <v>8</v>
      </c>
      <c r="I1022" s="463">
        <f t="shared" si="151"/>
        <v>8</v>
      </c>
      <c r="J1022" s="497">
        <v>6.6</v>
      </c>
      <c r="K1022" s="497">
        <f t="shared" si="152"/>
        <v>52.8</v>
      </c>
    </row>
    <row r="1023" s="457" customFormat="1" ht="19" customHeight="1" spans="1:14">
      <c r="A1023" s="494">
        <v>45848</v>
      </c>
      <c r="B1023" s="442" t="s">
        <v>369</v>
      </c>
      <c r="C1023" s="495">
        <v>45848</v>
      </c>
      <c r="D1023" s="463"/>
      <c r="E1023" s="463"/>
      <c r="F1023" s="459" t="s">
        <v>762</v>
      </c>
      <c r="G1023" s="442">
        <v>1</v>
      </c>
      <c r="H1023" s="442">
        <v>8</v>
      </c>
      <c r="I1023" s="463">
        <f t="shared" si="151"/>
        <v>8</v>
      </c>
      <c r="J1023" s="497">
        <v>90</v>
      </c>
      <c r="K1023" s="497">
        <f t="shared" si="152"/>
        <v>720</v>
      </c>
    </row>
    <row r="1024" s="457" customFormat="1" ht="19" customHeight="1" spans="1:14">
      <c r="A1024" s="494">
        <v>45848</v>
      </c>
      <c r="B1024" s="442" t="s">
        <v>369</v>
      </c>
      <c r="C1024" s="495">
        <v>45848</v>
      </c>
      <c r="D1024" s="463"/>
      <c r="E1024" s="463"/>
      <c r="F1024" s="457" t="s">
        <v>494</v>
      </c>
      <c r="G1024" s="442">
        <v>20</v>
      </c>
      <c r="H1024" s="442">
        <v>1</v>
      </c>
      <c r="I1024" s="463">
        <f t="shared" si="151"/>
        <v>20</v>
      </c>
      <c r="J1024" s="497">
        <v>7</v>
      </c>
      <c r="K1024" s="497">
        <f t="shared" si="152"/>
        <v>140</v>
      </c>
    </row>
    <row r="1025" s="456" customFormat="1" spans="1:12">
      <c r="A1025" s="488">
        <v>45849</v>
      </c>
      <c r="B1025" s="489" t="s">
        <v>305</v>
      </c>
      <c r="C1025" s="490">
        <v>45849</v>
      </c>
      <c r="D1025" s="491"/>
      <c r="E1025" s="491"/>
      <c r="F1025" s="456" t="s">
        <v>16</v>
      </c>
      <c r="G1025" s="489">
        <v>1</v>
      </c>
      <c r="H1025" s="489">
        <v>90</v>
      </c>
      <c r="I1025" s="491">
        <f t="shared" si="151"/>
        <v>90</v>
      </c>
      <c r="J1025" s="492"/>
      <c r="K1025" s="492"/>
    </row>
    <row r="1026" s="456" customFormat="1" spans="1:12">
      <c r="A1026" s="488">
        <v>45849</v>
      </c>
      <c r="B1026" s="489" t="s">
        <v>305</v>
      </c>
      <c r="C1026" s="490">
        <v>45849</v>
      </c>
      <c r="D1026" s="491"/>
      <c r="E1026" s="491"/>
      <c r="F1026" s="456" t="s">
        <v>726</v>
      </c>
      <c r="G1026" s="489">
        <v>1</v>
      </c>
      <c r="H1026" s="489">
        <v>195</v>
      </c>
      <c r="I1026" s="491">
        <f t="shared" si="151"/>
        <v>195</v>
      </c>
      <c r="J1026" s="492"/>
      <c r="K1026" s="492"/>
    </row>
    <row r="1027" s="456" customFormat="1" spans="1:12">
      <c r="A1027" s="488">
        <v>45849</v>
      </c>
      <c r="B1027" s="489" t="s">
        <v>305</v>
      </c>
      <c r="C1027" s="490">
        <v>45849</v>
      </c>
      <c r="D1027" s="491"/>
      <c r="E1027" s="491"/>
      <c r="F1027" s="456" t="s">
        <v>547</v>
      </c>
      <c r="G1027" s="489">
        <v>1</v>
      </c>
      <c r="H1027" s="489">
        <v>35</v>
      </c>
      <c r="I1027" s="491">
        <f t="shared" si="151"/>
        <v>35</v>
      </c>
      <c r="J1027" s="492"/>
      <c r="K1027" s="492"/>
    </row>
    <row r="1028" s="456" customFormat="1" spans="1:12">
      <c r="A1028" s="488">
        <v>45849</v>
      </c>
      <c r="B1028" s="489" t="s">
        <v>305</v>
      </c>
      <c r="C1028" s="490">
        <v>45849</v>
      </c>
      <c r="D1028" s="491"/>
      <c r="E1028" s="491"/>
      <c r="F1028" s="456" t="s">
        <v>352</v>
      </c>
      <c r="G1028" s="489">
        <v>1</v>
      </c>
      <c r="H1028" s="489">
        <v>100</v>
      </c>
      <c r="I1028" s="491">
        <f t="shared" si="151"/>
        <v>100</v>
      </c>
      <c r="J1028" s="492"/>
      <c r="K1028" s="492"/>
      <c r="L1028" s="456" t="s">
        <v>116</v>
      </c>
    </row>
    <row r="1029" s="456" customFormat="1" spans="1:12">
      <c r="A1029" s="488">
        <v>45849</v>
      </c>
      <c r="B1029" s="489" t="s">
        <v>305</v>
      </c>
      <c r="C1029" s="490">
        <v>45849</v>
      </c>
      <c r="D1029" s="491"/>
      <c r="E1029" s="491"/>
      <c r="F1029" s="456" t="s">
        <v>115</v>
      </c>
      <c r="G1029" s="489">
        <v>1</v>
      </c>
      <c r="H1029" s="489">
        <v>50</v>
      </c>
      <c r="I1029" s="491">
        <f t="shared" si="151"/>
        <v>50</v>
      </c>
      <c r="J1029" s="492"/>
      <c r="K1029" s="492"/>
    </row>
    <row r="1030" s="456" customFormat="1" spans="1:12">
      <c r="A1030" s="488">
        <v>45849</v>
      </c>
      <c r="B1030" s="489" t="s">
        <v>305</v>
      </c>
      <c r="C1030" s="490">
        <v>45849</v>
      </c>
      <c r="D1030" s="491"/>
      <c r="E1030" s="491"/>
      <c r="F1030" s="493">
        <v>808</v>
      </c>
      <c r="G1030" s="489">
        <v>1</v>
      </c>
      <c r="H1030" s="489">
        <v>26</v>
      </c>
      <c r="I1030" s="491">
        <f t="shared" si="151"/>
        <v>26</v>
      </c>
      <c r="J1030" s="492">
        <v>7.9</v>
      </c>
      <c r="K1030" s="492">
        <f t="shared" ref="K1030:K1032" si="153">I1030*J1030</f>
        <v>205.4</v>
      </c>
    </row>
    <row r="1031" s="456" customFormat="1" spans="1:12">
      <c r="A1031" s="488">
        <v>45849</v>
      </c>
      <c r="B1031" s="489" t="s">
        <v>305</v>
      </c>
      <c r="C1031" s="490">
        <v>45849</v>
      </c>
      <c r="D1031" s="491"/>
      <c r="E1031" s="491"/>
      <c r="F1031" s="493" t="s">
        <v>12</v>
      </c>
      <c r="G1031" s="489">
        <v>1</v>
      </c>
      <c r="H1031" s="489">
        <v>6</v>
      </c>
      <c r="I1031" s="491">
        <f t="shared" si="151"/>
        <v>6</v>
      </c>
      <c r="J1031" s="492">
        <v>6.6</v>
      </c>
      <c r="K1031" s="492">
        <f t="shared" si="153"/>
        <v>39.6</v>
      </c>
    </row>
    <row r="1032" s="456" customFormat="1" ht="18" customHeight="1" spans="1:12">
      <c r="A1032" s="488">
        <v>45849</v>
      </c>
      <c r="B1032" s="489" t="s">
        <v>305</v>
      </c>
      <c r="C1032" s="490">
        <v>45849</v>
      </c>
      <c r="D1032" s="491"/>
      <c r="E1032" s="491"/>
      <c r="F1032" s="456" t="s">
        <v>435</v>
      </c>
      <c r="G1032" s="489">
        <v>1</v>
      </c>
      <c r="H1032" s="489">
        <f>SUM(H1025:H1031)</f>
        <v>502</v>
      </c>
      <c r="I1032" s="491">
        <f t="shared" si="151"/>
        <v>502</v>
      </c>
      <c r="J1032" s="492">
        <v>1</v>
      </c>
      <c r="K1032" s="492">
        <f t="shared" si="153"/>
        <v>502</v>
      </c>
      <c r="L1032" s="456">
        <f>SUM(K1025:K1032)</f>
        <v>747</v>
      </c>
    </row>
    <row r="1033" s="457" customFormat="1" spans="1:12">
      <c r="A1033" s="494">
        <v>45850</v>
      </c>
      <c r="B1033" s="442" t="s">
        <v>272</v>
      </c>
      <c r="C1033" s="495">
        <v>45850</v>
      </c>
      <c r="D1033" s="463"/>
      <c r="E1033" s="463"/>
      <c r="F1033" s="457" t="s">
        <v>566</v>
      </c>
      <c r="G1033" s="442">
        <v>1</v>
      </c>
      <c r="H1033" s="442">
        <v>378</v>
      </c>
      <c r="I1033" s="463">
        <f t="shared" si="151"/>
        <v>378</v>
      </c>
      <c r="J1033" s="497"/>
      <c r="K1033" s="497"/>
    </row>
    <row r="1034" s="457" customFormat="1" spans="1:12">
      <c r="A1034" s="494">
        <v>45850</v>
      </c>
      <c r="B1034" s="442" t="s">
        <v>272</v>
      </c>
      <c r="C1034" s="495">
        <v>45850</v>
      </c>
      <c r="D1034" s="463"/>
      <c r="E1034" s="463"/>
      <c r="F1034" s="457" t="s">
        <v>567</v>
      </c>
      <c r="G1034" s="442">
        <v>1</v>
      </c>
      <c r="H1034" s="442">
        <v>1.7</v>
      </c>
      <c r="I1034" s="463">
        <f t="shared" si="151"/>
        <v>1.7</v>
      </c>
      <c r="J1034" s="497"/>
      <c r="K1034" s="497"/>
    </row>
    <row r="1035" s="457" customFormat="1" spans="1:12">
      <c r="A1035" s="494">
        <v>45850</v>
      </c>
      <c r="B1035" s="442" t="s">
        <v>272</v>
      </c>
      <c r="C1035" s="495">
        <v>45850</v>
      </c>
      <c r="D1035" s="463"/>
      <c r="E1035" s="463"/>
      <c r="F1035" s="457" t="s">
        <v>191</v>
      </c>
      <c r="G1035" s="442">
        <v>1</v>
      </c>
      <c r="H1035" s="442">
        <v>11.6</v>
      </c>
      <c r="I1035" s="463">
        <f t="shared" si="151"/>
        <v>11.6</v>
      </c>
      <c r="J1035" s="497">
        <v>17</v>
      </c>
      <c r="K1035" s="497">
        <f>I1035*J1035</f>
        <v>197.2</v>
      </c>
      <c r="L1035" s="457">
        <f>SUBTOTAL(9,K955:K1035)</f>
        <v>6912.55</v>
      </c>
    </row>
    <row r="1036" s="457" customFormat="1" spans="1:12">
      <c r="A1036" s="494">
        <v>45850</v>
      </c>
      <c r="B1036" s="442" t="s">
        <v>272</v>
      </c>
      <c r="C1036" s="495">
        <v>45850</v>
      </c>
      <c r="D1036" s="463"/>
      <c r="E1036" s="463"/>
      <c r="F1036" s="457" t="s">
        <v>137</v>
      </c>
      <c r="G1036" s="442">
        <v>1</v>
      </c>
      <c r="H1036" s="442">
        <v>38</v>
      </c>
      <c r="I1036" s="463">
        <f t="shared" si="151"/>
        <v>38</v>
      </c>
      <c r="J1036" s="497">
        <v>0.9</v>
      </c>
      <c r="K1036" s="497">
        <f t="shared" ref="K1036:K1044" si="154">I1036*J1036</f>
        <v>34.2</v>
      </c>
      <c r="L1036" s="457" t="s">
        <v>656</v>
      </c>
    </row>
    <row r="1037" s="457" customFormat="1" spans="1:12">
      <c r="A1037" s="494">
        <v>45850</v>
      </c>
      <c r="B1037" s="442" t="s">
        <v>272</v>
      </c>
      <c r="C1037" s="495">
        <v>45850</v>
      </c>
      <c r="D1037" s="463"/>
      <c r="E1037" s="463"/>
      <c r="F1037" s="457" t="s">
        <v>132</v>
      </c>
      <c r="G1037" s="442">
        <v>1</v>
      </c>
      <c r="H1037" s="442">
        <v>2.3</v>
      </c>
      <c r="I1037" s="463">
        <f t="shared" si="151"/>
        <v>2.3</v>
      </c>
      <c r="J1037" s="497">
        <v>3.5</v>
      </c>
      <c r="K1037" s="497">
        <f t="shared" si="154"/>
        <v>8.05</v>
      </c>
    </row>
    <row r="1038" s="457" customFormat="1" spans="1:12">
      <c r="A1038" s="494">
        <v>45850</v>
      </c>
      <c r="B1038" s="442" t="s">
        <v>272</v>
      </c>
      <c r="C1038" s="495">
        <v>45850</v>
      </c>
      <c r="D1038" s="463"/>
      <c r="E1038" s="463"/>
      <c r="F1038" s="496" t="s">
        <v>125</v>
      </c>
      <c r="G1038" s="442">
        <v>1</v>
      </c>
      <c r="H1038" s="442">
        <v>1.5</v>
      </c>
      <c r="I1038" s="463">
        <f t="shared" si="151"/>
        <v>1.5</v>
      </c>
      <c r="J1038" s="497">
        <v>5.5</v>
      </c>
      <c r="K1038" s="497">
        <f t="shared" si="154"/>
        <v>8.25</v>
      </c>
    </row>
    <row r="1039" s="457" customFormat="1" ht="19" customHeight="1" spans="1:12">
      <c r="A1039" s="494">
        <v>45850</v>
      </c>
      <c r="B1039" s="442" t="s">
        <v>272</v>
      </c>
      <c r="C1039" s="495">
        <v>45850</v>
      </c>
      <c r="D1039" s="463"/>
      <c r="E1039" s="463"/>
      <c r="F1039" s="457" t="s">
        <v>657</v>
      </c>
      <c r="G1039" s="442">
        <v>1</v>
      </c>
      <c r="H1039" s="442">
        <f>SUM(H1033:H1038)</f>
        <v>433.1</v>
      </c>
      <c r="I1039" s="463">
        <f t="shared" si="151"/>
        <v>433.1</v>
      </c>
      <c r="J1039" s="497">
        <v>1</v>
      </c>
      <c r="K1039" s="497">
        <f t="shared" si="154"/>
        <v>433.1</v>
      </c>
      <c r="L1039" s="457">
        <f>SUM(K1033:K1039)</f>
        <v>680.8</v>
      </c>
    </row>
    <row r="1040" s="457" customFormat="1" spans="1:12">
      <c r="A1040" s="494"/>
      <c r="B1040" s="442"/>
      <c r="C1040" s="495"/>
      <c r="D1040" s="463"/>
      <c r="E1040" s="463"/>
      <c r="F1040" s="546" t="s">
        <v>763</v>
      </c>
      <c r="G1040" s="463"/>
      <c r="H1040" s="432"/>
      <c r="I1040" s="463"/>
      <c r="J1040" s="497"/>
      <c r="K1040" s="497"/>
    </row>
    <row r="1041" s="456" customFormat="1" spans="1:14">
      <c r="A1041" s="488">
        <v>45853</v>
      </c>
      <c r="B1041" s="489" t="s">
        <v>309</v>
      </c>
      <c r="C1041" s="490">
        <v>45852</v>
      </c>
      <c r="D1041" s="491"/>
      <c r="E1041" s="491"/>
      <c r="F1041" s="493" t="s">
        <v>764</v>
      </c>
      <c r="G1041" s="491">
        <v>2</v>
      </c>
      <c r="H1041" s="575">
        <v>1</v>
      </c>
      <c r="I1041" s="491">
        <f t="shared" ref="I1041:I1056" si="155">G1041*H1041</f>
        <v>2</v>
      </c>
      <c r="J1041" s="492">
        <v>7</v>
      </c>
      <c r="K1041" s="492">
        <f t="shared" si="154"/>
        <v>14</v>
      </c>
    </row>
    <row r="1042" s="456" customFormat="1" spans="1:14">
      <c r="A1042" s="488">
        <v>45853</v>
      </c>
      <c r="B1042" s="489" t="s">
        <v>309</v>
      </c>
      <c r="C1042" s="490">
        <v>45853</v>
      </c>
      <c r="D1042" s="491"/>
      <c r="E1042" s="491"/>
      <c r="F1042" s="493">
        <v>808</v>
      </c>
      <c r="G1042" s="491">
        <v>1</v>
      </c>
      <c r="H1042" s="431">
        <v>50</v>
      </c>
      <c r="I1042" s="491">
        <f t="shared" si="155"/>
        <v>50</v>
      </c>
      <c r="J1042" s="492">
        <v>7.9</v>
      </c>
      <c r="K1042" s="492">
        <f t="shared" si="154"/>
        <v>395</v>
      </c>
      <c r="L1042" s="456" t="s">
        <v>126</v>
      </c>
    </row>
    <row r="1043" s="456" customFormat="1" spans="1:14">
      <c r="A1043" s="488">
        <v>45853</v>
      </c>
      <c r="B1043" s="489" t="s">
        <v>309</v>
      </c>
      <c r="C1043" s="490">
        <v>45853</v>
      </c>
      <c r="D1043" s="491"/>
      <c r="E1043" s="491"/>
      <c r="F1043" s="493" t="s">
        <v>125</v>
      </c>
      <c r="G1043" s="491">
        <v>1</v>
      </c>
      <c r="H1043" s="431">
        <v>108</v>
      </c>
      <c r="I1043" s="491">
        <f t="shared" si="155"/>
        <v>108</v>
      </c>
      <c r="J1043" s="492">
        <v>5.5</v>
      </c>
      <c r="K1043" s="492">
        <f t="shared" si="154"/>
        <v>594</v>
      </c>
    </row>
    <row r="1044" s="456" customFormat="1" spans="1:14">
      <c r="A1044" s="488">
        <v>45853</v>
      </c>
      <c r="B1044" s="489" t="s">
        <v>309</v>
      </c>
      <c r="C1044" s="490">
        <v>45853</v>
      </c>
      <c r="D1044" s="491"/>
      <c r="E1044" s="491"/>
      <c r="F1044" s="493" t="s">
        <v>12</v>
      </c>
      <c r="G1044" s="491">
        <v>1</v>
      </c>
      <c r="H1044" s="431">
        <v>10</v>
      </c>
      <c r="I1044" s="491">
        <f t="shared" si="155"/>
        <v>10</v>
      </c>
      <c r="J1044" s="492">
        <v>6.6</v>
      </c>
      <c r="K1044" s="492">
        <f t="shared" si="154"/>
        <v>66</v>
      </c>
      <c r="N1044" s="456">
        <f>SUBTOTAL(9,K766:K937)</f>
        <v>36452.784</v>
      </c>
    </row>
    <row r="1045" s="456" customFormat="1" spans="1:14">
      <c r="A1045" s="488">
        <v>45853</v>
      </c>
      <c r="B1045" s="489" t="s">
        <v>309</v>
      </c>
      <c r="C1045" s="490">
        <v>45853</v>
      </c>
      <c r="D1045" s="491"/>
      <c r="E1045" s="491"/>
      <c r="F1045" s="493" t="s">
        <v>240</v>
      </c>
      <c r="G1045" s="491">
        <v>1</v>
      </c>
      <c r="H1045" s="431">
        <v>75</v>
      </c>
      <c r="I1045" s="491">
        <f t="shared" si="155"/>
        <v>75</v>
      </c>
      <c r="J1045" s="492"/>
      <c r="K1045" s="492"/>
      <c r="M1045" s="456" t="s">
        <v>678</v>
      </c>
    </row>
    <row r="1046" s="456" customFormat="1" spans="1:14">
      <c r="A1046" s="488">
        <v>45853</v>
      </c>
      <c r="B1046" s="489" t="s">
        <v>309</v>
      </c>
      <c r="C1046" s="490">
        <v>45853</v>
      </c>
      <c r="D1046" s="491"/>
      <c r="E1046" s="491"/>
      <c r="F1046" s="493" t="s">
        <v>16</v>
      </c>
      <c r="G1046" s="491">
        <v>1</v>
      </c>
      <c r="H1046" s="431">
        <v>75</v>
      </c>
      <c r="I1046" s="491">
        <f t="shared" si="155"/>
        <v>75</v>
      </c>
      <c r="J1046" s="492"/>
      <c r="K1046" s="492"/>
    </row>
    <row r="1047" s="456" customFormat="1" spans="1:14">
      <c r="A1047" s="488">
        <v>45853</v>
      </c>
      <c r="B1047" s="489" t="s">
        <v>309</v>
      </c>
      <c r="C1047" s="490">
        <v>45853</v>
      </c>
      <c r="D1047" s="491"/>
      <c r="E1047" s="491"/>
      <c r="F1047" s="493" t="s">
        <v>300</v>
      </c>
      <c r="G1047" s="491">
        <v>1</v>
      </c>
      <c r="H1047" s="431">
        <v>75</v>
      </c>
      <c r="I1047" s="491">
        <f t="shared" si="155"/>
        <v>75</v>
      </c>
      <c r="J1047" s="492"/>
      <c r="K1047" s="492"/>
    </row>
    <row r="1048" s="456" customFormat="1" spans="1:14">
      <c r="A1048" s="488">
        <v>45853</v>
      </c>
      <c r="B1048" s="489" t="s">
        <v>309</v>
      </c>
      <c r="C1048" s="490">
        <v>45853</v>
      </c>
      <c r="D1048" s="491"/>
      <c r="E1048" s="491"/>
      <c r="F1048" s="493" t="s">
        <v>546</v>
      </c>
      <c r="G1048" s="491">
        <v>1</v>
      </c>
      <c r="H1048" s="431">
        <v>107</v>
      </c>
      <c r="I1048" s="491">
        <f t="shared" si="155"/>
        <v>107</v>
      </c>
      <c r="J1048" s="492"/>
      <c r="K1048" s="492"/>
    </row>
    <row r="1049" s="456" customFormat="1" spans="1:14">
      <c r="A1049" s="488">
        <v>45853</v>
      </c>
      <c r="B1049" s="489" t="s">
        <v>309</v>
      </c>
      <c r="C1049" s="490">
        <v>45853</v>
      </c>
      <c r="D1049" s="491"/>
      <c r="E1049" s="491"/>
      <c r="F1049" s="493" t="s">
        <v>301</v>
      </c>
      <c r="G1049" s="491">
        <v>1</v>
      </c>
      <c r="H1049" s="431">
        <f>SUM(H1042:H1048)</f>
        <v>500</v>
      </c>
      <c r="I1049" s="491">
        <f t="shared" si="155"/>
        <v>500</v>
      </c>
      <c r="J1049" s="492">
        <v>1</v>
      </c>
      <c r="K1049" s="492">
        <f t="shared" ref="K1049:K1051" si="156">I1049*J1049</f>
        <v>500</v>
      </c>
      <c r="L1049" s="456">
        <f>SUM(K1041:K1049)</f>
        <v>1569</v>
      </c>
    </row>
    <row r="1050" s="457" customFormat="1" spans="1:14">
      <c r="A1050" s="494">
        <v>45860</v>
      </c>
      <c r="B1050" s="442" t="s">
        <v>341</v>
      </c>
      <c r="C1050" s="495">
        <v>45860</v>
      </c>
      <c r="D1050" s="463"/>
      <c r="E1050" s="463"/>
      <c r="F1050" s="496">
        <v>808</v>
      </c>
      <c r="G1050" s="463">
        <v>1</v>
      </c>
      <c r="H1050" s="432">
        <v>102</v>
      </c>
      <c r="I1050" s="463">
        <f t="shared" si="155"/>
        <v>102</v>
      </c>
      <c r="J1050" s="497">
        <v>7.9</v>
      </c>
      <c r="K1050" s="497">
        <f t="shared" si="156"/>
        <v>805.8</v>
      </c>
    </row>
    <row r="1051" s="457" customFormat="1" spans="1:14">
      <c r="A1051" s="494">
        <v>45860</v>
      </c>
      <c r="B1051" s="442" t="s">
        <v>341</v>
      </c>
      <c r="C1051" s="495">
        <v>45860</v>
      </c>
      <c r="D1051" s="463"/>
      <c r="E1051" s="463"/>
      <c r="F1051" s="496" t="s">
        <v>12</v>
      </c>
      <c r="G1051" s="463">
        <v>1</v>
      </c>
      <c r="H1051" s="432">
        <v>42</v>
      </c>
      <c r="I1051" s="463">
        <f t="shared" si="155"/>
        <v>42</v>
      </c>
      <c r="J1051" s="497">
        <v>6.3</v>
      </c>
      <c r="K1051" s="497">
        <f t="shared" si="156"/>
        <v>264.6</v>
      </c>
    </row>
    <row r="1052" s="457" customFormat="1" spans="1:14">
      <c r="A1052" s="494">
        <v>45860</v>
      </c>
      <c r="B1052" s="442" t="s">
        <v>341</v>
      </c>
      <c r="C1052" s="495">
        <v>45860</v>
      </c>
      <c r="D1052" s="463"/>
      <c r="E1052" s="463"/>
      <c r="F1052" s="496" t="s">
        <v>709</v>
      </c>
      <c r="G1052" s="463">
        <v>1</v>
      </c>
      <c r="H1052" s="432">
        <v>150</v>
      </c>
      <c r="I1052" s="463">
        <f t="shared" si="155"/>
        <v>150</v>
      </c>
      <c r="J1052" s="497"/>
      <c r="K1052" s="497"/>
      <c r="L1052" s="457" t="s">
        <v>126</v>
      </c>
    </row>
    <row r="1053" s="457" customFormat="1" spans="1:14">
      <c r="A1053" s="494">
        <v>45860</v>
      </c>
      <c r="B1053" s="442" t="s">
        <v>341</v>
      </c>
      <c r="C1053" s="495">
        <v>45860</v>
      </c>
      <c r="D1053" s="463"/>
      <c r="E1053" s="463"/>
      <c r="F1053" s="496" t="s">
        <v>710</v>
      </c>
      <c r="G1053" s="463">
        <v>1</v>
      </c>
      <c r="H1053" s="432">
        <v>140</v>
      </c>
      <c r="I1053" s="463">
        <f t="shared" si="155"/>
        <v>140</v>
      </c>
      <c r="J1053" s="497"/>
      <c r="K1053" s="497"/>
    </row>
    <row r="1054" s="457" customFormat="1" spans="1:14">
      <c r="A1054" s="494">
        <v>45860</v>
      </c>
      <c r="B1054" s="442" t="s">
        <v>341</v>
      </c>
      <c r="C1054" s="495">
        <v>45860</v>
      </c>
      <c r="D1054" s="463"/>
      <c r="E1054" s="463"/>
      <c r="F1054" s="498" t="s">
        <v>725</v>
      </c>
      <c r="G1054" s="463">
        <v>1</v>
      </c>
      <c r="H1054" s="432">
        <v>358</v>
      </c>
      <c r="I1054" s="463">
        <f t="shared" si="155"/>
        <v>358</v>
      </c>
      <c r="J1054" s="497"/>
      <c r="K1054" s="497"/>
    </row>
    <row r="1055" s="457" customFormat="1" spans="1:14">
      <c r="A1055" s="494">
        <v>45860</v>
      </c>
      <c r="B1055" s="442" t="s">
        <v>341</v>
      </c>
      <c r="C1055" s="495">
        <v>45860</v>
      </c>
      <c r="D1055" s="463"/>
      <c r="E1055" s="463"/>
      <c r="F1055" s="496" t="s">
        <v>16</v>
      </c>
      <c r="G1055" s="463">
        <v>1</v>
      </c>
      <c r="H1055" s="432">
        <v>208</v>
      </c>
      <c r="I1055" s="463">
        <f t="shared" si="155"/>
        <v>208</v>
      </c>
      <c r="J1055" s="497"/>
      <c r="K1055" s="497"/>
    </row>
    <row r="1056" s="457" customFormat="1" spans="1:14">
      <c r="A1056" s="494">
        <v>45860</v>
      </c>
      <c r="B1056" s="442" t="s">
        <v>341</v>
      </c>
      <c r="C1056" s="495">
        <v>45860</v>
      </c>
      <c r="D1056" s="463"/>
      <c r="E1056" s="463"/>
      <c r="F1056" s="496" t="s">
        <v>714</v>
      </c>
      <c r="G1056" s="463">
        <v>1</v>
      </c>
      <c r="H1056" s="432">
        <f>SUM(H1050:H1055)</f>
        <v>1000</v>
      </c>
      <c r="I1056" s="463">
        <f t="shared" si="155"/>
        <v>1000</v>
      </c>
      <c r="J1056" s="497">
        <v>1</v>
      </c>
      <c r="K1056" s="497">
        <f t="shared" ref="K1056:K1064" si="157">I1056*J1056</f>
        <v>1000</v>
      </c>
      <c r="L1056" s="457">
        <f>SUM(K1050:K1057)</f>
        <v>2257.9</v>
      </c>
    </row>
    <row r="1057" s="457" customFormat="1" spans="1:14">
      <c r="A1057" s="494">
        <v>45860</v>
      </c>
      <c r="B1057" s="442" t="s">
        <v>341</v>
      </c>
      <c r="C1057" s="495">
        <v>45860</v>
      </c>
      <c r="D1057" s="463"/>
      <c r="E1057" s="463"/>
      <c r="F1057" s="496" t="s">
        <v>719</v>
      </c>
      <c r="G1057" s="463">
        <v>15</v>
      </c>
      <c r="H1057" s="574">
        <v>1</v>
      </c>
      <c r="I1057" s="463">
        <f t="shared" ref="I1057:I1068" si="158">G1057*H1057</f>
        <v>15</v>
      </c>
      <c r="J1057" s="497">
        <v>12.5</v>
      </c>
      <c r="K1057" s="497">
        <f t="shared" si="157"/>
        <v>187.5</v>
      </c>
      <c r="L1057" s="457" t="s">
        <v>765</v>
      </c>
    </row>
    <row r="1058" s="456" customFormat="1" spans="1:14">
      <c r="A1058" s="488">
        <v>45860</v>
      </c>
      <c r="B1058" s="489" t="s">
        <v>107</v>
      </c>
      <c r="C1058" s="490">
        <v>45860</v>
      </c>
      <c r="D1058" s="491"/>
      <c r="E1058" s="491"/>
      <c r="F1058" s="493" t="s">
        <v>16</v>
      </c>
      <c r="G1058" s="491">
        <v>1</v>
      </c>
      <c r="H1058" s="431">
        <v>48</v>
      </c>
      <c r="I1058" s="491">
        <f t="shared" si="158"/>
        <v>48</v>
      </c>
      <c r="J1058" s="492">
        <v>13.5</v>
      </c>
      <c r="K1058" s="492"/>
      <c r="N1058" s="457"/>
    </row>
    <row r="1059" s="456" customFormat="1" spans="1:14">
      <c r="A1059" s="488">
        <v>45860</v>
      </c>
      <c r="B1059" s="489" t="s">
        <v>107</v>
      </c>
      <c r="C1059" s="490">
        <v>45860</v>
      </c>
      <c r="D1059" s="491"/>
      <c r="E1059" s="491"/>
      <c r="F1059" s="493" t="s">
        <v>766</v>
      </c>
      <c r="G1059" s="491">
        <v>1</v>
      </c>
      <c r="H1059" s="431">
        <v>150</v>
      </c>
      <c r="I1059" s="491">
        <f t="shared" si="158"/>
        <v>150</v>
      </c>
      <c r="J1059" s="492">
        <v>14.2</v>
      </c>
      <c r="K1059" s="492"/>
      <c r="N1059" s="457"/>
    </row>
    <row r="1060" s="456" customFormat="1" spans="1:14">
      <c r="A1060" s="488">
        <v>45860</v>
      </c>
      <c r="B1060" s="489" t="s">
        <v>107</v>
      </c>
      <c r="C1060" s="490">
        <v>45860</v>
      </c>
      <c r="D1060" s="491"/>
      <c r="E1060" s="491"/>
      <c r="F1060" s="493">
        <v>808</v>
      </c>
      <c r="G1060" s="491">
        <v>1</v>
      </c>
      <c r="H1060" s="431">
        <v>30</v>
      </c>
      <c r="I1060" s="491">
        <f t="shared" si="158"/>
        <v>30</v>
      </c>
      <c r="J1060" s="492">
        <v>7.9</v>
      </c>
      <c r="K1060" s="492">
        <f t="shared" si="157"/>
        <v>237</v>
      </c>
      <c r="N1060" s="457"/>
    </row>
    <row r="1061" s="456" customFormat="1" spans="1:14">
      <c r="A1061" s="488">
        <v>45860</v>
      </c>
      <c r="B1061" s="489" t="s">
        <v>107</v>
      </c>
      <c r="C1061" s="490">
        <v>45860</v>
      </c>
      <c r="D1061" s="491"/>
      <c r="E1061" s="491"/>
      <c r="F1061" s="493" t="s">
        <v>12</v>
      </c>
      <c r="G1061" s="491">
        <v>1</v>
      </c>
      <c r="H1061" s="431">
        <v>30</v>
      </c>
      <c r="I1061" s="491">
        <f t="shared" si="158"/>
        <v>30</v>
      </c>
      <c r="J1061" s="492">
        <v>6.3</v>
      </c>
      <c r="K1061" s="492">
        <f t="shared" si="157"/>
        <v>189</v>
      </c>
      <c r="M1061" s="573"/>
      <c r="N1061" s="457"/>
    </row>
    <row r="1062" s="456" customFormat="1" spans="1:14">
      <c r="A1062" s="488">
        <v>45860</v>
      </c>
      <c r="B1062" s="489" t="s">
        <v>107</v>
      </c>
      <c r="C1062" s="490">
        <v>45860</v>
      </c>
      <c r="D1062" s="491"/>
      <c r="E1062" s="491"/>
      <c r="F1062" s="493" t="s">
        <v>456</v>
      </c>
      <c r="G1062" s="491">
        <v>1</v>
      </c>
      <c r="H1062" s="431">
        <f>SUM(H1058:H1061)</f>
        <v>258</v>
      </c>
      <c r="I1062" s="491">
        <f t="shared" si="158"/>
        <v>258</v>
      </c>
      <c r="J1062" s="492">
        <v>3</v>
      </c>
      <c r="K1062" s="492">
        <f t="shared" si="157"/>
        <v>774</v>
      </c>
      <c r="L1062" s="456">
        <f>SUM(K1058:K1062)</f>
        <v>1200</v>
      </c>
      <c r="N1062" s="457"/>
    </row>
    <row r="1063" s="457" customFormat="1" spans="1:14">
      <c r="A1063" s="494">
        <v>45861</v>
      </c>
      <c r="B1063" s="442" t="s">
        <v>113</v>
      </c>
      <c r="C1063" s="495">
        <v>45861</v>
      </c>
      <c r="D1063" s="463"/>
      <c r="E1063" s="463"/>
      <c r="F1063" s="496">
        <v>808</v>
      </c>
      <c r="G1063" s="463">
        <v>1</v>
      </c>
      <c r="H1063" s="432">
        <v>120</v>
      </c>
      <c r="I1063" s="463">
        <f t="shared" si="158"/>
        <v>120</v>
      </c>
      <c r="J1063" s="497">
        <v>7.9</v>
      </c>
      <c r="K1063" s="497">
        <f t="shared" si="157"/>
        <v>948</v>
      </c>
      <c r="N1063" s="457">
        <f>SUBTOTAL(9,K948:K1063)</f>
        <v>14616.3</v>
      </c>
    </row>
    <row r="1064" s="457" customFormat="1" spans="1:14">
      <c r="A1064" s="494">
        <v>45861</v>
      </c>
      <c r="B1064" s="442" t="s">
        <v>113</v>
      </c>
      <c r="C1064" s="495">
        <v>45861</v>
      </c>
      <c r="D1064" s="463"/>
      <c r="E1064" s="463"/>
      <c r="F1064" s="496" t="s">
        <v>12</v>
      </c>
      <c r="G1064" s="463">
        <v>1</v>
      </c>
      <c r="H1064" s="432">
        <v>80</v>
      </c>
      <c r="I1064" s="463">
        <f t="shared" si="158"/>
        <v>80</v>
      </c>
      <c r="J1064" s="497">
        <v>6.3</v>
      </c>
      <c r="K1064" s="497">
        <f t="shared" si="157"/>
        <v>504</v>
      </c>
    </row>
    <row r="1065" s="457" customFormat="1" spans="1:14">
      <c r="A1065" s="494">
        <v>45861</v>
      </c>
      <c r="B1065" s="442" t="s">
        <v>113</v>
      </c>
      <c r="C1065" s="495">
        <v>45861</v>
      </c>
      <c r="D1065" s="463"/>
      <c r="E1065" s="463"/>
      <c r="F1065" s="496" t="s">
        <v>13</v>
      </c>
      <c r="G1065" s="463">
        <v>1</v>
      </c>
      <c r="H1065" s="432">
        <v>180</v>
      </c>
      <c r="I1065" s="463">
        <f t="shared" si="158"/>
        <v>180</v>
      </c>
      <c r="J1065" s="497"/>
      <c r="K1065" s="497"/>
    </row>
    <row r="1066" s="457" customFormat="1" spans="1:14">
      <c r="A1066" s="494">
        <v>45861</v>
      </c>
      <c r="B1066" s="442" t="s">
        <v>113</v>
      </c>
      <c r="C1066" s="495">
        <v>45861</v>
      </c>
      <c r="D1066" s="463"/>
      <c r="E1066" s="463"/>
      <c r="F1066" s="496" t="s">
        <v>737</v>
      </c>
      <c r="G1066" s="463">
        <v>1</v>
      </c>
      <c r="H1066" s="432">
        <v>250</v>
      </c>
      <c r="I1066" s="463">
        <f t="shared" si="158"/>
        <v>250</v>
      </c>
      <c r="J1066" s="497"/>
      <c r="K1066" s="497"/>
      <c r="L1066" s="457" t="s">
        <v>116</v>
      </c>
    </row>
    <row r="1067" s="457" customFormat="1" spans="1:14">
      <c r="A1067" s="494">
        <v>45861</v>
      </c>
      <c r="B1067" s="442" t="s">
        <v>113</v>
      </c>
      <c r="C1067" s="495">
        <v>45861</v>
      </c>
      <c r="D1067" s="463"/>
      <c r="E1067" s="463"/>
      <c r="F1067" s="496" t="s">
        <v>547</v>
      </c>
      <c r="G1067" s="463">
        <v>1</v>
      </c>
      <c r="H1067" s="432">
        <v>140</v>
      </c>
      <c r="I1067" s="463">
        <f t="shared" si="158"/>
        <v>140</v>
      </c>
      <c r="J1067" s="497"/>
      <c r="K1067" s="497"/>
    </row>
    <row r="1068" s="457" customFormat="1" spans="1:14">
      <c r="A1068" s="494">
        <v>45861</v>
      </c>
      <c r="B1068" s="442" t="s">
        <v>113</v>
      </c>
      <c r="C1068" s="495">
        <v>45861</v>
      </c>
      <c r="D1068" s="463"/>
      <c r="E1068" s="463"/>
      <c r="F1068" s="496" t="s">
        <v>16</v>
      </c>
      <c r="G1068" s="463">
        <v>1</v>
      </c>
      <c r="H1068" s="432">
        <v>230</v>
      </c>
      <c r="I1068" s="463">
        <f t="shared" si="158"/>
        <v>230</v>
      </c>
      <c r="J1068" s="497"/>
      <c r="K1068" s="497"/>
    </row>
    <row r="1069" s="457" customFormat="1" spans="1:14">
      <c r="A1069" s="494">
        <v>45861</v>
      </c>
      <c r="B1069" s="442" t="s">
        <v>113</v>
      </c>
      <c r="C1069" s="495">
        <v>45861</v>
      </c>
      <c r="D1069" s="463"/>
      <c r="E1069" s="463"/>
      <c r="F1069" s="496" t="s">
        <v>17</v>
      </c>
      <c r="G1069" s="463">
        <v>1</v>
      </c>
      <c r="H1069" s="432">
        <f>SUM(H1063:H1068)</f>
        <v>1000</v>
      </c>
      <c r="I1069" s="432">
        <f>SUM(I1063:I1068)</f>
        <v>1000</v>
      </c>
      <c r="J1069" s="497">
        <v>1</v>
      </c>
      <c r="K1069" s="497">
        <f t="shared" ref="K1069:K1075" si="159">I1069*J1069</f>
        <v>1000</v>
      </c>
      <c r="L1069" s="457">
        <f>SUM(K1063:K1070)</f>
        <v>2639.5</v>
      </c>
    </row>
    <row r="1070" s="457" customFormat="1" spans="1:14">
      <c r="A1070" s="494">
        <v>45861</v>
      </c>
      <c r="B1070" s="442" t="s">
        <v>113</v>
      </c>
      <c r="C1070" s="495">
        <v>45861</v>
      </c>
      <c r="D1070" s="463"/>
      <c r="E1070" s="463"/>
      <c r="F1070" s="496" t="s">
        <v>719</v>
      </c>
      <c r="G1070" s="463">
        <v>15</v>
      </c>
      <c r="H1070" s="574">
        <v>1</v>
      </c>
      <c r="I1070" s="463">
        <f t="shared" ref="I1070:I1080" si="160">G1070*H1070</f>
        <v>15</v>
      </c>
      <c r="J1070" s="497">
        <v>12.5</v>
      </c>
      <c r="K1070" s="497">
        <f t="shared" si="159"/>
        <v>187.5</v>
      </c>
      <c r="L1070" s="457" t="s">
        <v>765</v>
      </c>
    </row>
    <row r="1071" s="456" customFormat="1" spans="1:14">
      <c r="A1071" s="488">
        <v>45862</v>
      </c>
      <c r="B1071" s="489" t="s">
        <v>128</v>
      </c>
      <c r="C1071" s="490">
        <v>45862</v>
      </c>
      <c r="D1071" s="491"/>
      <c r="E1071" s="491"/>
      <c r="F1071" s="498" t="s">
        <v>719</v>
      </c>
      <c r="G1071" s="491">
        <v>11</v>
      </c>
      <c r="H1071" s="575">
        <v>1</v>
      </c>
      <c r="I1071" s="491">
        <f t="shared" si="160"/>
        <v>11</v>
      </c>
      <c r="J1071" s="492">
        <v>12.5</v>
      </c>
      <c r="K1071" s="492">
        <f t="shared" si="159"/>
        <v>137.5</v>
      </c>
      <c r="L1071" s="456" t="s">
        <v>765</v>
      </c>
    </row>
    <row r="1072" s="456" customFormat="1" spans="1:14">
      <c r="A1072" s="488">
        <v>45862</v>
      </c>
      <c r="B1072" s="489" t="s">
        <v>128</v>
      </c>
      <c r="C1072" s="490">
        <v>45862</v>
      </c>
      <c r="D1072" s="491"/>
      <c r="E1072" s="491"/>
      <c r="F1072" s="493" t="s">
        <v>125</v>
      </c>
      <c r="G1072" s="491">
        <v>1</v>
      </c>
      <c r="H1072" s="431">
        <v>1.5</v>
      </c>
      <c r="I1072" s="491">
        <f t="shared" si="160"/>
        <v>1.5</v>
      </c>
      <c r="J1072" s="492">
        <v>5.5</v>
      </c>
      <c r="K1072" s="492">
        <f t="shared" si="159"/>
        <v>8.25</v>
      </c>
    </row>
    <row r="1073" s="456" customFormat="1" spans="1:20">
      <c r="A1073" s="488">
        <v>45862</v>
      </c>
      <c r="B1073" s="489" t="s">
        <v>128</v>
      </c>
      <c r="C1073" s="490">
        <v>45862</v>
      </c>
      <c r="D1073" s="491"/>
      <c r="E1073" s="491"/>
      <c r="F1073" s="493" t="s">
        <v>132</v>
      </c>
      <c r="G1073" s="491">
        <v>1</v>
      </c>
      <c r="H1073" s="431">
        <v>3</v>
      </c>
      <c r="I1073" s="491">
        <f t="shared" si="160"/>
        <v>3</v>
      </c>
      <c r="J1073" s="492">
        <v>3.2</v>
      </c>
      <c r="K1073" s="492">
        <f t="shared" si="159"/>
        <v>9.6</v>
      </c>
      <c r="M1073" s="457"/>
    </row>
    <row r="1074" s="456" customFormat="1" spans="1:20">
      <c r="A1074" s="488">
        <v>45862</v>
      </c>
      <c r="B1074" s="489" t="s">
        <v>128</v>
      </c>
      <c r="C1074" s="490">
        <v>45862</v>
      </c>
      <c r="D1074" s="491"/>
      <c r="E1074" s="491"/>
      <c r="F1074" s="493" t="s">
        <v>191</v>
      </c>
      <c r="G1074" s="491">
        <v>1</v>
      </c>
      <c r="H1074" s="431">
        <v>12</v>
      </c>
      <c r="I1074" s="491">
        <f t="shared" si="160"/>
        <v>12</v>
      </c>
      <c r="J1074" s="492">
        <v>17</v>
      </c>
      <c r="K1074" s="492">
        <f t="shared" si="159"/>
        <v>204</v>
      </c>
    </row>
    <row r="1075" s="456" customFormat="1" spans="1:20">
      <c r="A1075" s="488">
        <v>45862</v>
      </c>
      <c r="B1075" s="489" t="s">
        <v>128</v>
      </c>
      <c r="C1075" s="490">
        <v>45862</v>
      </c>
      <c r="D1075" s="491"/>
      <c r="E1075" s="491"/>
      <c r="F1075" s="493" t="s">
        <v>137</v>
      </c>
      <c r="G1075" s="491">
        <v>1</v>
      </c>
      <c r="H1075" s="431">
        <v>36</v>
      </c>
      <c r="I1075" s="491">
        <f t="shared" si="160"/>
        <v>36</v>
      </c>
      <c r="J1075" s="492">
        <v>0.9</v>
      </c>
      <c r="K1075" s="492">
        <f t="shared" si="159"/>
        <v>32.4</v>
      </c>
      <c r="L1075" s="456" t="s">
        <v>116</v>
      </c>
    </row>
    <row r="1076" s="456" customFormat="1" spans="1:20">
      <c r="A1076" s="488">
        <v>45862</v>
      </c>
      <c r="B1076" s="489" t="s">
        <v>128</v>
      </c>
      <c r="C1076" s="490">
        <v>45862</v>
      </c>
      <c r="D1076" s="491"/>
      <c r="E1076" s="491"/>
      <c r="F1076" s="493" t="s">
        <v>567</v>
      </c>
      <c r="G1076" s="491">
        <v>1</v>
      </c>
      <c r="H1076" s="431">
        <v>1.5</v>
      </c>
      <c r="I1076" s="491">
        <f t="shared" si="160"/>
        <v>1.5</v>
      </c>
      <c r="J1076" s="492"/>
      <c r="K1076" s="492"/>
    </row>
    <row r="1077" s="456" customFormat="1" spans="1:20">
      <c r="A1077" s="488">
        <v>45862</v>
      </c>
      <c r="B1077" s="489" t="s">
        <v>128</v>
      </c>
      <c r="C1077" s="490">
        <v>45862</v>
      </c>
      <c r="D1077" s="491"/>
      <c r="E1077" s="491"/>
      <c r="F1077" s="493" t="s">
        <v>767</v>
      </c>
      <c r="G1077" s="491">
        <v>1</v>
      </c>
      <c r="H1077" s="431">
        <v>357</v>
      </c>
      <c r="I1077" s="491">
        <f t="shared" si="160"/>
        <v>357</v>
      </c>
      <c r="J1077" s="492"/>
      <c r="K1077" s="492"/>
    </row>
    <row r="1078" s="456" customFormat="1" spans="1:20">
      <c r="A1078" s="488">
        <v>45862</v>
      </c>
      <c r="B1078" s="489" t="s">
        <v>128</v>
      </c>
      <c r="C1078" s="490">
        <v>45862</v>
      </c>
      <c r="D1078" s="491"/>
      <c r="E1078" s="491"/>
      <c r="F1078" s="493" t="s">
        <v>768</v>
      </c>
      <c r="G1078" s="491">
        <v>1</v>
      </c>
      <c r="H1078" s="431">
        <f>SUM(H1072:H1077)</f>
        <v>411</v>
      </c>
      <c r="I1078" s="491">
        <f t="shared" si="160"/>
        <v>411</v>
      </c>
      <c r="J1078" s="492">
        <v>1</v>
      </c>
      <c r="K1078" s="492">
        <f t="shared" ref="K1078:K1085" si="161">I1078*J1078</f>
        <v>411</v>
      </c>
      <c r="L1078" s="456">
        <f>SUM(K1071:K1078)</f>
        <v>802.75</v>
      </c>
    </row>
    <row r="1079" s="457" customFormat="1" spans="1:20">
      <c r="A1079" s="494">
        <v>45864</v>
      </c>
      <c r="B1079" s="442" t="s">
        <v>219</v>
      </c>
      <c r="C1079" s="495">
        <v>45863</v>
      </c>
      <c r="D1079" s="463"/>
      <c r="E1079" s="463"/>
      <c r="F1079" s="498" t="s">
        <v>769</v>
      </c>
      <c r="G1079" s="463">
        <v>1</v>
      </c>
      <c r="H1079" s="574">
        <v>0.7</v>
      </c>
      <c r="I1079" s="463">
        <f t="shared" si="160"/>
        <v>0.7</v>
      </c>
      <c r="J1079" s="497">
        <v>170</v>
      </c>
      <c r="K1079" s="497">
        <f t="shared" si="161"/>
        <v>119</v>
      </c>
    </row>
    <row r="1080" s="457" customFormat="1" spans="1:20">
      <c r="A1080" s="494">
        <v>45864</v>
      </c>
      <c r="B1080" s="442" t="s">
        <v>219</v>
      </c>
      <c r="C1080" s="495">
        <v>45863</v>
      </c>
      <c r="D1080" s="463"/>
      <c r="E1080" s="463"/>
      <c r="F1080" s="498" t="s">
        <v>770</v>
      </c>
      <c r="G1080" s="463">
        <v>10</v>
      </c>
      <c r="H1080" s="574">
        <v>1</v>
      </c>
      <c r="I1080" s="463">
        <f t="shared" si="160"/>
        <v>10</v>
      </c>
      <c r="J1080" s="497">
        <v>12.5</v>
      </c>
      <c r="K1080" s="497">
        <f t="shared" si="161"/>
        <v>125</v>
      </c>
    </row>
    <row r="1081" s="457" customFormat="1" spans="1:20">
      <c r="A1081" s="494">
        <v>45864</v>
      </c>
      <c r="B1081" s="442" t="s">
        <v>219</v>
      </c>
      <c r="C1081" s="495">
        <v>45864</v>
      </c>
      <c r="D1081" s="463"/>
      <c r="E1081" s="463"/>
      <c r="F1081" s="496" t="s">
        <v>771</v>
      </c>
      <c r="G1081" s="463">
        <v>1</v>
      </c>
      <c r="H1081" s="574">
        <v>1</v>
      </c>
      <c r="I1081" s="463">
        <f t="shared" ref="I1081:I1102" si="162">G1081*H1081</f>
        <v>1</v>
      </c>
      <c r="J1081" s="497">
        <v>5.5</v>
      </c>
      <c r="K1081" s="497">
        <f t="shared" si="161"/>
        <v>5.5</v>
      </c>
    </row>
    <row r="1082" s="457" customFormat="1" spans="1:20">
      <c r="A1082" s="494">
        <v>45864</v>
      </c>
      <c r="B1082" s="442" t="s">
        <v>219</v>
      </c>
      <c r="C1082" s="495">
        <v>45864</v>
      </c>
      <c r="D1082" s="463"/>
      <c r="E1082" s="463"/>
      <c r="F1082" s="496" t="s">
        <v>679</v>
      </c>
      <c r="G1082" s="463">
        <v>6</v>
      </c>
      <c r="H1082" s="432">
        <v>18</v>
      </c>
      <c r="I1082" s="463">
        <f t="shared" si="162"/>
        <v>108</v>
      </c>
      <c r="J1082" s="497">
        <v>15</v>
      </c>
      <c r="K1082" s="497">
        <f t="shared" si="161"/>
        <v>1620</v>
      </c>
      <c r="L1082" s="537"/>
      <c r="M1082" s="537"/>
      <c r="N1082" s="537"/>
    </row>
    <row r="1083" s="457" customFormat="1" spans="1:20">
      <c r="A1083" s="494">
        <v>45864</v>
      </c>
      <c r="B1083" s="442" t="s">
        <v>219</v>
      </c>
      <c r="C1083" s="495">
        <v>45864</v>
      </c>
      <c r="D1083" s="463"/>
      <c r="E1083" s="463"/>
      <c r="F1083" s="496" t="s">
        <v>653</v>
      </c>
      <c r="G1083" s="463">
        <v>6</v>
      </c>
      <c r="H1083" s="432">
        <v>1</v>
      </c>
      <c r="I1083" s="463">
        <f t="shared" si="162"/>
        <v>6</v>
      </c>
      <c r="J1083" s="497">
        <v>12.5</v>
      </c>
      <c r="K1083" s="497">
        <f t="shared" si="161"/>
        <v>75</v>
      </c>
      <c r="L1083" s="537"/>
      <c r="M1083" s="537"/>
      <c r="N1083" s="537"/>
    </row>
    <row r="1084" s="457" customFormat="1" spans="1:20">
      <c r="A1084" s="494">
        <v>45864</v>
      </c>
      <c r="B1084" s="442" t="s">
        <v>219</v>
      </c>
      <c r="C1084" s="495">
        <v>45864</v>
      </c>
      <c r="D1084" s="463"/>
      <c r="E1084" s="463"/>
      <c r="F1084" s="550" t="s">
        <v>284</v>
      </c>
      <c r="G1084" s="463">
        <v>30</v>
      </c>
      <c r="H1084" s="432">
        <v>4</v>
      </c>
      <c r="I1084" s="463">
        <f t="shared" si="162"/>
        <v>120</v>
      </c>
      <c r="J1084" s="497">
        <v>15.5</v>
      </c>
      <c r="K1084" s="497">
        <f t="shared" si="161"/>
        <v>1860</v>
      </c>
      <c r="L1084" s="457" t="s">
        <v>616</v>
      </c>
      <c r="M1084" s="442"/>
      <c r="O1084" s="442"/>
      <c r="S1084" s="442"/>
      <c r="T1084" s="457" t="s">
        <v>617</v>
      </c>
    </row>
    <row r="1085" s="457" customFormat="1" spans="1:20">
      <c r="A1085" s="494">
        <v>45864</v>
      </c>
      <c r="B1085" s="442" t="s">
        <v>219</v>
      </c>
      <c r="C1085" s="495">
        <v>45864</v>
      </c>
      <c r="D1085" s="463"/>
      <c r="E1085" s="463"/>
      <c r="F1085" s="550" t="s">
        <v>666</v>
      </c>
      <c r="G1085" s="520">
        <v>30</v>
      </c>
      <c r="H1085" s="432">
        <v>1</v>
      </c>
      <c r="I1085" s="463">
        <f t="shared" si="162"/>
        <v>30</v>
      </c>
      <c r="J1085" s="497">
        <v>5.5</v>
      </c>
      <c r="K1085" s="497">
        <f t="shared" si="161"/>
        <v>165</v>
      </c>
      <c r="L1085" s="496">
        <f>SUM(K1079:K1085)</f>
        <v>3969.5</v>
      </c>
      <c r="M1085" s="459" t="s">
        <v>772</v>
      </c>
    </row>
    <row r="1086" s="456" customFormat="1" spans="1:20">
      <c r="A1086" s="488">
        <v>45864</v>
      </c>
      <c r="B1086" s="489" t="s">
        <v>220</v>
      </c>
      <c r="C1086" s="490" t="s">
        <v>773</v>
      </c>
      <c r="D1086" s="491"/>
      <c r="E1086" s="491"/>
      <c r="F1086" s="493" t="s">
        <v>176</v>
      </c>
      <c r="G1086" s="491">
        <v>1</v>
      </c>
      <c r="H1086" s="431">
        <v>200</v>
      </c>
      <c r="I1086" s="491">
        <f t="shared" si="162"/>
        <v>200</v>
      </c>
      <c r="J1086" s="492"/>
      <c r="K1086" s="492"/>
    </row>
    <row r="1087" s="456" customFormat="1" spans="1:20">
      <c r="A1087" s="488">
        <v>45864</v>
      </c>
      <c r="B1087" s="489" t="s">
        <v>220</v>
      </c>
      <c r="C1087" s="490" t="s">
        <v>773</v>
      </c>
      <c r="D1087" s="491"/>
      <c r="E1087" s="491"/>
      <c r="F1087" s="493" t="s">
        <v>171</v>
      </c>
      <c r="G1087" s="491">
        <v>1</v>
      </c>
      <c r="H1087" s="431">
        <v>100</v>
      </c>
      <c r="I1087" s="491">
        <f t="shared" si="162"/>
        <v>100</v>
      </c>
      <c r="J1087" s="492"/>
      <c r="K1087" s="492"/>
      <c r="L1087" s="536"/>
      <c r="M1087" s="536"/>
      <c r="N1087" s="536"/>
    </row>
    <row r="1088" s="456" customFormat="1" spans="1:20">
      <c r="A1088" s="488">
        <v>45864</v>
      </c>
      <c r="B1088" s="489" t="s">
        <v>220</v>
      </c>
      <c r="C1088" s="490" t="s">
        <v>773</v>
      </c>
      <c r="D1088" s="491"/>
      <c r="E1088" s="491"/>
      <c r="F1088" s="498" t="s">
        <v>774</v>
      </c>
      <c r="G1088" s="491">
        <v>1</v>
      </c>
      <c r="H1088" s="431">
        <v>25</v>
      </c>
      <c r="I1088" s="491">
        <f t="shared" si="162"/>
        <v>25</v>
      </c>
      <c r="J1088" s="515">
        <v>82</v>
      </c>
      <c r="K1088" s="492">
        <f t="shared" ref="K1088:K1094" si="163">I1088*J1088</f>
        <v>2050</v>
      </c>
      <c r="L1088" s="536" t="s">
        <v>775</v>
      </c>
      <c r="M1088" s="536"/>
      <c r="N1088" s="536"/>
    </row>
    <row r="1089" s="456" customFormat="1" spans="1:14">
      <c r="A1089" s="488">
        <v>45864</v>
      </c>
      <c r="B1089" s="489" t="s">
        <v>220</v>
      </c>
      <c r="C1089" s="490" t="s">
        <v>773</v>
      </c>
      <c r="D1089" s="491"/>
      <c r="E1089" s="491"/>
      <c r="F1089" s="493">
        <v>808</v>
      </c>
      <c r="G1089" s="491">
        <v>1</v>
      </c>
      <c r="H1089" s="431">
        <v>300</v>
      </c>
      <c r="I1089" s="491">
        <f t="shared" si="162"/>
        <v>300</v>
      </c>
      <c r="J1089" s="492">
        <v>7.9</v>
      </c>
      <c r="K1089" s="492">
        <f t="shared" si="163"/>
        <v>2370</v>
      </c>
      <c r="L1089" s="536" t="s">
        <v>472</v>
      </c>
      <c r="M1089" s="536"/>
      <c r="N1089" s="536"/>
    </row>
    <row r="1090" s="456" customFormat="1" spans="1:14">
      <c r="A1090" s="488">
        <v>45864</v>
      </c>
      <c r="B1090" s="489" t="s">
        <v>220</v>
      </c>
      <c r="C1090" s="490" t="s">
        <v>773</v>
      </c>
      <c r="D1090" s="491"/>
      <c r="E1090" s="491"/>
      <c r="F1090" s="493" t="s">
        <v>125</v>
      </c>
      <c r="G1090" s="491">
        <v>1</v>
      </c>
      <c r="H1090" s="431">
        <v>125</v>
      </c>
      <c r="I1090" s="491">
        <f t="shared" si="162"/>
        <v>125</v>
      </c>
      <c r="J1090" s="492">
        <v>5.5</v>
      </c>
      <c r="K1090" s="492">
        <f t="shared" si="163"/>
        <v>687.5</v>
      </c>
      <c r="L1090" s="536"/>
      <c r="M1090" s="536" t="s">
        <v>473</v>
      </c>
      <c r="N1090" s="536"/>
    </row>
    <row r="1091" s="456" customFormat="1" spans="1:14">
      <c r="A1091" s="488">
        <v>45864</v>
      </c>
      <c r="B1091" s="489" t="s">
        <v>220</v>
      </c>
      <c r="C1091" s="490" t="s">
        <v>773</v>
      </c>
      <c r="D1091" s="491"/>
      <c r="E1091" s="491"/>
      <c r="F1091" s="493" t="s">
        <v>179</v>
      </c>
      <c r="G1091" s="491">
        <v>1</v>
      </c>
      <c r="H1091" s="431">
        <f>SUM(H1086:H1090)</f>
        <v>750</v>
      </c>
      <c r="I1091" s="491">
        <f t="shared" si="162"/>
        <v>750</v>
      </c>
      <c r="J1091" s="492">
        <v>7.5</v>
      </c>
      <c r="K1091" s="492">
        <f t="shared" si="163"/>
        <v>5625</v>
      </c>
      <c r="L1091" s="536">
        <f>SUM(K1086:K1091)</f>
        <v>10732.5</v>
      </c>
      <c r="M1091" s="536"/>
      <c r="N1091" s="536"/>
    </row>
    <row r="1092" s="457" customFormat="1" spans="1:14">
      <c r="A1092" s="494">
        <v>45867</v>
      </c>
      <c r="B1092" s="442" t="s">
        <v>404</v>
      </c>
      <c r="C1092" s="495">
        <v>45866</v>
      </c>
      <c r="D1092" s="463"/>
      <c r="E1092" s="463"/>
      <c r="F1092" s="496">
        <v>808</v>
      </c>
      <c r="G1092" s="463">
        <v>1</v>
      </c>
      <c r="H1092" s="432">
        <v>150</v>
      </c>
      <c r="I1092" s="463">
        <f t="shared" si="162"/>
        <v>150</v>
      </c>
      <c r="J1092" s="497">
        <v>7.9</v>
      </c>
      <c r="K1092" s="497">
        <f t="shared" si="163"/>
        <v>1185</v>
      </c>
    </row>
    <row r="1093" s="457" customFormat="1" spans="1:14">
      <c r="A1093" s="494">
        <v>45867</v>
      </c>
      <c r="B1093" s="442" t="s">
        <v>404</v>
      </c>
      <c r="C1093" s="495">
        <v>45866</v>
      </c>
      <c r="D1093" s="463"/>
      <c r="E1093" s="463"/>
      <c r="F1093" s="496" t="s">
        <v>12</v>
      </c>
      <c r="G1093" s="463">
        <v>1</v>
      </c>
      <c r="H1093" s="432">
        <v>130</v>
      </c>
      <c r="I1093" s="463">
        <f t="shared" si="162"/>
        <v>130</v>
      </c>
      <c r="J1093" s="497">
        <v>6.3</v>
      </c>
      <c r="K1093" s="497">
        <f t="shared" si="163"/>
        <v>819</v>
      </c>
    </row>
    <row r="1094" s="457" customFormat="1" spans="1:14">
      <c r="A1094" s="494">
        <v>45867</v>
      </c>
      <c r="B1094" s="442" t="s">
        <v>404</v>
      </c>
      <c r="C1094" s="495">
        <v>45866</v>
      </c>
      <c r="D1094" s="463"/>
      <c r="E1094" s="463"/>
      <c r="F1094" s="496" t="s">
        <v>152</v>
      </c>
      <c r="G1094" s="463">
        <v>1</v>
      </c>
      <c r="H1094" s="432">
        <v>100</v>
      </c>
      <c r="I1094" s="463">
        <f t="shared" si="162"/>
        <v>100</v>
      </c>
      <c r="J1094" s="497">
        <v>6.7</v>
      </c>
      <c r="K1094" s="497">
        <f t="shared" si="163"/>
        <v>670</v>
      </c>
    </row>
    <row r="1095" s="457" customFormat="1" spans="1:14">
      <c r="A1095" s="494">
        <v>45867</v>
      </c>
      <c r="B1095" s="442" t="s">
        <v>404</v>
      </c>
      <c r="C1095" s="495">
        <v>45866</v>
      </c>
      <c r="D1095" s="463"/>
      <c r="E1095" s="463"/>
      <c r="F1095" s="496" t="s">
        <v>709</v>
      </c>
      <c r="G1095" s="463">
        <v>1</v>
      </c>
      <c r="H1095" s="432">
        <v>120</v>
      </c>
      <c r="I1095" s="463">
        <f t="shared" si="162"/>
        <v>120</v>
      </c>
      <c r="J1095" s="497"/>
      <c r="K1095" s="497"/>
      <c r="L1095" s="457" t="s">
        <v>126</v>
      </c>
    </row>
    <row r="1096" s="457" customFormat="1" spans="1:14">
      <c r="A1096" s="494">
        <v>45867</v>
      </c>
      <c r="B1096" s="442" t="s">
        <v>404</v>
      </c>
      <c r="C1096" s="495">
        <v>45866</v>
      </c>
      <c r="D1096" s="463"/>
      <c r="E1096" s="463"/>
      <c r="F1096" s="496" t="s">
        <v>710</v>
      </c>
      <c r="G1096" s="463">
        <v>1</v>
      </c>
      <c r="H1096" s="432">
        <v>145</v>
      </c>
      <c r="I1096" s="463">
        <f t="shared" si="162"/>
        <v>145</v>
      </c>
      <c r="J1096" s="497"/>
      <c r="K1096" s="497"/>
    </row>
    <row r="1097" s="457" customFormat="1" spans="1:14">
      <c r="A1097" s="494">
        <v>45867</v>
      </c>
      <c r="B1097" s="442" t="s">
        <v>404</v>
      </c>
      <c r="C1097" s="495">
        <v>45866</v>
      </c>
      <c r="D1097" s="463"/>
      <c r="E1097" s="463"/>
      <c r="F1097" s="496" t="s">
        <v>725</v>
      </c>
      <c r="G1097" s="463">
        <v>1</v>
      </c>
      <c r="H1097" s="432">
        <v>147</v>
      </c>
      <c r="I1097" s="463">
        <f t="shared" si="162"/>
        <v>147</v>
      </c>
      <c r="J1097" s="497"/>
      <c r="K1097" s="497"/>
      <c r="N1097" s="457">
        <f>SUBTOTAL(9,K829:K1000)</f>
        <v>74102.744</v>
      </c>
    </row>
    <row r="1098" s="457" customFormat="1" spans="1:14">
      <c r="A1098" s="494">
        <v>45867</v>
      </c>
      <c r="B1098" s="442" t="s">
        <v>404</v>
      </c>
      <c r="C1098" s="495">
        <v>45866</v>
      </c>
      <c r="D1098" s="463"/>
      <c r="E1098" s="463"/>
      <c r="F1098" s="496" t="s">
        <v>191</v>
      </c>
      <c r="G1098" s="463">
        <v>1</v>
      </c>
      <c r="H1098" s="432">
        <v>30</v>
      </c>
      <c r="I1098" s="463">
        <f t="shared" si="162"/>
        <v>30</v>
      </c>
      <c r="J1098" s="497">
        <v>17</v>
      </c>
      <c r="K1098" s="497">
        <f>I1098*J1098</f>
        <v>510</v>
      </c>
    </row>
    <row r="1099" s="457" customFormat="1" spans="1:14">
      <c r="A1099" s="494">
        <v>45867</v>
      </c>
      <c r="B1099" s="442" t="s">
        <v>404</v>
      </c>
      <c r="C1099" s="495">
        <v>45866</v>
      </c>
      <c r="D1099" s="463"/>
      <c r="E1099" s="463"/>
      <c r="F1099" s="496" t="s">
        <v>211</v>
      </c>
      <c r="G1099" s="463">
        <v>1</v>
      </c>
      <c r="H1099" s="432">
        <v>2</v>
      </c>
      <c r="I1099" s="463">
        <f t="shared" si="162"/>
        <v>2</v>
      </c>
      <c r="J1099" s="497"/>
      <c r="K1099" s="497"/>
    </row>
    <row r="1100" s="457" customFormat="1" spans="1:14">
      <c r="A1100" s="494">
        <v>45867</v>
      </c>
      <c r="B1100" s="442" t="s">
        <v>404</v>
      </c>
      <c r="C1100" s="495">
        <v>45866</v>
      </c>
      <c r="D1100" s="463"/>
      <c r="E1100" s="463"/>
      <c r="F1100" s="498" t="s">
        <v>211</v>
      </c>
      <c r="G1100" s="463">
        <v>1</v>
      </c>
      <c r="H1100" s="432">
        <v>1</v>
      </c>
      <c r="I1100" s="463">
        <f t="shared" si="162"/>
        <v>1</v>
      </c>
      <c r="J1100" s="497">
        <v>24</v>
      </c>
      <c r="K1100" s="515">
        <f t="shared" ref="K1100:K1109" si="164">I1100*J1100</f>
        <v>24</v>
      </c>
    </row>
    <row r="1101" s="457" customFormat="1" spans="1:14">
      <c r="A1101" s="494">
        <v>45867</v>
      </c>
      <c r="B1101" s="442" t="s">
        <v>404</v>
      </c>
      <c r="C1101" s="495">
        <v>45866</v>
      </c>
      <c r="D1101" s="463"/>
      <c r="E1101" s="463"/>
      <c r="F1101" s="496" t="s">
        <v>16</v>
      </c>
      <c r="G1101" s="463">
        <v>1</v>
      </c>
      <c r="H1101" s="432">
        <v>150</v>
      </c>
      <c r="I1101" s="463">
        <f t="shared" ref="I1101:I1115" si="165">G1101*H1101</f>
        <v>150</v>
      </c>
      <c r="J1101" s="497"/>
      <c r="K1101" s="497"/>
    </row>
    <row r="1102" s="457" customFormat="1" spans="1:14">
      <c r="A1102" s="494">
        <v>45867</v>
      </c>
      <c r="B1102" s="442" t="s">
        <v>404</v>
      </c>
      <c r="C1102" s="495">
        <v>45866</v>
      </c>
      <c r="D1102" s="463"/>
      <c r="E1102" s="463"/>
      <c r="F1102" s="496" t="s">
        <v>132</v>
      </c>
      <c r="G1102" s="463">
        <v>1</v>
      </c>
      <c r="H1102" s="432">
        <v>31</v>
      </c>
      <c r="I1102" s="463">
        <f t="shared" si="165"/>
        <v>31</v>
      </c>
      <c r="J1102" s="497">
        <v>3.2</v>
      </c>
      <c r="K1102" s="497">
        <f t="shared" si="164"/>
        <v>99.2</v>
      </c>
    </row>
    <row r="1103" s="457" customFormat="1" spans="1:14">
      <c r="A1103" s="494">
        <v>45867</v>
      </c>
      <c r="B1103" s="442" t="s">
        <v>404</v>
      </c>
      <c r="C1103" s="495">
        <v>45866</v>
      </c>
      <c r="D1103" s="463"/>
      <c r="E1103" s="463"/>
      <c r="F1103" s="496" t="s">
        <v>304</v>
      </c>
      <c r="G1103" s="463">
        <v>1</v>
      </c>
      <c r="H1103" s="432">
        <f>SUM(H1092:H1102)</f>
        <v>1006</v>
      </c>
      <c r="I1103" s="463">
        <f t="shared" si="165"/>
        <v>1006</v>
      </c>
      <c r="J1103" s="497">
        <v>1</v>
      </c>
      <c r="K1103" s="497">
        <f t="shared" si="164"/>
        <v>1006</v>
      </c>
      <c r="L1103" s="457">
        <f>SUM(K1092:K1103)</f>
        <v>4313.2</v>
      </c>
    </row>
    <row r="1104" s="456" customFormat="1" spans="1:14">
      <c r="A1104" s="488">
        <v>45867</v>
      </c>
      <c r="B1104" s="489" t="s">
        <v>408</v>
      </c>
      <c r="C1104" s="490">
        <v>45867</v>
      </c>
      <c r="D1104" s="491"/>
      <c r="E1104" s="491"/>
      <c r="F1104" s="493" t="s">
        <v>776</v>
      </c>
      <c r="G1104" s="491">
        <v>1</v>
      </c>
      <c r="H1104" s="431">
        <v>400</v>
      </c>
      <c r="I1104" s="491">
        <f t="shared" si="165"/>
        <v>400</v>
      </c>
      <c r="J1104" s="492"/>
      <c r="K1104" s="492"/>
    </row>
    <row r="1105" s="456" customFormat="1" spans="1:26">
      <c r="A1105" s="488">
        <v>45867</v>
      </c>
      <c r="B1105" s="489" t="s">
        <v>408</v>
      </c>
      <c r="C1105" s="490">
        <v>45867</v>
      </c>
      <c r="D1105" s="491"/>
      <c r="E1105" s="491"/>
      <c r="F1105" s="493" t="s">
        <v>208</v>
      </c>
      <c r="G1105" s="491">
        <v>1</v>
      </c>
      <c r="H1105" s="431">
        <v>50</v>
      </c>
      <c r="I1105" s="491">
        <f t="shared" si="165"/>
        <v>50</v>
      </c>
      <c r="J1105" s="492">
        <v>17</v>
      </c>
      <c r="K1105" s="492">
        <f t="shared" si="164"/>
        <v>850</v>
      </c>
    </row>
    <row r="1106" s="456" customFormat="1" spans="1:26">
      <c r="A1106" s="488">
        <v>45867</v>
      </c>
      <c r="B1106" s="489" t="s">
        <v>408</v>
      </c>
      <c r="C1106" s="490">
        <v>45867</v>
      </c>
      <c r="D1106" s="491"/>
      <c r="E1106" s="491"/>
      <c r="F1106" s="493" t="s">
        <v>132</v>
      </c>
      <c r="G1106" s="491">
        <v>1</v>
      </c>
      <c r="H1106" s="431">
        <v>183</v>
      </c>
      <c r="I1106" s="491">
        <f t="shared" si="165"/>
        <v>183</v>
      </c>
      <c r="J1106" s="492">
        <v>3.2</v>
      </c>
      <c r="K1106" s="492">
        <f t="shared" si="164"/>
        <v>585.6</v>
      </c>
    </row>
    <row r="1107" s="456" customFormat="1" spans="1:26">
      <c r="A1107" s="488">
        <v>45867</v>
      </c>
      <c r="B1107" s="489" t="s">
        <v>408</v>
      </c>
      <c r="C1107" s="490">
        <v>45867</v>
      </c>
      <c r="D1107" s="491"/>
      <c r="E1107" s="491"/>
      <c r="F1107" s="493" t="s">
        <v>125</v>
      </c>
      <c r="G1107" s="491">
        <v>1</v>
      </c>
      <c r="H1107" s="431">
        <v>160</v>
      </c>
      <c r="I1107" s="491">
        <f t="shared" si="165"/>
        <v>160</v>
      </c>
      <c r="J1107" s="492">
        <v>5.5</v>
      </c>
      <c r="K1107" s="492">
        <f t="shared" si="164"/>
        <v>880</v>
      </c>
      <c r="L1107" s="456" t="s">
        <v>126</v>
      </c>
    </row>
    <row r="1108" s="456" customFormat="1" spans="1:26">
      <c r="A1108" s="488">
        <v>45867</v>
      </c>
      <c r="B1108" s="489" t="s">
        <v>408</v>
      </c>
      <c r="C1108" s="490">
        <v>45867</v>
      </c>
      <c r="D1108" s="491"/>
      <c r="E1108" s="491"/>
      <c r="F1108" s="493" t="s">
        <v>777</v>
      </c>
      <c r="G1108" s="491">
        <v>1</v>
      </c>
      <c r="H1108" s="431">
        <f>SUM(H1104:H1107)</f>
        <v>793</v>
      </c>
      <c r="I1108" s="491">
        <f t="shared" si="165"/>
        <v>793</v>
      </c>
      <c r="J1108" s="492">
        <v>1</v>
      </c>
      <c r="K1108" s="492">
        <f t="shared" si="164"/>
        <v>793</v>
      </c>
      <c r="L1108" s="456">
        <f>SUM(K1104:K1108)</f>
        <v>3108.6</v>
      </c>
    </row>
    <row r="1109" s="458" customFormat="1" ht="26" customHeight="1" spans="1:26">
      <c r="A1109" s="509" t="s">
        <v>778</v>
      </c>
      <c r="B1109" s="510"/>
      <c r="C1109" s="510"/>
      <c r="D1109" s="510"/>
      <c r="E1109" s="510"/>
      <c r="F1109" s="510"/>
      <c r="G1109" s="510"/>
      <c r="H1109" s="510"/>
      <c r="I1109" s="510"/>
      <c r="J1109" s="511" t="s">
        <v>28</v>
      </c>
      <c r="K1109" s="557">
        <f>SUM(K1112:K1185)</f>
        <v>30401.55</v>
      </c>
      <c r="L1109" s="458" t="s">
        <v>29</v>
      </c>
      <c r="M1109" s="509">
        <f>材料!L123</f>
        <v>17676.55</v>
      </c>
      <c r="N1109" s="513" t="s">
        <v>30</v>
      </c>
      <c r="O1109" s="509">
        <f>K1119+K1124+K1134+K1140+K1148+K1156+K1163+K1169+K1173+K1185</f>
        <v>12614</v>
      </c>
      <c r="P1109" s="510" t="s">
        <v>31</v>
      </c>
      <c r="Q1109" s="509"/>
      <c r="R1109" s="442"/>
      <c r="S1109" s="442"/>
      <c r="T1109" s="442"/>
      <c r="U1109" s="442"/>
      <c r="V1109" s="442"/>
      <c r="W1109" s="442"/>
      <c r="X1109" s="442"/>
      <c r="Y1109" s="442"/>
      <c r="Z1109" s="442"/>
    </row>
    <row r="1110" s="458" customFormat="1" ht="26" customHeight="1" spans="1:26">
      <c r="A1110" s="509"/>
      <c r="B1110" s="510"/>
      <c r="C1110" s="510"/>
      <c r="D1110" s="510"/>
      <c r="E1110" s="510"/>
      <c r="F1110" s="510"/>
      <c r="G1110" s="510"/>
      <c r="H1110" s="510"/>
      <c r="I1110" s="510"/>
      <c r="J1110" s="510" t="s">
        <v>32</v>
      </c>
      <c r="K1110" s="510"/>
      <c r="L1110" s="458" t="s">
        <v>33</v>
      </c>
      <c r="M1110" s="509">
        <f>K1112+K1126+K1177</f>
        <v>111</v>
      </c>
      <c r="N1110" s="514" t="s">
        <v>34</v>
      </c>
      <c r="O1110" s="557">
        <f>M1109+M1110+O1109+Q1109</f>
        <v>30401.55</v>
      </c>
      <c r="R1110" s="457"/>
      <c r="S1110" s="457"/>
      <c r="T1110" s="457"/>
      <c r="U1110" s="457"/>
      <c r="V1110" s="457"/>
      <c r="W1110" s="457"/>
      <c r="X1110" s="457"/>
      <c r="Y1110" s="457"/>
      <c r="Z1110" s="457"/>
    </row>
    <row r="1111" s="442" customFormat="1" ht="26" customHeight="1" spans="1:26">
      <c r="A1111" s="483" t="s">
        <v>35</v>
      </c>
      <c r="B1111" s="484" t="s">
        <v>36</v>
      </c>
      <c r="C1111" s="485" t="s">
        <v>37</v>
      </c>
      <c r="D1111" s="485"/>
      <c r="E1111" s="485"/>
      <c r="F1111" s="485" t="s">
        <v>38</v>
      </c>
      <c r="G1111" s="485" t="s">
        <v>4</v>
      </c>
      <c r="H1111" s="485" t="s">
        <v>5</v>
      </c>
      <c r="I1111" s="485" t="s">
        <v>6</v>
      </c>
      <c r="J1111" s="485" t="s">
        <v>7</v>
      </c>
      <c r="K1111" s="485" t="s">
        <v>8</v>
      </c>
      <c r="L1111" s="485" t="s">
        <v>39</v>
      </c>
      <c r="M1111" s="485" t="s">
        <v>40</v>
      </c>
      <c r="N1111" s="427"/>
      <c r="O1111" s="427"/>
      <c r="P1111" s="458"/>
      <c r="Q1111" s="458"/>
      <c r="R1111" s="457"/>
      <c r="S1111" s="457"/>
      <c r="T1111" s="457"/>
      <c r="U1111" s="457"/>
      <c r="V1111" s="457"/>
      <c r="W1111" s="457"/>
      <c r="X1111" s="457"/>
      <c r="Y1111" s="457"/>
      <c r="Z1111" s="457"/>
    </row>
    <row r="1112" s="457" customFormat="1" spans="1:26">
      <c r="A1112" s="494">
        <v>45876</v>
      </c>
      <c r="B1112" s="442" t="s">
        <v>395</v>
      </c>
      <c r="C1112" s="519">
        <v>45869</v>
      </c>
      <c r="D1112" s="520"/>
      <c r="E1112" s="520"/>
      <c r="F1112" s="496" t="s">
        <v>779</v>
      </c>
      <c r="G1112" s="463">
        <v>2</v>
      </c>
      <c r="H1112" s="432">
        <v>1</v>
      </c>
      <c r="I1112" s="463">
        <f t="shared" ref="I1112:I1126" si="166">G1112*H1112</f>
        <v>2</v>
      </c>
      <c r="J1112" s="497">
        <v>5.5</v>
      </c>
      <c r="K1112" s="497">
        <f t="shared" ref="K1112:K1114" si="167">I1112*J1112</f>
        <v>11</v>
      </c>
    </row>
    <row r="1113" s="457" customFormat="1" spans="1:26">
      <c r="A1113" s="494">
        <v>45876</v>
      </c>
      <c r="B1113" s="442" t="s">
        <v>395</v>
      </c>
      <c r="C1113" s="495">
        <v>45876</v>
      </c>
      <c r="D1113" s="463"/>
      <c r="E1113" s="463"/>
      <c r="F1113" s="496">
        <v>808</v>
      </c>
      <c r="G1113" s="463">
        <v>1</v>
      </c>
      <c r="H1113" s="432">
        <v>102</v>
      </c>
      <c r="I1113" s="463">
        <f t="shared" si="166"/>
        <v>102</v>
      </c>
      <c r="J1113" s="497">
        <v>7.9</v>
      </c>
      <c r="K1113" s="497">
        <f t="shared" si="167"/>
        <v>805.8</v>
      </c>
    </row>
    <row r="1114" s="457" customFormat="1" spans="1:26">
      <c r="A1114" s="494">
        <v>45876</v>
      </c>
      <c r="B1114" s="442" t="s">
        <v>395</v>
      </c>
      <c r="C1114" s="495">
        <v>45876</v>
      </c>
      <c r="D1114" s="463"/>
      <c r="E1114" s="463"/>
      <c r="F1114" s="496" t="s">
        <v>12</v>
      </c>
      <c r="G1114" s="463">
        <v>1</v>
      </c>
      <c r="H1114" s="432">
        <v>150</v>
      </c>
      <c r="I1114" s="463">
        <f t="shared" si="166"/>
        <v>150</v>
      </c>
      <c r="J1114" s="497">
        <v>6.3</v>
      </c>
      <c r="K1114" s="497">
        <f t="shared" si="167"/>
        <v>945</v>
      </c>
    </row>
    <row r="1115" s="457" customFormat="1" spans="1:26">
      <c r="A1115" s="494">
        <v>45876</v>
      </c>
      <c r="B1115" s="442" t="s">
        <v>395</v>
      </c>
      <c r="C1115" s="495">
        <v>45876</v>
      </c>
      <c r="D1115" s="463"/>
      <c r="E1115" s="463"/>
      <c r="F1115" s="496" t="s">
        <v>709</v>
      </c>
      <c r="G1115" s="463">
        <v>1</v>
      </c>
      <c r="H1115" s="432">
        <v>150</v>
      </c>
      <c r="I1115" s="463">
        <f t="shared" si="166"/>
        <v>150</v>
      </c>
      <c r="J1115" s="497"/>
      <c r="K1115" s="497"/>
      <c r="L1115" s="457" t="s">
        <v>126</v>
      </c>
    </row>
    <row r="1116" s="457" customFormat="1" spans="1:26">
      <c r="A1116" s="494">
        <v>45876</v>
      </c>
      <c r="B1116" s="442" t="s">
        <v>395</v>
      </c>
      <c r="C1116" s="495">
        <v>45876</v>
      </c>
      <c r="D1116" s="463"/>
      <c r="E1116" s="463"/>
      <c r="F1116" s="496" t="s">
        <v>710</v>
      </c>
      <c r="G1116" s="463">
        <v>1</v>
      </c>
      <c r="H1116" s="432">
        <v>140</v>
      </c>
      <c r="I1116" s="463">
        <f t="shared" si="166"/>
        <v>140</v>
      </c>
      <c r="J1116" s="497"/>
      <c r="K1116" s="497"/>
    </row>
    <row r="1117" s="457" customFormat="1" spans="1:26">
      <c r="A1117" s="494">
        <v>45876</v>
      </c>
      <c r="B1117" s="442" t="s">
        <v>395</v>
      </c>
      <c r="C1117" s="495">
        <v>45876</v>
      </c>
      <c r="D1117" s="463"/>
      <c r="E1117" s="463"/>
      <c r="F1117" s="498" t="s">
        <v>780</v>
      </c>
      <c r="G1117" s="463">
        <v>1</v>
      </c>
      <c r="H1117" s="432">
        <v>250</v>
      </c>
      <c r="I1117" s="463">
        <f t="shared" si="166"/>
        <v>250</v>
      </c>
      <c r="J1117" s="497"/>
      <c r="K1117" s="497"/>
    </row>
    <row r="1118" s="457" customFormat="1" spans="1:26">
      <c r="A1118" s="494">
        <v>45876</v>
      </c>
      <c r="B1118" s="442" t="s">
        <v>395</v>
      </c>
      <c r="C1118" s="495">
        <v>45876</v>
      </c>
      <c r="D1118" s="463"/>
      <c r="E1118" s="463"/>
      <c r="F1118" s="496" t="s">
        <v>16</v>
      </c>
      <c r="G1118" s="463">
        <v>1</v>
      </c>
      <c r="H1118" s="432">
        <v>208</v>
      </c>
      <c r="I1118" s="463">
        <f t="shared" si="166"/>
        <v>208</v>
      </c>
      <c r="J1118" s="497"/>
      <c r="K1118" s="497"/>
      <c r="R1118" s="456"/>
      <c r="S1118" s="456"/>
      <c r="T1118" s="456"/>
      <c r="U1118" s="456"/>
      <c r="V1118" s="456"/>
      <c r="W1118" s="456"/>
      <c r="X1118" s="456"/>
      <c r="Y1118" s="456"/>
      <c r="Z1118" s="456"/>
    </row>
    <row r="1119" s="457" customFormat="1" spans="1:26">
      <c r="A1119" s="494">
        <v>45876</v>
      </c>
      <c r="B1119" s="442" t="s">
        <v>395</v>
      </c>
      <c r="C1119" s="495">
        <v>45876</v>
      </c>
      <c r="D1119" s="463"/>
      <c r="E1119" s="463"/>
      <c r="F1119" s="496" t="s">
        <v>714</v>
      </c>
      <c r="G1119" s="463">
        <v>1</v>
      </c>
      <c r="H1119" s="432">
        <f>SUM(H1113:H1118)</f>
        <v>1000</v>
      </c>
      <c r="I1119" s="463">
        <f t="shared" si="166"/>
        <v>1000</v>
      </c>
      <c r="J1119" s="497">
        <v>1</v>
      </c>
      <c r="K1119" s="497">
        <f t="shared" ref="K1119:K1126" si="168">I1119*J1119</f>
        <v>1000</v>
      </c>
      <c r="L1119" s="457">
        <f>SUM(K1112:K1119)</f>
        <v>2761.8</v>
      </c>
      <c r="R1119" s="456"/>
      <c r="S1119" s="456"/>
      <c r="T1119" s="456"/>
      <c r="U1119" s="456"/>
      <c r="V1119" s="456"/>
      <c r="W1119" s="456"/>
      <c r="X1119" s="456"/>
      <c r="Y1119" s="456"/>
      <c r="Z1119" s="456"/>
    </row>
    <row r="1120" s="456" customFormat="1" spans="1:26">
      <c r="A1120" s="488">
        <v>45876</v>
      </c>
      <c r="B1120" s="489" t="s">
        <v>565</v>
      </c>
      <c r="C1120" s="490">
        <v>45876</v>
      </c>
      <c r="D1120" s="491"/>
      <c r="E1120" s="491"/>
      <c r="F1120" s="493" t="s">
        <v>16</v>
      </c>
      <c r="G1120" s="491">
        <v>1</v>
      </c>
      <c r="H1120" s="431">
        <v>50</v>
      </c>
      <c r="I1120" s="491">
        <f t="shared" si="166"/>
        <v>50</v>
      </c>
      <c r="J1120" s="492"/>
      <c r="K1120" s="492"/>
    </row>
    <row r="1121" s="456" customFormat="1" spans="1:26">
      <c r="A1121" s="488">
        <v>45876</v>
      </c>
      <c r="B1121" s="489" t="s">
        <v>565</v>
      </c>
      <c r="C1121" s="490">
        <v>45876</v>
      </c>
      <c r="D1121" s="491"/>
      <c r="E1121" s="491"/>
      <c r="F1121" s="493" t="s">
        <v>93</v>
      </c>
      <c r="G1121" s="491">
        <v>1</v>
      </c>
      <c r="H1121" s="431">
        <v>125</v>
      </c>
      <c r="I1121" s="491">
        <f t="shared" si="166"/>
        <v>125</v>
      </c>
      <c r="J1121" s="492"/>
      <c r="K1121" s="492"/>
    </row>
    <row r="1122" s="456" customFormat="1" spans="1:26">
      <c r="A1122" s="488">
        <v>45876</v>
      </c>
      <c r="B1122" s="489" t="s">
        <v>565</v>
      </c>
      <c r="C1122" s="490">
        <v>45876</v>
      </c>
      <c r="D1122" s="491"/>
      <c r="E1122" s="491"/>
      <c r="F1122" s="493">
        <v>808</v>
      </c>
      <c r="G1122" s="491">
        <v>1</v>
      </c>
      <c r="H1122" s="431">
        <v>25</v>
      </c>
      <c r="I1122" s="491">
        <f t="shared" si="166"/>
        <v>25</v>
      </c>
      <c r="J1122" s="492">
        <v>7.9</v>
      </c>
      <c r="K1122" s="492">
        <f t="shared" si="168"/>
        <v>197.5</v>
      </c>
      <c r="N1122" s="456">
        <f>SUBTOTAL(9,K977:K2036)</f>
        <v>550564.99</v>
      </c>
    </row>
    <row r="1123" s="456" customFormat="1" spans="1:26">
      <c r="A1123" s="488">
        <v>45876</v>
      </c>
      <c r="B1123" s="489" t="s">
        <v>565</v>
      </c>
      <c r="C1123" s="490">
        <v>45876</v>
      </c>
      <c r="D1123" s="491"/>
      <c r="E1123" s="491"/>
      <c r="F1123" s="493" t="s">
        <v>12</v>
      </c>
      <c r="G1123" s="491">
        <v>1</v>
      </c>
      <c r="H1123" s="431">
        <v>25</v>
      </c>
      <c r="I1123" s="491">
        <f t="shared" si="166"/>
        <v>25</v>
      </c>
      <c r="J1123" s="492">
        <v>6.3</v>
      </c>
      <c r="K1123" s="492">
        <f t="shared" si="168"/>
        <v>157.5</v>
      </c>
    </row>
    <row r="1124" s="456" customFormat="1" spans="1:26">
      <c r="A1124" s="488">
        <v>45876</v>
      </c>
      <c r="B1124" s="489" t="s">
        <v>565</v>
      </c>
      <c r="C1124" s="490">
        <v>45876</v>
      </c>
      <c r="D1124" s="491"/>
      <c r="E1124" s="491"/>
      <c r="F1124" s="493" t="s">
        <v>628</v>
      </c>
      <c r="G1124" s="491">
        <v>1</v>
      </c>
      <c r="H1124" s="431">
        <f>SUM(H1120:H1123)</f>
        <v>225</v>
      </c>
      <c r="I1124" s="491">
        <f t="shared" si="166"/>
        <v>225</v>
      </c>
      <c r="J1124" s="492">
        <v>5</v>
      </c>
      <c r="K1124" s="492">
        <f t="shared" si="168"/>
        <v>1125</v>
      </c>
    </row>
    <row r="1125" s="456" customFormat="1" spans="1:26">
      <c r="A1125" s="488">
        <v>45876</v>
      </c>
      <c r="B1125" s="489" t="s">
        <v>565</v>
      </c>
      <c r="C1125" s="490">
        <v>45876</v>
      </c>
      <c r="D1125" s="491"/>
      <c r="E1125" s="491"/>
      <c r="F1125" s="493" t="s">
        <v>781</v>
      </c>
      <c r="G1125" s="491">
        <v>2</v>
      </c>
      <c r="H1125" s="431">
        <v>10</v>
      </c>
      <c r="I1125" s="491">
        <f t="shared" si="166"/>
        <v>20</v>
      </c>
      <c r="J1125" s="492">
        <v>17</v>
      </c>
      <c r="K1125" s="492">
        <f t="shared" si="168"/>
        <v>340</v>
      </c>
      <c r="R1125" s="457"/>
      <c r="S1125" s="457"/>
      <c r="T1125" s="457"/>
      <c r="U1125" s="457"/>
      <c r="V1125" s="457"/>
      <c r="W1125" s="457"/>
      <c r="X1125" s="457"/>
      <c r="Y1125" s="457"/>
      <c r="Z1125" s="457"/>
    </row>
    <row r="1126" s="456" customFormat="1" spans="1:26">
      <c r="A1126" s="488">
        <v>45876</v>
      </c>
      <c r="B1126" s="489" t="s">
        <v>565</v>
      </c>
      <c r="C1126" s="490">
        <v>45876</v>
      </c>
      <c r="D1126" s="491"/>
      <c r="E1126" s="491"/>
      <c r="F1126" s="493" t="s">
        <v>499</v>
      </c>
      <c r="G1126" s="491">
        <v>1</v>
      </c>
      <c r="H1126" s="431">
        <v>1</v>
      </c>
      <c r="I1126" s="491">
        <f t="shared" si="166"/>
        <v>1</v>
      </c>
      <c r="J1126" s="492">
        <v>12.5</v>
      </c>
      <c r="K1126" s="492">
        <f t="shared" si="168"/>
        <v>12.5</v>
      </c>
      <c r="L1126" s="456">
        <f>SUM(K1120:K1126)</f>
        <v>1832.5</v>
      </c>
      <c r="R1126" s="457"/>
      <c r="S1126" s="457"/>
      <c r="T1126" s="457"/>
      <c r="U1126" s="457"/>
      <c r="V1126" s="457"/>
      <c r="W1126" s="457"/>
      <c r="X1126" s="457"/>
      <c r="Y1126" s="457"/>
      <c r="Z1126" s="457"/>
    </row>
    <row r="1127" s="457" customFormat="1" spans="1:26">
      <c r="A1127" s="494">
        <v>45876</v>
      </c>
      <c r="B1127" s="442" t="s">
        <v>153</v>
      </c>
      <c r="C1127" s="495">
        <v>45876</v>
      </c>
      <c r="D1127" s="463"/>
      <c r="E1127" s="463"/>
      <c r="F1127" s="496">
        <v>808</v>
      </c>
      <c r="G1127" s="463">
        <v>1</v>
      </c>
      <c r="H1127" s="432">
        <v>50</v>
      </c>
      <c r="I1127" s="463">
        <f t="shared" ref="I1127:I1140" si="169">G1127*H1127</f>
        <v>50</v>
      </c>
      <c r="J1127" s="497">
        <v>7.9</v>
      </c>
      <c r="K1127" s="497">
        <f t="shared" ref="K1127:K1129" si="170">I1127*J1127</f>
        <v>395</v>
      </c>
    </row>
    <row r="1128" s="457" customFormat="1" spans="1:26">
      <c r="A1128" s="494">
        <v>45876</v>
      </c>
      <c r="B1128" s="442" t="s">
        <v>153</v>
      </c>
      <c r="C1128" s="495">
        <v>45876</v>
      </c>
      <c r="D1128" s="463"/>
      <c r="E1128" s="463"/>
      <c r="F1128" s="496" t="s">
        <v>152</v>
      </c>
      <c r="G1128" s="463">
        <v>1</v>
      </c>
      <c r="H1128" s="432">
        <v>155</v>
      </c>
      <c r="I1128" s="463">
        <f t="shared" si="169"/>
        <v>155</v>
      </c>
      <c r="J1128" s="497">
        <v>6.5</v>
      </c>
      <c r="K1128" s="497">
        <f t="shared" si="170"/>
        <v>1007.5</v>
      </c>
    </row>
    <row r="1129" s="457" customFormat="1" spans="1:26">
      <c r="A1129" s="494">
        <v>45876</v>
      </c>
      <c r="B1129" s="442" t="s">
        <v>153</v>
      </c>
      <c r="C1129" s="495">
        <v>45876</v>
      </c>
      <c r="D1129" s="463"/>
      <c r="E1129" s="463"/>
      <c r="F1129" s="496" t="s">
        <v>12</v>
      </c>
      <c r="G1129" s="463">
        <v>1</v>
      </c>
      <c r="H1129" s="432">
        <v>95</v>
      </c>
      <c r="I1129" s="463">
        <f t="shared" si="169"/>
        <v>95</v>
      </c>
      <c r="J1129" s="497">
        <v>6.3</v>
      </c>
      <c r="K1129" s="497">
        <f t="shared" si="170"/>
        <v>598.5</v>
      </c>
    </row>
    <row r="1130" s="457" customFormat="1" spans="1:26">
      <c r="A1130" s="494">
        <v>45876</v>
      </c>
      <c r="B1130" s="442" t="s">
        <v>153</v>
      </c>
      <c r="C1130" s="495">
        <v>45876</v>
      </c>
      <c r="D1130" s="463"/>
      <c r="E1130" s="463"/>
      <c r="F1130" s="496" t="s">
        <v>709</v>
      </c>
      <c r="G1130" s="463">
        <v>1</v>
      </c>
      <c r="H1130" s="432">
        <v>150</v>
      </c>
      <c r="I1130" s="463">
        <f t="shared" si="169"/>
        <v>150</v>
      </c>
      <c r="J1130" s="497"/>
      <c r="K1130" s="497"/>
      <c r="L1130" s="457" t="s">
        <v>126</v>
      </c>
    </row>
    <row r="1131" s="457" customFormat="1" spans="1:26">
      <c r="A1131" s="494">
        <v>45876</v>
      </c>
      <c r="B1131" s="442" t="s">
        <v>153</v>
      </c>
      <c r="C1131" s="495">
        <v>45876</v>
      </c>
      <c r="D1131" s="463"/>
      <c r="E1131" s="463"/>
      <c r="F1131" s="496" t="s">
        <v>710</v>
      </c>
      <c r="G1131" s="463">
        <v>1</v>
      </c>
      <c r="H1131" s="432">
        <v>253</v>
      </c>
      <c r="I1131" s="463">
        <f t="shared" si="169"/>
        <v>253</v>
      </c>
      <c r="J1131" s="497"/>
      <c r="K1131" s="497"/>
    </row>
    <row r="1132" s="457" customFormat="1" spans="1:26">
      <c r="A1132" s="494">
        <v>45876</v>
      </c>
      <c r="B1132" s="442" t="s">
        <v>153</v>
      </c>
      <c r="C1132" s="495">
        <v>45876</v>
      </c>
      <c r="D1132" s="463"/>
      <c r="E1132" s="463"/>
      <c r="F1132" s="498" t="s">
        <v>782</v>
      </c>
      <c r="G1132" s="463">
        <v>1</v>
      </c>
      <c r="H1132" s="432">
        <v>147</v>
      </c>
      <c r="I1132" s="463">
        <f t="shared" si="169"/>
        <v>147</v>
      </c>
      <c r="J1132" s="497"/>
      <c r="K1132" s="497"/>
    </row>
    <row r="1133" s="457" customFormat="1" spans="1:26">
      <c r="A1133" s="494">
        <v>45876</v>
      </c>
      <c r="B1133" s="442" t="s">
        <v>153</v>
      </c>
      <c r="C1133" s="495">
        <v>45876</v>
      </c>
      <c r="D1133" s="463"/>
      <c r="E1133" s="463"/>
      <c r="F1133" s="496" t="s">
        <v>16</v>
      </c>
      <c r="G1133" s="463">
        <v>1</v>
      </c>
      <c r="H1133" s="432">
        <v>150</v>
      </c>
      <c r="I1133" s="463">
        <f t="shared" si="169"/>
        <v>150</v>
      </c>
      <c r="J1133" s="497"/>
      <c r="K1133" s="497"/>
      <c r="R1133" s="456"/>
      <c r="S1133" s="456"/>
      <c r="T1133" s="456"/>
      <c r="U1133" s="456"/>
      <c r="V1133" s="456"/>
      <c r="W1133" s="456"/>
      <c r="X1133" s="456"/>
      <c r="Y1133" s="456"/>
      <c r="Z1133" s="456"/>
    </row>
    <row r="1134" s="457" customFormat="1" spans="1:26">
      <c r="A1134" s="494">
        <v>45876</v>
      </c>
      <c r="B1134" s="442" t="s">
        <v>153</v>
      </c>
      <c r="C1134" s="495">
        <v>45876</v>
      </c>
      <c r="D1134" s="463"/>
      <c r="E1134" s="463"/>
      <c r="F1134" s="496" t="s">
        <v>783</v>
      </c>
      <c r="G1134" s="463">
        <v>1</v>
      </c>
      <c r="H1134" s="432">
        <f>SUM(H1127:H1133)</f>
        <v>1000</v>
      </c>
      <c r="I1134" s="463">
        <f t="shared" si="169"/>
        <v>1000</v>
      </c>
      <c r="J1134" s="497">
        <v>1</v>
      </c>
      <c r="K1134" s="497">
        <f>I1134*J1134</f>
        <v>1000</v>
      </c>
      <c r="L1134" s="457">
        <f>SUM(K1127:K1134)</f>
        <v>3001</v>
      </c>
      <c r="R1134" s="456"/>
      <c r="S1134" s="456"/>
      <c r="T1134" s="456"/>
      <c r="U1134" s="456"/>
      <c r="V1134" s="456"/>
      <c r="W1134" s="456"/>
      <c r="X1134" s="456"/>
      <c r="Y1134" s="456"/>
      <c r="Z1134" s="456"/>
    </row>
    <row r="1135" s="456" customFormat="1" spans="1:26">
      <c r="A1135" s="488">
        <v>45880</v>
      </c>
      <c r="B1135" s="489" t="s">
        <v>57</v>
      </c>
      <c r="C1135" s="490" t="s">
        <v>784</v>
      </c>
      <c r="D1135" s="491"/>
      <c r="E1135" s="491"/>
      <c r="F1135" s="493" t="s">
        <v>16</v>
      </c>
      <c r="G1135" s="491">
        <v>1</v>
      </c>
      <c r="H1135" s="431">
        <v>50</v>
      </c>
      <c r="I1135" s="491">
        <f t="shared" si="169"/>
        <v>50</v>
      </c>
      <c r="J1135" s="492"/>
      <c r="K1135" s="492"/>
    </row>
    <row r="1136" s="456" customFormat="1" spans="1:26">
      <c r="A1136" s="488">
        <v>45880</v>
      </c>
      <c r="B1136" s="489" t="s">
        <v>57</v>
      </c>
      <c r="C1136" s="490" t="s">
        <v>784</v>
      </c>
      <c r="D1136" s="491"/>
      <c r="E1136" s="491"/>
      <c r="F1136" s="493" t="s">
        <v>405</v>
      </c>
      <c r="G1136" s="491">
        <v>1</v>
      </c>
      <c r="H1136" s="431">
        <v>2</v>
      </c>
      <c r="I1136" s="491">
        <f t="shared" si="169"/>
        <v>2</v>
      </c>
      <c r="J1136" s="492"/>
      <c r="K1136" s="492"/>
    </row>
    <row r="1137" s="456" customFormat="1" spans="1:26">
      <c r="A1137" s="488">
        <v>45880</v>
      </c>
      <c r="B1137" s="489" t="s">
        <v>57</v>
      </c>
      <c r="C1137" s="490" t="s">
        <v>784</v>
      </c>
      <c r="D1137" s="491"/>
      <c r="E1137" s="491"/>
      <c r="F1137" s="493" t="s">
        <v>733</v>
      </c>
      <c r="G1137" s="491">
        <v>1</v>
      </c>
      <c r="H1137" s="431">
        <v>25</v>
      </c>
      <c r="I1137" s="491">
        <f t="shared" si="169"/>
        <v>25</v>
      </c>
      <c r="J1137" s="492"/>
      <c r="K1137" s="492"/>
    </row>
    <row r="1138" s="456" customFormat="1" spans="1:26">
      <c r="A1138" s="488">
        <v>45880</v>
      </c>
      <c r="B1138" s="489" t="s">
        <v>57</v>
      </c>
      <c r="C1138" s="490" t="s">
        <v>784</v>
      </c>
      <c r="D1138" s="491"/>
      <c r="E1138" s="491"/>
      <c r="F1138" s="493">
        <v>808</v>
      </c>
      <c r="G1138" s="491">
        <v>1</v>
      </c>
      <c r="H1138" s="431">
        <v>45</v>
      </c>
      <c r="I1138" s="491">
        <f t="shared" si="169"/>
        <v>45</v>
      </c>
      <c r="J1138" s="492">
        <v>7.9</v>
      </c>
      <c r="K1138" s="492">
        <f t="shared" ref="K1138:K1143" si="171">I1138*J1138</f>
        <v>355.5</v>
      </c>
      <c r="M1138" s="456" t="s">
        <v>728</v>
      </c>
    </row>
    <row r="1139" s="456" customFormat="1" spans="1:26">
      <c r="A1139" s="488">
        <v>45880</v>
      </c>
      <c r="B1139" s="489" t="s">
        <v>57</v>
      </c>
      <c r="C1139" s="490" t="s">
        <v>784</v>
      </c>
      <c r="D1139" s="491"/>
      <c r="E1139" s="491"/>
      <c r="F1139" s="493" t="s">
        <v>125</v>
      </c>
      <c r="G1139" s="491">
        <v>1</v>
      </c>
      <c r="H1139" s="431">
        <v>50</v>
      </c>
      <c r="I1139" s="491">
        <f t="shared" si="169"/>
        <v>50</v>
      </c>
      <c r="J1139" s="492">
        <v>5.5</v>
      </c>
      <c r="K1139" s="492">
        <f t="shared" si="171"/>
        <v>275</v>
      </c>
      <c r="M1139" s="456">
        <f>SUBTOTAL(9,K1038:K1107)</f>
        <v>30241.3</v>
      </c>
      <c r="R1139" s="457"/>
      <c r="S1139" s="457"/>
      <c r="T1139" s="457"/>
      <c r="U1139" s="457"/>
      <c r="V1139" s="457"/>
      <c r="W1139" s="457"/>
      <c r="X1139" s="457"/>
      <c r="Y1139" s="457"/>
      <c r="Z1139" s="457"/>
    </row>
    <row r="1140" s="456" customFormat="1" spans="1:26">
      <c r="A1140" s="488">
        <v>45880</v>
      </c>
      <c r="B1140" s="489" t="s">
        <v>57</v>
      </c>
      <c r="C1140" s="490" t="s">
        <v>784</v>
      </c>
      <c r="D1140" s="491"/>
      <c r="E1140" s="491"/>
      <c r="F1140" s="493" t="s">
        <v>412</v>
      </c>
      <c r="G1140" s="491">
        <v>1</v>
      </c>
      <c r="H1140" s="431">
        <f>SUM(H1135:H1139)</f>
        <v>172</v>
      </c>
      <c r="I1140" s="491">
        <f t="shared" si="169"/>
        <v>172</v>
      </c>
      <c r="J1140" s="576">
        <v>5</v>
      </c>
      <c r="K1140" s="492">
        <f t="shared" si="171"/>
        <v>860</v>
      </c>
      <c r="L1140" s="456">
        <f>SUM(K1137:K1140)</f>
        <v>1490.5</v>
      </c>
      <c r="R1140" s="457"/>
      <c r="S1140" s="457"/>
      <c r="T1140" s="457"/>
      <c r="U1140" s="457"/>
      <c r="V1140" s="457"/>
      <c r="W1140" s="457"/>
      <c r="X1140" s="457"/>
      <c r="Y1140" s="457"/>
      <c r="Z1140" s="457"/>
    </row>
    <row r="1141" s="457" customFormat="1" spans="1:26">
      <c r="A1141" s="494">
        <v>45881</v>
      </c>
      <c r="B1141" s="442" t="s">
        <v>64</v>
      </c>
      <c r="C1141" s="495">
        <v>45880</v>
      </c>
      <c r="D1141" s="463"/>
      <c r="E1141" s="463"/>
      <c r="F1141" s="496">
        <v>808</v>
      </c>
      <c r="G1141" s="463">
        <v>1</v>
      </c>
      <c r="H1141" s="432">
        <v>50</v>
      </c>
      <c r="I1141" s="463">
        <f t="shared" ref="I1141:I1156" si="172">G1141*H1141</f>
        <v>50</v>
      </c>
      <c r="J1141" s="497">
        <v>7.9</v>
      </c>
      <c r="K1141" s="497">
        <f t="shared" si="171"/>
        <v>395</v>
      </c>
      <c r="L1141" s="457" t="s">
        <v>126</v>
      </c>
    </row>
    <row r="1142" s="457" customFormat="1" spans="1:26">
      <c r="A1142" s="494">
        <v>45881</v>
      </c>
      <c r="B1142" s="442" t="s">
        <v>64</v>
      </c>
      <c r="C1142" s="495">
        <v>45880</v>
      </c>
      <c r="D1142" s="463"/>
      <c r="E1142" s="463"/>
      <c r="F1142" s="496" t="s">
        <v>125</v>
      </c>
      <c r="G1142" s="463">
        <v>1</v>
      </c>
      <c r="H1142" s="432">
        <v>108</v>
      </c>
      <c r="I1142" s="463">
        <f t="shared" si="172"/>
        <v>108</v>
      </c>
      <c r="J1142" s="497">
        <v>5.5</v>
      </c>
      <c r="K1142" s="497">
        <f t="shared" si="171"/>
        <v>594</v>
      </c>
    </row>
    <row r="1143" s="457" customFormat="1" spans="1:26">
      <c r="A1143" s="494">
        <v>45881</v>
      </c>
      <c r="B1143" s="442" t="s">
        <v>64</v>
      </c>
      <c r="C1143" s="495">
        <v>45880</v>
      </c>
      <c r="D1143" s="463"/>
      <c r="E1143" s="463"/>
      <c r="F1143" s="496" t="s">
        <v>12</v>
      </c>
      <c r="G1143" s="463">
        <v>1</v>
      </c>
      <c r="H1143" s="432">
        <v>10</v>
      </c>
      <c r="I1143" s="463">
        <f t="shared" si="172"/>
        <v>10</v>
      </c>
      <c r="J1143" s="497">
        <v>6.3</v>
      </c>
      <c r="K1143" s="497">
        <f t="shared" si="171"/>
        <v>63</v>
      </c>
    </row>
    <row r="1144" s="457" customFormat="1" spans="1:26">
      <c r="A1144" s="494">
        <v>45881</v>
      </c>
      <c r="B1144" s="442" t="s">
        <v>64</v>
      </c>
      <c r="C1144" s="495">
        <v>45880</v>
      </c>
      <c r="D1144" s="463"/>
      <c r="E1144" s="463"/>
      <c r="F1144" s="496" t="s">
        <v>240</v>
      </c>
      <c r="G1144" s="463">
        <v>1</v>
      </c>
      <c r="H1144" s="432">
        <v>75</v>
      </c>
      <c r="I1144" s="463">
        <f t="shared" si="172"/>
        <v>75</v>
      </c>
      <c r="J1144" s="497"/>
      <c r="K1144" s="497"/>
      <c r="M1144" s="457" t="s">
        <v>678</v>
      </c>
    </row>
    <row r="1145" s="457" customFormat="1" spans="1:26">
      <c r="A1145" s="494">
        <v>45881</v>
      </c>
      <c r="B1145" s="442" t="s">
        <v>64</v>
      </c>
      <c r="C1145" s="495">
        <v>45880</v>
      </c>
      <c r="D1145" s="463"/>
      <c r="E1145" s="463"/>
      <c r="F1145" s="496" t="s">
        <v>16</v>
      </c>
      <c r="G1145" s="463">
        <v>1</v>
      </c>
      <c r="H1145" s="432">
        <v>75</v>
      </c>
      <c r="I1145" s="463">
        <f t="shared" si="172"/>
        <v>75</v>
      </c>
      <c r="J1145" s="497"/>
      <c r="K1145" s="497"/>
    </row>
    <row r="1146" s="457" customFormat="1" spans="1:26">
      <c r="A1146" s="494">
        <v>45881</v>
      </c>
      <c r="B1146" s="442" t="s">
        <v>64</v>
      </c>
      <c r="C1146" s="495">
        <v>45880</v>
      </c>
      <c r="D1146" s="463"/>
      <c r="E1146" s="463"/>
      <c r="F1146" s="496" t="s">
        <v>300</v>
      </c>
      <c r="G1146" s="463">
        <v>1</v>
      </c>
      <c r="H1146" s="432">
        <v>75</v>
      </c>
      <c r="I1146" s="463">
        <f t="shared" si="172"/>
        <v>75</v>
      </c>
      <c r="J1146" s="497"/>
      <c r="K1146" s="497"/>
    </row>
    <row r="1147" s="457" customFormat="1" spans="1:26">
      <c r="A1147" s="494">
        <v>45881</v>
      </c>
      <c r="B1147" s="442" t="s">
        <v>64</v>
      </c>
      <c r="C1147" s="495">
        <v>45880</v>
      </c>
      <c r="D1147" s="463"/>
      <c r="E1147" s="463"/>
      <c r="F1147" s="496" t="s">
        <v>546</v>
      </c>
      <c r="G1147" s="463">
        <v>1</v>
      </c>
      <c r="H1147" s="432">
        <v>107</v>
      </c>
      <c r="I1147" s="463">
        <f t="shared" si="172"/>
        <v>107</v>
      </c>
      <c r="J1147" s="497"/>
      <c r="K1147" s="497"/>
      <c r="R1147" s="456"/>
      <c r="S1147" s="456"/>
      <c r="T1147" s="456"/>
      <c r="U1147" s="456"/>
      <c r="V1147" s="456"/>
      <c r="W1147" s="456"/>
      <c r="X1147" s="456"/>
      <c r="Y1147" s="456"/>
      <c r="Z1147" s="456"/>
    </row>
    <row r="1148" s="457" customFormat="1" spans="1:26">
      <c r="A1148" s="494">
        <v>45881</v>
      </c>
      <c r="B1148" s="442" t="s">
        <v>64</v>
      </c>
      <c r="C1148" s="495">
        <v>45880</v>
      </c>
      <c r="D1148" s="463"/>
      <c r="E1148" s="463"/>
      <c r="F1148" s="496" t="s">
        <v>301</v>
      </c>
      <c r="G1148" s="463">
        <v>1</v>
      </c>
      <c r="H1148" s="432">
        <f>SUM(H1141:H1147)</f>
        <v>500</v>
      </c>
      <c r="I1148" s="463">
        <f t="shared" si="172"/>
        <v>500</v>
      </c>
      <c r="J1148" s="497">
        <v>1</v>
      </c>
      <c r="K1148" s="497">
        <f>I1148*J1148</f>
        <v>500</v>
      </c>
      <c r="L1148" s="457">
        <f>SUM(K1141:K1148)</f>
        <v>1552</v>
      </c>
      <c r="R1148" s="456"/>
      <c r="S1148" s="456"/>
      <c r="T1148" s="456"/>
      <c r="U1148" s="456"/>
      <c r="V1148" s="456"/>
      <c r="W1148" s="456"/>
      <c r="X1148" s="456"/>
      <c r="Y1148" s="456"/>
      <c r="Z1148" s="456"/>
    </row>
    <row r="1149" s="456" customFormat="1" spans="1:26">
      <c r="A1149" s="488">
        <v>45881</v>
      </c>
      <c r="B1149" s="489" t="s">
        <v>69</v>
      </c>
      <c r="C1149" s="490">
        <v>45880</v>
      </c>
      <c r="D1149" s="491"/>
      <c r="E1149" s="491"/>
      <c r="F1149" s="456" t="s">
        <v>16</v>
      </c>
      <c r="G1149" s="489">
        <v>1</v>
      </c>
      <c r="H1149" s="489">
        <v>90</v>
      </c>
      <c r="I1149" s="491">
        <f t="shared" si="172"/>
        <v>90</v>
      </c>
      <c r="J1149" s="492"/>
      <c r="K1149" s="492"/>
    </row>
    <row r="1150" s="456" customFormat="1" spans="1:26">
      <c r="A1150" s="488">
        <v>45881</v>
      </c>
      <c r="B1150" s="489" t="s">
        <v>69</v>
      </c>
      <c r="C1150" s="490">
        <v>45880</v>
      </c>
      <c r="D1150" s="491"/>
      <c r="E1150" s="491"/>
      <c r="F1150" s="456" t="s">
        <v>785</v>
      </c>
      <c r="G1150" s="489">
        <v>1</v>
      </c>
      <c r="H1150" s="489">
        <v>136.5</v>
      </c>
      <c r="I1150" s="491">
        <f t="shared" si="172"/>
        <v>136.5</v>
      </c>
      <c r="J1150" s="492"/>
      <c r="K1150" s="492"/>
    </row>
    <row r="1151" s="456" customFormat="1" spans="1:26">
      <c r="A1151" s="488">
        <v>45881</v>
      </c>
      <c r="B1151" s="489" t="s">
        <v>69</v>
      </c>
      <c r="C1151" s="490">
        <v>45880</v>
      </c>
      <c r="D1151" s="491"/>
      <c r="E1151" s="491"/>
      <c r="F1151" s="456" t="s">
        <v>547</v>
      </c>
      <c r="G1151" s="489">
        <v>1</v>
      </c>
      <c r="H1151" s="489">
        <v>35</v>
      </c>
      <c r="I1151" s="491">
        <f t="shared" si="172"/>
        <v>35</v>
      </c>
      <c r="J1151" s="492"/>
      <c r="K1151" s="492"/>
    </row>
    <row r="1152" s="456" customFormat="1" spans="1:26">
      <c r="A1152" s="488">
        <v>45881</v>
      </c>
      <c r="B1152" s="489" t="s">
        <v>69</v>
      </c>
      <c r="C1152" s="490">
        <v>45880</v>
      </c>
      <c r="D1152" s="491"/>
      <c r="E1152" s="491"/>
      <c r="F1152" s="456" t="s">
        <v>352</v>
      </c>
      <c r="G1152" s="489">
        <v>1</v>
      </c>
      <c r="H1152" s="489">
        <v>100</v>
      </c>
      <c r="I1152" s="491">
        <f t="shared" si="172"/>
        <v>100</v>
      </c>
      <c r="J1152" s="492"/>
      <c r="K1152" s="492"/>
      <c r="L1152" s="456" t="s">
        <v>116</v>
      </c>
    </row>
    <row r="1153" s="456" customFormat="1" spans="1:26">
      <c r="A1153" s="488">
        <v>45881</v>
      </c>
      <c r="B1153" s="489" t="s">
        <v>69</v>
      </c>
      <c r="C1153" s="490">
        <v>45880</v>
      </c>
      <c r="D1153" s="491"/>
      <c r="E1153" s="491"/>
      <c r="F1153" s="456" t="s">
        <v>115</v>
      </c>
      <c r="G1153" s="489">
        <v>1</v>
      </c>
      <c r="H1153" s="489">
        <v>50</v>
      </c>
      <c r="I1153" s="491">
        <f t="shared" si="172"/>
        <v>50</v>
      </c>
      <c r="J1153" s="492"/>
      <c r="K1153" s="492"/>
    </row>
    <row r="1154" s="456" customFormat="1" spans="1:26">
      <c r="A1154" s="488">
        <v>45881</v>
      </c>
      <c r="B1154" s="489" t="s">
        <v>69</v>
      </c>
      <c r="C1154" s="490">
        <v>45880</v>
      </c>
      <c r="D1154" s="491"/>
      <c r="E1154" s="491"/>
      <c r="F1154" s="493">
        <v>808</v>
      </c>
      <c r="G1154" s="489">
        <v>1</v>
      </c>
      <c r="H1154" s="489">
        <v>26</v>
      </c>
      <c r="I1154" s="491">
        <f t="shared" si="172"/>
        <v>26</v>
      </c>
      <c r="J1154" s="492">
        <v>7.9</v>
      </c>
      <c r="K1154" s="492">
        <f t="shared" ref="K1154:K1158" si="173">I1154*J1154</f>
        <v>205.4</v>
      </c>
    </row>
    <row r="1155" s="456" customFormat="1" spans="1:26">
      <c r="A1155" s="488">
        <v>45881</v>
      </c>
      <c r="B1155" s="489" t="s">
        <v>69</v>
      </c>
      <c r="C1155" s="490">
        <v>45880</v>
      </c>
      <c r="D1155" s="491"/>
      <c r="E1155" s="491"/>
      <c r="F1155" s="493" t="s">
        <v>12</v>
      </c>
      <c r="G1155" s="489">
        <v>1</v>
      </c>
      <c r="H1155" s="489">
        <v>64.5</v>
      </c>
      <c r="I1155" s="491">
        <f t="shared" si="172"/>
        <v>64.5</v>
      </c>
      <c r="J1155" s="492">
        <v>6.3</v>
      </c>
      <c r="K1155" s="492">
        <f t="shared" si="173"/>
        <v>406.35</v>
      </c>
      <c r="R1155" s="457"/>
      <c r="S1155" s="457"/>
      <c r="T1155" s="457"/>
      <c r="U1155" s="457"/>
      <c r="V1155" s="457"/>
      <c r="W1155" s="457"/>
      <c r="X1155" s="457"/>
      <c r="Y1155" s="457"/>
      <c r="Z1155" s="457"/>
    </row>
    <row r="1156" s="456" customFormat="1" ht="18" customHeight="1" spans="1:26">
      <c r="A1156" s="488">
        <v>45881</v>
      </c>
      <c r="B1156" s="489" t="s">
        <v>69</v>
      </c>
      <c r="C1156" s="490">
        <v>45880</v>
      </c>
      <c r="D1156" s="491"/>
      <c r="E1156" s="491"/>
      <c r="F1156" s="456" t="s">
        <v>435</v>
      </c>
      <c r="G1156" s="489">
        <v>1</v>
      </c>
      <c r="H1156" s="489">
        <f>SUM(H1149:H1155)</f>
        <v>502</v>
      </c>
      <c r="I1156" s="491">
        <f t="shared" si="172"/>
        <v>502</v>
      </c>
      <c r="J1156" s="492">
        <v>1</v>
      </c>
      <c r="K1156" s="492">
        <f t="shared" si="173"/>
        <v>502</v>
      </c>
      <c r="L1156" s="456">
        <f>SUM(K1149:K1156)</f>
        <v>1113.75</v>
      </c>
      <c r="R1156" s="457"/>
      <c r="S1156" s="457"/>
      <c r="T1156" s="457"/>
      <c r="U1156" s="457"/>
      <c r="V1156" s="457"/>
      <c r="W1156" s="457"/>
      <c r="X1156" s="457"/>
      <c r="Y1156" s="457"/>
      <c r="Z1156" s="457"/>
    </row>
    <row r="1157" s="457" customFormat="1" spans="1:26">
      <c r="A1157" s="494">
        <v>45890</v>
      </c>
      <c r="B1157" s="442" t="s">
        <v>277</v>
      </c>
      <c r="C1157" s="495">
        <v>45890</v>
      </c>
      <c r="D1157" s="463"/>
      <c r="E1157" s="463"/>
      <c r="F1157" s="496">
        <v>808</v>
      </c>
      <c r="G1157" s="463">
        <v>1</v>
      </c>
      <c r="H1157" s="432">
        <v>102</v>
      </c>
      <c r="I1157" s="463">
        <f t="shared" ref="I1157:I1169" si="174">G1157*H1157</f>
        <v>102</v>
      </c>
      <c r="J1157" s="497">
        <v>7.9</v>
      </c>
      <c r="K1157" s="497">
        <f t="shared" si="173"/>
        <v>805.8</v>
      </c>
    </row>
    <row r="1158" s="457" customFormat="1" spans="1:26">
      <c r="A1158" s="494">
        <v>45890</v>
      </c>
      <c r="B1158" s="442" t="s">
        <v>277</v>
      </c>
      <c r="C1158" s="495">
        <v>45890</v>
      </c>
      <c r="D1158" s="463"/>
      <c r="E1158" s="463"/>
      <c r="F1158" s="496" t="s">
        <v>12</v>
      </c>
      <c r="G1158" s="463">
        <v>1</v>
      </c>
      <c r="H1158" s="432">
        <v>150</v>
      </c>
      <c r="I1158" s="463">
        <f t="shared" si="174"/>
        <v>150</v>
      </c>
      <c r="J1158" s="497">
        <v>6.3</v>
      </c>
      <c r="K1158" s="497">
        <f t="shared" si="173"/>
        <v>945</v>
      </c>
    </row>
    <row r="1159" s="457" customFormat="1" spans="1:26">
      <c r="A1159" s="494">
        <v>45890</v>
      </c>
      <c r="B1159" s="442" t="s">
        <v>277</v>
      </c>
      <c r="C1159" s="495">
        <v>45890</v>
      </c>
      <c r="D1159" s="463"/>
      <c r="E1159" s="463"/>
      <c r="F1159" s="496" t="s">
        <v>709</v>
      </c>
      <c r="G1159" s="463">
        <v>1</v>
      </c>
      <c r="H1159" s="432">
        <v>150</v>
      </c>
      <c r="I1159" s="463">
        <f t="shared" si="174"/>
        <v>150</v>
      </c>
      <c r="J1159" s="497"/>
      <c r="K1159" s="497"/>
      <c r="L1159" s="457" t="s">
        <v>126</v>
      </c>
    </row>
    <row r="1160" s="457" customFormat="1" spans="1:26">
      <c r="A1160" s="494">
        <v>45890</v>
      </c>
      <c r="B1160" s="442" t="s">
        <v>277</v>
      </c>
      <c r="C1160" s="495">
        <v>45890</v>
      </c>
      <c r="D1160" s="463"/>
      <c r="E1160" s="463"/>
      <c r="F1160" s="496" t="s">
        <v>710</v>
      </c>
      <c r="G1160" s="463">
        <v>1</v>
      </c>
      <c r="H1160" s="432">
        <v>140</v>
      </c>
      <c r="I1160" s="463">
        <f t="shared" si="174"/>
        <v>140</v>
      </c>
      <c r="J1160" s="497"/>
      <c r="K1160" s="497"/>
    </row>
    <row r="1161" s="457" customFormat="1" spans="1:26">
      <c r="A1161" s="494">
        <v>45890</v>
      </c>
      <c r="B1161" s="442" t="s">
        <v>277</v>
      </c>
      <c r="C1161" s="495">
        <v>45890</v>
      </c>
      <c r="D1161" s="463"/>
      <c r="E1161" s="463"/>
      <c r="F1161" s="498" t="s">
        <v>782</v>
      </c>
      <c r="G1161" s="463">
        <v>1</v>
      </c>
      <c r="H1161" s="432">
        <v>250</v>
      </c>
      <c r="I1161" s="463">
        <f t="shared" si="174"/>
        <v>250</v>
      </c>
      <c r="J1161" s="497"/>
      <c r="K1161" s="497"/>
    </row>
    <row r="1162" s="457" customFormat="1" spans="1:26">
      <c r="A1162" s="494">
        <v>45890</v>
      </c>
      <c r="B1162" s="442" t="s">
        <v>277</v>
      </c>
      <c r="C1162" s="495">
        <v>45890</v>
      </c>
      <c r="D1162" s="463"/>
      <c r="E1162" s="463"/>
      <c r="F1162" s="496" t="s">
        <v>16</v>
      </c>
      <c r="G1162" s="463">
        <v>1</v>
      </c>
      <c r="H1162" s="432">
        <v>208</v>
      </c>
      <c r="I1162" s="463">
        <f t="shared" si="174"/>
        <v>208</v>
      </c>
      <c r="J1162" s="497"/>
      <c r="K1162" s="497"/>
      <c r="R1162" s="456"/>
      <c r="S1162" s="456"/>
      <c r="T1162" s="456"/>
      <c r="U1162" s="456"/>
      <c r="V1162" s="456"/>
      <c r="W1162" s="456"/>
      <c r="X1162" s="456"/>
      <c r="Y1162" s="456"/>
      <c r="Z1162" s="456"/>
    </row>
    <row r="1163" s="457" customFormat="1" spans="1:26">
      <c r="A1163" s="494">
        <v>45890</v>
      </c>
      <c r="B1163" s="442" t="s">
        <v>277</v>
      </c>
      <c r="C1163" s="495">
        <v>45890</v>
      </c>
      <c r="D1163" s="463"/>
      <c r="E1163" s="463"/>
      <c r="F1163" s="496" t="s">
        <v>714</v>
      </c>
      <c r="G1163" s="463">
        <v>1</v>
      </c>
      <c r="H1163" s="432">
        <f>SUM(H1157:H1162)</f>
        <v>1000</v>
      </c>
      <c r="I1163" s="463">
        <f t="shared" si="174"/>
        <v>1000</v>
      </c>
      <c r="J1163" s="497">
        <v>1</v>
      </c>
      <c r="K1163" s="497">
        <f t="shared" ref="K1163:K1169" si="175">I1163*J1163</f>
        <v>1000</v>
      </c>
      <c r="L1163" s="457">
        <f>SUM(K1157:K1163)</f>
        <v>2750.8</v>
      </c>
      <c r="R1163" s="456"/>
      <c r="S1163" s="456"/>
      <c r="T1163" s="456"/>
      <c r="U1163" s="456"/>
      <c r="V1163" s="456"/>
      <c r="W1163" s="456"/>
      <c r="X1163" s="456"/>
      <c r="Y1163" s="456"/>
      <c r="Z1163" s="456"/>
    </row>
    <row r="1164" s="456" customFormat="1" spans="1:26">
      <c r="A1164" s="488">
        <v>45895</v>
      </c>
      <c r="B1164" s="489" t="s">
        <v>206</v>
      </c>
      <c r="C1164" s="490" t="s">
        <v>786</v>
      </c>
      <c r="D1164" s="491"/>
      <c r="E1164" s="491"/>
      <c r="F1164" s="493" t="s">
        <v>176</v>
      </c>
      <c r="G1164" s="491">
        <v>1</v>
      </c>
      <c r="H1164" s="431">
        <v>200</v>
      </c>
      <c r="I1164" s="491">
        <f t="shared" si="174"/>
        <v>200</v>
      </c>
      <c r="J1164" s="492"/>
      <c r="K1164" s="492"/>
    </row>
    <row r="1165" s="456" customFormat="1" spans="1:26">
      <c r="A1165" s="488">
        <v>45895</v>
      </c>
      <c r="B1165" s="489" t="s">
        <v>206</v>
      </c>
      <c r="C1165" s="490" t="s">
        <v>786</v>
      </c>
      <c r="D1165" s="491"/>
      <c r="E1165" s="491"/>
      <c r="F1165" s="493" t="s">
        <v>171</v>
      </c>
      <c r="G1165" s="491">
        <v>1</v>
      </c>
      <c r="H1165" s="431">
        <v>100</v>
      </c>
      <c r="I1165" s="491">
        <f t="shared" si="174"/>
        <v>100</v>
      </c>
      <c r="J1165" s="492"/>
      <c r="K1165" s="492"/>
      <c r="L1165" s="536"/>
      <c r="M1165" s="536"/>
      <c r="N1165" s="536"/>
    </row>
    <row r="1166" s="456" customFormat="1" spans="1:26">
      <c r="A1166" s="488">
        <v>45895</v>
      </c>
      <c r="B1166" s="489" t="s">
        <v>206</v>
      </c>
      <c r="C1166" s="490" t="s">
        <v>786</v>
      </c>
      <c r="D1166" s="491"/>
      <c r="E1166" s="491"/>
      <c r="F1166" s="498" t="s">
        <v>774</v>
      </c>
      <c r="G1166" s="491">
        <v>1</v>
      </c>
      <c r="H1166" s="431">
        <v>25</v>
      </c>
      <c r="I1166" s="491">
        <f t="shared" si="174"/>
        <v>25</v>
      </c>
      <c r="J1166" s="515">
        <v>82</v>
      </c>
      <c r="K1166" s="492">
        <f t="shared" si="175"/>
        <v>2050</v>
      </c>
      <c r="L1166" s="536" t="s">
        <v>775</v>
      </c>
      <c r="M1166" s="536"/>
      <c r="N1166" s="536"/>
    </row>
    <row r="1167" s="456" customFormat="1" spans="1:26">
      <c r="A1167" s="488">
        <v>45895</v>
      </c>
      <c r="B1167" s="489" t="s">
        <v>206</v>
      </c>
      <c r="C1167" s="490" t="s">
        <v>786</v>
      </c>
      <c r="D1167" s="491"/>
      <c r="E1167" s="491"/>
      <c r="F1167" s="493">
        <v>808</v>
      </c>
      <c r="G1167" s="491">
        <v>1</v>
      </c>
      <c r="H1167" s="431">
        <v>300</v>
      </c>
      <c r="I1167" s="491">
        <f t="shared" si="174"/>
        <v>300</v>
      </c>
      <c r="J1167" s="492">
        <v>7.9</v>
      </c>
      <c r="K1167" s="492">
        <f t="shared" si="175"/>
        <v>2370</v>
      </c>
      <c r="L1167" s="536" t="s">
        <v>472</v>
      </c>
      <c r="M1167" s="457"/>
      <c r="N1167" s="536"/>
    </row>
    <row r="1168" s="456" customFormat="1" spans="1:26">
      <c r="A1168" s="488">
        <v>45895</v>
      </c>
      <c r="B1168" s="489" t="s">
        <v>206</v>
      </c>
      <c r="C1168" s="490" t="s">
        <v>786</v>
      </c>
      <c r="D1168" s="491"/>
      <c r="E1168" s="491"/>
      <c r="F1168" s="493" t="s">
        <v>125</v>
      </c>
      <c r="G1168" s="491">
        <v>1</v>
      </c>
      <c r="H1168" s="431">
        <v>125</v>
      </c>
      <c r="I1168" s="491">
        <f t="shared" si="174"/>
        <v>125</v>
      </c>
      <c r="J1168" s="492">
        <v>5.5</v>
      </c>
      <c r="K1168" s="492">
        <f t="shared" si="175"/>
        <v>687.5</v>
      </c>
      <c r="L1168" s="536"/>
      <c r="M1168" s="536" t="s">
        <v>473</v>
      </c>
      <c r="N1168" s="536"/>
      <c r="R1168" s="457"/>
      <c r="S1168" s="457"/>
      <c r="T1168" s="457"/>
      <c r="U1168" s="457"/>
      <c r="V1168" s="457"/>
      <c r="W1168" s="457"/>
      <c r="X1168" s="457"/>
      <c r="Y1168" s="457"/>
      <c r="Z1168" s="457"/>
    </row>
    <row r="1169" s="456" customFormat="1" spans="1:26">
      <c r="A1169" s="488">
        <v>45895</v>
      </c>
      <c r="B1169" s="489" t="s">
        <v>206</v>
      </c>
      <c r="C1169" s="490" t="s">
        <v>786</v>
      </c>
      <c r="D1169" s="491"/>
      <c r="E1169" s="491"/>
      <c r="F1169" s="493" t="s">
        <v>179</v>
      </c>
      <c r="G1169" s="491">
        <v>1</v>
      </c>
      <c r="H1169" s="431">
        <f>SUM(H1164:H1168)</f>
        <v>750</v>
      </c>
      <c r="I1169" s="491">
        <f t="shared" si="174"/>
        <v>750</v>
      </c>
      <c r="J1169" s="492">
        <v>7.5</v>
      </c>
      <c r="K1169" s="492">
        <f t="shared" si="175"/>
        <v>5625</v>
      </c>
      <c r="L1169" s="536">
        <f>SUM(K1164:K1169)</f>
        <v>10732.5</v>
      </c>
      <c r="M1169" s="536"/>
      <c r="N1169" s="536"/>
      <c r="R1169" s="457"/>
      <c r="S1169" s="457"/>
      <c r="T1169" s="457"/>
      <c r="U1169" s="457"/>
      <c r="V1169" s="457"/>
      <c r="W1169" s="457"/>
      <c r="X1169" s="457"/>
      <c r="Y1169" s="457"/>
      <c r="Z1169" s="457"/>
    </row>
    <row r="1170" s="457" customFormat="1" spans="1:26">
      <c r="A1170" s="494"/>
      <c r="B1170" s="489"/>
      <c r="C1170" s="495"/>
      <c r="D1170" s="463"/>
      <c r="E1170" s="463"/>
      <c r="F1170" s="577" t="s">
        <v>787</v>
      </c>
      <c r="G1170" s="463"/>
      <c r="H1170" s="432"/>
      <c r="I1170" s="463"/>
      <c r="J1170" s="497"/>
      <c r="K1170" s="497"/>
    </row>
    <row r="1171" s="457" customFormat="1" ht="18" customHeight="1" spans="1:26">
      <c r="A1171" s="494">
        <v>45899</v>
      </c>
      <c r="B1171" s="442" t="s">
        <v>219</v>
      </c>
      <c r="C1171" s="495">
        <v>45898</v>
      </c>
      <c r="D1171" s="463"/>
      <c r="E1171" s="463"/>
      <c r="F1171" s="457" t="s">
        <v>788</v>
      </c>
      <c r="G1171" s="442">
        <v>1</v>
      </c>
      <c r="H1171" s="442">
        <v>200</v>
      </c>
      <c r="I1171" s="463">
        <f t="shared" ref="I1171:I1177" si="176">G1171*H1171</f>
        <v>200</v>
      </c>
      <c r="J1171" s="497"/>
      <c r="K1171" s="497"/>
    </row>
    <row r="1172" s="457" customFormat="1" ht="18" customHeight="1" spans="1:26">
      <c r="A1172" s="494">
        <v>45899</v>
      </c>
      <c r="B1172" s="442" t="s">
        <v>219</v>
      </c>
      <c r="C1172" s="495">
        <v>45898</v>
      </c>
      <c r="D1172" s="463"/>
      <c r="E1172" s="463"/>
      <c r="F1172" s="457" t="s">
        <v>406</v>
      </c>
      <c r="G1172" s="442">
        <v>1</v>
      </c>
      <c r="H1172" s="442">
        <v>300</v>
      </c>
      <c r="I1172" s="463">
        <f t="shared" si="176"/>
        <v>300</v>
      </c>
      <c r="J1172" s="497">
        <v>7.9</v>
      </c>
      <c r="K1172" s="497">
        <f t="shared" ref="K1172:K1177" si="177">I1172*J1172</f>
        <v>2370</v>
      </c>
    </row>
    <row r="1173" s="457" customFormat="1" ht="18" customHeight="1" spans="1:26">
      <c r="A1173" s="494">
        <v>45899</v>
      </c>
      <c r="B1173" s="442" t="s">
        <v>219</v>
      </c>
      <c r="C1173" s="495">
        <v>45898</v>
      </c>
      <c r="D1173" s="463"/>
      <c r="E1173" s="463"/>
      <c r="F1173" s="459" t="s">
        <v>109</v>
      </c>
      <c r="G1173" s="518">
        <v>1</v>
      </c>
      <c r="H1173" s="518">
        <v>500</v>
      </c>
      <c r="I1173" s="520">
        <f t="shared" si="176"/>
        <v>500</v>
      </c>
      <c r="J1173" s="515">
        <v>1</v>
      </c>
      <c r="K1173" s="515">
        <f t="shared" si="177"/>
        <v>500</v>
      </c>
    </row>
    <row r="1174" s="457" customFormat="1" ht="18" customHeight="1" spans="1:26">
      <c r="A1174" s="494">
        <v>45899</v>
      </c>
      <c r="B1174" s="442" t="s">
        <v>219</v>
      </c>
      <c r="C1174" s="495">
        <v>45899</v>
      </c>
      <c r="D1174" s="463"/>
      <c r="E1174" s="463"/>
      <c r="F1174" s="457" t="s">
        <v>781</v>
      </c>
      <c r="G1174" s="442">
        <v>2</v>
      </c>
      <c r="H1174" s="442">
        <v>10</v>
      </c>
      <c r="I1174" s="463">
        <f t="shared" si="176"/>
        <v>20</v>
      </c>
      <c r="J1174" s="497">
        <v>17</v>
      </c>
      <c r="K1174" s="497">
        <f t="shared" si="177"/>
        <v>340</v>
      </c>
    </row>
    <row r="1175" s="457" customFormat="1" ht="18" customHeight="1" spans="1:26">
      <c r="A1175" s="494">
        <v>45899</v>
      </c>
      <c r="B1175" s="442" t="s">
        <v>219</v>
      </c>
      <c r="C1175" s="495">
        <v>45899</v>
      </c>
      <c r="D1175" s="463"/>
      <c r="E1175" s="463"/>
      <c r="F1175" s="457" t="s">
        <v>789</v>
      </c>
      <c r="G1175" s="442">
        <v>1</v>
      </c>
      <c r="H1175" s="442">
        <v>4</v>
      </c>
      <c r="I1175" s="463">
        <f t="shared" si="176"/>
        <v>4</v>
      </c>
      <c r="J1175" s="497">
        <v>170</v>
      </c>
      <c r="K1175" s="497">
        <f t="shared" si="177"/>
        <v>680</v>
      </c>
    </row>
    <row r="1176" s="457" customFormat="1" ht="18" customHeight="1" spans="1:26">
      <c r="A1176" s="494">
        <v>45899</v>
      </c>
      <c r="B1176" s="442" t="s">
        <v>219</v>
      </c>
      <c r="C1176" s="495">
        <v>45899</v>
      </c>
      <c r="D1176" s="463"/>
      <c r="E1176" s="463"/>
      <c r="F1176" s="457" t="s">
        <v>790</v>
      </c>
      <c r="G1176" s="442">
        <v>1</v>
      </c>
      <c r="H1176" s="442">
        <v>12</v>
      </c>
      <c r="I1176" s="463">
        <f t="shared" si="176"/>
        <v>12</v>
      </c>
      <c r="J1176" s="497">
        <v>6.4</v>
      </c>
      <c r="K1176" s="497">
        <f t="shared" si="177"/>
        <v>76.8</v>
      </c>
      <c r="R1176" s="456"/>
      <c r="S1176" s="456"/>
      <c r="T1176" s="456"/>
      <c r="U1176" s="456"/>
      <c r="V1176" s="456"/>
      <c r="W1176" s="456"/>
      <c r="X1176" s="456"/>
      <c r="Y1176" s="456"/>
      <c r="Z1176" s="456"/>
    </row>
    <row r="1177" s="457" customFormat="1" ht="18" customHeight="1" spans="1:26">
      <c r="A1177" s="494">
        <v>45899</v>
      </c>
      <c r="B1177" s="442" t="s">
        <v>219</v>
      </c>
      <c r="C1177" s="495">
        <v>45899</v>
      </c>
      <c r="D1177" s="463"/>
      <c r="E1177" s="463"/>
      <c r="F1177" s="457" t="s">
        <v>499</v>
      </c>
      <c r="G1177" s="442">
        <v>7</v>
      </c>
      <c r="H1177" s="442">
        <v>1</v>
      </c>
      <c r="I1177" s="463">
        <f t="shared" si="176"/>
        <v>7</v>
      </c>
      <c r="J1177" s="497">
        <v>12.5</v>
      </c>
      <c r="K1177" s="497">
        <f t="shared" si="177"/>
        <v>87.5</v>
      </c>
      <c r="L1177" s="457">
        <f>SUM(K1172:K1177)</f>
        <v>4054.3</v>
      </c>
      <c r="R1177" s="456"/>
      <c r="S1177" s="456"/>
      <c r="T1177" s="456"/>
      <c r="U1177" s="456"/>
      <c r="V1177" s="456"/>
      <c r="W1177" s="456"/>
      <c r="X1177" s="456"/>
      <c r="Y1177" s="456"/>
      <c r="Z1177" s="456"/>
    </row>
    <row r="1178" s="456" customFormat="1" spans="1:26">
      <c r="A1178" s="488">
        <v>45899</v>
      </c>
      <c r="B1178" s="489" t="s">
        <v>220</v>
      </c>
      <c r="C1178" s="490">
        <v>45899</v>
      </c>
      <c r="D1178" s="491"/>
      <c r="E1178" s="491"/>
      <c r="F1178" s="456" t="s">
        <v>16</v>
      </c>
      <c r="G1178" s="489">
        <v>1</v>
      </c>
      <c r="H1178" s="489">
        <v>90</v>
      </c>
      <c r="I1178" s="491">
        <f t="shared" ref="I1178:I1185" si="178">G1178*H1178</f>
        <v>90</v>
      </c>
      <c r="J1178" s="492"/>
      <c r="K1178" s="492"/>
    </row>
    <row r="1179" s="456" customFormat="1" spans="1:26">
      <c r="A1179" s="488">
        <v>45899</v>
      </c>
      <c r="B1179" s="489" t="s">
        <v>220</v>
      </c>
      <c r="C1179" s="490">
        <v>45899</v>
      </c>
      <c r="D1179" s="491"/>
      <c r="E1179" s="491"/>
      <c r="F1179" s="456" t="s">
        <v>785</v>
      </c>
      <c r="G1179" s="489">
        <v>1</v>
      </c>
      <c r="H1179" s="489">
        <v>136.5</v>
      </c>
      <c r="I1179" s="491">
        <f t="shared" si="178"/>
        <v>136.5</v>
      </c>
      <c r="J1179" s="492"/>
      <c r="K1179" s="492"/>
    </row>
    <row r="1180" s="456" customFormat="1" spans="1:26">
      <c r="A1180" s="488">
        <v>45899</v>
      </c>
      <c r="B1180" s="489" t="s">
        <v>220</v>
      </c>
      <c r="C1180" s="490">
        <v>45899</v>
      </c>
      <c r="D1180" s="491"/>
      <c r="E1180" s="491"/>
      <c r="F1180" s="456" t="s">
        <v>547</v>
      </c>
      <c r="G1180" s="489">
        <v>1</v>
      </c>
      <c r="H1180" s="489">
        <v>35</v>
      </c>
      <c r="I1180" s="491">
        <f t="shared" si="178"/>
        <v>35</v>
      </c>
      <c r="J1180" s="492"/>
      <c r="K1180" s="492"/>
    </row>
    <row r="1181" s="456" customFormat="1" spans="1:26">
      <c r="A1181" s="488">
        <v>45899</v>
      </c>
      <c r="B1181" s="489" t="s">
        <v>220</v>
      </c>
      <c r="C1181" s="490">
        <v>45899</v>
      </c>
      <c r="D1181" s="491"/>
      <c r="E1181" s="491"/>
      <c r="F1181" s="456" t="s">
        <v>352</v>
      </c>
      <c r="G1181" s="489">
        <v>1</v>
      </c>
      <c r="H1181" s="489">
        <v>100</v>
      </c>
      <c r="I1181" s="491">
        <f t="shared" si="178"/>
        <v>100</v>
      </c>
      <c r="J1181" s="492"/>
      <c r="K1181" s="492"/>
      <c r="L1181" s="456" t="s">
        <v>116</v>
      </c>
    </row>
    <row r="1182" s="456" customFormat="1" spans="1:26">
      <c r="A1182" s="488">
        <v>45899</v>
      </c>
      <c r="B1182" s="489" t="s">
        <v>220</v>
      </c>
      <c r="C1182" s="490">
        <v>45899</v>
      </c>
      <c r="D1182" s="491"/>
      <c r="E1182" s="491"/>
      <c r="F1182" s="456" t="s">
        <v>115</v>
      </c>
      <c r="G1182" s="489">
        <v>1</v>
      </c>
      <c r="H1182" s="489">
        <v>50</v>
      </c>
      <c r="I1182" s="491">
        <f t="shared" si="178"/>
        <v>50</v>
      </c>
      <c r="J1182" s="492"/>
      <c r="K1182" s="492"/>
    </row>
    <row r="1183" s="456" customFormat="1" spans="1:26">
      <c r="A1183" s="488">
        <v>45899</v>
      </c>
      <c r="B1183" s="489" t="s">
        <v>220</v>
      </c>
      <c r="C1183" s="490">
        <v>45899</v>
      </c>
      <c r="D1183" s="491"/>
      <c r="E1183" s="491"/>
      <c r="F1183" s="493">
        <v>808</v>
      </c>
      <c r="G1183" s="489">
        <v>1</v>
      </c>
      <c r="H1183" s="489">
        <v>26</v>
      </c>
      <c r="I1183" s="491">
        <f t="shared" si="178"/>
        <v>26</v>
      </c>
      <c r="J1183" s="492">
        <v>7.6</v>
      </c>
      <c r="K1183" s="492">
        <f>I1183*J1183</f>
        <v>197.6</v>
      </c>
    </row>
    <row r="1184" s="456" customFormat="1" spans="1:26">
      <c r="A1184" s="488">
        <v>45899</v>
      </c>
      <c r="B1184" s="489" t="s">
        <v>220</v>
      </c>
      <c r="C1184" s="490">
        <v>45899</v>
      </c>
      <c r="D1184" s="491"/>
      <c r="E1184" s="491"/>
      <c r="F1184" s="493" t="s">
        <v>12</v>
      </c>
      <c r="G1184" s="489">
        <v>1</v>
      </c>
      <c r="H1184" s="489">
        <v>64.5</v>
      </c>
      <c r="I1184" s="491">
        <f t="shared" si="178"/>
        <v>64.5</v>
      </c>
      <c r="J1184" s="492">
        <v>6.4</v>
      </c>
      <c r="K1184" s="492">
        <f>I1184*J1184</f>
        <v>412.8</v>
      </c>
      <c r="R1184" s="457"/>
      <c r="S1184" s="457"/>
      <c r="T1184" s="457"/>
      <c r="U1184" s="457"/>
      <c r="V1184" s="457"/>
      <c r="W1184" s="457"/>
      <c r="X1184" s="457"/>
      <c r="Y1184" s="457"/>
      <c r="Z1184" s="457"/>
    </row>
    <row r="1185" s="456" customFormat="1" ht="18" customHeight="1" spans="1:26">
      <c r="A1185" s="488">
        <v>45899</v>
      </c>
      <c r="B1185" s="489" t="s">
        <v>220</v>
      </c>
      <c r="C1185" s="490">
        <v>45899</v>
      </c>
      <c r="D1185" s="491"/>
      <c r="E1185" s="491"/>
      <c r="F1185" s="456" t="s">
        <v>435</v>
      </c>
      <c r="G1185" s="489">
        <v>1</v>
      </c>
      <c r="H1185" s="489">
        <f>SUM(H1178:H1184)</f>
        <v>502</v>
      </c>
      <c r="I1185" s="491">
        <f t="shared" si="178"/>
        <v>502</v>
      </c>
      <c r="J1185" s="492">
        <v>1</v>
      </c>
      <c r="K1185" s="492">
        <f>I1185*J1185</f>
        <v>502</v>
      </c>
      <c r="L1185" s="456">
        <f>SUM(K1178:K1185)</f>
        <v>1112.4</v>
      </c>
      <c r="R1185" s="457"/>
      <c r="S1185" s="457"/>
      <c r="T1185" s="457"/>
      <c r="U1185" s="457"/>
      <c r="V1185" s="457"/>
      <c r="W1185" s="457"/>
      <c r="X1185" s="457"/>
      <c r="Y1185" s="457"/>
      <c r="Z1185" s="457"/>
    </row>
    <row r="1186" s="458" customFormat="1" ht="26" customHeight="1" spans="1:26">
      <c r="A1186" s="509" t="s">
        <v>778</v>
      </c>
      <c r="B1186" s="510"/>
      <c r="C1186" s="510"/>
      <c r="D1186" s="510"/>
      <c r="E1186" s="510"/>
      <c r="F1186" s="510"/>
      <c r="G1186" s="510"/>
      <c r="H1186" s="510"/>
      <c r="I1186" s="510"/>
      <c r="J1186" s="511" t="s">
        <v>28</v>
      </c>
      <c r="K1186" s="557">
        <f>SUM(K1189:K1355)</f>
        <v>40563.84</v>
      </c>
      <c r="L1186" s="458" t="s">
        <v>29</v>
      </c>
      <c r="M1186" s="509">
        <f>材料!L97+K1273+K1274+K1266</f>
        <v>27043.74</v>
      </c>
      <c r="N1186" s="513" t="s">
        <v>30</v>
      </c>
      <c r="O1186" s="509">
        <f>K1199+K1209+K1216+K1224+K1229+K1239+K1247+K1257+K1265+K1271+K1279+K1287+K1296+K1308+K1316+K1324+K1332+K1340+K1347+K135+K1355</f>
        <v>13169.3</v>
      </c>
      <c r="P1186" s="510" t="s">
        <v>31</v>
      </c>
      <c r="Q1186" s="509"/>
      <c r="R1186" s="442"/>
      <c r="S1186" s="442"/>
      <c r="T1186" s="442"/>
      <c r="U1186" s="442"/>
      <c r="V1186" s="442"/>
      <c r="W1186" s="442"/>
      <c r="X1186" s="442"/>
      <c r="Y1186" s="442"/>
      <c r="Z1186" s="442"/>
    </row>
    <row r="1187" s="458" customFormat="1" ht="26" customHeight="1" spans="1:26">
      <c r="A1187" s="509"/>
      <c r="B1187" s="510"/>
      <c r="C1187" s="510"/>
      <c r="D1187" s="510"/>
      <c r="E1187" s="510"/>
      <c r="F1187" s="510"/>
      <c r="G1187" s="510"/>
      <c r="H1187" s="510"/>
      <c r="I1187" s="510"/>
      <c r="J1187" s="510" t="s">
        <v>32</v>
      </c>
      <c r="K1187" s="510"/>
      <c r="L1187" s="458" t="s">
        <v>33</v>
      </c>
      <c r="M1187" s="509">
        <f>K1217+K1218+K1219+K1272+K1297+K1309+K1310+K1325</f>
        <v>350.8</v>
      </c>
      <c r="N1187" s="514" t="s">
        <v>34</v>
      </c>
      <c r="O1187" s="557">
        <f>M1186+M1187+O1186+Q1186</f>
        <v>40563.84</v>
      </c>
      <c r="R1187" s="457"/>
      <c r="S1187" s="457"/>
      <c r="T1187" s="457"/>
      <c r="U1187" s="457"/>
      <c r="V1187" s="457"/>
      <c r="W1187" s="457"/>
      <c r="X1187" s="457"/>
      <c r="Y1187" s="457"/>
      <c r="Z1187" s="457"/>
    </row>
    <row r="1188" s="442" customFormat="1" ht="26" customHeight="1" spans="1:26">
      <c r="A1188" s="483" t="s">
        <v>35</v>
      </c>
      <c r="B1188" s="484" t="s">
        <v>36</v>
      </c>
      <c r="C1188" s="485" t="s">
        <v>37</v>
      </c>
      <c r="D1188" s="485"/>
      <c r="E1188" s="485"/>
      <c r="F1188" s="485" t="s">
        <v>38</v>
      </c>
      <c r="G1188" s="485" t="s">
        <v>4</v>
      </c>
      <c r="H1188" s="485" t="s">
        <v>5</v>
      </c>
      <c r="I1188" s="485" t="s">
        <v>6</v>
      </c>
      <c r="J1188" s="485" t="s">
        <v>7</v>
      </c>
      <c r="K1188" s="485" t="s">
        <v>8</v>
      </c>
      <c r="L1188" s="485" t="s">
        <v>39</v>
      </c>
      <c r="M1188" s="485" t="s">
        <v>40</v>
      </c>
      <c r="N1188" s="427"/>
      <c r="O1188" s="427"/>
      <c r="P1188" s="458"/>
      <c r="Q1188" s="458"/>
      <c r="R1188" s="457"/>
      <c r="S1188" s="457"/>
      <c r="T1188" s="457"/>
      <c r="U1188" s="457"/>
      <c r="V1188" s="457"/>
      <c r="W1188" s="457"/>
      <c r="X1188" s="457"/>
      <c r="Y1188" s="457"/>
      <c r="Z1188" s="457"/>
    </row>
    <row r="1189" s="457" customFormat="1" spans="1:26">
      <c r="A1189" s="494">
        <v>45901</v>
      </c>
      <c r="B1189" s="442" t="s">
        <v>493</v>
      </c>
      <c r="C1189" s="495">
        <v>45901</v>
      </c>
      <c r="D1189" s="463"/>
      <c r="E1189" s="463"/>
      <c r="F1189" s="496">
        <v>808</v>
      </c>
      <c r="G1189" s="463">
        <v>1</v>
      </c>
      <c r="H1189" s="432">
        <v>150</v>
      </c>
      <c r="I1189" s="463">
        <f t="shared" ref="I1189:I1199" si="179">G1189*H1189</f>
        <v>150</v>
      </c>
      <c r="J1189" s="497">
        <v>7.6</v>
      </c>
      <c r="K1189" s="497">
        <f>I1189*J1189</f>
        <v>1140</v>
      </c>
    </row>
    <row r="1190" s="457" customFormat="1" spans="1:26">
      <c r="A1190" s="494">
        <v>45901</v>
      </c>
      <c r="B1190" s="442" t="s">
        <v>493</v>
      </c>
      <c r="C1190" s="495">
        <v>45901</v>
      </c>
      <c r="D1190" s="463"/>
      <c r="E1190" s="463"/>
      <c r="F1190" s="496" t="s">
        <v>12</v>
      </c>
      <c r="G1190" s="463">
        <v>1</v>
      </c>
      <c r="H1190" s="432">
        <v>130</v>
      </c>
      <c r="I1190" s="463">
        <f t="shared" si="179"/>
        <v>130</v>
      </c>
      <c r="J1190" s="497">
        <v>6.4</v>
      </c>
      <c r="K1190" s="497">
        <f>I1190*J1190</f>
        <v>832</v>
      </c>
    </row>
    <row r="1191" s="457" customFormat="1" spans="1:26">
      <c r="A1191" s="494">
        <v>45901</v>
      </c>
      <c r="B1191" s="442" t="s">
        <v>493</v>
      </c>
      <c r="C1191" s="495">
        <v>45901</v>
      </c>
      <c r="D1191" s="463"/>
      <c r="E1191" s="463"/>
      <c r="F1191" s="496" t="s">
        <v>152</v>
      </c>
      <c r="G1191" s="463">
        <v>1</v>
      </c>
      <c r="H1191" s="432">
        <v>100</v>
      </c>
      <c r="I1191" s="463">
        <f t="shared" si="179"/>
        <v>100</v>
      </c>
      <c r="J1191" s="497">
        <v>6.5</v>
      </c>
      <c r="K1191" s="497">
        <f>I1191*J1191</f>
        <v>650</v>
      </c>
    </row>
    <row r="1192" s="457" customFormat="1" spans="1:26">
      <c r="A1192" s="494">
        <v>45901</v>
      </c>
      <c r="B1192" s="442" t="s">
        <v>493</v>
      </c>
      <c r="C1192" s="495">
        <v>45901</v>
      </c>
      <c r="D1192" s="463"/>
      <c r="E1192" s="463"/>
      <c r="F1192" s="496" t="s">
        <v>709</v>
      </c>
      <c r="G1192" s="463">
        <v>1</v>
      </c>
      <c r="H1192" s="432">
        <v>120</v>
      </c>
      <c r="I1192" s="463">
        <f t="shared" si="179"/>
        <v>120</v>
      </c>
      <c r="J1192" s="497"/>
      <c r="K1192" s="497"/>
      <c r="L1192" s="457" t="s">
        <v>126</v>
      </c>
    </row>
    <row r="1193" s="457" customFormat="1" spans="1:26">
      <c r="A1193" s="494">
        <v>45901</v>
      </c>
      <c r="B1193" s="442" t="s">
        <v>493</v>
      </c>
      <c r="C1193" s="495">
        <v>45901</v>
      </c>
      <c r="D1193" s="463"/>
      <c r="E1193" s="463"/>
      <c r="F1193" s="496" t="s">
        <v>710</v>
      </c>
      <c r="G1193" s="463">
        <v>1</v>
      </c>
      <c r="H1193" s="432">
        <v>145</v>
      </c>
      <c r="I1193" s="463">
        <f t="shared" si="179"/>
        <v>145</v>
      </c>
      <c r="J1193" s="497"/>
      <c r="K1193" s="497"/>
    </row>
    <row r="1194" s="457" customFormat="1" spans="1:26">
      <c r="A1194" s="494">
        <v>45901</v>
      </c>
      <c r="B1194" s="442" t="s">
        <v>493</v>
      </c>
      <c r="C1194" s="495">
        <v>45901</v>
      </c>
      <c r="D1194" s="463"/>
      <c r="E1194" s="463"/>
      <c r="F1194" s="496" t="s">
        <v>782</v>
      </c>
      <c r="G1194" s="463">
        <v>1</v>
      </c>
      <c r="H1194" s="432">
        <v>103</v>
      </c>
      <c r="I1194" s="463">
        <f t="shared" si="179"/>
        <v>103</v>
      </c>
      <c r="J1194" s="497"/>
      <c r="K1194" s="497"/>
    </row>
    <row r="1195" s="457" customFormat="1" spans="1:26">
      <c r="A1195" s="494">
        <v>45901</v>
      </c>
      <c r="B1195" s="442" t="s">
        <v>493</v>
      </c>
      <c r="C1195" s="495">
        <v>45901</v>
      </c>
      <c r="D1195" s="463"/>
      <c r="E1195" s="463"/>
      <c r="F1195" s="496" t="s">
        <v>191</v>
      </c>
      <c r="G1195" s="463">
        <v>1</v>
      </c>
      <c r="H1195" s="432">
        <v>30</v>
      </c>
      <c r="I1195" s="463">
        <f t="shared" si="179"/>
        <v>30</v>
      </c>
      <c r="J1195" s="497">
        <v>17</v>
      </c>
      <c r="K1195" s="497">
        <f>I1195*J1195</f>
        <v>510</v>
      </c>
      <c r="M1195" s="457">
        <f>SUBTOTAL(9,K1195:K1304)</f>
        <v>22237.64</v>
      </c>
    </row>
    <row r="1196" s="457" customFormat="1" spans="1:26">
      <c r="A1196" s="494">
        <v>45901</v>
      </c>
      <c r="B1196" s="442" t="s">
        <v>493</v>
      </c>
      <c r="C1196" s="495">
        <v>45901</v>
      </c>
      <c r="D1196" s="463"/>
      <c r="E1196" s="463"/>
      <c r="F1196" s="496" t="s">
        <v>791</v>
      </c>
      <c r="G1196" s="463">
        <v>1</v>
      </c>
      <c r="H1196" s="432">
        <v>3</v>
      </c>
      <c r="I1196" s="463">
        <f t="shared" si="179"/>
        <v>3</v>
      </c>
      <c r="J1196" s="497">
        <v>25</v>
      </c>
      <c r="K1196" s="497">
        <f>I1196*J1196</f>
        <v>75</v>
      </c>
    </row>
    <row r="1197" s="457" customFormat="1" spans="1:26">
      <c r="A1197" s="494">
        <v>45901</v>
      </c>
      <c r="B1197" s="442" t="s">
        <v>493</v>
      </c>
      <c r="C1197" s="495">
        <v>45901</v>
      </c>
      <c r="D1197" s="463"/>
      <c r="E1197" s="463"/>
      <c r="F1197" s="496" t="s">
        <v>16</v>
      </c>
      <c r="G1197" s="463">
        <v>1</v>
      </c>
      <c r="H1197" s="432">
        <v>150</v>
      </c>
      <c r="I1197" s="463">
        <f t="shared" si="179"/>
        <v>150</v>
      </c>
      <c r="J1197" s="497"/>
      <c r="K1197" s="497"/>
    </row>
    <row r="1198" s="457" customFormat="1" spans="1:26">
      <c r="A1198" s="494">
        <v>45901</v>
      </c>
      <c r="B1198" s="442" t="s">
        <v>493</v>
      </c>
      <c r="C1198" s="495">
        <v>45901</v>
      </c>
      <c r="D1198" s="463"/>
      <c r="E1198" s="463"/>
      <c r="F1198" s="496" t="s">
        <v>132</v>
      </c>
      <c r="G1198" s="463">
        <v>1</v>
      </c>
      <c r="H1198" s="432">
        <v>75</v>
      </c>
      <c r="I1198" s="463">
        <f t="shared" si="179"/>
        <v>75</v>
      </c>
      <c r="J1198" s="497">
        <v>3.2</v>
      </c>
      <c r="K1198" s="497">
        <f>I1198*J1198</f>
        <v>240</v>
      </c>
      <c r="R1198" s="456"/>
      <c r="S1198" s="456"/>
      <c r="T1198" s="456"/>
      <c r="U1198" s="456"/>
      <c r="V1198" s="456"/>
      <c r="W1198" s="456"/>
      <c r="X1198" s="456"/>
      <c r="Y1198" s="456"/>
      <c r="Z1198" s="456"/>
    </row>
    <row r="1199" s="457" customFormat="1" spans="1:26">
      <c r="A1199" s="494">
        <v>45901</v>
      </c>
      <c r="B1199" s="442" t="s">
        <v>493</v>
      </c>
      <c r="C1199" s="495">
        <v>45901</v>
      </c>
      <c r="D1199" s="463"/>
      <c r="E1199" s="463"/>
      <c r="F1199" s="496" t="s">
        <v>304</v>
      </c>
      <c r="G1199" s="463">
        <v>1</v>
      </c>
      <c r="H1199" s="432">
        <f>SUM(H1189:H1198)</f>
        <v>1006</v>
      </c>
      <c r="I1199" s="463">
        <f t="shared" si="179"/>
        <v>1006</v>
      </c>
      <c r="J1199" s="497">
        <v>1</v>
      </c>
      <c r="K1199" s="497">
        <f>I1199*J1199</f>
        <v>1006</v>
      </c>
      <c r="L1199" s="457">
        <f>SUM(K1189:K1199)</f>
        <v>4453</v>
      </c>
      <c r="R1199" s="456"/>
      <c r="S1199" s="456"/>
      <c r="T1199" s="456"/>
      <c r="U1199" s="456"/>
      <c r="V1199" s="456"/>
      <c r="W1199" s="456"/>
      <c r="X1199" s="456"/>
      <c r="Y1199" s="456"/>
      <c r="Z1199" s="456"/>
    </row>
    <row r="1200" s="456" customFormat="1" spans="1:26">
      <c r="A1200" s="488">
        <v>45901</v>
      </c>
      <c r="B1200" s="489" t="s">
        <v>792</v>
      </c>
      <c r="C1200" s="490">
        <v>45901</v>
      </c>
      <c r="D1200" s="491"/>
      <c r="E1200" s="491"/>
      <c r="F1200" s="456" t="s">
        <v>16</v>
      </c>
      <c r="G1200" s="489">
        <v>1</v>
      </c>
      <c r="H1200" s="489">
        <v>75</v>
      </c>
      <c r="I1200" s="491">
        <f t="shared" ref="I1200:I1209" si="180">G1200*H1200</f>
        <v>75</v>
      </c>
      <c r="J1200" s="492"/>
      <c r="K1200" s="492"/>
    </row>
    <row r="1201" s="456" customFormat="1" spans="1:26">
      <c r="A1201" s="488">
        <v>45901</v>
      </c>
      <c r="B1201" s="489" t="s">
        <v>792</v>
      </c>
      <c r="C1201" s="490">
        <v>45901</v>
      </c>
      <c r="D1201" s="491"/>
      <c r="E1201" s="491"/>
      <c r="F1201" s="456" t="s">
        <v>785</v>
      </c>
      <c r="G1201" s="489">
        <v>1</v>
      </c>
      <c r="H1201" s="489">
        <v>50</v>
      </c>
      <c r="I1201" s="491">
        <f t="shared" si="180"/>
        <v>50</v>
      </c>
      <c r="J1201" s="492"/>
      <c r="K1201" s="492"/>
    </row>
    <row r="1202" s="456" customFormat="1" spans="1:26">
      <c r="A1202" s="488">
        <v>45901</v>
      </c>
      <c r="B1202" s="489" t="s">
        <v>792</v>
      </c>
      <c r="C1202" s="490">
        <v>45901</v>
      </c>
      <c r="D1202" s="491"/>
      <c r="E1202" s="491"/>
      <c r="F1202" s="456" t="s">
        <v>547</v>
      </c>
      <c r="G1202" s="489">
        <v>1</v>
      </c>
      <c r="H1202" s="489">
        <v>90</v>
      </c>
      <c r="I1202" s="491">
        <f t="shared" si="180"/>
        <v>90</v>
      </c>
      <c r="J1202" s="492"/>
      <c r="K1202" s="492"/>
    </row>
    <row r="1203" s="456" customFormat="1" spans="1:26">
      <c r="A1203" s="488">
        <v>45901</v>
      </c>
      <c r="B1203" s="489" t="s">
        <v>792</v>
      </c>
      <c r="C1203" s="490">
        <v>45901</v>
      </c>
      <c r="D1203" s="491"/>
      <c r="E1203" s="491"/>
      <c r="F1203" s="456" t="s">
        <v>352</v>
      </c>
      <c r="G1203" s="489">
        <v>1</v>
      </c>
      <c r="H1203" s="489">
        <v>90</v>
      </c>
      <c r="I1203" s="491">
        <f t="shared" si="180"/>
        <v>90</v>
      </c>
      <c r="J1203" s="492"/>
      <c r="K1203" s="492"/>
      <c r="L1203" s="456" t="s">
        <v>116</v>
      </c>
    </row>
    <row r="1204" s="456" customFormat="1" spans="1:26">
      <c r="A1204" s="488">
        <v>45901</v>
      </c>
      <c r="B1204" s="489" t="s">
        <v>792</v>
      </c>
      <c r="C1204" s="490">
        <v>45901</v>
      </c>
      <c r="D1204" s="491"/>
      <c r="E1204" s="491"/>
      <c r="F1204" s="493" t="s">
        <v>125</v>
      </c>
      <c r="G1204" s="489">
        <v>1</v>
      </c>
      <c r="H1204" s="489">
        <v>107.5</v>
      </c>
      <c r="I1204" s="491">
        <f t="shared" si="180"/>
        <v>107.5</v>
      </c>
      <c r="J1204" s="492">
        <v>5.5</v>
      </c>
      <c r="K1204" s="492">
        <f t="shared" ref="K1204:K1211" si="181">I1204*J1204</f>
        <v>591.25</v>
      </c>
    </row>
    <row r="1205" s="456" customFormat="1" spans="1:26">
      <c r="A1205" s="488">
        <v>45901</v>
      </c>
      <c r="B1205" s="489" t="s">
        <v>792</v>
      </c>
      <c r="C1205" s="490">
        <v>45901</v>
      </c>
      <c r="D1205" s="491"/>
      <c r="E1205" s="491"/>
      <c r="F1205" s="493" t="s">
        <v>132</v>
      </c>
      <c r="G1205" s="489">
        <v>1</v>
      </c>
      <c r="H1205" s="489">
        <v>70</v>
      </c>
      <c r="I1205" s="491">
        <f t="shared" si="180"/>
        <v>70</v>
      </c>
      <c r="J1205" s="492">
        <v>3.2</v>
      </c>
      <c r="K1205" s="492">
        <f t="shared" si="181"/>
        <v>224</v>
      </c>
    </row>
    <row r="1206" s="456" customFormat="1" spans="1:26">
      <c r="A1206" s="488">
        <v>45901</v>
      </c>
      <c r="B1206" s="489" t="s">
        <v>792</v>
      </c>
      <c r="C1206" s="490">
        <v>45901</v>
      </c>
      <c r="D1206" s="491"/>
      <c r="E1206" s="491"/>
      <c r="F1206" s="493" t="s">
        <v>191</v>
      </c>
      <c r="G1206" s="489">
        <v>1</v>
      </c>
      <c r="H1206" s="489">
        <v>15</v>
      </c>
      <c r="I1206" s="491">
        <f t="shared" si="180"/>
        <v>15</v>
      </c>
      <c r="J1206" s="492">
        <v>17</v>
      </c>
      <c r="K1206" s="492">
        <f t="shared" si="181"/>
        <v>255</v>
      </c>
    </row>
    <row r="1207" s="456" customFormat="1" spans="1:26">
      <c r="A1207" s="488">
        <v>45901</v>
      </c>
      <c r="B1207" s="489" t="s">
        <v>792</v>
      </c>
      <c r="C1207" s="490">
        <v>45901</v>
      </c>
      <c r="D1207" s="491"/>
      <c r="E1207" s="491"/>
      <c r="F1207" s="493" t="s">
        <v>791</v>
      </c>
      <c r="G1207" s="489">
        <v>1</v>
      </c>
      <c r="H1207" s="489">
        <v>2.5</v>
      </c>
      <c r="I1207" s="491">
        <f t="shared" si="180"/>
        <v>2.5</v>
      </c>
      <c r="J1207" s="492">
        <v>25</v>
      </c>
      <c r="K1207" s="492">
        <f t="shared" si="181"/>
        <v>62.5</v>
      </c>
    </row>
    <row r="1208" s="456" customFormat="1" spans="1:26">
      <c r="A1208" s="488">
        <v>45901</v>
      </c>
      <c r="B1208" s="489" t="s">
        <v>792</v>
      </c>
      <c r="C1208" s="490">
        <v>45901</v>
      </c>
      <c r="D1208" s="491"/>
      <c r="E1208" s="491"/>
      <c r="F1208" s="493" t="s">
        <v>137</v>
      </c>
      <c r="G1208" s="489">
        <v>1</v>
      </c>
      <c r="H1208" s="489">
        <v>50</v>
      </c>
      <c r="I1208" s="491">
        <f t="shared" si="180"/>
        <v>50</v>
      </c>
      <c r="J1208" s="492">
        <v>0.9</v>
      </c>
      <c r="K1208" s="492">
        <f t="shared" si="181"/>
        <v>45</v>
      </c>
    </row>
    <row r="1209" s="456" customFormat="1" ht="18" customHeight="1" spans="1:26">
      <c r="A1209" s="488">
        <v>45901</v>
      </c>
      <c r="B1209" s="489" t="s">
        <v>792</v>
      </c>
      <c r="C1209" s="490">
        <v>45901</v>
      </c>
      <c r="D1209" s="491"/>
      <c r="E1209" s="491"/>
      <c r="F1209" s="456" t="s">
        <v>571</v>
      </c>
      <c r="G1209" s="489">
        <v>1</v>
      </c>
      <c r="H1209" s="489">
        <f>SUM(H1200:H1208)</f>
        <v>550</v>
      </c>
      <c r="I1209" s="491">
        <f t="shared" si="180"/>
        <v>550</v>
      </c>
      <c r="J1209" s="492">
        <v>1</v>
      </c>
      <c r="K1209" s="492">
        <f t="shared" si="181"/>
        <v>550</v>
      </c>
      <c r="L1209" s="456">
        <f>SUM(K1200:K1209)</f>
        <v>1727.75</v>
      </c>
    </row>
    <row r="1210" s="457" customFormat="1" spans="1:26">
      <c r="A1210" s="494">
        <v>45905</v>
      </c>
      <c r="B1210" s="442" t="s">
        <v>395</v>
      </c>
      <c r="C1210" s="495">
        <v>45905</v>
      </c>
      <c r="D1210" s="463"/>
      <c r="E1210" s="463"/>
      <c r="F1210" s="496">
        <v>808</v>
      </c>
      <c r="G1210" s="463">
        <v>1</v>
      </c>
      <c r="H1210" s="432">
        <v>102</v>
      </c>
      <c r="I1210" s="463">
        <f t="shared" ref="I1210:I1229" si="182">G1210*H1210</f>
        <v>102</v>
      </c>
      <c r="J1210" s="497">
        <v>7.6</v>
      </c>
      <c r="K1210" s="497">
        <f t="shared" si="181"/>
        <v>775.2</v>
      </c>
    </row>
    <row r="1211" s="457" customFormat="1" spans="1:26">
      <c r="A1211" s="494">
        <v>45905</v>
      </c>
      <c r="B1211" s="442" t="s">
        <v>395</v>
      </c>
      <c r="C1211" s="495">
        <v>45905</v>
      </c>
      <c r="D1211" s="463"/>
      <c r="E1211" s="463"/>
      <c r="F1211" s="496" t="s">
        <v>12</v>
      </c>
      <c r="G1211" s="463">
        <v>1</v>
      </c>
      <c r="H1211" s="432">
        <v>150</v>
      </c>
      <c r="I1211" s="463">
        <f t="shared" si="182"/>
        <v>150</v>
      </c>
      <c r="J1211" s="497">
        <v>6.4</v>
      </c>
      <c r="K1211" s="497">
        <f t="shared" si="181"/>
        <v>960</v>
      </c>
    </row>
    <row r="1212" s="457" customFormat="1" spans="1:26">
      <c r="A1212" s="494">
        <v>45905</v>
      </c>
      <c r="B1212" s="442" t="s">
        <v>395</v>
      </c>
      <c r="C1212" s="495">
        <v>45905</v>
      </c>
      <c r="D1212" s="463"/>
      <c r="E1212" s="463"/>
      <c r="F1212" s="496" t="s">
        <v>709</v>
      </c>
      <c r="G1212" s="463">
        <v>1</v>
      </c>
      <c r="H1212" s="432">
        <v>150</v>
      </c>
      <c r="I1212" s="463">
        <f t="shared" si="182"/>
        <v>150</v>
      </c>
      <c r="J1212" s="497"/>
      <c r="K1212" s="497"/>
      <c r="L1212" s="457" t="s">
        <v>126</v>
      </c>
    </row>
    <row r="1213" s="457" customFormat="1" spans="1:26">
      <c r="A1213" s="494">
        <v>45905</v>
      </c>
      <c r="B1213" s="442" t="s">
        <v>395</v>
      </c>
      <c r="C1213" s="495">
        <v>45905</v>
      </c>
      <c r="D1213" s="463"/>
      <c r="E1213" s="463"/>
      <c r="F1213" s="496" t="s">
        <v>710</v>
      </c>
      <c r="G1213" s="463">
        <v>1</v>
      </c>
      <c r="H1213" s="432">
        <v>140</v>
      </c>
      <c r="I1213" s="463">
        <f t="shared" si="182"/>
        <v>140</v>
      </c>
      <c r="J1213" s="497"/>
      <c r="K1213" s="497"/>
    </row>
    <row r="1214" s="457" customFormat="1" spans="1:26">
      <c r="A1214" s="494">
        <v>45905</v>
      </c>
      <c r="B1214" s="442" t="s">
        <v>395</v>
      </c>
      <c r="C1214" s="495">
        <v>45905</v>
      </c>
      <c r="D1214" s="463"/>
      <c r="E1214" s="463"/>
      <c r="F1214" s="498" t="s">
        <v>782</v>
      </c>
      <c r="G1214" s="463">
        <v>1</v>
      </c>
      <c r="H1214" s="432">
        <v>250</v>
      </c>
      <c r="I1214" s="463">
        <f t="shared" si="182"/>
        <v>250</v>
      </c>
      <c r="J1214" s="497"/>
      <c r="K1214" s="497"/>
    </row>
    <row r="1215" s="457" customFormat="1" spans="1:26">
      <c r="A1215" s="494">
        <v>45905</v>
      </c>
      <c r="B1215" s="442" t="s">
        <v>395</v>
      </c>
      <c r="C1215" s="495">
        <v>45905</v>
      </c>
      <c r="D1215" s="463"/>
      <c r="E1215" s="463"/>
      <c r="F1215" s="496" t="s">
        <v>16</v>
      </c>
      <c r="G1215" s="463">
        <v>1</v>
      </c>
      <c r="H1215" s="432">
        <v>208</v>
      </c>
      <c r="I1215" s="463">
        <f t="shared" si="182"/>
        <v>208</v>
      </c>
      <c r="J1215" s="497"/>
      <c r="K1215" s="497"/>
      <c r="R1215" s="456"/>
      <c r="S1215" s="456"/>
      <c r="T1215" s="456"/>
      <c r="U1215" s="456"/>
      <c r="V1215" s="456"/>
      <c r="W1215" s="456"/>
      <c r="X1215" s="456"/>
      <c r="Y1215" s="456"/>
      <c r="Z1215" s="456"/>
    </row>
    <row r="1216" s="457" customFormat="1" spans="1:26">
      <c r="A1216" s="494">
        <v>45905</v>
      </c>
      <c r="B1216" s="442" t="s">
        <v>395</v>
      </c>
      <c r="C1216" s="495">
        <v>45905</v>
      </c>
      <c r="D1216" s="463"/>
      <c r="E1216" s="463"/>
      <c r="F1216" s="496" t="s">
        <v>714</v>
      </c>
      <c r="G1216" s="463">
        <v>1</v>
      </c>
      <c r="H1216" s="432">
        <f>SUM(H1210:H1215)</f>
        <v>1000</v>
      </c>
      <c r="I1216" s="463">
        <f t="shared" si="182"/>
        <v>1000</v>
      </c>
      <c r="J1216" s="497">
        <v>1</v>
      </c>
      <c r="K1216" s="497">
        <f t="shared" ref="K1216:K1224" si="183">I1216*J1216</f>
        <v>1000</v>
      </c>
      <c r="L1216" s="457">
        <f>SUM(K1210:K1216)</f>
        <v>2735.2</v>
      </c>
      <c r="R1216" s="456"/>
      <c r="S1216" s="456"/>
      <c r="T1216" s="456"/>
      <c r="U1216" s="456"/>
      <c r="V1216" s="456"/>
      <c r="W1216" s="456"/>
      <c r="X1216" s="456"/>
      <c r="Y1216" s="456"/>
      <c r="Z1216" s="456"/>
    </row>
    <row r="1217" s="456" customFormat="1" spans="1:26">
      <c r="A1217" s="488">
        <v>45909</v>
      </c>
      <c r="B1217" s="489" t="s">
        <v>52</v>
      </c>
      <c r="C1217" s="490">
        <v>45908</v>
      </c>
      <c r="D1217" s="491"/>
      <c r="E1217" s="491"/>
      <c r="F1217" s="493" t="s">
        <v>499</v>
      </c>
      <c r="G1217" s="491">
        <v>10</v>
      </c>
      <c r="H1217" s="431">
        <v>1</v>
      </c>
      <c r="I1217" s="491">
        <f t="shared" si="182"/>
        <v>10</v>
      </c>
      <c r="J1217" s="576">
        <v>12.5</v>
      </c>
      <c r="K1217" s="492">
        <f t="shared" si="183"/>
        <v>125</v>
      </c>
      <c r="R1217" s="7"/>
      <c r="S1217" s="7"/>
      <c r="T1217" s="7"/>
      <c r="U1217" s="7"/>
      <c r="V1217" s="7"/>
      <c r="W1217" s="7"/>
      <c r="X1217" s="7"/>
      <c r="Y1217" s="7"/>
      <c r="Z1217" s="7"/>
    </row>
    <row r="1218" s="456" customFormat="1" spans="1:26">
      <c r="A1218" s="488">
        <v>45909</v>
      </c>
      <c r="B1218" s="489" t="s">
        <v>52</v>
      </c>
      <c r="C1218" s="490">
        <v>45909</v>
      </c>
      <c r="D1218" s="491"/>
      <c r="E1218" s="491"/>
      <c r="F1218" s="493" t="s">
        <v>793</v>
      </c>
      <c r="G1218" s="491">
        <v>5</v>
      </c>
      <c r="H1218" s="431">
        <v>1</v>
      </c>
      <c r="I1218" s="491">
        <f t="shared" si="182"/>
        <v>5</v>
      </c>
      <c r="J1218" s="576">
        <v>2.5</v>
      </c>
      <c r="K1218" s="492">
        <f t="shared" si="183"/>
        <v>12.5</v>
      </c>
      <c r="R1218" s="7"/>
      <c r="S1218" s="7"/>
      <c r="T1218" s="7"/>
      <c r="U1218" s="7"/>
      <c r="V1218" s="7"/>
      <c r="W1218" s="7"/>
      <c r="X1218" s="7"/>
      <c r="Y1218" s="7"/>
      <c r="Z1218" s="7"/>
    </row>
    <row r="1219" s="456" customFormat="1" spans="1:26">
      <c r="A1219" s="488">
        <v>45909</v>
      </c>
      <c r="B1219" s="489" t="s">
        <v>52</v>
      </c>
      <c r="C1219" s="490">
        <v>45909</v>
      </c>
      <c r="D1219" s="491"/>
      <c r="E1219" s="491"/>
      <c r="F1219" s="493" t="s">
        <v>779</v>
      </c>
      <c r="G1219" s="491">
        <v>1</v>
      </c>
      <c r="H1219" s="431">
        <v>1</v>
      </c>
      <c r="I1219" s="491">
        <f t="shared" si="182"/>
        <v>1</v>
      </c>
      <c r="J1219" s="576">
        <v>5.5</v>
      </c>
      <c r="K1219" s="492">
        <f t="shared" si="183"/>
        <v>5.5</v>
      </c>
      <c r="R1219" s="7"/>
      <c r="S1219" s="7"/>
      <c r="T1219" s="7"/>
      <c r="U1219" s="7"/>
      <c r="V1219" s="7"/>
      <c r="W1219" s="7"/>
      <c r="X1219" s="7"/>
      <c r="Y1219" s="7"/>
      <c r="Z1219" s="7"/>
    </row>
    <row r="1220" s="456" customFormat="1" spans="1:26">
      <c r="A1220" s="488">
        <v>45909</v>
      </c>
      <c r="B1220" s="489" t="s">
        <v>52</v>
      </c>
      <c r="C1220" s="490">
        <v>45909</v>
      </c>
      <c r="D1220" s="491"/>
      <c r="E1220" s="491"/>
      <c r="F1220" s="493" t="s">
        <v>132</v>
      </c>
      <c r="G1220" s="491">
        <v>1</v>
      </c>
      <c r="H1220" s="431">
        <v>1.6</v>
      </c>
      <c r="I1220" s="491">
        <f t="shared" si="182"/>
        <v>1.6</v>
      </c>
      <c r="J1220" s="576">
        <v>3.3</v>
      </c>
      <c r="K1220" s="492">
        <f t="shared" si="183"/>
        <v>5.28</v>
      </c>
      <c r="R1220" s="7"/>
      <c r="S1220" s="7"/>
      <c r="T1220" s="7"/>
      <c r="U1220" s="7"/>
      <c r="V1220" s="7"/>
      <c r="W1220" s="7"/>
      <c r="X1220" s="7"/>
      <c r="Y1220" s="7"/>
      <c r="Z1220" s="7"/>
    </row>
    <row r="1221" s="456" customFormat="1" spans="1:26">
      <c r="A1221" s="488">
        <v>45909</v>
      </c>
      <c r="B1221" s="489" t="s">
        <v>52</v>
      </c>
      <c r="C1221" s="490">
        <v>45909</v>
      </c>
      <c r="D1221" s="491"/>
      <c r="E1221" s="491"/>
      <c r="F1221" s="493" t="s">
        <v>125</v>
      </c>
      <c r="G1221" s="491">
        <v>1</v>
      </c>
      <c r="H1221" s="431">
        <v>1.3</v>
      </c>
      <c r="I1221" s="491">
        <f t="shared" si="182"/>
        <v>1.3</v>
      </c>
      <c r="J1221" s="576">
        <v>5.5</v>
      </c>
      <c r="K1221" s="492">
        <f t="shared" si="183"/>
        <v>7.15</v>
      </c>
      <c r="R1221" s="7"/>
      <c r="S1221" s="7"/>
      <c r="T1221" s="7"/>
      <c r="U1221" s="7"/>
      <c r="V1221" s="7"/>
      <c r="W1221" s="7"/>
      <c r="X1221" s="7"/>
      <c r="Y1221" s="7"/>
      <c r="Z1221" s="7"/>
    </row>
    <row r="1222" s="456" customFormat="1" spans="1:26">
      <c r="A1222" s="488">
        <v>45909</v>
      </c>
      <c r="B1222" s="489" t="s">
        <v>52</v>
      </c>
      <c r="C1222" s="490">
        <v>45909</v>
      </c>
      <c r="D1222" s="491"/>
      <c r="E1222" s="491"/>
      <c r="F1222" s="493">
        <v>808</v>
      </c>
      <c r="G1222" s="491">
        <v>1</v>
      </c>
      <c r="H1222" s="431">
        <v>0.7</v>
      </c>
      <c r="I1222" s="491">
        <f t="shared" si="182"/>
        <v>0.7</v>
      </c>
      <c r="J1222" s="576">
        <v>7.6</v>
      </c>
      <c r="K1222" s="492">
        <f t="shared" si="183"/>
        <v>5.32</v>
      </c>
      <c r="R1222" s="7"/>
      <c r="S1222" s="7"/>
      <c r="T1222" s="7"/>
      <c r="U1222" s="7"/>
      <c r="V1222" s="7"/>
      <c r="W1222" s="7"/>
      <c r="X1222" s="7"/>
      <c r="Y1222" s="7"/>
      <c r="Z1222" s="7"/>
    </row>
    <row r="1223" s="456" customFormat="1" spans="1:26">
      <c r="A1223" s="488">
        <v>45909</v>
      </c>
      <c r="B1223" s="489" t="s">
        <v>52</v>
      </c>
      <c r="C1223" s="490">
        <v>45909</v>
      </c>
      <c r="D1223" s="491"/>
      <c r="E1223" s="491"/>
      <c r="F1223" s="493" t="s">
        <v>12</v>
      </c>
      <c r="G1223" s="491">
        <v>1</v>
      </c>
      <c r="H1223" s="431">
        <v>0.4</v>
      </c>
      <c r="I1223" s="491">
        <f t="shared" si="182"/>
        <v>0.4</v>
      </c>
      <c r="J1223" s="576">
        <v>6.4</v>
      </c>
      <c r="K1223" s="492">
        <f t="shared" si="183"/>
        <v>2.56</v>
      </c>
      <c r="L1223" s="457"/>
      <c r="R1223" s="7"/>
      <c r="S1223" s="7"/>
      <c r="T1223" s="7"/>
      <c r="U1223" s="7"/>
      <c r="V1223" s="7"/>
      <c r="W1223" s="7"/>
      <c r="X1223" s="7"/>
      <c r="Y1223" s="7"/>
      <c r="Z1223" s="7"/>
    </row>
    <row r="1224" s="456" customFormat="1" spans="1:26">
      <c r="A1224" s="488">
        <v>45909</v>
      </c>
      <c r="B1224" s="489" t="s">
        <v>52</v>
      </c>
      <c r="C1224" s="490">
        <v>45909</v>
      </c>
      <c r="D1224" s="491"/>
      <c r="E1224" s="491"/>
      <c r="F1224" s="498" t="s">
        <v>56</v>
      </c>
      <c r="G1224" s="520">
        <v>1</v>
      </c>
      <c r="H1224" s="431">
        <f>SUM(H1220:H1223)</f>
        <v>4</v>
      </c>
      <c r="I1224" s="491">
        <f t="shared" si="182"/>
        <v>4</v>
      </c>
      <c r="J1224" s="576">
        <v>0.7</v>
      </c>
      <c r="K1224" s="492">
        <f t="shared" si="183"/>
        <v>2.8</v>
      </c>
      <c r="L1224" s="456">
        <f>SUM(K1217:K1224)</f>
        <v>166.11</v>
      </c>
      <c r="R1224" s="7"/>
      <c r="S1224" s="7"/>
      <c r="T1224" s="7"/>
      <c r="U1224" s="7"/>
      <c r="V1224" s="7"/>
      <c r="W1224" s="7"/>
      <c r="X1224" s="7"/>
      <c r="Y1224" s="7"/>
      <c r="Z1224" s="7"/>
    </row>
    <row r="1225" s="456" customFormat="1" spans="1:26">
      <c r="A1225" s="494">
        <v>45909</v>
      </c>
      <c r="B1225" s="442" t="s">
        <v>57</v>
      </c>
      <c r="C1225" s="495">
        <v>45909</v>
      </c>
      <c r="D1225" s="463"/>
      <c r="E1225" s="463"/>
      <c r="F1225" s="496" t="s">
        <v>16</v>
      </c>
      <c r="G1225" s="463">
        <v>1</v>
      </c>
      <c r="H1225" s="432">
        <v>3</v>
      </c>
      <c r="I1225" s="463">
        <f t="shared" si="182"/>
        <v>3</v>
      </c>
      <c r="J1225" s="497">
        <v>12.5</v>
      </c>
      <c r="K1225" s="497"/>
    </row>
    <row r="1226" s="456" customFormat="1" spans="1:26">
      <c r="A1226" s="494">
        <v>45909</v>
      </c>
      <c r="B1226" s="442" t="s">
        <v>57</v>
      </c>
      <c r="C1226" s="495">
        <v>45909</v>
      </c>
      <c r="D1226" s="463"/>
      <c r="E1226" s="463"/>
      <c r="F1226" s="496" t="s">
        <v>513</v>
      </c>
      <c r="G1226" s="463">
        <v>1</v>
      </c>
      <c r="H1226" s="432">
        <v>20</v>
      </c>
      <c r="I1226" s="463">
        <f t="shared" si="182"/>
        <v>20</v>
      </c>
      <c r="J1226" s="497">
        <v>15</v>
      </c>
      <c r="K1226" s="497">
        <f>I1226*J1226</f>
        <v>300</v>
      </c>
    </row>
    <row r="1227" s="456" customFormat="1" spans="1:26">
      <c r="A1227" s="494">
        <v>45909</v>
      </c>
      <c r="B1227" s="442" t="s">
        <v>57</v>
      </c>
      <c r="C1227" s="495">
        <v>45909</v>
      </c>
      <c r="D1227" s="463"/>
      <c r="E1227" s="463"/>
      <c r="F1227" s="496" t="s">
        <v>152</v>
      </c>
      <c r="G1227" s="463">
        <v>1</v>
      </c>
      <c r="H1227" s="432">
        <v>73</v>
      </c>
      <c r="I1227" s="463">
        <f t="shared" si="182"/>
        <v>73</v>
      </c>
      <c r="J1227" s="497">
        <v>6.5</v>
      </c>
      <c r="K1227" s="497">
        <f>I1227*J1227</f>
        <v>474.5</v>
      </c>
    </row>
    <row r="1228" s="456" customFormat="1" spans="1:26">
      <c r="A1228" s="494">
        <v>45909</v>
      </c>
      <c r="B1228" s="442" t="s">
        <v>57</v>
      </c>
      <c r="C1228" s="495">
        <v>45909</v>
      </c>
      <c r="D1228" s="463"/>
      <c r="E1228" s="463"/>
      <c r="F1228" s="496" t="s">
        <v>125</v>
      </c>
      <c r="G1228" s="463">
        <v>1</v>
      </c>
      <c r="H1228" s="432">
        <v>64</v>
      </c>
      <c r="I1228" s="463">
        <f t="shared" si="182"/>
        <v>64</v>
      </c>
      <c r="J1228" s="497">
        <v>5.5</v>
      </c>
      <c r="K1228" s="497">
        <f>I1228*J1228</f>
        <v>352</v>
      </c>
    </row>
    <row r="1229" s="457" customFormat="1" spans="1:26">
      <c r="A1229" s="494">
        <v>45909</v>
      </c>
      <c r="B1229" s="442" t="s">
        <v>57</v>
      </c>
      <c r="C1229" s="495">
        <v>45909</v>
      </c>
      <c r="D1229" s="463"/>
      <c r="E1229" s="463"/>
      <c r="F1229" s="496" t="s">
        <v>389</v>
      </c>
      <c r="G1229" s="463">
        <v>1</v>
      </c>
      <c r="H1229" s="432">
        <f>SUM(H1225:H1228)</f>
        <v>160</v>
      </c>
      <c r="I1229" s="463">
        <f t="shared" si="182"/>
        <v>160</v>
      </c>
      <c r="J1229" s="497">
        <v>1</v>
      </c>
      <c r="K1229" s="497">
        <f>I1229*J1229</f>
        <v>160</v>
      </c>
      <c r="L1229" s="457">
        <f>SUM(K1225:K1229)</f>
        <v>1286.5</v>
      </c>
      <c r="O1229" s="456"/>
    </row>
    <row r="1230" s="456" customFormat="1" spans="1:26">
      <c r="A1230" s="488">
        <v>45912</v>
      </c>
      <c r="B1230" s="489" t="s">
        <v>422</v>
      </c>
      <c r="C1230" s="490">
        <v>45911</v>
      </c>
      <c r="D1230" s="491"/>
      <c r="E1230" s="491"/>
      <c r="F1230" s="493" t="s">
        <v>42</v>
      </c>
      <c r="G1230" s="491">
        <v>1</v>
      </c>
      <c r="H1230" s="431">
        <v>100</v>
      </c>
      <c r="I1230" s="491">
        <f t="shared" ref="I1230:I1239" si="184">G1230*H1230</f>
        <v>100</v>
      </c>
      <c r="J1230" s="492"/>
      <c r="K1230" s="492"/>
    </row>
    <row r="1231" s="456" customFormat="1" spans="1:26">
      <c r="A1231" s="488">
        <v>45912</v>
      </c>
      <c r="B1231" s="489" t="s">
        <v>422</v>
      </c>
      <c r="C1231" s="490">
        <v>45911</v>
      </c>
      <c r="D1231" s="491"/>
      <c r="E1231" s="491"/>
      <c r="F1231" s="493" t="s">
        <v>207</v>
      </c>
      <c r="G1231" s="491">
        <v>1</v>
      </c>
      <c r="H1231" s="431">
        <v>200</v>
      </c>
      <c r="I1231" s="491">
        <f t="shared" si="184"/>
        <v>200</v>
      </c>
      <c r="J1231" s="492"/>
      <c r="K1231" s="492"/>
    </row>
    <row r="1232" s="456" customFormat="1" spans="1:26">
      <c r="A1232" s="488">
        <v>45912</v>
      </c>
      <c r="B1232" s="489" t="s">
        <v>422</v>
      </c>
      <c r="C1232" s="490">
        <v>45911</v>
      </c>
      <c r="D1232" s="491"/>
      <c r="E1232" s="491"/>
      <c r="F1232" s="493" t="s">
        <v>794</v>
      </c>
      <c r="G1232" s="491">
        <v>1</v>
      </c>
      <c r="H1232" s="431">
        <v>100</v>
      </c>
      <c r="I1232" s="491">
        <f t="shared" si="184"/>
        <v>100</v>
      </c>
      <c r="J1232" s="492"/>
      <c r="K1232" s="492"/>
    </row>
    <row r="1233" s="456" customFormat="1" spans="1:15">
      <c r="A1233" s="488">
        <v>45912</v>
      </c>
      <c r="B1233" s="489" t="s">
        <v>422</v>
      </c>
      <c r="C1233" s="490">
        <v>45911</v>
      </c>
      <c r="D1233" s="491"/>
      <c r="E1233" s="491"/>
      <c r="F1233" s="493" t="s">
        <v>553</v>
      </c>
      <c r="G1233" s="491">
        <v>1</v>
      </c>
      <c r="H1233" s="431">
        <v>145</v>
      </c>
      <c r="I1233" s="491">
        <f t="shared" si="184"/>
        <v>145</v>
      </c>
      <c r="J1233" s="492"/>
      <c r="K1233" s="492"/>
    </row>
    <row r="1234" s="456" customFormat="1" spans="1:15">
      <c r="A1234" s="488">
        <v>45912</v>
      </c>
      <c r="B1234" s="489" t="s">
        <v>422</v>
      </c>
      <c r="C1234" s="490">
        <v>45911</v>
      </c>
      <c r="D1234" s="491"/>
      <c r="E1234" s="491"/>
      <c r="F1234" s="456" t="s">
        <v>191</v>
      </c>
      <c r="G1234" s="491">
        <v>1</v>
      </c>
      <c r="H1234" s="431">
        <v>25</v>
      </c>
      <c r="I1234" s="491">
        <f t="shared" si="184"/>
        <v>25</v>
      </c>
      <c r="J1234" s="492">
        <v>17</v>
      </c>
      <c r="K1234" s="492">
        <f t="shared" ref="K1234:K1242" si="185">I1234*J1234</f>
        <v>425</v>
      </c>
    </row>
    <row r="1235" s="456" customFormat="1" spans="1:15">
      <c r="A1235" s="488">
        <v>45912</v>
      </c>
      <c r="B1235" s="489" t="s">
        <v>422</v>
      </c>
      <c r="C1235" s="490">
        <v>45911</v>
      </c>
      <c r="D1235" s="491"/>
      <c r="E1235" s="491"/>
      <c r="F1235" s="493" t="s">
        <v>152</v>
      </c>
      <c r="G1235" s="491">
        <v>1</v>
      </c>
      <c r="H1235" s="431">
        <v>92</v>
      </c>
      <c r="I1235" s="491">
        <f t="shared" si="184"/>
        <v>92</v>
      </c>
      <c r="J1235" s="492">
        <v>6.5</v>
      </c>
      <c r="K1235" s="492">
        <f t="shared" si="185"/>
        <v>598</v>
      </c>
    </row>
    <row r="1236" s="456" customFormat="1" spans="1:15">
      <c r="A1236" s="488">
        <v>45912</v>
      </c>
      <c r="B1236" s="489" t="s">
        <v>422</v>
      </c>
      <c r="C1236" s="490">
        <v>45911</v>
      </c>
      <c r="D1236" s="491"/>
      <c r="E1236" s="491"/>
      <c r="F1236" s="493" t="s">
        <v>132</v>
      </c>
      <c r="G1236" s="491">
        <v>1</v>
      </c>
      <c r="H1236" s="431">
        <v>279</v>
      </c>
      <c r="I1236" s="491">
        <f t="shared" si="184"/>
        <v>279</v>
      </c>
      <c r="J1236" s="492">
        <v>3.3</v>
      </c>
      <c r="K1236" s="492">
        <f t="shared" si="185"/>
        <v>920.7</v>
      </c>
    </row>
    <row r="1237" s="456" customFormat="1" spans="1:15">
      <c r="A1237" s="488">
        <v>45912</v>
      </c>
      <c r="B1237" s="489" t="s">
        <v>422</v>
      </c>
      <c r="C1237" s="490">
        <v>45911</v>
      </c>
      <c r="D1237" s="491"/>
      <c r="E1237" s="491"/>
      <c r="F1237" s="493" t="s">
        <v>791</v>
      </c>
      <c r="G1237" s="491">
        <v>1</v>
      </c>
      <c r="H1237" s="431">
        <v>2.5</v>
      </c>
      <c r="I1237" s="491">
        <f t="shared" si="184"/>
        <v>2.5</v>
      </c>
      <c r="J1237" s="492">
        <v>25</v>
      </c>
      <c r="K1237" s="492">
        <f t="shared" si="185"/>
        <v>62.5</v>
      </c>
    </row>
    <row r="1238" s="456" customFormat="1" spans="1:15">
      <c r="A1238" s="488">
        <v>45912</v>
      </c>
      <c r="B1238" s="489" t="s">
        <v>422</v>
      </c>
      <c r="C1238" s="490">
        <v>45911</v>
      </c>
      <c r="D1238" s="491"/>
      <c r="E1238" s="491"/>
      <c r="F1238" s="493" t="s">
        <v>125</v>
      </c>
      <c r="G1238" s="491">
        <v>1</v>
      </c>
      <c r="H1238" s="431">
        <v>59</v>
      </c>
      <c r="I1238" s="491">
        <f t="shared" si="184"/>
        <v>59</v>
      </c>
      <c r="J1238" s="492">
        <v>5.5</v>
      </c>
      <c r="K1238" s="492">
        <f t="shared" si="185"/>
        <v>324.5</v>
      </c>
    </row>
    <row r="1239" s="456" customFormat="1" spans="1:15">
      <c r="A1239" s="488">
        <v>45912</v>
      </c>
      <c r="B1239" s="489" t="s">
        <v>422</v>
      </c>
      <c r="C1239" s="490">
        <v>45911</v>
      </c>
      <c r="D1239" s="491"/>
      <c r="E1239" s="491"/>
      <c r="F1239" s="493" t="s">
        <v>212</v>
      </c>
      <c r="G1239" s="491">
        <v>1</v>
      </c>
      <c r="H1239" s="431">
        <f>SUM(H1230:H1238)</f>
        <v>1002.5</v>
      </c>
      <c r="I1239" s="491">
        <f t="shared" si="184"/>
        <v>1002.5</v>
      </c>
      <c r="J1239" s="492">
        <v>1</v>
      </c>
      <c r="K1239" s="492">
        <f t="shared" si="185"/>
        <v>1002.5</v>
      </c>
      <c r="L1239" s="456">
        <f>SUM(K1230:K1239)</f>
        <v>3333.2</v>
      </c>
    </row>
    <row r="1240" s="457" customFormat="1" spans="1:15">
      <c r="A1240" s="494">
        <v>45912</v>
      </c>
      <c r="B1240" s="442" t="s">
        <v>423</v>
      </c>
      <c r="C1240" s="495">
        <v>45912</v>
      </c>
      <c r="D1240" s="463"/>
      <c r="E1240" s="463"/>
      <c r="F1240" s="496">
        <v>808</v>
      </c>
      <c r="G1240" s="463">
        <v>1</v>
      </c>
      <c r="H1240" s="432">
        <v>50</v>
      </c>
      <c r="I1240" s="463">
        <f t="shared" ref="I1240:I1247" si="186">G1240*H1240</f>
        <v>50</v>
      </c>
      <c r="J1240" s="497">
        <v>7.6</v>
      </c>
      <c r="K1240" s="497">
        <f t="shared" si="185"/>
        <v>380</v>
      </c>
      <c r="L1240" s="457" t="s">
        <v>126</v>
      </c>
      <c r="O1240" s="456"/>
    </row>
    <row r="1241" s="457" customFormat="1" spans="1:15">
      <c r="A1241" s="494">
        <v>45912</v>
      </c>
      <c r="B1241" s="442" t="s">
        <v>423</v>
      </c>
      <c r="C1241" s="495">
        <v>45912</v>
      </c>
      <c r="D1241" s="463"/>
      <c r="E1241" s="463"/>
      <c r="F1241" s="496" t="s">
        <v>125</v>
      </c>
      <c r="G1241" s="463">
        <v>1</v>
      </c>
      <c r="H1241" s="432">
        <v>108</v>
      </c>
      <c r="I1241" s="463">
        <f t="shared" si="186"/>
        <v>108</v>
      </c>
      <c r="J1241" s="497">
        <v>5.5</v>
      </c>
      <c r="K1241" s="497">
        <f t="shared" si="185"/>
        <v>594</v>
      </c>
      <c r="O1241" s="456"/>
    </row>
    <row r="1242" s="457" customFormat="1" spans="1:15">
      <c r="A1242" s="494">
        <v>45912</v>
      </c>
      <c r="B1242" s="442" t="s">
        <v>423</v>
      </c>
      <c r="C1242" s="495">
        <v>45912</v>
      </c>
      <c r="D1242" s="463"/>
      <c r="E1242" s="463"/>
      <c r="F1242" s="496" t="s">
        <v>12</v>
      </c>
      <c r="G1242" s="463">
        <v>1</v>
      </c>
      <c r="H1242" s="432">
        <v>10</v>
      </c>
      <c r="I1242" s="463">
        <f t="shared" si="186"/>
        <v>10</v>
      </c>
      <c r="J1242" s="497">
        <v>6.4</v>
      </c>
      <c r="K1242" s="497">
        <f t="shared" si="185"/>
        <v>64</v>
      </c>
    </row>
    <row r="1243" s="457" customFormat="1" spans="1:15">
      <c r="A1243" s="494">
        <v>45912</v>
      </c>
      <c r="B1243" s="442" t="s">
        <v>423</v>
      </c>
      <c r="C1243" s="495">
        <v>45912</v>
      </c>
      <c r="D1243" s="463"/>
      <c r="E1243" s="463"/>
      <c r="F1243" s="496" t="s">
        <v>240</v>
      </c>
      <c r="G1243" s="463">
        <v>1</v>
      </c>
      <c r="H1243" s="432">
        <v>75</v>
      </c>
      <c r="I1243" s="463">
        <f t="shared" si="186"/>
        <v>75</v>
      </c>
      <c r="J1243" s="497"/>
      <c r="K1243" s="497"/>
      <c r="M1243" s="457" t="s">
        <v>678</v>
      </c>
    </row>
    <row r="1244" s="457" customFormat="1" spans="1:15">
      <c r="A1244" s="494">
        <v>45912</v>
      </c>
      <c r="B1244" s="442" t="s">
        <v>423</v>
      </c>
      <c r="C1244" s="495">
        <v>45912</v>
      </c>
      <c r="D1244" s="463"/>
      <c r="E1244" s="463"/>
      <c r="F1244" s="496" t="s">
        <v>16</v>
      </c>
      <c r="G1244" s="463">
        <v>1</v>
      </c>
      <c r="H1244" s="432">
        <v>75</v>
      </c>
      <c r="I1244" s="463">
        <f t="shared" si="186"/>
        <v>75</v>
      </c>
      <c r="J1244" s="497"/>
      <c r="K1244" s="497"/>
    </row>
    <row r="1245" s="457" customFormat="1" spans="1:15">
      <c r="A1245" s="494">
        <v>45912</v>
      </c>
      <c r="B1245" s="442" t="s">
        <v>423</v>
      </c>
      <c r="C1245" s="495">
        <v>45912</v>
      </c>
      <c r="D1245" s="463"/>
      <c r="E1245" s="463"/>
      <c r="F1245" s="496" t="s">
        <v>300</v>
      </c>
      <c r="G1245" s="463">
        <v>1</v>
      </c>
      <c r="H1245" s="432">
        <v>75</v>
      </c>
      <c r="I1245" s="463">
        <f t="shared" si="186"/>
        <v>75</v>
      </c>
      <c r="J1245" s="497"/>
      <c r="K1245" s="497"/>
    </row>
    <row r="1246" s="457" customFormat="1" spans="1:15">
      <c r="A1246" s="494">
        <v>45912</v>
      </c>
      <c r="B1246" s="442" t="s">
        <v>423</v>
      </c>
      <c r="C1246" s="495">
        <v>45912</v>
      </c>
      <c r="D1246" s="463"/>
      <c r="E1246" s="463"/>
      <c r="F1246" s="496" t="s">
        <v>546</v>
      </c>
      <c r="G1246" s="463">
        <v>1</v>
      </c>
      <c r="H1246" s="432">
        <v>107</v>
      </c>
      <c r="I1246" s="463">
        <f t="shared" si="186"/>
        <v>107</v>
      </c>
      <c r="J1246" s="497"/>
      <c r="K1246" s="497"/>
    </row>
    <row r="1247" s="457" customFormat="1" spans="1:15">
      <c r="A1247" s="494">
        <v>45912</v>
      </c>
      <c r="B1247" s="442" t="s">
        <v>423</v>
      </c>
      <c r="C1247" s="495">
        <v>45912</v>
      </c>
      <c r="D1247" s="463"/>
      <c r="E1247" s="463"/>
      <c r="F1247" s="496" t="s">
        <v>301</v>
      </c>
      <c r="G1247" s="463">
        <v>1</v>
      </c>
      <c r="H1247" s="432">
        <f>SUM(H1240:H1246)</f>
        <v>500</v>
      </c>
      <c r="I1247" s="463">
        <f t="shared" si="186"/>
        <v>500</v>
      </c>
      <c r="J1247" s="497">
        <v>1</v>
      </c>
      <c r="K1247" s="497">
        <f>I1247*J1247</f>
        <v>500</v>
      </c>
      <c r="L1247" s="457">
        <f>SUM(K1240:K1247)</f>
        <v>1538</v>
      </c>
    </row>
    <row r="1248" s="456" customFormat="1" spans="1:15">
      <c r="A1248" s="488">
        <v>45913</v>
      </c>
      <c r="B1248" s="489" t="s">
        <v>427</v>
      </c>
      <c r="C1248" s="490">
        <v>45912</v>
      </c>
      <c r="D1248" s="491"/>
      <c r="E1248" s="491"/>
      <c r="F1248" s="493" t="s">
        <v>16</v>
      </c>
      <c r="G1248" s="491">
        <v>1</v>
      </c>
      <c r="H1248" s="431">
        <v>50</v>
      </c>
      <c r="I1248" s="491">
        <f t="shared" ref="I1248:I1287" si="187">G1248*H1248</f>
        <v>50</v>
      </c>
      <c r="J1248" s="492"/>
      <c r="K1248" s="492"/>
    </row>
    <row r="1249" s="456" customFormat="1" spans="1:15">
      <c r="A1249" s="488">
        <v>45913</v>
      </c>
      <c r="B1249" s="489" t="s">
        <v>427</v>
      </c>
      <c r="C1249" s="490">
        <v>45912</v>
      </c>
      <c r="D1249" s="491"/>
      <c r="E1249" s="491"/>
      <c r="F1249" s="493" t="s">
        <v>629</v>
      </c>
      <c r="G1249" s="491">
        <v>1</v>
      </c>
      <c r="H1249" s="431">
        <v>75</v>
      </c>
      <c r="I1249" s="491">
        <f t="shared" si="187"/>
        <v>75</v>
      </c>
      <c r="J1249" s="492"/>
      <c r="K1249" s="492"/>
    </row>
    <row r="1250" s="456" customFormat="1" spans="1:15">
      <c r="A1250" s="488">
        <v>45913</v>
      </c>
      <c r="B1250" s="489" t="s">
        <v>427</v>
      </c>
      <c r="C1250" s="490">
        <v>45912</v>
      </c>
      <c r="D1250" s="491"/>
      <c r="E1250" s="491"/>
      <c r="F1250" s="493" t="s">
        <v>599</v>
      </c>
      <c r="G1250" s="491">
        <v>1</v>
      </c>
      <c r="H1250" s="431">
        <v>52</v>
      </c>
      <c r="I1250" s="491">
        <f t="shared" si="187"/>
        <v>52</v>
      </c>
      <c r="J1250" s="492"/>
      <c r="K1250" s="492"/>
      <c r="L1250" s="536"/>
      <c r="M1250" s="536"/>
      <c r="N1250" s="536"/>
    </row>
    <row r="1251" s="456" customFormat="1" spans="1:15">
      <c r="A1251" s="488">
        <v>45913</v>
      </c>
      <c r="B1251" s="489" t="s">
        <v>427</v>
      </c>
      <c r="C1251" s="490">
        <v>45912</v>
      </c>
      <c r="D1251" s="491"/>
      <c r="E1251" s="491"/>
      <c r="F1251" s="493" t="s">
        <v>546</v>
      </c>
      <c r="G1251" s="491">
        <v>1</v>
      </c>
      <c r="H1251" s="431">
        <v>73</v>
      </c>
      <c r="I1251" s="491">
        <f t="shared" si="187"/>
        <v>73</v>
      </c>
      <c r="J1251" s="492"/>
      <c r="K1251" s="492"/>
      <c r="L1251" s="536"/>
      <c r="M1251" s="536"/>
      <c r="N1251" s="536"/>
    </row>
    <row r="1252" s="456" customFormat="1" spans="1:15">
      <c r="A1252" s="488">
        <v>45913</v>
      </c>
      <c r="B1252" s="489" t="s">
        <v>427</v>
      </c>
      <c r="C1252" s="490">
        <v>45912</v>
      </c>
      <c r="D1252" s="491"/>
      <c r="E1252" s="491"/>
      <c r="F1252" s="493" t="s">
        <v>208</v>
      </c>
      <c r="G1252" s="491">
        <v>1</v>
      </c>
      <c r="H1252" s="431">
        <v>15</v>
      </c>
      <c r="I1252" s="491">
        <f t="shared" si="187"/>
        <v>15</v>
      </c>
      <c r="J1252" s="492">
        <v>17</v>
      </c>
      <c r="K1252" s="492">
        <f t="shared" ref="K1252:K1258" si="188">I1252*J1252</f>
        <v>255</v>
      </c>
      <c r="L1252" s="536"/>
      <c r="M1252" s="536"/>
      <c r="N1252" s="456">
        <f>SUBTOTAL(9,N1201:N1251)</f>
        <v>0</v>
      </c>
    </row>
    <row r="1253" s="456" customFormat="1" spans="1:15">
      <c r="A1253" s="488">
        <v>45913</v>
      </c>
      <c r="B1253" s="489" t="s">
        <v>427</v>
      </c>
      <c r="C1253" s="490">
        <v>45912</v>
      </c>
      <c r="D1253" s="491"/>
      <c r="E1253" s="491"/>
      <c r="F1253" s="493" t="s">
        <v>137</v>
      </c>
      <c r="G1253" s="491">
        <v>1</v>
      </c>
      <c r="H1253" s="431">
        <v>50</v>
      </c>
      <c r="I1253" s="491">
        <f t="shared" si="187"/>
        <v>50</v>
      </c>
      <c r="J1253" s="492">
        <v>0.9</v>
      </c>
      <c r="K1253" s="492">
        <f t="shared" si="188"/>
        <v>45</v>
      </c>
      <c r="L1253" s="536"/>
      <c r="N1253" s="536" t="s">
        <v>116</v>
      </c>
    </row>
    <row r="1254" s="456" customFormat="1" spans="1:15">
      <c r="A1254" s="488">
        <v>45913</v>
      </c>
      <c r="B1254" s="489" t="s">
        <v>427</v>
      </c>
      <c r="C1254" s="490">
        <v>45912</v>
      </c>
      <c r="D1254" s="491"/>
      <c r="E1254" s="491"/>
      <c r="F1254" s="493" t="s">
        <v>125</v>
      </c>
      <c r="G1254" s="491">
        <v>1</v>
      </c>
      <c r="H1254" s="431">
        <v>106</v>
      </c>
      <c r="I1254" s="491">
        <f t="shared" si="187"/>
        <v>106</v>
      </c>
      <c r="J1254" s="492">
        <v>5.5</v>
      </c>
      <c r="K1254" s="492">
        <f t="shared" si="188"/>
        <v>583</v>
      </c>
      <c r="L1254" s="536"/>
      <c r="M1254" s="536"/>
      <c r="N1254" s="536"/>
    </row>
    <row r="1255" s="456" customFormat="1" spans="1:15">
      <c r="A1255" s="488">
        <v>45913</v>
      </c>
      <c r="B1255" s="489" t="s">
        <v>427</v>
      </c>
      <c r="C1255" s="490">
        <v>45912</v>
      </c>
      <c r="D1255" s="491"/>
      <c r="E1255" s="491"/>
      <c r="F1255" s="493" t="s">
        <v>132</v>
      </c>
      <c r="G1255" s="491">
        <v>1</v>
      </c>
      <c r="H1255" s="431">
        <v>130</v>
      </c>
      <c r="I1255" s="491">
        <f t="shared" si="187"/>
        <v>130</v>
      </c>
      <c r="J1255" s="492">
        <v>3.3</v>
      </c>
      <c r="K1255" s="492">
        <f t="shared" si="188"/>
        <v>429</v>
      </c>
      <c r="N1255" s="536"/>
    </row>
    <row r="1256" s="456" customFormat="1" spans="1:15">
      <c r="A1256" s="488">
        <v>45913</v>
      </c>
      <c r="B1256" s="489" t="s">
        <v>427</v>
      </c>
      <c r="C1256" s="490">
        <v>45912</v>
      </c>
      <c r="D1256" s="491"/>
      <c r="E1256" s="491"/>
      <c r="F1256" s="493" t="s">
        <v>791</v>
      </c>
      <c r="G1256" s="491">
        <v>1</v>
      </c>
      <c r="H1256" s="431">
        <v>2</v>
      </c>
      <c r="I1256" s="491">
        <f t="shared" si="187"/>
        <v>2</v>
      </c>
      <c r="J1256" s="492">
        <v>25</v>
      </c>
      <c r="K1256" s="492">
        <f t="shared" si="188"/>
        <v>50</v>
      </c>
      <c r="L1256" s="536"/>
      <c r="M1256" s="536"/>
      <c r="N1256" s="536"/>
    </row>
    <row r="1257" s="456" customFormat="1" spans="1:15">
      <c r="A1257" s="488">
        <v>45913</v>
      </c>
      <c r="B1257" s="489" t="s">
        <v>427</v>
      </c>
      <c r="C1257" s="490">
        <v>45912</v>
      </c>
      <c r="D1257" s="491"/>
      <c r="E1257" s="491"/>
      <c r="F1257" s="493" t="s">
        <v>630</v>
      </c>
      <c r="G1257" s="491">
        <v>1</v>
      </c>
      <c r="H1257" s="431">
        <f>SUM(H1248:H1256)</f>
        <v>553</v>
      </c>
      <c r="I1257" s="491">
        <f t="shared" si="187"/>
        <v>553</v>
      </c>
      <c r="J1257" s="492">
        <v>1</v>
      </c>
      <c r="K1257" s="492">
        <f t="shared" si="188"/>
        <v>553</v>
      </c>
      <c r="L1257" s="536">
        <f>SUM(K1248:K1257)</f>
        <v>1915</v>
      </c>
      <c r="M1257" s="536"/>
      <c r="N1257" s="536"/>
    </row>
    <row r="1258" s="457" customFormat="1" spans="1:15">
      <c r="A1258" s="494">
        <v>45913</v>
      </c>
      <c r="B1258" s="442" t="s">
        <v>370</v>
      </c>
      <c r="C1258" s="495">
        <v>45913</v>
      </c>
      <c r="D1258" s="463"/>
      <c r="E1258" s="463"/>
      <c r="F1258" s="496" t="s">
        <v>16</v>
      </c>
      <c r="G1258" s="463">
        <v>1</v>
      </c>
      <c r="H1258" s="432">
        <v>45</v>
      </c>
      <c r="I1258" s="463">
        <f t="shared" si="187"/>
        <v>45</v>
      </c>
      <c r="J1258" s="497"/>
      <c r="K1258" s="497"/>
    </row>
    <row r="1259" s="457" customFormat="1" spans="1:15">
      <c r="A1259" s="494">
        <v>45913</v>
      </c>
      <c r="B1259" s="442" t="s">
        <v>370</v>
      </c>
      <c r="C1259" s="495">
        <v>45913</v>
      </c>
      <c r="D1259" s="463"/>
      <c r="E1259" s="463"/>
      <c r="F1259" s="496" t="s">
        <v>452</v>
      </c>
      <c r="G1259" s="463">
        <v>1</v>
      </c>
      <c r="H1259" s="432">
        <v>45</v>
      </c>
      <c r="I1259" s="463">
        <f t="shared" si="187"/>
        <v>45</v>
      </c>
      <c r="J1259" s="497"/>
      <c r="K1259" s="497"/>
    </row>
    <row r="1260" s="457" customFormat="1" spans="1:15">
      <c r="A1260" s="494">
        <v>45913</v>
      </c>
      <c r="B1260" s="442" t="s">
        <v>370</v>
      </c>
      <c r="C1260" s="495">
        <v>45913</v>
      </c>
      <c r="D1260" s="463"/>
      <c r="E1260" s="463"/>
      <c r="F1260" s="496" t="s">
        <v>546</v>
      </c>
      <c r="G1260" s="463">
        <v>1</v>
      </c>
      <c r="H1260" s="432">
        <v>64</v>
      </c>
      <c r="I1260" s="463">
        <f t="shared" si="187"/>
        <v>64</v>
      </c>
      <c r="J1260" s="497"/>
      <c r="K1260" s="497"/>
      <c r="L1260" s="578">
        <v>63.5</v>
      </c>
      <c r="M1260" s="537"/>
      <c r="N1260" s="537"/>
    </row>
    <row r="1261" s="457" customFormat="1" spans="1:15">
      <c r="A1261" s="494">
        <v>45913</v>
      </c>
      <c r="B1261" s="442" t="s">
        <v>370</v>
      </c>
      <c r="C1261" s="495">
        <v>45913</v>
      </c>
      <c r="D1261" s="463"/>
      <c r="E1261" s="463"/>
      <c r="F1261" s="496">
        <v>808</v>
      </c>
      <c r="G1261" s="463">
        <v>1</v>
      </c>
      <c r="H1261" s="432">
        <v>30</v>
      </c>
      <c r="I1261" s="463">
        <f t="shared" si="187"/>
        <v>30</v>
      </c>
      <c r="J1261" s="497">
        <v>7.6</v>
      </c>
      <c r="K1261" s="497">
        <f t="shared" ref="K1261:K1263" si="189">I1261*J1261</f>
        <v>228</v>
      </c>
      <c r="L1261" s="537"/>
      <c r="M1261" s="537"/>
      <c r="N1261" s="537"/>
    </row>
    <row r="1262" s="457" customFormat="1" spans="1:15">
      <c r="A1262" s="494">
        <v>45913</v>
      </c>
      <c r="B1262" s="442" t="s">
        <v>370</v>
      </c>
      <c r="C1262" s="495">
        <v>45913</v>
      </c>
      <c r="D1262" s="463"/>
      <c r="E1262" s="463"/>
      <c r="F1262" s="496" t="s">
        <v>152</v>
      </c>
      <c r="G1262" s="463">
        <v>1</v>
      </c>
      <c r="H1262" s="432">
        <v>10</v>
      </c>
      <c r="I1262" s="463">
        <f t="shared" si="187"/>
        <v>10</v>
      </c>
      <c r="J1262" s="497">
        <v>6.5</v>
      </c>
      <c r="K1262" s="497">
        <f t="shared" si="189"/>
        <v>65</v>
      </c>
      <c r="L1262" s="537"/>
      <c r="M1262" s="537"/>
      <c r="N1262" s="537"/>
    </row>
    <row r="1263" s="457" customFormat="1" spans="1:15">
      <c r="A1263" s="494">
        <v>45913</v>
      </c>
      <c r="B1263" s="442" t="s">
        <v>370</v>
      </c>
      <c r="C1263" s="495">
        <v>45913</v>
      </c>
      <c r="D1263" s="463"/>
      <c r="E1263" s="463"/>
      <c r="F1263" s="496" t="s">
        <v>125</v>
      </c>
      <c r="G1263" s="463">
        <v>1</v>
      </c>
      <c r="H1263" s="432">
        <v>61</v>
      </c>
      <c r="I1263" s="463">
        <f t="shared" si="187"/>
        <v>61</v>
      </c>
      <c r="J1263" s="497">
        <v>5.5</v>
      </c>
      <c r="K1263" s="497">
        <f t="shared" si="189"/>
        <v>335.5</v>
      </c>
      <c r="L1263" s="537"/>
      <c r="M1263" s="537"/>
      <c r="N1263" s="537"/>
      <c r="O1263" s="456"/>
    </row>
    <row r="1264" s="457" customFormat="1" spans="1:15">
      <c r="A1264" s="494">
        <v>45913</v>
      </c>
      <c r="B1264" s="442" t="s">
        <v>370</v>
      </c>
      <c r="C1264" s="495">
        <v>45913</v>
      </c>
      <c r="D1264" s="463"/>
      <c r="E1264" s="463"/>
      <c r="F1264" s="496" t="s">
        <v>115</v>
      </c>
      <c r="G1264" s="463">
        <v>1</v>
      </c>
      <c r="H1264" s="432">
        <v>45</v>
      </c>
      <c r="I1264" s="463">
        <f t="shared" si="187"/>
        <v>45</v>
      </c>
      <c r="J1264" s="497"/>
      <c r="K1264" s="497"/>
      <c r="L1264" s="537" t="s">
        <v>126</v>
      </c>
      <c r="M1264" s="537"/>
      <c r="N1264" s="537"/>
    </row>
    <row r="1265" s="457" customFormat="1" spans="1:14">
      <c r="A1265" s="494">
        <v>45913</v>
      </c>
      <c r="B1265" s="442" t="s">
        <v>370</v>
      </c>
      <c r="C1265" s="495">
        <v>45913</v>
      </c>
      <c r="D1265" s="463"/>
      <c r="E1265" s="463"/>
      <c r="F1265" s="496" t="s">
        <v>453</v>
      </c>
      <c r="G1265" s="463">
        <v>1</v>
      </c>
      <c r="H1265" s="432">
        <f>SUM(H1258:H1264)</f>
        <v>300</v>
      </c>
      <c r="I1265" s="463">
        <f t="shared" si="187"/>
        <v>300</v>
      </c>
      <c r="J1265" s="497">
        <v>1</v>
      </c>
      <c r="K1265" s="497">
        <f>I1265*J1265</f>
        <v>300</v>
      </c>
      <c r="L1265" s="537">
        <f>SUM(K1258:K1265)</f>
        <v>928.5</v>
      </c>
      <c r="M1265" s="537"/>
      <c r="N1265" s="537"/>
    </row>
    <row r="1266" s="456" customFormat="1" spans="1:14">
      <c r="A1266" s="488">
        <v>45914</v>
      </c>
      <c r="B1266" s="489" t="s">
        <v>372</v>
      </c>
      <c r="C1266" s="490">
        <v>45911</v>
      </c>
      <c r="D1266" s="491"/>
      <c r="E1266" s="491"/>
      <c r="F1266" s="498" t="s">
        <v>795</v>
      </c>
      <c r="G1266" s="491">
        <v>-3</v>
      </c>
      <c r="H1266" s="431">
        <v>10</v>
      </c>
      <c r="I1266" s="491">
        <f t="shared" si="187"/>
        <v>-30</v>
      </c>
      <c r="J1266" s="492">
        <v>22</v>
      </c>
      <c r="K1266" s="515">
        <f>I1266*J1266</f>
        <v>-660</v>
      </c>
      <c r="L1266" s="536"/>
      <c r="M1266" s="536"/>
      <c r="N1266" s="536"/>
    </row>
    <row r="1267" s="456" customFormat="1" spans="1:14">
      <c r="A1267" s="488">
        <v>45914</v>
      </c>
      <c r="B1267" s="489" t="s">
        <v>372</v>
      </c>
      <c r="C1267" s="490">
        <v>45913</v>
      </c>
      <c r="D1267" s="491"/>
      <c r="E1267" s="491"/>
      <c r="F1267" s="493" t="s">
        <v>16</v>
      </c>
      <c r="G1267" s="491">
        <v>1</v>
      </c>
      <c r="H1267" s="431">
        <v>3</v>
      </c>
      <c r="I1267" s="491">
        <f t="shared" si="187"/>
        <v>3</v>
      </c>
      <c r="J1267" s="492">
        <v>12.5</v>
      </c>
      <c r="K1267" s="492"/>
    </row>
    <row r="1268" s="456" customFormat="1" spans="1:14">
      <c r="A1268" s="488">
        <v>45914</v>
      </c>
      <c r="B1268" s="489" t="s">
        <v>372</v>
      </c>
      <c r="C1268" s="490">
        <v>45913</v>
      </c>
      <c r="D1268" s="491"/>
      <c r="E1268" s="491"/>
      <c r="F1268" s="493" t="s">
        <v>513</v>
      </c>
      <c r="G1268" s="491">
        <v>1</v>
      </c>
      <c r="H1268" s="431">
        <v>20</v>
      </c>
      <c r="I1268" s="491">
        <f t="shared" si="187"/>
        <v>20</v>
      </c>
      <c r="J1268" s="492">
        <v>15</v>
      </c>
      <c r="K1268" s="492">
        <f t="shared" ref="K1267:K1274" si="190">I1268*J1268</f>
        <v>300</v>
      </c>
    </row>
    <row r="1269" s="456" customFormat="1" spans="1:14">
      <c r="A1269" s="488">
        <v>45914</v>
      </c>
      <c r="B1269" s="489" t="s">
        <v>372</v>
      </c>
      <c r="C1269" s="490">
        <v>45913</v>
      </c>
      <c r="D1269" s="491"/>
      <c r="E1269" s="491"/>
      <c r="F1269" s="493" t="s">
        <v>152</v>
      </c>
      <c r="G1269" s="491">
        <v>1</v>
      </c>
      <c r="H1269" s="431">
        <v>73</v>
      </c>
      <c r="I1269" s="491">
        <f t="shared" si="187"/>
        <v>73</v>
      </c>
      <c r="J1269" s="492">
        <v>6.5</v>
      </c>
      <c r="K1269" s="492">
        <f t="shared" si="190"/>
        <v>474.5</v>
      </c>
      <c r="M1269" s="537"/>
    </row>
    <row r="1270" s="456" customFormat="1" spans="1:14">
      <c r="A1270" s="488">
        <v>45914</v>
      </c>
      <c r="B1270" s="489" t="s">
        <v>372</v>
      </c>
      <c r="C1270" s="490">
        <v>45913</v>
      </c>
      <c r="D1270" s="491"/>
      <c r="E1270" s="491"/>
      <c r="F1270" s="493" t="s">
        <v>125</v>
      </c>
      <c r="G1270" s="491">
        <v>1</v>
      </c>
      <c r="H1270" s="431">
        <v>64</v>
      </c>
      <c r="I1270" s="491">
        <f t="shared" si="187"/>
        <v>64</v>
      </c>
      <c r="J1270" s="492">
        <v>5.5</v>
      </c>
      <c r="K1270" s="492">
        <f t="shared" si="190"/>
        <v>352</v>
      </c>
    </row>
    <row r="1271" s="456" customFormat="1" spans="1:14">
      <c r="A1271" s="488">
        <v>45914</v>
      </c>
      <c r="B1271" s="489" t="s">
        <v>372</v>
      </c>
      <c r="C1271" s="490">
        <v>45913</v>
      </c>
      <c r="D1271" s="491"/>
      <c r="E1271" s="491"/>
      <c r="F1271" s="493" t="s">
        <v>389</v>
      </c>
      <c r="G1271" s="491">
        <v>1</v>
      </c>
      <c r="H1271" s="431">
        <f>SUM(H1267:H1270)</f>
        <v>160</v>
      </c>
      <c r="I1271" s="491">
        <f t="shared" si="187"/>
        <v>160</v>
      </c>
      <c r="J1271" s="492">
        <v>1</v>
      </c>
      <c r="K1271" s="492">
        <f t="shared" si="190"/>
        <v>160</v>
      </c>
    </row>
    <row r="1272" s="456" customFormat="1" spans="1:14">
      <c r="A1272" s="488">
        <v>45914</v>
      </c>
      <c r="B1272" s="489" t="s">
        <v>372</v>
      </c>
      <c r="C1272" s="490">
        <v>45913</v>
      </c>
      <c r="D1272" s="491"/>
      <c r="E1272" s="491"/>
      <c r="F1272" s="498" t="s">
        <v>796</v>
      </c>
      <c r="G1272" s="491">
        <v>220</v>
      </c>
      <c r="H1272" s="431">
        <v>1</v>
      </c>
      <c r="I1272" s="491">
        <f t="shared" si="187"/>
        <v>220</v>
      </c>
      <c r="J1272" s="492">
        <v>0.15</v>
      </c>
      <c r="K1272" s="492">
        <f t="shared" si="190"/>
        <v>33</v>
      </c>
    </row>
    <row r="1273" s="456" customFormat="1" spans="1:14">
      <c r="A1273" s="488">
        <v>45914</v>
      </c>
      <c r="B1273" s="489" t="s">
        <v>372</v>
      </c>
      <c r="C1273" s="490">
        <v>45914</v>
      </c>
      <c r="D1273" s="491"/>
      <c r="E1273" s="491"/>
      <c r="F1273" s="498" t="s">
        <v>797</v>
      </c>
      <c r="G1273" s="491">
        <v>2</v>
      </c>
      <c r="H1273" s="431">
        <v>10</v>
      </c>
      <c r="I1273" s="491">
        <f t="shared" si="187"/>
        <v>20</v>
      </c>
      <c r="J1273" s="492">
        <v>15</v>
      </c>
      <c r="K1273" s="492">
        <f t="shared" si="190"/>
        <v>300</v>
      </c>
      <c r="L1273" s="456">
        <f>SUM(K1266:K1273)</f>
        <v>959.5</v>
      </c>
    </row>
    <row r="1274" s="457" customFormat="1" spans="1:14">
      <c r="A1274" s="494">
        <v>45922</v>
      </c>
      <c r="B1274" s="442" t="s">
        <v>309</v>
      </c>
      <c r="C1274" s="519">
        <v>45920</v>
      </c>
      <c r="D1274" s="520"/>
      <c r="E1274" s="520"/>
      <c r="F1274" s="498" t="s">
        <v>781</v>
      </c>
      <c r="G1274" s="463">
        <v>2</v>
      </c>
      <c r="H1274" s="432">
        <v>10</v>
      </c>
      <c r="I1274" s="463">
        <f t="shared" si="187"/>
        <v>20</v>
      </c>
      <c r="J1274" s="497">
        <v>17</v>
      </c>
      <c r="K1274" s="497">
        <f t="shared" si="190"/>
        <v>340</v>
      </c>
    </row>
    <row r="1275" s="457" customFormat="1" spans="1:14">
      <c r="A1275" s="494">
        <v>45922</v>
      </c>
      <c r="B1275" s="442" t="s">
        <v>309</v>
      </c>
      <c r="C1275" s="495">
        <v>45922</v>
      </c>
      <c r="D1275" s="463"/>
      <c r="E1275" s="463"/>
      <c r="F1275" s="496" t="s">
        <v>16</v>
      </c>
      <c r="G1275" s="463">
        <v>1</v>
      </c>
      <c r="H1275" s="432">
        <v>48</v>
      </c>
      <c r="I1275" s="463">
        <f t="shared" si="187"/>
        <v>48</v>
      </c>
      <c r="J1275" s="497">
        <v>13.5</v>
      </c>
      <c r="K1275" s="497"/>
    </row>
    <row r="1276" s="457" customFormat="1" spans="1:14">
      <c r="A1276" s="494">
        <v>45922</v>
      </c>
      <c r="B1276" s="442" t="s">
        <v>309</v>
      </c>
      <c r="C1276" s="495">
        <v>45922</v>
      </c>
      <c r="D1276" s="463"/>
      <c r="E1276" s="463"/>
      <c r="F1276" s="496" t="s">
        <v>766</v>
      </c>
      <c r="G1276" s="463">
        <v>1</v>
      </c>
      <c r="H1276" s="432">
        <v>150</v>
      </c>
      <c r="I1276" s="463">
        <f t="shared" si="187"/>
        <v>150</v>
      </c>
      <c r="J1276" s="497">
        <v>14.2</v>
      </c>
      <c r="K1276" s="497"/>
    </row>
    <row r="1277" s="457" customFormat="1" spans="1:14">
      <c r="A1277" s="494">
        <v>45922</v>
      </c>
      <c r="B1277" s="442" t="s">
        <v>309</v>
      </c>
      <c r="C1277" s="495">
        <v>45922</v>
      </c>
      <c r="D1277" s="463"/>
      <c r="E1277" s="463"/>
      <c r="F1277" s="496">
        <v>808</v>
      </c>
      <c r="G1277" s="463">
        <v>1</v>
      </c>
      <c r="H1277" s="432">
        <v>30</v>
      </c>
      <c r="I1277" s="463">
        <f t="shared" si="187"/>
        <v>30</v>
      </c>
      <c r="J1277" s="497">
        <v>7.6</v>
      </c>
      <c r="K1277" s="497">
        <f t="shared" ref="K1277:K1279" si="191">I1277*J1277</f>
        <v>228</v>
      </c>
    </row>
    <row r="1278" s="457" customFormat="1" spans="1:14">
      <c r="A1278" s="494">
        <v>45922</v>
      </c>
      <c r="B1278" s="442" t="s">
        <v>309</v>
      </c>
      <c r="C1278" s="495">
        <v>45922</v>
      </c>
      <c r="D1278" s="463"/>
      <c r="E1278" s="463"/>
      <c r="F1278" s="496" t="s">
        <v>12</v>
      </c>
      <c r="G1278" s="463">
        <v>1</v>
      </c>
      <c r="H1278" s="432">
        <v>30</v>
      </c>
      <c r="I1278" s="463">
        <f t="shared" si="187"/>
        <v>30</v>
      </c>
      <c r="J1278" s="497">
        <v>6.4</v>
      </c>
      <c r="K1278" s="497">
        <f t="shared" si="191"/>
        <v>192</v>
      </c>
      <c r="M1278" s="554"/>
    </row>
    <row r="1279" s="457" customFormat="1" spans="1:14">
      <c r="A1279" s="494">
        <v>45922</v>
      </c>
      <c r="B1279" s="442" t="s">
        <v>309</v>
      </c>
      <c r="C1279" s="495">
        <v>45922</v>
      </c>
      <c r="D1279" s="463"/>
      <c r="E1279" s="463"/>
      <c r="F1279" s="496" t="s">
        <v>456</v>
      </c>
      <c r="G1279" s="463">
        <v>1</v>
      </c>
      <c r="H1279" s="432">
        <f>SUM(H1275:H1278)</f>
        <v>258</v>
      </c>
      <c r="I1279" s="463">
        <f t="shared" si="187"/>
        <v>258</v>
      </c>
      <c r="J1279" s="497">
        <v>3</v>
      </c>
      <c r="K1279" s="497">
        <f t="shared" si="191"/>
        <v>774</v>
      </c>
      <c r="L1279" s="457">
        <f>SUM(K1274:K1279)</f>
        <v>1534</v>
      </c>
    </row>
    <row r="1280" s="456" customFormat="1" spans="1:14">
      <c r="A1280" s="488">
        <v>45923</v>
      </c>
      <c r="B1280" s="489" t="s">
        <v>312</v>
      </c>
      <c r="C1280" s="490">
        <v>45923</v>
      </c>
      <c r="D1280" s="491"/>
      <c r="E1280" s="491"/>
      <c r="F1280" s="493" t="s">
        <v>16</v>
      </c>
      <c r="G1280" s="491">
        <v>1</v>
      </c>
      <c r="H1280" s="431">
        <v>36</v>
      </c>
      <c r="I1280" s="491">
        <f t="shared" si="187"/>
        <v>36</v>
      </c>
      <c r="J1280" s="492"/>
      <c r="K1280" s="492"/>
    </row>
    <row r="1281" s="456" customFormat="1" spans="1:15">
      <c r="A1281" s="488">
        <v>45923</v>
      </c>
      <c r="B1281" s="489" t="s">
        <v>312</v>
      </c>
      <c r="C1281" s="490">
        <v>45923</v>
      </c>
      <c r="D1281" s="491"/>
      <c r="E1281" s="491"/>
      <c r="F1281" s="493" t="s">
        <v>667</v>
      </c>
      <c r="G1281" s="491">
        <v>1</v>
      </c>
      <c r="H1281" s="431">
        <v>30</v>
      </c>
      <c r="I1281" s="491">
        <f t="shared" si="187"/>
        <v>30</v>
      </c>
      <c r="J1281" s="492"/>
      <c r="K1281" s="492"/>
    </row>
    <row r="1282" s="456" customFormat="1" spans="1:15">
      <c r="A1282" s="488">
        <v>45923</v>
      </c>
      <c r="B1282" s="489" t="s">
        <v>312</v>
      </c>
      <c r="C1282" s="490">
        <v>45923</v>
      </c>
      <c r="D1282" s="491"/>
      <c r="E1282" s="491"/>
      <c r="F1282" s="493" t="s">
        <v>798</v>
      </c>
      <c r="G1282" s="491">
        <v>1</v>
      </c>
      <c r="H1282" s="431">
        <v>56</v>
      </c>
      <c r="I1282" s="491">
        <f t="shared" si="187"/>
        <v>56</v>
      </c>
      <c r="J1282" s="492"/>
      <c r="K1282" s="492"/>
      <c r="L1282" s="548"/>
      <c r="M1282" s="536"/>
      <c r="N1282" s="536"/>
    </row>
    <row r="1283" s="456" customFormat="1" spans="1:15">
      <c r="A1283" s="488">
        <v>45923</v>
      </c>
      <c r="B1283" s="489" t="s">
        <v>312</v>
      </c>
      <c r="C1283" s="490">
        <v>45923</v>
      </c>
      <c r="D1283" s="491"/>
      <c r="E1283" s="491"/>
      <c r="F1283" s="493" t="s">
        <v>546</v>
      </c>
      <c r="G1283" s="491">
        <v>1</v>
      </c>
      <c r="H1283" s="431">
        <v>14</v>
      </c>
      <c r="I1283" s="491">
        <f t="shared" ref="I1283:I1330" si="192">G1283*H1283</f>
        <v>14</v>
      </c>
      <c r="J1283" s="492"/>
      <c r="K1283" s="492"/>
      <c r="L1283" s="537" t="s">
        <v>116</v>
      </c>
      <c r="M1283" s="536"/>
      <c r="N1283" s="536"/>
    </row>
    <row r="1284" s="456" customFormat="1" spans="1:15">
      <c r="A1284" s="488">
        <v>45923</v>
      </c>
      <c r="B1284" s="489" t="s">
        <v>312</v>
      </c>
      <c r="C1284" s="490">
        <v>45923</v>
      </c>
      <c r="D1284" s="491"/>
      <c r="E1284" s="491"/>
      <c r="F1284" s="493">
        <v>808</v>
      </c>
      <c r="G1284" s="491">
        <v>1</v>
      </c>
      <c r="H1284" s="431">
        <v>28</v>
      </c>
      <c r="I1284" s="491">
        <f t="shared" si="192"/>
        <v>28</v>
      </c>
      <c r="J1284" s="492">
        <v>7.6</v>
      </c>
      <c r="K1284" s="492">
        <f t="shared" ref="K1284:K1287" si="193">I1284*J1284</f>
        <v>212.8</v>
      </c>
      <c r="L1284" s="536"/>
      <c r="M1284" s="536"/>
      <c r="N1284" s="536"/>
    </row>
    <row r="1285" s="456" customFormat="1" spans="1:15">
      <c r="A1285" s="488">
        <v>45923</v>
      </c>
      <c r="B1285" s="489" t="s">
        <v>312</v>
      </c>
      <c r="C1285" s="490">
        <v>45923</v>
      </c>
      <c r="D1285" s="491"/>
      <c r="E1285" s="491"/>
      <c r="F1285" s="493" t="s">
        <v>240</v>
      </c>
      <c r="G1285" s="491">
        <v>1</v>
      </c>
      <c r="H1285" s="431">
        <v>20</v>
      </c>
      <c r="I1285" s="491">
        <f t="shared" si="192"/>
        <v>20</v>
      </c>
      <c r="J1285" s="492"/>
      <c r="K1285" s="492"/>
      <c r="L1285" s="536"/>
      <c r="M1285" s="536"/>
      <c r="N1285" s="536"/>
    </row>
    <row r="1286" s="456" customFormat="1" spans="1:15">
      <c r="A1286" s="488">
        <v>45923</v>
      </c>
      <c r="B1286" s="489" t="s">
        <v>312</v>
      </c>
      <c r="C1286" s="490">
        <v>45923</v>
      </c>
      <c r="D1286" s="491"/>
      <c r="E1286" s="491"/>
      <c r="F1286" s="493" t="s">
        <v>125</v>
      </c>
      <c r="G1286" s="491">
        <v>1</v>
      </c>
      <c r="H1286" s="431">
        <v>16</v>
      </c>
      <c r="I1286" s="491">
        <f t="shared" si="192"/>
        <v>16</v>
      </c>
      <c r="J1286" s="492">
        <v>5.5</v>
      </c>
      <c r="K1286" s="492">
        <f t="shared" si="193"/>
        <v>88</v>
      </c>
      <c r="L1286" s="536"/>
      <c r="N1286" s="536"/>
    </row>
    <row r="1287" s="456" customFormat="1" spans="1:15">
      <c r="A1287" s="488">
        <v>45923</v>
      </c>
      <c r="B1287" s="489" t="s">
        <v>312</v>
      </c>
      <c r="C1287" s="490">
        <v>45923</v>
      </c>
      <c r="D1287" s="491"/>
      <c r="E1287" s="491"/>
      <c r="F1287" s="493" t="s">
        <v>669</v>
      </c>
      <c r="G1287" s="491">
        <v>1</v>
      </c>
      <c r="H1287" s="431">
        <f>SUM(H1280:H1286)</f>
        <v>200</v>
      </c>
      <c r="I1287" s="491">
        <f t="shared" si="192"/>
        <v>200</v>
      </c>
      <c r="J1287" s="492">
        <v>1</v>
      </c>
      <c r="K1287" s="492">
        <f t="shared" si="193"/>
        <v>200</v>
      </c>
      <c r="L1287" s="536">
        <f>SUM(K1280:K1287)</f>
        <v>500.8</v>
      </c>
      <c r="M1287" s="536"/>
      <c r="N1287" s="536"/>
    </row>
    <row r="1288" s="457" customFormat="1" spans="1:15">
      <c r="A1288" s="494">
        <v>45923</v>
      </c>
      <c r="B1288" s="442" t="s">
        <v>192</v>
      </c>
      <c r="C1288" s="495">
        <v>45923</v>
      </c>
      <c r="D1288" s="463"/>
      <c r="E1288" s="463"/>
      <c r="F1288" s="496" t="s">
        <v>16</v>
      </c>
      <c r="G1288" s="463">
        <v>1</v>
      </c>
      <c r="H1288" s="432">
        <v>30</v>
      </c>
      <c r="I1288" s="463">
        <f t="shared" si="192"/>
        <v>30</v>
      </c>
      <c r="J1288" s="497"/>
      <c r="K1288" s="497"/>
    </row>
    <row r="1289" s="457" customFormat="1" spans="1:15">
      <c r="A1289" s="494">
        <v>45923</v>
      </c>
      <c r="B1289" s="442" t="s">
        <v>192</v>
      </c>
      <c r="C1289" s="495">
        <v>45923</v>
      </c>
      <c r="D1289" s="463"/>
      <c r="E1289" s="463"/>
      <c r="F1289" s="496" t="s">
        <v>667</v>
      </c>
      <c r="G1289" s="463">
        <v>1</v>
      </c>
      <c r="H1289" s="432">
        <v>36</v>
      </c>
      <c r="I1289" s="463">
        <f t="shared" si="192"/>
        <v>36</v>
      </c>
      <c r="J1289" s="497"/>
      <c r="K1289" s="497"/>
    </row>
    <row r="1290" s="457" customFormat="1" spans="1:15">
      <c r="A1290" s="494">
        <v>45923</v>
      </c>
      <c r="B1290" s="442" t="s">
        <v>192</v>
      </c>
      <c r="C1290" s="495">
        <v>45923</v>
      </c>
      <c r="D1290" s="463"/>
      <c r="E1290" s="463"/>
      <c r="F1290" s="496" t="s">
        <v>798</v>
      </c>
      <c r="G1290" s="463">
        <v>1</v>
      </c>
      <c r="H1290" s="432">
        <v>20</v>
      </c>
      <c r="I1290" s="463">
        <f t="shared" si="192"/>
        <v>20</v>
      </c>
      <c r="J1290" s="497"/>
      <c r="K1290" s="497"/>
      <c r="L1290" s="578"/>
      <c r="M1290" s="537"/>
      <c r="N1290" s="537"/>
    </row>
    <row r="1291" s="457" customFormat="1" spans="1:15">
      <c r="A1291" s="494">
        <v>45923</v>
      </c>
      <c r="B1291" s="442" t="s">
        <v>192</v>
      </c>
      <c r="C1291" s="495">
        <v>45923</v>
      </c>
      <c r="D1291" s="463"/>
      <c r="E1291" s="463"/>
      <c r="F1291" s="496" t="s">
        <v>546</v>
      </c>
      <c r="G1291" s="463">
        <v>1</v>
      </c>
      <c r="H1291" s="432">
        <v>36</v>
      </c>
      <c r="I1291" s="463">
        <f t="shared" si="192"/>
        <v>36</v>
      </c>
      <c r="J1291" s="497"/>
      <c r="K1291" s="497"/>
      <c r="L1291" s="578"/>
      <c r="M1291" s="537"/>
      <c r="N1291" s="537"/>
    </row>
    <row r="1292" s="457" customFormat="1" spans="1:15">
      <c r="A1292" s="494">
        <v>45923</v>
      </c>
      <c r="B1292" s="442" t="s">
        <v>192</v>
      </c>
      <c r="C1292" s="495">
        <v>45923</v>
      </c>
      <c r="D1292" s="463"/>
      <c r="E1292" s="463"/>
      <c r="F1292" s="496" t="s">
        <v>125</v>
      </c>
      <c r="G1292" s="463">
        <v>1</v>
      </c>
      <c r="H1292" s="432">
        <v>40</v>
      </c>
      <c r="I1292" s="463">
        <f t="shared" si="192"/>
        <v>40</v>
      </c>
      <c r="J1292" s="497">
        <v>5.5</v>
      </c>
      <c r="K1292" s="497">
        <f t="shared" ref="K1292:K1300" si="194">I1292*J1292</f>
        <v>220</v>
      </c>
      <c r="L1292" s="537" t="s">
        <v>116</v>
      </c>
      <c r="M1292" s="537"/>
      <c r="N1292" s="537"/>
      <c r="O1292" s="456"/>
    </row>
    <row r="1293" s="457" customFormat="1" spans="1:15">
      <c r="A1293" s="494">
        <v>45923</v>
      </c>
      <c r="B1293" s="442" t="s">
        <v>192</v>
      </c>
      <c r="C1293" s="495">
        <v>45923</v>
      </c>
      <c r="D1293" s="463"/>
      <c r="E1293" s="463"/>
      <c r="F1293" s="496" t="s">
        <v>208</v>
      </c>
      <c r="G1293" s="463">
        <v>1</v>
      </c>
      <c r="H1293" s="432">
        <v>6</v>
      </c>
      <c r="I1293" s="463">
        <f t="shared" si="192"/>
        <v>6</v>
      </c>
      <c r="J1293" s="497">
        <v>17</v>
      </c>
      <c r="K1293" s="497">
        <f t="shared" si="194"/>
        <v>102</v>
      </c>
      <c r="L1293" s="537"/>
      <c r="M1293" s="537"/>
      <c r="N1293" s="537"/>
    </row>
    <row r="1294" s="457" customFormat="1" spans="1:15">
      <c r="A1294" s="494">
        <v>45923</v>
      </c>
      <c r="B1294" s="442" t="s">
        <v>192</v>
      </c>
      <c r="C1294" s="495">
        <v>45923</v>
      </c>
      <c r="D1294" s="463"/>
      <c r="E1294" s="463"/>
      <c r="F1294" s="496" t="s">
        <v>132</v>
      </c>
      <c r="G1294" s="463">
        <v>1</v>
      </c>
      <c r="H1294" s="432">
        <v>31.6</v>
      </c>
      <c r="I1294" s="463">
        <f t="shared" si="192"/>
        <v>31.6</v>
      </c>
      <c r="J1294" s="497">
        <v>3.3</v>
      </c>
      <c r="K1294" s="497">
        <f t="shared" si="194"/>
        <v>104.28</v>
      </c>
      <c r="L1294" s="537"/>
      <c r="M1294" s="537"/>
      <c r="N1294" s="537"/>
    </row>
    <row r="1295" s="457" customFormat="1" spans="1:15">
      <c r="A1295" s="494">
        <v>45923</v>
      </c>
      <c r="B1295" s="442" t="s">
        <v>192</v>
      </c>
      <c r="C1295" s="495">
        <v>45923</v>
      </c>
      <c r="D1295" s="463"/>
      <c r="E1295" s="463"/>
      <c r="F1295" s="496" t="s">
        <v>799</v>
      </c>
      <c r="G1295" s="463">
        <v>1</v>
      </c>
      <c r="H1295" s="432">
        <v>0.4</v>
      </c>
      <c r="I1295" s="463">
        <f t="shared" si="192"/>
        <v>0.4</v>
      </c>
      <c r="J1295" s="497">
        <v>25</v>
      </c>
      <c r="K1295" s="497">
        <f t="shared" si="194"/>
        <v>10</v>
      </c>
      <c r="L1295" s="537"/>
      <c r="M1295" s="536"/>
      <c r="N1295" s="537"/>
    </row>
    <row r="1296" s="457" customFormat="1" spans="1:15">
      <c r="A1296" s="494">
        <v>45923</v>
      </c>
      <c r="B1296" s="442" t="s">
        <v>192</v>
      </c>
      <c r="C1296" s="495">
        <v>45923</v>
      </c>
      <c r="D1296" s="463"/>
      <c r="E1296" s="463"/>
      <c r="F1296" s="496" t="s">
        <v>800</v>
      </c>
      <c r="G1296" s="463">
        <v>1</v>
      </c>
      <c r="H1296" s="432">
        <f>SUM(H1288:H1295)</f>
        <v>200</v>
      </c>
      <c r="I1296" s="463">
        <f t="shared" si="192"/>
        <v>200</v>
      </c>
      <c r="J1296" s="497">
        <v>1</v>
      </c>
      <c r="K1296" s="497">
        <f t="shared" si="194"/>
        <v>200</v>
      </c>
      <c r="L1296" s="537">
        <f>SUM(K1288:K1297)</f>
        <v>650.08</v>
      </c>
      <c r="M1296" s="537"/>
      <c r="N1296" s="537"/>
    </row>
    <row r="1297" s="456" customFormat="1" spans="1:14">
      <c r="A1297" s="494">
        <v>45923</v>
      </c>
      <c r="B1297" s="442" t="s">
        <v>192</v>
      </c>
      <c r="C1297" s="495">
        <v>45923</v>
      </c>
      <c r="D1297" s="463"/>
      <c r="E1297" s="463"/>
      <c r="F1297" s="498" t="s">
        <v>796</v>
      </c>
      <c r="G1297" s="520">
        <v>92</v>
      </c>
      <c r="H1297" s="432">
        <v>1</v>
      </c>
      <c r="I1297" s="463">
        <f t="shared" si="192"/>
        <v>92</v>
      </c>
      <c r="J1297" s="497">
        <v>0.15</v>
      </c>
      <c r="K1297" s="497">
        <f t="shared" si="194"/>
        <v>13.8</v>
      </c>
    </row>
    <row r="1298" s="456" customFormat="1" spans="1:14">
      <c r="A1298" s="488">
        <v>45925</v>
      </c>
      <c r="B1298" s="489" t="s">
        <v>334</v>
      </c>
      <c r="C1298" s="490">
        <v>45924</v>
      </c>
      <c r="D1298" s="491"/>
      <c r="E1298" s="491"/>
      <c r="F1298" s="493">
        <v>808</v>
      </c>
      <c r="G1298" s="491">
        <v>1</v>
      </c>
      <c r="H1298" s="431">
        <v>150</v>
      </c>
      <c r="I1298" s="491">
        <f t="shared" si="192"/>
        <v>150</v>
      </c>
      <c r="J1298" s="492">
        <v>7.6</v>
      </c>
      <c r="K1298" s="492">
        <f t="shared" si="194"/>
        <v>1140</v>
      </c>
    </row>
    <row r="1299" s="456" customFormat="1" spans="1:14">
      <c r="A1299" s="488">
        <v>45925</v>
      </c>
      <c r="B1299" s="489" t="s">
        <v>334</v>
      </c>
      <c r="C1299" s="490">
        <v>45924</v>
      </c>
      <c r="D1299" s="491"/>
      <c r="E1299" s="491"/>
      <c r="F1299" s="493" t="s">
        <v>12</v>
      </c>
      <c r="G1299" s="491">
        <v>1</v>
      </c>
      <c r="H1299" s="431">
        <v>130</v>
      </c>
      <c r="I1299" s="491">
        <f t="shared" si="192"/>
        <v>130</v>
      </c>
      <c r="J1299" s="492">
        <v>6.4</v>
      </c>
      <c r="K1299" s="492">
        <f t="shared" si="194"/>
        <v>832</v>
      </c>
    </row>
    <row r="1300" s="456" customFormat="1" spans="1:14">
      <c r="A1300" s="488">
        <v>45925</v>
      </c>
      <c r="B1300" s="489" t="s">
        <v>334</v>
      </c>
      <c r="C1300" s="490">
        <v>45924</v>
      </c>
      <c r="D1300" s="491"/>
      <c r="E1300" s="491"/>
      <c r="F1300" s="493" t="s">
        <v>152</v>
      </c>
      <c r="G1300" s="491">
        <v>1</v>
      </c>
      <c r="H1300" s="431">
        <v>100</v>
      </c>
      <c r="I1300" s="491">
        <f t="shared" si="192"/>
        <v>100</v>
      </c>
      <c r="J1300" s="492">
        <v>6.5</v>
      </c>
      <c r="K1300" s="492">
        <f t="shared" si="194"/>
        <v>650</v>
      </c>
    </row>
    <row r="1301" s="456" customFormat="1" spans="1:14">
      <c r="A1301" s="488">
        <v>45925</v>
      </c>
      <c r="B1301" s="489" t="s">
        <v>334</v>
      </c>
      <c r="C1301" s="490">
        <v>45924</v>
      </c>
      <c r="D1301" s="491"/>
      <c r="E1301" s="491"/>
      <c r="F1301" s="493" t="s">
        <v>709</v>
      </c>
      <c r="G1301" s="491">
        <v>1</v>
      </c>
      <c r="H1301" s="431">
        <v>120</v>
      </c>
      <c r="I1301" s="491">
        <f t="shared" si="192"/>
        <v>120</v>
      </c>
      <c r="J1301" s="492"/>
      <c r="K1301" s="492"/>
      <c r="L1301" s="456" t="s">
        <v>126</v>
      </c>
    </row>
    <row r="1302" s="456" customFormat="1" spans="1:14">
      <c r="A1302" s="488">
        <v>45925</v>
      </c>
      <c r="B1302" s="489" t="s">
        <v>334</v>
      </c>
      <c r="C1302" s="490">
        <v>45924</v>
      </c>
      <c r="D1302" s="491"/>
      <c r="E1302" s="491"/>
      <c r="F1302" s="493" t="s">
        <v>710</v>
      </c>
      <c r="G1302" s="491">
        <v>1</v>
      </c>
      <c r="H1302" s="431">
        <v>145</v>
      </c>
      <c r="I1302" s="491">
        <f t="shared" si="192"/>
        <v>145</v>
      </c>
      <c r="J1302" s="492"/>
      <c r="K1302" s="492"/>
    </row>
    <row r="1303" s="456" customFormat="1" spans="1:14">
      <c r="A1303" s="488">
        <v>45925</v>
      </c>
      <c r="B1303" s="489" t="s">
        <v>334</v>
      </c>
      <c r="C1303" s="490">
        <v>45924</v>
      </c>
      <c r="D1303" s="491"/>
      <c r="E1303" s="491"/>
      <c r="F1303" s="493" t="s">
        <v>782</v>
      </c>
      <c r="G1303" s="491">
        <v>1</v>
      </c>
      <c r="H1303" s="431">
        <v>103</v>
      </c>
      <c r="I1303" s="491">
        <f t="shared" si="192"/>
        <v>103</v>
      </c>
      <c r="J1303" s="492"/>
      <c r="K1303" s="492"/>
      <c r="N1303" s="456">
        <f>SUBTOTAL(9,K1017:K1358)</f>
        <v>226932</v>
      </c>
    </row>
    <row r="1304" s="456" customFormat="1" spans="1:14">
      <c r="A1304" s="488">
        <v>45925</v>
      </c>
      <c r="B1304" s="489" t="s">
        <v>334</v>
      </c>
      <c r="C1304" s="490">
        <v>45924</v>
      </c>
      <c r="D1304" s="491"/>
      <c r="E1304" s="491"/>
      <c r="F1304" s="493" t="s">
        <v>191</v>
      </c>
      <c r="G1304" s="491">
        <v>1</v>
      </c>
      <c r="H1304" s="431">
        <v>30</v>
      </c>
      <c r="I1304" s="491">
        <f t="shared" si="192"/>
        <v>30</v>
      </c>
      <c r="J1304" s="492">
        <v>17</v>
      </c>
      <c r="K1304" s="492">
        <f>I1304*J1304</f>
        <v>510</v>
      </c>
    </row>
    <row r="1305" s="456" customFormat="1" spans="1:14">
      <c r="A1305" s="488">
        <v>45925</v>
      </c>
      <c r="B1305" s="489" t="s">
        <v>334</v>
      </c>
      <c r="C1305" s="490">
        <v>45924</v>
      </c>
      <c r="D1305" s="491"/>
      <c r="E1305" s="491"/>
      <c r="F1305" s="493" t="s">
        <v>791</v>
      </c>
      <c r="G1305" s="491">
        <v>1</v>
      </c>
      <c r="H1305" s="431">
        <v>3</v>
      </c>
      <c r="I1305" s="491">
        <f t="shared" si="192"/>
        <v>3</v>
      </c>
      <c r="J1305" s="492">
        <v>25</v>
      </c>
      <c r="K1305" s="492">
        <f>I1305*J1305</f>
        <v>75</v>
      </c>
      <c r="M1305" s="536"/>
    </row>
    <row r="1306" s="456" customFormat="1" spans="1:14">
      <c r="A1306" s="488">
        <v>45925</v>
      </c>
      <c r="B1306" s="489" t="s">
        <v>334</v>
      </c>
      <c r="C1306" s="490">
        <v>45924</v>
      </c>
      <c r="D1306" s="491"/>
      <c r="E1306" s="491"/>
      <c r="F1306" s="493" t="s">
        <v>801</v>
      </c>
      <c r="G1306" s="491">
        <v>1</v>
      </c>
      <c r="H1306" s="431">
        <v>150</v>
      </c>
      <c r="I1306" s="491">
        <f t="shared" si="192"/>
        <v>150</v>
      </c>
      <c r="J1306" s="492"/>
      <c r="K1306" s="492"/>
    </row>
    <row r="1307" s="456" customFormat="1" spans="1:14">
      <c r="A1307" s="488">
        <v>45925</v>
      </c>
      <c r="B1307" s="489" t="s">
        <v>334</v>
      </c>
      <c r="C1307" s="490">
        <v>45924</v>
      </c>
      <c r="D1307" s="491"/>
      <c r="E1307" s="491"/>
      <c r="F1307" s="493" t="s">
        <v>132</v>
      </c>
      <c r="G1307" s="491">
        <v>1</v>
      </c>
      <c r="H1307" s="431">
        <v>75</v>
      </c>
      <c r="I1307" s="491">
        <f t="shared" si="192"/>
        <v>75</v>
      </c>
      <c r="J1307" s="492">
        <v>3.3</v>
      </c>
      <c r="K1307" s="492">
        <f>I1307*J1307</f>
        <v>247.5</v>
      </c>
      <c r="L1307" s="456" t="s">
        <v>802</v>
      </c>
    </row>
    <row r="1308" s="456" customFormat="1" spans="1:14">
      <c r="A1308" s="488">
        <v>45925</v>
      </c>
      <c r="B1308" s="489" t="s">
        <v>334</v>
      </c>
      <c r="C1308" s="490">
        <v>45924</v>
      </c>
      <c r="D1308" s="491"/>
      <c r="E1308" s="491"/>
      <c r="F1308" s="493" t="s">
        <v>304</v>
      </c>
      <c r="G1308" s="491">
        <v>1</v>
      </c>
      <c r="H1308" s="431">
        <f>SUM(H1298:H1307)</f>
        <v>1006</v>
      </c>
      <c r="I1308" s="491">
        <f t="shared" si="192"/>
        <v>1006</v>
      </c>
      <c r="J1308" s="492">
        <v>1</v>
      </c>
      <c r="K1308" s="492">
        <f>I1308*J1308</f>
        <v>1006</v>
      </c>
      <c r="L1308" s="456">
        <f>SUM(K1298:K1310)</f>
        <v>4596.5</v>
      </c>
    </row>
    <row r="1309" s="456" customFormat="1" spans="1:14">
      <c r="A1309" s="488">
        <v>45925</v>
      </c>
      <c r="B1309" s="489" t="s">
        <v>334</v>
      </c>
      <c r="C1309" s="490">
        <v>45924</v>
      </c>
      <c r="D1309" s="491"/>
      <c r="E1309" s="491"/>
      <c r="F1309" s="493" t="s">
        <v>803</v>
      </c>
      <c r="G1309" s="491">
        <v>10</v>
      </c>
      <c r="H1309" s="431">
        <v>1</v>
      </c>
      <c r="I1309" s="491">
        <f t="shared" si="192"/>
        <v>10</v>
      </c>
      <c r="J1309" s="492">
        <v>12.5</v>
      </c>
      <c r="K1309" s="492">
        <f>I1309*J1309</f>
        <v>125</v>
      </c>
    </row>
    <row r="1310" s="456" customFormat="1" spans="1:14">
      <c r="A1310" s="488">
        <v>45925</v>
      </c>
      <c r="B1310" s="489" t="s">
        <v>334</v>
      </c>
      <c r="C1310" s="490">
        <v>45924</v>
      </c>
      <c r="D1310" s="491"/>
      <c r="E1310" s="491"/>
      <c r="F1310" s="493" t="s">
        <v>804</v>
      </c>
      <c r="G1310" s="491">
        <v>2</v>
      </c>
      <c r="H1310" s="431">
        <v>1</v>
      </c>
      <c r="I1310" s="491">
        <f t="shared" si="192"/>
        <v>2</v>
      </c>
      <c r="J1310" s="492">
        <v>5.5</v>
      </c>
      <c r="K1310" s="492">
        <f>I1310*J1310</f>
        <v>11</v>
      </c>
    </row>
    <row r="1311" s="457" customFormat="1" spans="1:14">
      <c r="A1311" s="494">
        <v>45925</v>
      </c>
      <c r="B1311" s="442" t="s">
        <v>105</v>
      </c>
      <c r="C1311" s="495">
        <v>45925</v>
      </c>
      <c r="D1311" s="463"/>
      <c r="E1311" s="463"/>
      <c r="F1311" s="496" t="s">
        <v>16</v>
      </c>
      <c r="G1311" s="463">
        <v>1</v>
      </c>
      <c r="H1311" s="432">
        <v>50</v>
      </c>
      <c r="I1311" s="463">
        <f t="shared" si="192"/>
        <v>50</v>
      </c>
      <c r="J1311" s="497"/>
      <c r="K1311" s="497"/>
    </row>
    <row r="1312" s="457" customFormat="1" spans="1:14">
      <c r="A1312" s="494">
        <v>45925</v>
      </c>
      <c r="B1312" s="442" t="s">
        <v>105</v>
      </c>
      <c r="C1312" s="495">
        <v>45925</v>
      </c>
      <c r="D1312" s="463"/>
      <c r="E1312" s="463"/>
      <c r="F1312" s="496" t="s">
        <v>405</v>
      </c>
      <c r="G1312" s="463">
        <v>1</v>
      </c>
      <c r="H1312" s="432">
        <v>2</v>
      </c>
      <c r="I1312" s="463">
        <f t="shared" si="192"/>
        <v>2</v>
      </c>
      <c r="J1312" s="497"/>
      <c r="K1312" s="497"/>
    </row>
    <row r="1313" s="457" customFormat="1" spans="1:15">
      <c r="A1313" s="494">
        <v>45925</v>
      </c>
      <c r="B1313" s="442" t="s">
        <v>105</v>
      </c>
      <c r="C1313" s="495">
        <v>45925</v>
      </c>
      <c r="D1313" s="463"/>
      <c r="E1313" s="463"/>
      <c r="F1313" s="496" t="s">
        <v>733</v>
      </c>
      <c r="G1313" s="463">
        <v>1</v>
      </c>
      <c r="H1313" s="432">
        <v>25</v>
      </c>
      <c r="I1313" s="463">
        <f t="shared" si="192"/>
        <v>25</v>
      </c>
      <c r="J1313" s="497"/>
      <c r="K1313" s="497"/>
    </row>
    <row r="1314" s="457" customFormat="1" spans="1:15">
      <c r="A1314" s="494">
        <v>45925</v>
      </c>
      <c r="B1314" s="442" t="s">
        <v>105</v>
      </c>
      <c r="C1314" s="495">
        <v>45925</v>
      </c>
      <c r="D1314" s="463"/>
      <c r="E1314" s="463"/>
      <c r="F1314" s="496">
        <v>808</v>
      </c>
      <c r="G1314" s="463">
        <v>1</v>
      </c>
      <c r="H1314" s="432">
        <v>45</v>
      </c>
      <c r="I1314" s="463">
        <f t="shared" si="192"/>
        <v>45</v>
      </c>
      <c r="J1314" s="497">
        <v>7.6</v>
      </c>
      <c r="K1314" s="497">
        <f t="shared" ref="K1314:K1319" si="195">I1314*J1314</f>
        <v>342</v>
      </c>
    </row>
    <row r="1315" s="457" customFormat="1" spans="1:15">
      <c r="A1315" s="494">
        <v>45925</v>
      </c>
      <c r="B1315" s="442" t="s">
        <v>105</v>
      </c>
      <c r="C1315" s="495">
        <v>45925</v>
      </c>
      <c r="D1315" s="463"/>
      <c r="E1315" s="463"/>
      <c r="F1315" s="496" t="s">
        <v>125</v>
      </c>
      <c r="G1315" s="463">
        <v>1</v>
      </c>
      <c r="H1315" s="432">
        <v>50</v>
      </c>
      <c r="I1315" s="463">
        <f t="shared" si="192"/>
        <v>50</v>
      </c>
      <c r="J1315" s="497">
        <v>5.5</v>
      </c>
      <c r="K1315" s="497">
        <f t="shared" si="195"/>
        <v>275</v>
      </c>
      <c r="O1315" s="456"/>
    </row>
    <row r="1316" s="457" customFormat="1" spans="1:15">
      <c r="A1316" s="494">
        <v>45925</v>
      </c>
      <c r="B1316" s="442" t="s">
        <v>105</v>
      </c>
      <c r="C1316" s="495">
        <v>45925</v>
      </c>
      <c r="D1316" s="463"/>
      <c r="E1316" s="463"/>
      <c r="F1316" s="496" t="s">
        <v>412</v>
      </c>
      <c r="G1316" s="463">
        <v>1</v>
      </c>
      <c r="H1316" s="432">
        <f>SUM(H1311:H1315)</f>
        <v>172</v>
      </c>
      <c r="I1316" s="463">
        <f t="shared" si="192"/>
        <v>172</v>
      </c>
      <c r="J1316" s="533">
        <v>5</v>
      </c>
      <c r="K1316" s="497">
        <f t="shared" si="195"/>
        <v>860</v>
      </c>
      <c r="L1316" s="457">
        <f>SUM(K1313:K1316)</f>
        <v>1477</v>
      </c>
    </row>
    <row r="1317" s="456" customFormat="1" spans="1:15">
      <c r="A1317" s="488">
        <v>45926</v>
      </c>
      <c r="B1317" s="489" t="s">
        <v>107</v>
      </c>
      <c r="C1317" s="490">
        <v>45926</v>
      </c>
      <c r="D1317" s="491"/>
      <c r="E1317" s="491"/>
      <c r="F1317" s="493">
        <v>808</v>
      </c>
      <c r="G1317" s="491">
        <v>1</v>
      </c>
      <c r="H1317" s="431">
        <v>50</v>
      </c>
      <c r="I1317" s="491">
        <f t="shared" si="192"/>
        <v>50</v>
      </c>
      <c r="J1317" s="492">
        <v>7.6</v>
      </c>
      <c r="K1317" s="492">
        <f t="shared" si="195"/>
        <v>380</v>
      </c>
      <c r="L1317" s="456" t="s">
        <v>126</v>
      </c>
    </row>
    <row r="1318" s="456" customFormat="1" spans="1:15">
      <c r="A1318" s="488">
        <v>45926</v>
      </c>
      <c r="B1318" s="489" t="s">
        <v>107</v>
      </c>
      <c r="C1318" s="490">
        <v>45926</v>
      </c>
      <c r="D1318" s="491"/>
      <c r="E1318" s="491"/>
      <c r="F1318" s="493" t="s">
        <v>125</v>
      </c>
      <c r="G1318" s="491">
        <v>1</v>
      </c>
      <c r="H1318" s="431">
        <v>108</v>
      </c>
      <c r="I1318" s="491">
        <f t="shared" si="192"/>
        <v>108</v>
      </c>
      <c r="J1318" s="492">
        <v>5.5</v>
      </c>
      <c r="K1318" s="492">
        <f t="shared" si="195"/>
        <v>594</v>
      </c>
    </row>
    <row r="1319" s="456" customFormat="1" spans="1:15">
      <c r="A1319" s="488">
        <v>45926</v>
      </c>
      <c r="B1319" s="489" t="s">
        <v>107</v>
      </c>
      <c r="C1319" s="490">
        <v>45926</v>
      </c>
      <c r="D1319" s="491"/>
      <c r="E1319" s="491"/>
      <c r="F1319" s="493" t="s">
        <v>12</v>
      </c>
      <c r="G1319" s="491">
        <v>1</v>
      </c>
      <c r="H1319" s="431">
        <v>10</v>
      </c>
      <c r="I1319" s="491">
        <f t="shared" si="192"/>
        <v>10</v>
      </c>
      <c r="J1319" s="492">
        <v>6.4</v>
      </c>
      <c r="K1319" s="492">
        <f t="shared" si="195"/>
        <v>64</v>
      </c>
    </row>
    <row r="1320" s="456" customFormat="1" spans="1:15">
      <c r="A1320" s="488">
        <v>45926</v>
      </c>
      <c r="B1320" s="489" t="s">
        <v>107</v>
      </c>
      <c r="C1320" s="490">
        <v>45926</v>
      </c>
      <c r="D1320" s="491"/>
      <c r="E1320" s="491"/>
      <c r="F1320" s="493" t="s">
        <v>240</v>
      </c>
      <c r="G1320" s="491">
        <v>1</v>
      </c>
      <c r="H1320" s="431">
        <v>75</v>
      </c>
      <c r="I1320" s="491">
        <f t="shared" si="192"/>
        <v>75</v>
      </c>
      <c r="J1320" s="492"/>
      <c r="K1320" s="492"/>
      <c r="M1320" s="456" t="s">
        <v>678</v>
      </c>
    </row>
    <row r="1321" s="456" customFormat="1" spans="1:15">
      <c r="A1321" s="488">
        <v>45926</v>
      </c>
      <c r="B1321" s="489" t="s">
        <v>107</v>
      </c>
      <c r="C1321" s="490">
        <v>45926</v>
      </c>
      <c r="D1321" s="491"/>
      <c r="E1321" s="491"/>
      <c r="F1321" s="493" t="s">
        <v>16</v>
      </c>
      <c r="G1321" s="491">
        <v>1</v>
      </c>
      <c r="H1321" s="431">
        <v>75</v>
      </c>
      <c r="I1321" s="491">
        <f t="shared" si="192"/>
        <v>75</v>
      </c>
      <c r="J1321" s="492"/>
      <c r="K1321" s="492"/>
    </row>
    <row r="1322" s="456" customFormat="1" spans="1:15">
      <c r="A1322" s="488">
        <v>45926</v>
      </c>
      <c r="B1322" s="489" t="s">
        <v>107</v>
      </c>
      <c r="C1322" s="490">
        <v>45926</v>
      </c>
      <c r="D1322" s="491"/>
      <c r="E1322" s="491"/>
      <c r="F1322" s="493" t="s">
        <v>300</v>
      </c>
      <c r="G1322" s="491">
        <v>1</v>
      </c>
      <c r="H1322" s="431">
        <v>75</v>
      </c>
      <c r="I1322" s="491">
        <f t="shared" si="192"/>
        <v>75</v>
      </c>
      <c r="J1322" s="492"/>
      <c r="K1322" s="492"/>
    </row>
    <row r="1323" s="456" customFormat="1" spans="1:15">
      <c r="A1323" s="488">
        <v>45926</v>
      </c>
      <c r="B1323" s="489" t="s">
        <v>107</v>
      </c>
      <c r="C1323" s="490">
        <v>45926</v>
      </c>
      <c r="D1323" s="491"/>
      <c r="E1323" s="491"/>
      <c r="F1323" s="493" t="s">
        <v>546</v>
      </c>
      <c r="G1323" s="491">
        <v>1</v>
      </c>
      <c r="H1323" s="431">
        <v>107</v>
      </c>
      <c r="I1323" s="491">
        <f t="shared" si="192"/>
        <v>107</v>
      </c>
      <c r="J1323" s="492"/>
      <c r="K1323" s="492"/>
    </row>
    <row r="1324" s="456" customFormat="1" spans="1:15">
      <c r="A1324" s="488">
        <v>45926</v>
      </c>
      <c r="B1324" s="489" t="s">
        <v>107</v>
      </c>
      <c r="C1324" s="490">
        <v>45926</v>
      </c>
      <c r="D1324" s="491"/>
      <c r="E1324" s="491"/>
      <c r="F1324" s="493" t="s">
        <v>301</v>
      </c>
      <c r="G1324" s="491">
        <v>1</v>
      </c>
      <c r="H1324" s="431">
        <f>SUM(H1317:H1323)</f>
        <v>500</v>
      </c>
      <c r="I1324" s="491">
        <f t="shared" si="192"/>
        <v>500</v>
      </c>
      <c r="J1324" s="492">
        <v>1</v>
      </c>
      <c r="K1324" s="492">
        <f>I1324*J1324</f>
        <v>500</v>
      </c>
      <c r="L1324" s="456">
        <f>SUM(K1317:K1325)</f>
        <v>1563</v>
      </c>
    </row>
    <row r="1325" s="456" customFormat="1" spans="1:15">
      <c r="A1325" s="488">
        <v>45926</v>
      </c>
      <c r="B1325" s="489" t="s">
        <v>107</v>
      </c>
      <c r="C1325" s="490">
        <v>45926</v>
      </c>
      <c r="D1325" s="491"/>
      <c r="E1325" s="491"/>
      <c r="F1325" s="493" t="s">
        <v>805</v>
      </c>
      <c r="G1325" s="491">
        <v>2</v>
      </c>
      <c r="H1325" s="431">
        <v>1</v>
      </c>
      <c r="I1325" s="491">
        <f t="shared" si="192"/>
        <v>2</v>
      </c>
      <c r="J1325" s="492">
        <v>12.5</v>
      </c>
      <c r="K1325" s="492">
        <f>I1325*J1325</f>
        <v>25</v>
      </c>
    </row>
    <row r="1326" s="457" customFormat="1" ht="21" customHeight="1" spans="1:15">
      <c r="A1326" s="494">
        <v>45926</v>
      </c>
      <c r="B1326" s="442" t="s">
        <v>113</v>
      </c>
      <c r="C1326" s="495" t="s">
        <v>806</v>
      </c>
      <c r="D1326" s="463"/>
      <c r="E1326" s="463"/>
      <c r="F1326" s="496">
        <v>808</v>
      </c>
      <c r="G1326" s="463">
        <v>2</v>
      </c>
      <c r="H1326" s="432">
        <v>102</v>
      </c>
      <c r="I1326" s="463">
        <f t="shared" ref="I1326:I1332" si="196">G1326*H1326</f>
        <v>204</v>
      </c>
      <c r="J1326" s="497">
        <v>7.6</v>
      </c>
      <c r="K1326" s="497">
        <f>I1326*J1326</f>
        <v>1550.4</v>
      </c>
    </row>
    <row r="1327" s="457" customFormat="1" spans="1:15">
      <c r="A1327" s="494">
        <v>45926</v>
      </c>
      <c r="B1327" s="442" t="s">
        <v>113</v>
      </c>
      <c r="C1327" s="495" t="s">
        <v>806</v>
      </c>
      <c r="D1327" s="463"/>
      <c r="E1327" s="463"/>
      <c r="F1327" s="496" t="s">
        <v>12</v>
      </c>
      <c r="G1327" s="463">
        <v>2</v>
      </c>
      <c r="H1327" s="432">
        <v>150</v>
      </c>
      <c r="I1327" s="463">
        <f t="shared" si="196"/>
        <v>300</v>
      </c>
      <c r="J1327" s="497">
        <v>6.4</v>
      </c>
      <c r="K1327" s="497">
        <f>I1327*J1327</f>
        <v>1920</v>
      </c>
    </row>
    <row r="1328" s="457" customFormat="1" spans="1:15">
      <c r="A1328" s="494">
        <v>45926</v>
      </c>
      <c r="B1328" s="442" t="s">
        <v>113</v>
      </c>
      <c r="C1328" s="495" t="s">
        <v>806</v>
      </c>
      <c r="D1328" s="463"/>
      <c r="E1328" s="463"/>
      <c r="F1328" s="496" t="s">
        <v>709</v>
      </c>
      <c r="G1328" s="463">
        <v>2</v>
      </c>
      <c r="H1328" s="432">
        <v>150</v>
      </c>
      <c r="I1328" s="463">
        <f t="shared" si="196"/>
        <v>300</v>
      </c>
      <c r="J1328" s="497"/>
      <c r="K1328" s="497"/>
      <c r="L1328" s="457" t="s">
        <v>126</v>
      </c>
    </row>
    <row r="1329" s="457" customFormat="1" spans="1:26">
      <c r="A1329" s="494">
        <v>45926</v>
      </c>
      <c r="B1329" s="442" t="s">
        <v>113</v>
      </c>
      <c r="C1329" s="495" t="s">
        <v>806</v>
      </c>
      <c r="D1329" s="463"/>
      <c r="E1329" s="463"/>
      <c r="F1329" s="496" t="s">
        <v>710</v>
      </c>
      <c r="G1329" s="463">
        <v>2</v>
      </c>
      <c r="H1329" s="432">
        <v>140</v>
      </c>
      <c r="I1329" s="463">
        <f t="shared" si="196"/>
        <v>280</v>
      </c>
      <c r="J1329" s="497"/>
      <c r="K1329" s="497"/>
    </row>
    <row r="1330" s="457" customFormat="1" spans="1:26">
      <c r="A1330" s="494">
        <v>45926</v>
      </c>
      <c r="B1330" s="442" t="s">
        <v>113</v>
      </c>
      <c r="C1330" s="495" t="s">
        <v>806</v>
      </c>
      <c r="D1330" s="463"/>
      <c r="E1330" s="463"/>
      <c r="F1330" s="498" t="s">
        <v>782</v>
      </c>
      <c r="G1330" s="463">
        <v>2</v>
      </c>
      <c r="H1330" s="432">
        <v>250</v>
      </c>
      <c r="I1330" s="463">
        <f t="shared" si="196"/>
        <v>500</v>
      </c>
      <c r="J1330" s="497"/>
      <c r="K1330" s="497"/>
    </row>
    <row r="1331" s="457" customFormat="1" spans="1:26">
      <c r="A1331" s="494">
        <v>45926</v>
      </c>
      <c r="B1331" s="442" t="s">
        <v>113</v>
      </c>
      <c r="C1331" s="495" t="s">
        <v>806</v>
      </c>
      <c r="D1331" s="463"/>
      <c r="E1331" s="463"/>
      <c r="F1331" s="496" t="s">
        <v>16</v>
      </c>
      <c r="G1331" s="463">
        <v>2</v>
      </c>
      <c r="H1331" s="432">
        <v>208</v>
      </c>
      <c r="I1331" s="463">
        <f t="shared" si="196"/>
        <v>416</v>
      </c>
      <c r="J1331" s="497"/>
      <c r="K1331" s="497"/>
      <c r="R1331" s="456"/>
      <c r="S1331" s="456"/>
      <c r="T1331" s="456"/>
      <c r="U1331" s="456"/>
      <c r="V1331" s="456"/>
      <c r="W1331" s="456"/>
      <c r="X1331" s="456"/>
      <c r="Y1331" s="456"/>
      <c r="Z1331" s="456"/>
    </row>
    <row r="1332" s="457" customFormat="1" spans="1:26">
      <c r="A1332" s="494">
        <v>45926</v>
      </c>
      <c r="B1332" s="442" t="s">
        <v>113</v>
      </c>
      <c r="C1332" s="495" t="s">
        <v>806</v>
      </c>
      <c r="D1332" s="463"/>
      <c r="E1332" s="463"/>
      <c r="F1332" s="496" t="s">
        <v>714</v>
      </c>
      <c r="G1332" s="463">
        <v>2</v>
      </c>
      <c r="H1332" s="432">
        <f>SUM(H1326:H1331)</f>
        <v>1000</v>
      </c>
      <c r="I1332" s="463">
        <f t="shared" si="196"/>
        <v>2000</v>
      </c>
      <c r="J1332" s="497">
        <v>1</v>
      </c>
      <c r="K1332" s="497">
        <f t="shared" ref="K1332:K1335" si="197">I1332*J1332</f>
        <v>2000</v>
      </c>
      <c r="L1332" s="457">
        <f>SUM(K1326:K1332)</f>
        <v>5470.4</v>
      </c>
      <c r="R1332" s="456"/>
      <c r="S1332" s="456"/>
      <c r="T1332" s="456"/>
      <c r="U1332" s="456"/>
      <c r="V1332" s="456"/>
      <c r="W1332" s="456"/>
      <c r="X1332" s="456"/>
      <c r="Y1332" s="456"/>
      <c r="Z1332" s="456"/>
    </row>
    <row r="1333" s="456" customFormat="1" spans="1:26">
      <c r="A1333" s="488"/>
      <c r="B1333" s="489"/>
      <c r="C1333" s="490"/>
      <c r="D1333" s="491"/>
      <c r="E1333" s="491"/>
      <c r="F1333" s="498" t="s">
        <v>807</v>
      </c>
      <c r="G1333" s="491"/>
      <c r="H1333" s="431"/>
      <c r="I1333" s="491"/>
      <c r="J1333" s="576"/>
      <c r="K1333" s="492"/>
      <c r="R1333"/>
      <c r="S1333"/>
      <c r="T1333"/>
      <c r="U1333"/>
      <c r="V1333"/>
      <c r="W1333"/>
      <c r="X1333"/>
      <c r="Y1333"/>
      <c r="Z1333"/>
    </row>
    <row r="1334" s="456" customFormat="1" spans="1:26">
      <c r="A1334" s="488">
        <v>45927</v>
      </c>
      <c r="B1334" s="489" t="s">
        <v>128</v>
      </c>
      <c r="C1334" s="490">
        <v>45927</v>
      </c>
      <c r="D1334" s="491"/>
      <c r="E1334" s="491"/>
      <c r="F1334" s="493">
        <v>808</v>
      </c>
      <c r="G1334" s="491">
        <v>1</v>
      </c>
      <c r="H1334" s="431">
        <v>120</v>
      </c>
      <c r="I1334" s="491">
        <f t="shared" ref="I1334:I1339" si="198">G1334*H1334</f>
        <v>120</v>
      </c>
      <c r="J1334" s="492">
        <v>7.6</v>
      </c>
      <c r="K1334" s="492">
        <f t="shared" si="197"/>
        <v>912</v>
      </c>
    </row>
    <row r="1335" s="456" customFormat="1" spans="1:26">
      <c r="A1335" s="488">
        <v>45927</v>
      </c>
      <c r="B1335" s="489" t="s">
        <v>128</v>
      </c>
      <c r="C1335" s="490">
        <v>45927</v>
      </c>
      <c r="D1335" s="491"/>
      <c r="E1335" s="491"/>
      <c r="F1335" s="493" t="s">
        <v>12</v>
      </c>
      <c r="G1335" s="491">
        <v>1</v>
      </c>
      <c r="H1335" s="431">
        <v>155</v>
      </c>
      <c r="I1335" s="491">
        <f t="shared" si="198"/>
        <v>155</v>
      </c>
      <c r="J1335" s="492">
        <v>6.4</v>
      </c>
      <c r="K1335" s="492">
        <f t="shared" si="197"/>
        <v>992</v>
      </c>
    </row>
    <row r="1336" s="456" customFormat="1" spans="1:26">
      <c r="A1336" s="488">
        <v>45927</v>
      </c>
      <c r="B1336" s="489" t="s">
        <v>128</v>
      </c>
      <c r="C1336" s="490">
        <v>45927</v>
      </c>
      <c r="D1336" s="491"/>
      <c r="E1336" s="491"/>
      <c r="F1336" s="493" t="s">
        <v>13</v>
      </c>
      <c r="G1336" s="491">
        <v>1</v>
      </c>
      <c r="H1336" s="431">
        <v>180</v>
      </c>
      <c r="I1336" s="491">
        <f t="shared" si="198"/>
        <v>180</v>
      </c>
      <c r="J1336" s="492"/>
      <c r="K1336" s="492"/>
    </row>
    <row r="1337" s="456" customFormat="1" spans="1:26">
      <c r="A1337" s="488">
        <v>45927</v>
      </c>
      <c r="B1337" s="489" t="s">
        <v>128</v>
      </c>
      <c r="C1337" s="490">
        <v>45927</v>
      </c>
      <c r="D1337" s="491"/>
      <c r="E1337" s="491"/>
      <c r="F1337" s="493" t="s">
        <v>808</v>
      </c>
      <c r="G1337" s="491">
        <v>1</v>
      </c>
      <c r="H1337" s="431">
        <v>175</v>
      </c>
      <c r="I1337" s="491">
        <f t="shared" si="198"/>
        <v>175</v>
      </c>
      <c r="J1337" s="492"/>
      <c r="K1337" s="492"/>
    </row>
    <row r="1338" s="456" customFormat="1" spans="1:26">
      <c r="A1338" s="488">
        <v>45927</v>
      </c>
      <c r="B1338" s="489" t="s">
        <v>128</v>
      </c>
      <c r="C1338" s="490">
        <v>45927</v>
      </c>
      <c r="D1338" s="491"/>
      <c r="E1338" s="491"/>
      <c r="F1338" s="493" t="s">
        <v>547</v>
      </c>
      <c r="G1338" s="491">
        <v>1</v>
      </c>
      <c r="H1338" s="431">
        <v>140</v>
      </c>
      <c r="I1338" s="491">
        <f t="shared" si="198"/>
        <v>140</v>
      </c>
      <c r="J1338" s="492"/>
      <c r="K1338" s="492"/>
    </row>
    <row r="1339" s="456" customFormat="1" spans="1:26">
      <c r="A1339" s="488">
        <v>45927</v>
      </c>
      <c r="B1339" s="489" t="s">
        <v>128</v>
      </c>
      <c r="C1339" s="490">
        <v>45927</v>
      </c>
      <c r="D1339" s="491"/>
      <c r="E1339" s="491"/>
      <c r="F1339" s="493" t="s">
        <v>16</v>
      </c>
      <c r="G1339" s="491">
        <v>1</v>
      </c>
      <c r="H1339" s="431">
        <v>230</v>
      </c>
      <c r="I1339" s="491">
        <f t="shared" si="198"/>
        <v>230</v>
      </c>
      <c r="J1339" s="492"/>
      <c r="K1339" s="492"/>
      <c r="N1339" s="456">
        <f>SUBTOTAL(9,K1064:K1235)</f>
        <v>137376.55</v>
      </c>
    </row>
    <row r="1340" s="456" customFormat="1" spans="1:26">
      <c r="A1340" s="488">
        <v>45927</v>
      </c>
      <c r="B1340" s="489" t="s">
        <v>128</v>
      </c>
      <c r="C1340" s="490">
        <v>45927</v>
      </c>
      <c r="D1340" s="491"/>
      <c r="E1340" s="491"/>
      <c r="F1340" s="493" t="s">
        <v>17</v>
      </c>
      <c r="G1340" s="491">
        <v>1</v>
      </c>
      <c r="H1340" s="431">
        <f>SUM(H1334:H1339)</f>
        <v>1000</v>
      </c>
      <c r="I1340" s="431">
        <f>SUM(I1334:I1339)</f>
        <v>1000</v>
      </c>
      <c r="J1340" s="492">
        <v>1</v>
      </c>
      <c r="K1340" s="492">
        <f>I1340*J1340</f>
        <v>1000</v>
      </c>
      <c r="L1340" s="456">
        <f>SUM(K1334:K1340)</f>
        <v>2904</v>
      </c>
    </row>
    <row r="1341" s="457" customFormat="1" spans="1:26">
      <c r="A1341" s="494">
        <v>45928</v>
      </c>
      <c r="B1341" s="442" t="s">
        <v>131</v>
      </c>
      <c r="C1341" s="495" t="s">
        <v>809</v>
      </c>
      <c r="D1341" s="463"/>
      <c r="E1341" s="463"/>
      <c r="F1341" s="496" t="s">
        <v>16</v>
      </c>
      <c r="G1341" s="463">
        <v>1</v>
      </c>
      <c r="H1341" s="432">
        <v>70</v>
      </c>
      <c r="I1341" s="463">
        <f t="shared" ref="I1341:I1355" si="199">G1341*H1341</f>
        <v>70</v>
      </c>
      <c r="J1341" s="497"/>
      <c r="K1341" s="497"/>
    </row>
    <row r="1342" s="457" customFormat="1" spans="1:26">
      <c r="A1342" s="494">
        <v>45928</v>
      </c>
      <c r="B1342" s="442" t="s">
        <v>131</v>
      </c>
      <c r="C1342" s="495" t="s">
        <v>809</v>
      </c>
      <c r="D1342" s="463"/>
      <c r="E1342" s="463"/>
      <c r="F1342" s="496" t="s">
        <v>405</v>
      </c>
      <c r="G1342" s="463">
        <v>1</v>
      </c>
      <c r="H1342" s="432">
        <v>3</v>
      </c>
      <c r="I1342" s="463">
        <f t="shared" si="199"/>
        <v>3</v>
      </c>
      <c r="J1342" s="497"/>
      <c r="K1342" s="497"/>
    </row>
    <row r="1343" s="457" customFormat="1" spans="1:26">
      <c r="A1343" s="494">
        <v>45928</v>
      </c>
      <c r="B1343" s="442" t="s">
        <v>131</v>
      </c>
      <c r="C1343" s="495" t="s">
        <v>809</v>
      </c>
      <c r="D1343" s="463"/>
      <c r="E1343" s="463"/>
      <c r="F1343" s="496" t="s">
        <v>624</v>
      </c>
      <c r="G1343" s="463">
        <v>1</v>
      </c>
      <c r="H1343" s="432">
        <v>20</v>
      </c>
      <c r="I1343" s="463">
        <f t="shared" si="199"/>
        <v>20</v>
      </c>
      <c r="J1343" s="497"/>
      <c r="K1343" s="497"/>
    </row>
    <row r="1344" s="457" customFormat="1" spans="1:26">
      <c r="A1344" s="494">
        <v>45928</v>
      </c>
      <c r="B1344" s="442" t="s">
        <v>131</v>
      </c>
      <c r="C1344" s="495" t="s">
        <v>809</v>
      </c>
      <c r="D1344" s="463"/>
      <c r="E1344" s="463"/>
      <c r="F1344" s="496">
        <v>808</v>
      </c>
      <c r="G1344" s="463">
        <v>1</v>
      </c>
      <c r="H1344" s="432">
        <v>36</v>
      </c>
      <c r="I1344" s="463">
        <f t="shared" si="199"/>
        <v>36</v>
      </c>
      <c r="J1344" s="497">
        <v>7.6</v>
      </c>
      <c r="K1344" s="497">
        <f t="shared" ref="K1344:K1349" si="200">I1344*J1344</f>
        <v>273.6</v>
      </c>
      <c r="M1344" s="457" t="s">
        <v>728</v>
      </c>
    </row>
    <row r="1345" s="457" customFormat="1" spans="1:26">
      <c r="A1345" s="494">
        <v>45928</v>
      </c>
      <c r="B1345" s="442" t="s">
        <v>131</v>
      </c>
      <c r="C1345" s="495" t="s">
        <v>809</v>
      </c>
      <c r="D1345" s="463"/>
      <c r="E1345" s="463"/>
      <c r="F1345" s="496" t="s">
        <v>125</v>
      </c>
      <c r="G1345" s="463">
        <v>1</v>
      </c>
      <c r="H1345" s="432">
        <v>40</v>
      </c>
      <c r="I1345" s="463">
        <f t="shared" si="199"/>
        <v>40</v>
      </c>
      <c r="J1345" s="497">
        <v>5.5</v>
      </c>
      <c r="K1345" s="497">
        <f t="shared" si="200"/>
        <v>220</v>
      </c>
      <c r="O1345" s="456"/>
    </row>
    <row r="1346" s="457" customFormat="1" spans="1:26">
      <c r="A1346" s="494">
        <v>45928</v>
      </c>
      <c r="B1346" s="442" t="s">
        <v>131</v>
      </c>
      <c r="C1346" s="495" t="s">
        <v>809</v>
      </c>
      <c r="D1346" s="463"/>
      <c r="E1346" s="463"/>
      <c r="F1346" s="496" t="s">
        <v>12</v>
      </c>
      <c r="G1346" s="463">
        <v>1</v>
      </c>
      <c r="H1346" s="432">
        <v>10</v>
      </c>
      <c r="I1346" s="463">
        <f t="shared" si="199"/>
        <v>10</v>
      </c>
      <c r="J1346" s="497">
        <v>6.4</v>
      </c>
      <c r="K1346" s="497">
        <f t="shared" si="200"/>
        <v>64</v>
      </c>
    </row>
    <row r="1347" s="457" customFormat="1" spans="1:26">
      <c r="A1347" s="494">
        <v>45928</v>
      </c>
      <c r="B1347" s="442" t="s">
        <v>131</v>
      </c>
      <c r="C1347" s="495" t="s">
        <v>809</v>
      </c>
      <c r="D1347" s="463"/>
      <c r="E1347" s="463"/>
      <c r="F1347" s="496" t="s">
        <v>626</v>
      </c>
      <c r="G1347" s="463">
        <v>1</v>
      </c>
      <c r="H1347" s="432">
        <f>SUM(H1341:H1346)</f>
        <v>179</v>
      </c>
      <c r="I1347" s="463">
        <f t="shared" si="199"/>
        <v>179</v>
      </c>
      <c r="J1347" s="533">
        <v>5</v>
      </c>
      <c r="K1347" s="497">
        <f t="shared" si="200"/>
        <v>895</v>
      </c>
      <c r="L1347" s="457">
        <f>SUM(K1343:K1347)</f>
        <v>1452.6</v>
      </c>
    </row>
    <row r="1348" s="456" customFormat="1" spans="1:26">
      <c r="A1348" s="488">
        <v>45929</v>
      </c>
      <c r="B1348" s="489" t="s">
        <v>135</v>
      </c>
      <c r="C1348" s="490">
        <v>45929</v>
      </c>
      <c r="D1348" s="491"/>
      <c r="E1348" s="491"/>
      <c r="F1348" s="493">
        <v>808</v>
      </c>
      <c r="G1348" s="491">
        <v>1</v>
      </c>
      <c r="H1348" s="491">
        <v>62</v>
      </c>
      <c r="I1348" s="491">
        <f t="shared" si="199"/>
        <v>62</v>
      </c>
      <c r="J1348" s="492">
        <v>7.6</v>
      </c>
      <c r="K1348" s="492">
        <f t="shared" si="200"/>
        <v>471.2</v>
      </c>
    </row>
    <row r="1349" s="456" customFormat="1" spans="1:26">
      <c r="A1349" s="488">
        <v>45929</v>
      </c>
      <c r="B1349" s="489" t="s">
        <v>135</v>
      </c>
      <c r="C1349" s="490">
        <v>45929</v>
      </c>
      <c r="D1349" s="491"/>
      <c r="E1349" s="491"/>
      <c r="F1349" s="493" t="s">
        <v>125</v>
      </c>
      <c r="G1349" s="491">
        <v>1</v>
      </c>
      <c r="H1349" s="491">
        <v>73</v>
      </c>
      <c r="I1349" s="491">
        <f t="shared" si="199"/>
        <v>73</v>
      </c>
      <c r="J1349" s="492">
        <v>5.5</v>
      </c>
      <c r="K1349" s="492">
        <f t="shared" si="200"/>
        <v>401.5</v>
      </c>
    </row>
    <row r="1350" s="456" customFormat="1" spans="1:26">
      <c r="A1350" s="488">
        <v>45929</v>
      </c>
      <c r="B1350" s="489" t="s">
        <v>135</v>
      </c>
      <c r="C1350" s="490">
        <v>45929</v>
      </c>
      <c r="D1350" s="491"/>
      <c r="E1350" s="491"/>
      <c r="F1350" s="493" t="s">
        <v>810</v>
      </c>
      <c r="G1350" s="491">
        <v>1</v>
      </c>
      <c r="H1350" s="491">
        <v>51</v>
      </c>
      <c r="I1350" s="491">
        <f t="shared" si="199"/>
        <v>51</v>
      </c>
      <c r="J1350" s="492"/>
      <c r="K1350" s="492"/>
    </row>
    <row r="1351" s="456" customFormat="1" spans="1:26">
      <c r="A1351" s="488">
        <v>45929</v>
      </c>
      <c r="B1351" s="489" t="s">
        <v>135</v>
      </c>
      <c r="C1351" s="490">
        <v>45929</v>
      </c>
      <c r="D1351" s="491"/>
      <c r="E1351" s="491"/>
      <c r="F1351" s="493" t="s">
        <v>529</v>
      </c>
      <c r="G1351" s="491">
        <v>1</v>
      </c>
      <c r="H1351" s="491">
        <v>73</v>
      </c>
      <c r="I1351" s="491">
        <f t="shared" si="199"/>
        <v>73</v>
      </c>
      <c r="J1351" s="492"/>
      <c r="K1351" s="492"/>
    </row>
    <row r="1352" s="456" customFormat="1" spans="1:26">
      <c r="A1352" s="488">
        <v>45929</v>
      </c>
      <c r="B1352" s="489" t="s">
        <v>135</v>
      </c>
      <c r="C1352" s="490">
        <v>45929</v>
      </c>
      <c r="D1352" s="491"/>
      <c r="E1352" s="491"/>
      <c r="F1352" s="493" t="s">
        <v>730</v>
      </c>
      <c r="G1352" s="491">
        <v>1</v>
      </c>
      <c r="H1352" s="491">
        <v>128</v>
      </c>
      <c r="I1352" s="491">
        <f t="shared" si="199"/>
        <v>128</v>
      </c>
      <c r="J1352" s="492"/>
      <c r="K1352" s="492"/>
      <c r="L1352" s="456" t="s">
        <v>731</v>
      </c>
    </row>
    <row r="1353" s="456" customFormat="1" spans="1:26">
      <c r="A1353" s="488">
        <v>45929</v>
      </c>
      <c r="B1353" s="489" t="s">
        <v>135</v>
      </c>
      <c r="C1353" s="490">
        <v>45929</v>
      </c>
      <c r="D1353" s="491"/>
      <c r="E1353" s="491"/>
      <c r="F1353" s="493" t="s">
        <v>115</v>
      </c>
      <c r="G1353" s="491">
        <v>1</v>
      </c>
      <c r="H1353" s="491">
        <v>63</v>
      </c>
      <c r="I1353" s="491">
        <f t="shared" si="199"/>
        <v>63</v>
      </c>
      <c r="J1353" s="492"/>
      <c r="K1353" s="492"/>
    </row>
    <row r="1354" s="456" customFormat="1" spans="1:26">
      <c r="A1354" s="488">
        <v>45929</v>
      </c>
      <c r="B1354" s="489" t="s">
        <v>135</v>
      </c>
      <c r="C1354" s="490">
        <v>45929</v>
      </c>
      <c r="D1354" s="491"/>
      <c r="E1354" s="491"/>
      <c r="F1354" s="493" t="s">
        <v>811</v>
      </c>
      <c r="G1354" s="491">
        <v>1</v>
      </c>
      <c r="H1354" s="491">
        <v>50</v>
      </c>
      <c r="I1354" s="491">
        <f t="shared" si="199"/>
        <v>50</v>
      </c>
      <c r="J1354" s="492"/>
      <c r="K1354" s="492"/>
    </row>
    <row r="1355" s="456" customFormat="1" spans="1:26">
      <c r="A1355" s="488">
        <v>45929</v>
      </c>
      <c r="B1355" s="489" t="s">
        <v>135</v>
      </c>
      <c r="C1355" s="490">
        <v>45929</v>
      </c>
      <c r="D1355" s="491"/>
      <c r="E1355" s="491"/>
      <c r="F1355" s="493" t="s">
        <v>330</v>
      </c>
      <c r="G1355" s="491">
        <v>1</v>
      </c>
      <c r="H1355" s="431">
        <f>SUM(H1348:H1354)</f>
        <v>500</v>
      </c>
      <c r="I1355" s="491">
        <f t="shared" si="199"/>
        <v>500</v>
      </c>
      <c r="J1355" s="492">
        <v>1</v>
      </c>
      <c r="K1355" s="492">
        <f>I1355*J1355</f>
        <v>500</v>
      </c>
      <c r="L1355" s="456">
        <f>SUM(K1348:K1355)</f>
        <v>1372.7</v>
      </c>
    </row>
    <row r="1356" s="458" customFormat="1" ht="26" customHeight="1" spans="1:26">
      <c r="A1356" s="509" t="s">
        <v>454</v>
      </c>
      <c r="B1356" s="510"/>
      <c r="C1356" s="510"/>
      <c r="D1356" s="510"/>
      <c r="E1356" s="510"/>
      <c r="F1356" s="510"/>
      <c r="G1356" s="510"/>
      <c r="H1356" s="510"/>
      <c r="I1356" s="510"/>
      <c r="J1356" s="511" t="s">
        <v>28</v>
      </c>
      <c r="K1356" s="557">
        <f>SUM(K1359:K1513)</f>
        <v>51955.47</v>
      </c>
      <c r="L1356" s="458" t="s">
        <v>29</v>
      </c>
      <c r="M1356" s="509">
        <f>材料!L70+K1453+K1490+K1491</f>
        <v>31037.57</v>
      </c>
      <c r="N1356" s="513" t="s">
        <v>30</v>
      </c>
      <c r="O1356" s="509">
        <f>K1363+K1368+K1375+K1386+K1395+K1401+K1414+K1422+K1427+K1435+K1445+K1452+K1459+K1467+K1475+K1478+K1489+K1497+K1505+K1512</f>
        <v>19982.9</v>
      </c>
      <c r="P1356" s="510" t="s">
        <v>31</v>
      </c>
      <c r="Q1356" s="509">
        <f>K1402+K1403+K1404+K1405+K1407+K1409</f>
        <v>499</v>
      </c>
      <c r="R1356" s="442"/>
      <c r="S1356" s="442"/>
      <c r="T1356" s="442"/>
      <c r="U1356" s="442"/>
      <c r="V1356" s="442"/>
      <c r="W1356" s="442"/>
      <c r="X1356" s="442"/>
      <c r="Y1356" s="442"/>
      <c r="Z1356" s="442"/>
    </row>
    <row r="1357" s="458" customFormat="1" ht="26" customHeight="1" spans="1:26">
      <c r="A1357" s="509"/>
      <c r="B1357" s="510"/>
      <c r="C1357" s="510"/>
      <c r="D1357" s="510"/>
      <c r="E1357" s="510"/>
      <c r="F1357" s="510"/>
      <c r="G1357" s="510"/>
      <c r="H1357" s="510"/>
      <c r="I1357" s="510"/>
      <c r="J1357" s="510" t="s">
        <v>32</v>
      </c>
      <c r="K1357" s="510"/>
      <c r="L1357" s="458" t="s">
        <v>33</v>
      </c>
      <c r="M1357" s="509">
        <f>K1387+K1406+K1408+K1492+K1513</f>
        <v>436</v>
      </c>
      <c r="N1357" s="514" t="s">
        <v>34</v>
      </c>
      <c r="O1357" s="557">
        <f>M1356+M1357+O1356+Q1356</f>
        <v>51955.47</v>
      </c>
      <c r="R1357" s="457"/>
      <c r="S1357" s="457"/>
      <c r="T1357" s="457"/>
      <c r="U1357" s="457"/>
      <c r="V1357" s="457"/>
      <c r="W1357" s="457"/>
      <c r="X1357" s="457"/>
      <c r="Y1357" s="457"/>
      <c r="Z1357" s="457"/>
    </row>
    <row r="1358" s="442" customFormat="1" ht="26" customHeight="1" spans="1:26">
      <c r="A1358" s="483" t="s">
        <v>35</v>
      </c>
      <c r="B1358" s="484" t="s">
        <v>36</v>
      </c>
      <c r="C1358" s="485" t="s">
        <v>37</v>
      </c>
      <c r="D1358" s="485"/>
      <c r="E1358" s="485"/>
      <c r="F1358" s="485" t="s">
        <v>38</v>
      </c>
      <c r="G1358" s="485" t="s">
        <v>4</v>
      </c>
      <c r="H1358" s="485" t="s">
        <v>5</v>
      </c>
      <c r="I1358" s="485" t="s">
        <v>6</v>
      </c>
      <c r="J1358" s="485" t="s">
        <v>7</v>
      </c>
      <c r="K1358" s="485" t="s">
        <v>8</v>
      </c>
      <c r="L1358" s="485" t="s">
        <v>39</v>
      </c>
      <c r="M1358" s="485" t="s">
        <v>40</v>
      </c>
      <c r="N1358" s="427"/>
      <c r="O1358" s="427"/>
      <c r="P1358" s="458"/>
      <c r="Q1358" s="458"/>
      <c r="R1358" s="457"/>
      <c r="S1358" s="457"/>
      <c r="T1358" s="457"/>
      <c r="U1358" s="457"/>
      <c r="V1358" s="457"/>
      <c r="W1358" s="457"/>
      <c r="X1358" s="457"/>
      <c r="Y1358" s="457"/>
      <c r="Z1358" s="457"/>
    </row>
    <row r="1359" s="457" customFormat="1" spans="1:26">
      <c r="A1359" s="494">
        <v>45938</v>
      </c>
      <c r="B1359" s="442" t="s">
        <v>644</v>
      </c>
      <c r="C1359" s="495">
        <v>45938</v>
      </c>
      <c r="D1359" s="463"/>
      <c r="E1359" s="463"/>
      <c r="F1359" s="496" t="s">
        <v>16</v>
      </c>
      <c r="G1359" s="463">
        <v>1</v>
      </c>
      <c r="H1359" s="432">
        <v>3</v>
      </c>
      <c r="I1359" s="463">
        <f t="shared" ref="I1351:I1405" si="201">G1359*H1359</f>
        <v>3</v>
      </c>
      <c r="J1359" s="497">
        <v>12.5</v>
      </c>
      <c r="K1359" s="497"/>
    </row>
    <row r="1360" s="457" customFormat="1" spans="1:26">
      <c r="A1360" s="494">
        <v>45938</v>
      </c>
      <c r="B1360" s="442" t="s">
        <v>644</v>
      </c>
      <c r="C1360" s="495">
        <v>45938</v>
      </c>
      <c r="D1360" s="463"/>
      <c r="E1360" s="463"/>
      <c r="F1360" s="496" t="s">
        <v>513</v>
      </c>
      <c r="G1360" s="463">
        <v>1</v>
      </c>
      <c r="H1360" s="432">
        <v>20</v>
      </c>
      <c r="I1360" s="463">
        <f t="shared" si="201"/>
        <v>20</v>
      </c>
      <c r="J1360" s="497">
        <v>15</v>
      </c>
      <c r="K1360" s="497">
        <f>I1360*J1360</f>
        <v>300</v>
      </c>
    </row>
    <row r="1361" s="457" customFormat="1" spans="1:15">
      <c r="A1361" s="494">
        <v>45938</v>
      </c>
      <c r="B1361" s="442" t="s">
        <v>644</v>
      </c>
      <c r="C1361" s="495">
        <v>45938</v>
      </c>
      <c r="D1361" s="463"/>
      <c r="E1361" s="463"/>
      <c r="F1361" s="496" t="s">
        <v>152</v>
      </c>
      <c r="G1361" s="463">
        <v>1</v>
      </c>
      <c r="H1361" s="432">
        <v>73</v>
      </c>
      <c r="I1361" s="463">
        <f t="shared" si="201"/>
        <v>73</v>
      </c>
      <c r="J1361" s="497">
        <v>6.5</v>
      </c>
      <c r="K1361" s="497">
        <f>I1361*J1361</f>
        <v>474.5</v>
      </c>
    </row>
    <row r="1362" s="457" customFormat="1" spans="1:15">
      <c r="A1362" s="494">
        <v>45938</v>
      </c>
      <c r="B1362" s="442" t="s">
        <v>644</v>
      </c>
      <c r="C1362" s="495">
        <v>45938</v>
      </c>
      <c r="D1362" s="463"/>
      <c r="E1362" s="463"/>
      <c r="F1362" s="496" t="s">
        <v>125</v>
      </c>
      <c r="G1362" s="463">
        <v>1</v>
      </c>
      <c r="H1362" s="432">
        <v>64</v>
      </c>
      <c r="I1362" s="463">
        <f t="shared" si="201"/>
        <v>64</v>
      </c>
      <c r="J1362" s="497">
        <v>5.5</v>
      </c>
      <c r="K1362" s="497">
        <f>I1362*J1362</f>
        <v>352</v>
      </c>
      <c r="O1362" s="456"/>
    </row>
    <row r="1363" s="457" customFormat="1" spans="1:15">
      <c r="A1363" s="494">
        <v>45938</v>
      </c>
      <c r="B1363" s="442" t="s">
        <v>644</v>
      </c>
      <c r="C1363" s="495">
        <v>45938</v>
      </c>
      <c r="D1363" s="463"/>
      <c r="E1363" s="463"/>
      <c r="F1363" s="496" t="s">
        <v>389</v>
      </c>
      <c r="G1363" s="463">
        <v>1</v>
      </c>
      <c r="H1363" s="432">
        <f>SUM(H1359:H1362)</f>
        <v>160</v>
      </c>
      <c r="I1363" s="463">
        <f t="shared" si="201"/>
        <v>160</v>
      </c>
      <c r="J1363" s="497">
        <v>1</v>
      </c>
      <c r="K1363" s="497">
        <f>I1363*J1363</f>
        <v>160</v>
      </c>
      <c r="L1363" s="457">
        <f>SUM(K1359:K1363)</f>
        <v>1286.5</v>
      </c>
    </row>
    <row r="1364" s="456" customFormat="1" spans="1:15">
      <c r="A1364" s="488">
        <v>45940</v>
      </c>
      <c r="B1364" s="489" t="s">
        <v>565</v>
      </c>
      <c r="C1364" s="490">
        <v>45939</v>
      </c>
      <c r="D1364" s="491"/>
      <c r="E1364" s="491"/>
      <c r="F1364" s="493" t="s">
        <v>16</v>
      </c>
      <c r="G1364" s="491">
        <v>1</v>
      </c>
      <c r="H1364" s="431">
        <v>48</v>
      </c>
      <c r="I1364" s="491">
        <f t="shared" si="201"/>
        <v>48</v>
      </c>
      <c r="J1364" s="492">
        <v>13.5</v>
      </c>
      <c r="K1364" s="492"/>
    </row>
    <row r="1365" s="456" customFormat="1" spans="1:15">
      <c r="A1365" s="488">
        <v>45940</v>
      </c>
      <c r="B1365" s="489" t="s">
        <v>565</v>
      </c>
      <c r="C1365" s="490">
        <v>45939</v>
      </c>
      <c r="D1365" s="491"/>
      <c r="E1365" s="491"/>
      <c r="F1365" s="493" t="s">
        <v>766</v>
      </c>
      <c r="G1365" s="491">
        <v>1</v>
      </c>
      <c r="H1365" s="431">
        <v>150</v>
      </c>
      <c r="I1365" s="491">
        <f t="shared" si="201"/>
        <v>150</v>
      </c>
      <c r="J1365" s="492">
        <v>14.2</v>
      </c>
      <c r="K1365" s="492"/>
    </row>
    <row r="1366" s="456" customFormat="1" spans="1:15">
      <c r="A1366" s="488">
        <v>45940</v>
      </c>
      <c r="B1366" s="489" t="s">
        <v>565</v>
      </c>
      <c r="C1366" s="490">
        <v>45939</v>
      </c>
      <c r="D1366" s="491"/>
      <c r="E1366" s="491"/>
      <c r="F1366" s="493">
        <v>808</v>
      </c>
      <c r="G1366" s="491">
        <v>1</v>
      </c>
      <c r="H1366" s="431">
        <v>30</v>
      </c>
      <c r="I1366" s="491">
        <f t="shared" si="201"/>
        <v>30</v>
      </c>
      <c r="J1366" s="492">
        <v>7.6</v>
      </c>
      <c r="K1366" s="492">
        <f>I1366*J1366</f>
        <v>228</v>
      </c>
    </row>
    <row r="1367" s="456" customFormat="1" spans="1:15">
      <c r="A1367" s="488">
        <v>45940</v>
      </c>
      <c r="B1367" s="489" t="s">
        <v>565</v>
      </c>
      <c r="C1367" s="490">
        <v>45939</v>
      </c>
      <c r="D1367" s="491"/>
      <c r="E1367" s="491"/>
      <c r="F1367" s="493" t="s">
        <v>12</v>
      </c>
      <c r="G1367" s="491">
        <v>1</v>
      </c>
      <c r="H1367" s="431">
        <v>30</v>
      </c>
      <c r="I1367" s="491">
        <f t="shared" si="201"/>
        <v>30</v>
      </c>
      <c r="J1367" s="492">
        <v>6.4</v>
      </c>
      <c r="K1367" s="492">
        <f t="shared" ref="K1366:K1368" si="202">I1367*J1367</f>
        <v>192</v>
      </c>
      <c r="M1367" s="573">
        <f>SUBTOTAL(9,K1367:K1507)</f>
        <v>49178.47</v>
      </c>
    </row>
    <row r="1368" s="456" customFormat="1" spans="1:15">
      <c r="A1368" s="488">
        <v>45940</v>
      </c>
      <c r="B1368" s="489" t="s">
        <v>565</v>
      </c>
      <c r="C1368" s="490">
        <v>45939</v>
      </c>
      <c r="D1368" s="491"/>
      <c r="E1368" s="491"/>
      <c r="F1368" s="493" t="s">
        <v>456</v>
      </c>
      <c r="G1368" s="491">
        <v>1</v>
      </c>
      <c r="H1368" s="431">
        <f>SUM(H1364:H1367)</f>
        <v>258</v>
      </c>
      <c r="I1368" s="491">
        <f t="shared" si="201"/>
        <v>258</v>
      </c>
      <c r="J1368" s="492">
        <v>3</v>
      </c>
      <c r="K1368" s="492">
        <f t="shared" si="202"/>
        <v>774</v>
      </c>
      <c r="L1368" s="456">
        <f>SUM(K1364:K1368)</f>
        <v>1194</v>
      </c>
    </row>
    <row r="1369" s="457" customFormat="1" spans="1:15">
      <c r="A1369" s="494">
        <v>45941</v>
      </c>
      <c r="B1369" s="442" t="s">
        <v>153</v>
      </c>
      <c r="C1369" s="495">
        <v>45940</v>
      </c>
      <c r="D1369" s="463"/>
      <c r="E1369" s="463"/>
      <c r="F1369" s="496" t="s">
        <v>251</v>
      </c>
      <c r="G1369" s="463">
        <v>1</v>
      </c>
      <c r="H1369" s="432">
        <v>150</v>
      </c>
      <c r="I1369" s="463">
        <f t="shared" si="201"/>
        <v>150</v>
      </c>
      <c r="J1369" s="497"/>
      <c r="K1369" s="497"/>
    </row>
    <row r="1370" s="457" customFormat="1" spans="1:15">
      <c r="A1370" s="494">
        <v>45941</v>
      </c>
      <c r="B1370" s="442" t="s">
        <v>153</v>
      </c>
      <c r="C1370" s="495">
        <v>45940</v>
      </c>
      <c r="D1370" s="463"/>
      <c r="E1370" s="463"/>
      <c r="F1370" s="496">
        <v>808</v>
      </c>
      <c r="G1370" s="463">
        <v>1</v>
      </c>
      <c r="H1370" s="432">
        <v>105</v>
      </c>
      <c r="I1370" s="463">
        <f t="shared" si="201"/>
        <v>105</v>
      </c>
      <c r="J1370" s="497">
        <v>7.6</v>
      </c>
      <c r="K1370" s="497">
        <f>I1370*J1370</f>
        <v>798</v>
      </c>
    </row>
    <row r="1371" s="457" customFormat="1" spans="1:15">
      <c r="A1371" s="494">
        <v>45941</v>
      </c>
      <c r="B1371" s="442" t="s">
        <v>153</v>
      </c>
      <c r="C1371" s="495">
        <v>45940</v>
      </c>
      <c r="D1371" s="463"/>
      <c r="E1371" s="463"/>
      <c r="F1371" s="496" t="s">
        <v>794</v>
      </c>
      <c r="G1371" s="463">
        <v>1</v>
      </c>
      <c r="H1371" s="432">
        <v>62</v>
      </c>
      <c r="I1371" s="463">
        <f t="shared" si="201"/>
        <v>62</v>
      </c>
      <c r="J1371" s="497"/>
      <c r="K1371" s="497"/>
    </row>
    <row r="1372" s="457" customFormat="1" spans="1:15">
      <c r="A1372" s="494">
        <v>45941</v>
      </c>
      <c r="B1372" s="442" t="s">
        <v>153</v>
      </c>
      <c r="C1372" s="495">
        <v>45940</v>
      </c>
      <c r="D1372" s="463"/>
      <c r="E1372" s="463"/>
      <c r="F1372" s="496" t="s">
        <v>553</v>
      </c>
      <c r="G1372" s="463">
        <v>1</v>
      </c>
      <c r="H1372" s="432">
        <v>89</v>
      </c>
      <c r="I1372" s="463">
        <f t="shared" si="201"/>
        <v>89</v>
      </c>
      <c r="J1372" s="497"/>
      <c r="K1372" s="497"/>
      <c r="M1372" s="457" t="s">
        <v>51</v>
      </c>
    </row>
    <row r="1373" s="457" customFormat="1" spans="1:15">
      <c r="A1373" s="494">
        <v>45941</v>
      </c>
      <c r="B1373" s="442" t="s">
        <v>153</v>
      </c>
      <c r="C1373" s="495">
        <v>45940</v>
      </c>
      <c r="D1373" s="463"/>
      <c r="E1373" s="463"/>
      <c r="F1373" s="496" t="s">
        <v>12</v>
      </c>
      <c r="G1373" s="463">
        <v>1</v>
      </c>
      <c r="H1373" s="432">
        <v>50</v>
      </c>
      <c r="I1373" s="463">
        <f t="shared" si="201"/>
        <v>50</v>
      </c>
      <c r="J1373" s="497">
        <v>6.4</v>
      </c>
      <c r="K1373" s="497">
        <f t="shared" ref="K1373:K1378" si="203">I1373*J1373</f>
        <v>320</v>
      </c>
    </row>
    <row r="1374" s="457" customFormat="1" spans="1:15">
      <c r="A1374" s="494">
        <v>45941</v>
      </c>
      <c r="B1374" s="442" t="s">
        <v>153</v>
      </c>
      <c r="C1374" s="495">
        <v>45940</v>
      </c>
      <c r="D1374" s="463"/>
      <c r="E1374" s="463"/>
      <c r="F1374" s="496" t="s">
        <v>125</v>
      </c>
      <c r="G1374" s="463">
        <v>1</v>
      </c>
      <c r="H1374" s="432">
        <v>44</v>
      </c>
      <c r="I1374" s="463">
        <f t="shared" si="201"/>
        <v>44</v>
      </c>
      <c r="J1374" s="497">
        <v>5.4</v>
      </c>
      <c r="K1374" s="497">
        <f t="shared" si="203"/>
        <v>237.6</v>
      </c>
      <c r="L1374" s="457" t="s">
        <v>683</v>
      </c>
      <c r="O1374" s="456"/>
    </row>
    <row r="1375" s="457" customFormat="1" spans="1:15">
      <c r="A1375" s="494">
        <v>45941</v>
      </c>
      <c r="B1375" s="442" t="s">
        <v>153</v>
      </c>
      <c r="C1375" s="495">
        <v>45940</v>
      </c>
      <c r="D1375" s="463"/>
      <c r="E1375" s="463"/>
      <c r="F1375" s="496" t="s">
        <v>47</v>
      </c>
      <c r="G1375" s="463">
        <v>1</v>
      </c>
      <c r="H1375" s="432">
        <f>SUM(H1369:H1374)</f>
        <v>500</v>
      </c>
      <c r="I1375" s="463">
        <f t="shared" si="201"/>
        <v>500</v>
      </c>
      <c r="J1375" s="497">
        <v>1</v>
      </c>
      <c r="K1375" s="497">
        <f t="shared" si="203"/>
        <v>500</v>
      </c>
      <c r="L1375" s="457">
        <f>SUM(K1369:K1375)</f>
        <v>1855.6</v>
      </c>
    </row>
    <row r="1376" s="456" customFormat="1" spans="1:15">
      <c r="A1376" s="488">
        <v>45944</v>
      </c>
      <c r="B1376" s="489" t="s">
        <v>459</v>
      </c>
      <c r="C1376" s="490">
        <v>45943</v>
      </c>
      <c r="D1376" s="491"/>
      <c r="E1376" s="491"/>
      <c r="F1376" s="493">
        <v>808</v>
      </c>
      <c r="G1376" s="491">
        <v>1</v>
      </c>
      <c r="H1376" s="431">
        <v>54</v>
      </c>
      <c r="I1376" s="491">
        <f t="shared" si="201"/>
        <v>54</v>
      </c>
      <c r="J1376" s="492">
        <v>7.6</v>
      </c>
      <c r="K1376" s="492">
        <f t="shared" si="203"/>
        <v>410.4</v>
      </c>
    </row>
    <row r="1377" s="456" customFormat="1" spans="1:15">
      <c r="A1377" s="488">
        <v>45944</v>
      </c>
      <c r="B1377" s="489" t="s">
        <v>459</v>
      </c>
      <c r="C1377" s="490">
        <v>45943</v>
      </c>
      <c r="D1377" s="491"/>
      <c r="E1377" s="491"/>
      <c r="F1377" s="493" t="s">
        <v>12</v>
      </c>
      <c r="G1377" s="491">
        <v>1</v>
      </c>
      <c r="H1377" s="431">
        <v>47</v>
      </c>
      <c r="I1377" s="491">
        <f t="shared" si="201"/>
        <v>47</v>
      </c>
      <c r="J1377" s="492">
        <v>6.3</v>
      </c>
      <c r="K1377" s="492">
        <f t="shared" si="203"/>
        <v>296.1</v>
      </c>
    </row>
    <row r="1378" s="456" customFormat="1" spans="1:15">
      <c r="A1378" s="488">
        <v>45944</v>
      </c>
      <c r="B1378" s="489" t="s">
        <v>459</v>
      </c>
      <c r="C1378" s="490">
        <v>45943</v>
      </c>
      <c r="D1378" s="491"/>
      <c r="E1378" s="491"/>
      <c r="F1378" s="493" t="s">
        <v>152</v>
      </c>
      <c r="G1378" s="491">
        <v>1</v>
      </c>
      <c r="H1378" s="431">
        <v>36</v>
      </c>
      <c r="I1378" s="491">
        <f t="shared" si="201"/>
        <v>36</v>
      </c>
      <c r="J1378" s="492">
        <v>6.3</v>
      </c>
      <c r="K1378" s="492">
        <f t="shared" si="203"/>
        <v>226.8</v>
      </c>
    </row>
    <row r="1379" s="456" customFormat="1" spans="1:15">
      <c r="A1379" s="488">
        <v>45944</v>
      </c>
      <c r="B1379" s="489" t="s">
        <v>459</v>
      </c>
      <c r="C1379" s="490">
        <v>45943</v>
      </c>
      <c r="D1379" s="491"/>
      <c r="E1379" s="491"/>
      <c r="F1379" s="493" t="s">
        <v>709</v>
      </c>
      <c r="G1379" s="491">
        <v>1</v>
      </c>
      <c r="H1379" s="431">
        <v>43</v>
      </c>
      <c r="I1379" s="491">
        <f t="shared" si="201"/>
        <v>43</v>
      </c>
      <c r="J1379" s="492"/>
      <c r="K1379" s="492"/>
      <c r="L1379" s="456" t="s">
        <v>126</v>
      </c>
    </row>
    <row r="1380" s="456" customFormat="1" spans="1:15">
      <c r="A1380" s="488">
        <v>45944</v>
      </c>
      <c r="B1380" s="489" t="s">
        <v>459</v>
      </c>
      <c r="C1380" s="490">
        <v>45943</v>
      </c>
      <c r="D1380" s="491"/>
      <c r="E1380" s="491"/>
      <c r="F1380" s="493" t="s">
        <v>710</v>
      </c>
      <c r="G1380" s="491">
        <v>1</v>
      </c>
      <c r="H1380" s="431">
        <v>52</v>
      </c>
      <c r="I1380" s="491">
        <f t="shared" si="201"/>
        <v>52</v>
      </c>
      <c r="J1380" s="492"/>
      <c r="K1380" s="492"/>
    </row>
    <row r="1381" s="456" customFormat="1" spans="1:15">
      <c r="A1381" s="488">
        <v>45944</v>
      </c>
      <c r="B1381" s="489" t="s">
        <v>459</v>
      </c>
      <c r="C1381" s="490">
        <v>45943</v>
      </c>
      <c r="D1381" s="491"/>
      <c r="E1381" s="491"/>
      <c r="F1381" s="493" t="s">
        <v>782</v>
      </c>
      <c r="G1381" s="491">
        <v>1</v>
      </c>
      <c r="H1381" s="431">
        <v>37</v>
      </c>
      <c r="I1381" s="491">
        <f t="shared" si="201"/>
        <v>37</v>
      </c>
      <c r="J1381" s="492"/>
      <c r="K1381" s="492"/>
    </row>
    <row r="1382" s="456" customFormat="1" spans="1:15">
      <c r="A1382" s="488">
        <v>45944</v>
      </c>
      <c r="B1382" s="489" t="s">
        <v>459</v>
      </c>
      <c r="C1382" s="490">
        <v>45943</v>
      </c>
      <c r="D1382" s="491"/>
      <c r="E1382" s="491"/>
      <c r="F1382" s="493" t="s">
        <v>191</v>
      </c>
      <c r="G1382" s="491">
        <v>1</v>
      </c>
      <c r="H1382" s="431">
        <v>10</v>
      </c>
      <c r="I1382" s="491">
        <f t="shared" si="201"/>
        <v>10</v>
      </c>
      <c r="J1382" s="492">
        <v>17</v>
      </c>
      <c r="K1382" s="492">
        <f t="shared" ref="K1382:K1390" si="204">I1382*J1382</f>
        <v>170</v>
      </c>
      <c r="M1382" s="456">
        <f>SUBTOTAL(9,K1360:K1504)</f>
        <v>47988.97</v>
      </c>
    </row>
    <row r="1383" s="456" customFormat="1" spans="1:15">
      <c r="A1383" s="488">
        <v>45944</v>
      </c>
      <c r="B1383" s="489" t="s">
        <v>459</v>
      </c>
      <c r="C1383" s="490">
        <v>45943</v>
      </c>
      <c r="D1383" s="491"/>
      <c r="E1383" s="491"/>
      <c r="F1383" s="493" t="s">
        <v>791</v>
      </c>
      <c r="G1383" s="491">
        <v>1</v>
      </c>
      <c r="H1383" s="431">
        <v>1</v>
      </c>
      <c r="I1383" s="491">
        <f t="shared" si="201"/>
        <v>1</v>
      </c>
      <c r="J1383" s="492">
        <v>25</v>
      </c>
      <c r="K1383" s="492">
        <f t="shared" si="204"/>
        <v>25</v>
      </c>
    </row>
    <row r="1384" s="456" customFormat="1" spans="1:15">
      <c r="A1384" s="488">
        <v>45944</v>
      </c>
      <c r="B1384" s="489" t="s">
        <v>459</v>
      </c>
      <c r="C1384" s="490">
        <v>45943</v>
      </c>
      <c r="D1384" s="491"/>
      <c r="E1384" s="491"/>
      <c r="F1384" s="498" t="s">
        <v>801</v>
      </c>
      <c r="G1384" s="491">
        <v>1</v>
      </c>
      <c r="H1384" s="431">
        <v>54</v>
      </c>
      <c r="I1384" s="491">
        <f t="shared" si="201"/>
        <v>54</v>
      </c>
      <c r="J1384" s="492"/>
      <c r="K1384" s="492"/>
    </row>
    <row r="1385" s="456" customFormat="1" spans="1:15">
      <c r="A1385" s="488">
        <v>45944</v>
      </c>
      <c r="B1385" s="489" t="s">
        <v>459</v>
      </c>
      <c r="C1385" s="490">
        <v>45943</v>
      </c>
      <c r="D1385" s="491"/>
      <c r="E1385" s="491"/>
      <c r="F1385" s="493" t="s">
        <v>132</v>
      </c>
      <c r="G1385" s="491">
        <v>1</v>
      </c>
      <c r="H1385" s="431">
        <v>27</v>
      </c>
      <c r="I1385" s="491">
        <f t="shared" si="201"/>
        <v>27</v>
      </c>
      <c r="J1385" s="492">
        <v>3.3</v>
      </c>
      <c r="K1385" s="492">
        <f t="shared" si="204"/>
        <v>89.1</v>
      </c>
      <c r="L1385" s="456" t="s">
        <v>812</v>
      </c>
    </row>
    <row r="1386" s="456" customFormat="1" spans="1:15">
      <c r="A1386" s="488">
        <v>45944</v>
      </c>
      <c r="B1386" s="489" t="s">
        <v>459</v>
      </c>
      <c r="C1386" s="490">
        <v>45943</v>
      </c>
      <c r="D1386" s="491"/>
      <c r="E1386" s="491"/>
      <c r="F1386" s="493" t="s">
        <v>813</v>
      </c>
      <c r="G1386" s="491">
        <v>1</v>
      </c>
      <c r="H1386" s="431">
        <f>SUM(H1376:H1385)</f>
        <v>361</v>
      </c>
      <c r="I1386" s="491">
        <f t="shared" si="201"/>
        <v>361</v>
      </c>
      <c r="J1386" s="492">
        <v>1</v>
      </c>
      <c r="K1386" s="492">
        <f t="shared" si="204"/>
        <v>361</v>
      </c>
      <c r="L1386" s="579">
        <f>SUM(K1376:K1387)</f>
        <v>1890.9</v>
      </c>
    </row>
    <row r="1387" s="456" customFormat="1" spans="1:15">
      <c r="A1387" s="488">
        <v>45944</v>
      </c>
      <c r="B1387" s="489" t="s">
        <v>459</v>
      </c>
      <c r="C1387" s="490">
        <v>45943</v>
      </c>
      <c r="D1387" s="491"/>
      <c r="E1387" s="491"/>
      <c r="F1387" s="493" t="s">
        <v>803</v>
      </c>
      <c r="G1387" s="491">
        <v>25</v>
      </c>
      <c r="H1387" s="431">
        <v>1</v>
      </c>
      <c r="I1387" s="491">
        <f t="shared" si="201"/>
        <v>25</v>
      </c>
      <c r="J1387" s="492">
        <v>12.5</v>
      </c>
      <c r="K1387" s="492">
        <f t="shared" si="204"/>
        <v>312.5</v>
      </c>
    </row>
    <row r="1388" s="457" customFormat="1" spans="1:15">
      <c r="A1388" s="494">
        <v>45945</v>
      </c>
      <c r="B1388" s="442" t="s">
        <v>649</v>
      </c>
      <c r="C1388" s="495">
        <v>45945</v>
      </c>
      <c r="D1388" s="463"/>
      <c r="E1388" s="463"/>
      <c r="F1388" s="496">
        <v>808</v>
      </c>
      <c r="G1388" s="463">
        <v>1</v>
      </c>
      <c r="H1388" s="432">
        <v>47</v>
      </c>
      <c r="I1388" s="463">
        <f t="shared" si="201"/>
        <v>47</v>
      </c>
      <c r="J1388" s="497">
        <v>7.6</v>
      </c>
      <c r="K1388" s="497">
        <f t="shared" si="204"/>
        <v>357.2</v>
      </c>
      <c r="L1388" s="457" t="s">
        <v>126</v>
      </c>
    </row>
    <row r="1389" s="457" customFormat="1" spans="1:15">
      <c r="A1389" s="494">
        <v>45945</v>
      </c>
      <c r="B1389" s="442" t="s">
        <v>649</v>
      </c>
      <c r="C1389" s="495">
        <v>45945</v>
      </c>
      <c r="D1389" s="463"/>
      <c r="E1389" s="463"/>
      <c r="F1389" s="496" t="s">
        <v>125</v>
      </c>
      <c r="G1389" s="463">
        <v>1</v>
      </c>
      <c r="H1389" s="432">
        <v>101</v>
      </c>
      <c r="I1389" s="463">
        <f t="shared" si="201"/>
        <v>101</v>
      </c>
      <c r="J1389" s="497">
        <v>5.4</v>
      </c>
      <c r="K1389" s="497">
        <f t="shared" si="204"/>
        <v>545.4</v>
      </c>
      <c r="O1389" s="456"/>
    </row>
    <row r="1390" s="457" customFormat="1" spans="1:15">
      <c r="A1390" s="494">
        <v>45945</v>
      </c>
      <c r="B1390" s="442" t="s">
        <v>649</v>
      </c>
      <c r="C1390" s="495">
        <v>45945</v>
      </c>
      <c r="D1390" s="463"/>
      <c r="E1390" s="463"/>
      <c r="F1390" s="496" t="s">
        <v>12</v>
      </c>
      <c r="G1390" s="463">
        <v>1</v>
      </c>
      <c r="H1390" s="432">
        <v>9.4</v>
      </c>
      <c r="I1390" s="463">
        <f t="shared" si="201"/>
        <v>9.4</v>
      </c>
      <c r="J1390" s="497">
        <v>6.3</v>
      </c>
      <c r="K1390" s="497">
        <f t="shared" si="204"/>
        <v>59.22</v>
      </c>
    </row>
    <row r="1391" s="457" customFormat="1" spans="1:15">
      <c r="A1391" s="494">
        <v>45945</v>
      </c>
      <c r="B1391" s="442" t="s">
        <v>649</v>
      </c>
      <c r="C1391" s="495">
        <v>45945</v>
      </c>
      <c r="D1391" s="463"/>
      <c r="E1391" s="463"/>
      <c r="F1391" s="496" t="s">
        <v>240</v>
      </c>
      <c r="G1391" s="463">
        <v>1</v>
      </c>
      <c r="H1391" s="432">
        <v>71</v>
      </c>
      <c r="I1391" s="463">
        <f t="shared" si="201"/>
        <v>71</v>
      </c>
      <c r="J1391" s="497"/>
      <c r="K1391" s="497"/>
      <c r="M1391" s="457" t="s">
        <v>678</v>
      </c>
    </row>
    <row r="1392" s="457" customFormat="1" spans="1:15">
      <c r="A1392" s="494">
        <v>45945</v>
      </c>
      <c r="B1392" s="442" t="s">
        <v>649</v>
      </c>
      <c r="C1392" s="495">
        <v>45945</v>
      </c>
      <c r="D1392" s="463"/>
      <c r="E1392" s="463"/>
      <c r="F1392" s="496" t="s">
        <v>16</v>
      </c>
      <c r="G1392" s="463">
        <v>1</v>
      </c>
      <c r="H1392" s="432">
        <v>71</v>
      </c>
      <c r="I1392" s="463">
        <f t="shared" si="201"/>
        <v>71</v>
      </c>
      <c r="J1392" s="497"/>
      <c r="K1392" s="497"/>
    </row>
    <row r="1393" s="457" customFormat="1" spans="1:14">
      <c r="A1393" s="494">
        <v>45945</v>
      </c>
      <c r="B1393" s="442" t="s">
        <v>649</v>
      </c>
      <c r="C1393" s="495">
        <v>45945</v>
      </c>
      <c r="D1393" s="463"/>
      <c r="E1393" s="463"/>
      <c r="F1393" s="496" t="s">
        <v>300</v>
      </c>
      <c r="G1393" s="463">
        <v>1</v>
      </c>
      <c r="H1393" s="432">
        <v>71</v>
      </c>
      <c r="I1393" s="463">
        <f t="shared" si="201"/>
        <v>71</v>
      </c>
      <c r="J1393" s="497"/>
      <c r="K1393" s="497"/>
    </row>
    <row r="1394" s="457" customFormat="1" spans="1:14">
      <c r="A1394" s="494">
        <v>45945</v>
      </c>
      <c r="B1394" s="442" t="s">
        <v>649</v>
      </c>
      <c r="C1394" s="495">
        <v>45945</v>
      </c>
      <c r="D1394" s="463"/>
      <c r="E1394" s="463"/>
      <c r="F1394" s="496" t="s">
        <v>546</v>
      </c>
      <c r="G1394" s="463">
        <v>1</v>
      </c>
      <c r="H1394" s="432">
        <v>101</v>
      </c>
      <c r="I1394" s="463">
        <f t="shared" si="201"/>
        <v>101</v>
      </c>
      <c r="J1394" s="497"/>
      <c r="K1394" s="497"/>
    </row>
    <row r="1395" s="457" customFormat="1" spans="1:14">
      <c r="A1395" s="494">
        <v>45945</v>
      </c>
      <c r="B1395" s="442" t="s">
        <v>649</v>
      </c>
      <c r="C1395" s="495">
        <v>45945</v>
      </c>
      <c r="D1395" s="463"/>
      <c r="E1395" s="463"/>
      <c r="F1395" s="496" t="s">
        <v>301</v>
      </c>
      <c r="G1395" s="463">
        <v>1</v>
      </c>
      <c r="H1395" s="432">
        <f>SUM(H1388:H1394)</f>
        <v>471.4</v>
      </c>
      <c r="I1395" s="463">
        <f t="shared" si="201"/>
        <v>471.4</v>
      </c>
      <c r="J1395" s="497">
        <v>1</v>
      </c>
      <c r="K1395" s="497">
        <f>I1395*J1395</f>
        <v>471.4</v>
      </c>
      <c r="L1395" s="457">
        <f>SUM(K1388:K1395)</f>
        <v>1433.22</v>
      </c>
    </row>
    <row r="1396" s="456" customFormat="1" spans="1:14">
      <c r="A1396" s="488">
        <v>45946</v>
      </c>
      <c r="B1396" s="489" t="s">
        <v>427</v>
      </c>
      <c r="C1396" s="490" t="s">
        <v>471</v>
      </c>
      <c r="D1396" s="491"/>
      <c r="E1396" s="491"/>
      <c r="F1396" s="493" t="s">
        <v>176</v>
      </c>
      <c r="G1396" s="491">
        <v>1</v>
      </c>
      <c r="H1396" s="431">
        <v>200</v>
      </c>
      <c r="I1396" s="491">
        <f t="shared" si="201"/>
        <v>200</v>
      </c>
      <c r="J1396" s="492">
        <v>13</v>
      </c>
      <c r="K1396" s="492"/>
    </row>
    <row r="1397" s="456" customFormat="1" spans="1:14">
      <c r="A1397" s="488">
        <v>45946</v>
      </c>
      <c r="B1397" s="489" t="s">
        <v>427</v>
      </c>
      <c r="C1397" s="490" t="s">
        <v>471</v>
      </c>
      <c r="D1397" s="491"/>
      <c r="E1397" s="491"/>
      <c r="F1397" s="493" t="s">
        <v>171</v>
      </c>
      <c r="G1397" s="491">
        <v>1</v>
      </c>
      <c r="H1397" s="431">
        <v>100</v>
      </c>
      <c r="I1397" s="491">
        <f t="shared" si="201"/>
        <v>100</v>
      </c>
      <c r="J1397" s="492">
        <v>22</v>
      </c>
      <c r="K1397" s="492"/>
      <c r="L1397" s="536"/>
      <c r="M1397" s="536"/>
      <c r="N1397" s="536"/>
    </row>
    <row r="1398" s="456" customFormat="1" spans="1:14">
      <c r="A1398" s="488">
        <v>45946</v>
      </c>
      <c r="B1398" s="489" t="s">
        <v>427</v>
      </c>
      <c r="C1398" s="490" t="s">
        <v>471</v>
      </c>
      <c r="D1398" s="491"/>
      <c r="E1398" s="491"/>
      <c r="F1398" s="493" t="s">
        <v>774</v>
      </c>
      <c r="G1398" s="491">
        <v>1</v>
      </c>
      <c r="H1398" s="431">
        <v>25</v>
      </c>
      <c r="I1398" s="491">
        <f t="shared" si="201"/>
        <v>25</v>
      </c>
      <c r="J1398" s="492">
        <v>82</v>
      </c>
      <c r="K1398" s="492">
        <f t="shared" ref="K1398:K1409" si="205">I1398*J1398</f>
        <v>2050</v>
      </c>
      <c r="L1398" s="536" t="s">
        <v>775</v>
      </c>
      <c r="M1398" s="536"/>
      <c r="N1398" s="536"/>
    </row>
    <row r="1399" s="456" customFormat="1" spans="1:14">
      <c r="A1399" s="488">
        <v>45946</v>
      </c>
      <c r="B1399" s="489" t="s">
        <v>427</v>
      </c>
      <c r="C1399" s="490" t="s">
        <v>471</v>
      </c>
      <c r="D1399" s="491"/>
      <c r="E1399" s="491"/>
      <c r="F1399" s="493">
        <v>808</v>
      </c>
      <c r="G1399" s="491">
        <v>1</v>
      </c>
      <c r="H1399" s="431">
        <v>300</v>
      </c>
      <c r="I1399" s="491">
        <f t="shared" si="201"/>
        <v>300</v>
      </c>
      <c r="J1399" s="492">
        <v>7.6</v>
      </c>
      <c r="K1399" s="492">
        <f t="shared" si="205"/>
        <v>2280</v>
      </c>
      <c r="L1399" s="536" t="s">
        <v>472</v>
      </c>
      <c r="N1399" s="536"/>
    </row>
    <row r="1400" s="456" customFormat="1" spans="1:14">
      <c r="A1400" s="488">
        <v>45946</v>
      </c>
      <c r="B1400" s="489" t="s">
        <v>427</v>
      </c>
      <c r="C1400" s="490" t="s">
        <v>471</v>
      </c>
      <c r="D1400" s="491"/>
      <c r="E1400" s="491"/>
      <c r="F1400" s="493" t="s">
        <v>125</v>
      </c>
      <c r="G1400" s="491">
        <v>1</v>
      </c>
      <c r="H1400" s="431">
        <v>125</v>
      </c>
      <c r="I1400" s="491">
        <f t="shared" si="201"/>
        <v>125</v>
      </c>
      <c r="J1400" s="492">
        <v>5.4</v>
      </c>
      <c r="K1400" s="492">
        <f t="shared" si="205"/>
        <v>675</v>
      </c>
      <c r="L1400" s="536"/>
      <c r="M1400" s="536" t="s">
        <v>473</v>
      </c>
      <c r="N1400" s="536"/>
    </row>
    <row r="1401" s="456" customFormat="1" spans="1:14">
      <c r="A1401" s="488">
        <v>45946</v>
      </c>
      <c r="B1401" s="489" t="s">
        <v>427</v>
      </c>
      <c r="C1401" s="490" t="s">
        <v>471</v>
      </c>
      <c r="D1401" s="491"/>
      <c r="E1401" s="491"/>
      <c r="F1401" s="493" t="s">
        <v>179</v>
      </c>
      <c r="G1401" s="491">
        <v>1</v>
      </c>
      <c r="H1401" s="431">
        <f>SUM(H1396:H1400)</f>
        <v>750</v>
      </c>
      <c r="I1401" s="491">
        <f t="shared" si="201"/>
        <v>750</v>
      </c>
      <c r="J1401" s="492">
        <v>7.5</v>
      </c>
      <c r="K1401" s="492">
        <f t="shared" si="205"/>
        <v>5625</v>
      </c>
      <c r="L1401" s="536">
        <f>SUM(K1396:K1401)</f>
        <v>10630</v>
      </c>
      <c r="M1401" s="536"/>
      <c r="N1401" s="536"/>
    </row>
    <row r="1402" s="459" customFormat="1" spans="1:14">
      <c r="A1402" s="517">
        <v>45948</v>
      </c>
      <c r="B1402" s="518" t="s">
        <v>369</v>
      </c>
      <c r="C1402" s="519" t="s">
        <v>814</v>
      </c>
      <c r="D1402" s="520"/>
      <c r="E1402" s="520"/>
      <c r="F1402" s="498" t="s">
        <v>815</v>
      </c>
      <c r="G1402" s="520">
        <v>1</v>
      </c>
      <c r="H1402" s="521">
        <v>2</v>
      </c>
      <c r="I1402" s="520">
        <f t="shared" si="201"/>
        <v>2</v>
      </c>
      <c r="J1402" s="515">
        <v>18</v>
      </c>
      <c r="K1402" s="515">
        <f t="shared" si="205"/>
        <v>36</v>
      </c>
      <c r="L1402" s="459" t="s">
        <v>816</v>
      </c>
      <c r="N1402" s="580" t="s">
        <v>817</v>
      </c>
    </row>
    <row r="1403" s="459" customFormat="1" spans="1:14">
      <c r="A1403" s="517">
        <v>45948</v>
      </c>
      <c r="B1403" s="518" t="s">
        <v>369</v>
      </c>
      <c r="C1403" s="519" t="s">
        <v>814</v>
      </c>
      <c r="D1403" s="520"/>
      <c r="E1403" s="520"/>
      <c r="F1403" s="498" t="s">
        <v>818</v>
      </c>
      <c r="G1403" s="520">
        <v>1</v>
      </c>
      <c r="H1403" s="521">
        <v>2</v>
      </c>
      <c r="I1403" s="520">
        <f t="shared" si="201"/>
        <v>2</v>
      </c>
      <c r="J1403" s="515">
        <v>18</v>
      </c>
      <c r="K1403" s="515">
        <f t="shared" si="205"/>
        <v>36</v>
      </c>
      <c r="L1403" s="459" t="s">
        <v>819</v>
      </c>
      <c r="N1403" s="580"/>
    </row>
    <row r="1404" s="459" customFormat="1" spans="1:14">
      <c r="A1404" s="517">
        <v>45948</v>
      </c>
      <c r="B1404" s="518" t="s">
        <v>369</v>
      </c>
      <c r="C1404" s="519" t="s">
        <v>814</v>
      </c>
      <c r="D1404" s="520"/>
      <c r="E1404" s="520"/>
      <c r="F1404" s="581" t="s">
        <v>820</v>
      </c>
      <c r="G1404" s="520">
        <v>1</v>
      </c>
      <c r="H1404" s="521">
        <v>2</v>
      </c>
      <c r="I1404" s="520">
        <f t="shared" si="201"/>
        <v>2</v>
      </c>
      <c r="J1404" s="515">
        <v>21</v>
      </c>
      <c r="K1404" s="515">
        <f t="shared" si="205"/>
        <v>42</v>
      </c>
      <c r="L1404" s="459" t="s">
        <v>821</v>
      </c>
      <c r="N1404" s="580"/>
    </row>
    <row r="1405" s="459" customFormat="1" spans="1:14">
      <c r="A1405" s="517">
        <v>45948</v>
      </c>
      <c r="B1405" s="518" t="s">
        <v>369</v>
      </c>
      <c r="C1405" s="519" t="s">
        <v>814</v>
      </c>
      <c r="D1405" s="520"/>
      <c r="E1405" s="520"/>
      <c r="F1405" s="581" t="s">
        <v>822</v>
      </c>
      <c r="G1405" s="520">
        <v>1</v>
      </c>
      <c r="H1405" s="521">
        <v>2</v>
      </c>
      <c r="I1405" s="520">
        <f t="shared" si="201"/>
        <v>2</v>
      </c>
      <c r="J1405" s="515">
        <v>25</v>
      </c>
      <c r="K1405" s="515">
        <f t="shared" si="205"/>
        <v>50</v>
      </c>
      <c r="L1405" s="459" t="s">
        <v>823</v>
      </c>
      <c r="N1405" s="580"/>
    </row>
    <row r="1406" s="459" customFormat="1" spans="1:14">
      <c r="A1406" s="517">
        <v>45948</v>
      </c>
      <c r="B1406" s="518" t="s">
        <v>369</v>
      </c>
      <c r="C1406" s="519" t="s">
        <v>814</v>
      </c>
      <c r="D1406" s="520"/>
      <c r="E1406" s="520"/>
      <c r="F1406" s="498" t="s">
        <v>756</v>
      </c>
      <c r="G1406" s="520">
        <v>4</v>
      </c>
      <c r="H1406" s="521">
        <v>1</v>
      </c>
      <c r="I1406" s="520">
        <f t="shared" ref="I1406:I1409" si="206">G1406*H1406</f>
        <v>4</v>
      </c>
      <c r="J1406" s="515">
        <v>5.5</v>
      </c>
      <c r="K1406" s="515">
        <f t="shared" si="205"/>
        <v>22</v>
      </c>
      <c r="N1406" s="582"/>
    </row>
    <row r="1407" s="459" customFormat="1" spans="1:14">
      <c r="A1407" s="517">
        <v>45948</v>
      </c>
      <c r="B1407" s="518" t="s">
        <v>369</v>
      </c>
      <c r="C1407" s="519" t="s">
        <v>824</v>
      </c>
      <c r="D1407" s="520"/>
      <c r="E1407" s="520"/>
      <c r="F1407" s="581" t="s">
        <v>822</v>
      </c>
      <c r="G1407" s="520">
        <v>4</v>
      </c>
      <c r="H1407" s="521">
        <v>5</v>
      </c>
      <c r="I1407" s="520">
        <f t="shared" si="206"/>
        <v>20</v>
      </c>
      <c r="J1407" s="515">
        <v>25</v>
      </c>
      <c r="K1407" s="515">
        <f t="shared" si="205"/>
        <v>500</v>
      </c>
      <c r="L1407" s="459" t="s">
        <v>825</v>
      </c>
    </row>
    <row r="1408" s="459" customFormat="1" spans="1:14">
      <c r="A1408" s="517">
        <v>45948</v>
      </c>
      <c r="B1408" s="518" t="s">
        <v>369</v>
      </c>
      <c r="C1408" s="519" t="s">
        <v>824</v>
      </c>
      <c r="D1408" s="520"/>
      <c r="E1408" s="520"/>
      <c r="F1408" s="498" t="s">
        <v>826</v>
      </c>
      <c r="G1408" s="520">
        <v>4</v>
      </c>
      <c r="H1408" s="521">
        <v>1</v>
      </c>
      <c r="I1408" s="520">
        <f t="shared" si="206"/>
        <v>4</v>
      </c>
      <c r="J1408" s="515">
        <v>7</v>
      </c>
      <c r="K1408" s="515">
        <f t="shared" si="205"/>
        <v>28</v>
      </c>
      <c r="L1408" s="459">
        <f>SUM(K1402:K1409)</f>
        <v>549</v>
      </c>
      <c r="M1408" s="459" t="s">
        <v>827</v>
      </c>
    </row>
    <row r="1409" s="459" customFormat="1" spans="1:26">
      <c r="A1409" s="517">
        <v>45948</v>
      </c>
      <c r="B1409" s="518" t="s">
        <v>369</v>
      </c>
      <c r="C1409" s="519" t="s">
        <v>824</v>
      </c>
      <c r="D1409" s="520"/>
      <c r="E1409" s="520"/>
      <c r="F1409" s="498" t="s">
        <v>828</v>
      </c>
      <c r="G1409" s="520">
        <v>-1</v>
      </c>
      <c r="H1409" s="521">
        <v>11</v>
      </c>
      <c r="I1409" s="520">
        <f t="shared" si="206"/>
        <v>-11</v>
      </c>
      <c r="J1409" s="515">
        <v>15</v>
      </c>
      <c r="K1409" s="525">
        <f t="shared" si="205"/>
        <v>-165</v>
      </c>
      <c r="L1409" s="461" t="s">
        <v>829</v>
      </c>
    </row>
    <row r="1410" s="456" customFormat="1" spans="1:26">
      <c r="A1410" s="488">
        <v>45946</v>
      </c>
      <c r="B1410" s="489" t="s">
        <v>370</v>
      </c>
      <c r="C1410" s="490" t="s">
        <v>830</v>
      </c>
      <c r="D1410" s="491"/>
      <c r="E1410" s="491"/>
      <c r="F1410" s="493" t="s">
        <v>16</v>
      </c>
      <c r="G1410" s="491">
        <v>1</v>
      </c>
      <c r="H1410" s="431">
        <v>50</v>
      </c>
      <c r="I1410" s="491">
        <f t="shared" ref="I1410:I1436" si="207">G1410*H1410</f>
        <v>50</v>
      </c>
      <c r="J1410" s="492"/>
      <c r="K1410" s="492"/>
    </row>
    <row r="1411" s="456" customFormat="1" spans="1:26">
      <c r="A1411" s="488">
        <v>45946</v>
      </c>
      <c r="B1411" s="489" t="s">
        <v>370</v>
      </c>
      <c r="C1411" s="490" t="s">
        <v>830</v>
      </c>
      <c r="D1411" s="491"/>
      <c r="E1411" s="491"/>
      <c r="F1411" s="493" t="s">
        <v>93</v>
      </c>
      <c r="G1411" s="491">
        <v>1</v>
      </c>
      <c r="H1411" s="431">
        <v>125</v>
      </c>
      <c r="I1411" s="491">
        <f t="shared" si="207"/>
        <v>125</v>
      </c>
      <c r="J1411" s="492"/>
      <c r="K1411" s="492"/>
    </row>
    <row r="1412" s="456" customFormat="1" spans="1:26">
      <c r="A1412" s="488">
        <v>45946</v>
      </c>
      <c r="B1412" s="489" t="s">
        <v>370</v>
      </c>
      <c r="C1412" s="490" t="s">
        <v>830</v>
      </c>
      <c r="D1412" s="491"/>
      <c r="E1412" s="491"/>
      <c r="F1412" s="493">
        <v>808</v>
      </c>
      <c r="G1412" s="491">
        <v>1</v>
      </c>
      <c r="H1412" s="431">
        <v>25</v>
      </c>
      <c r="I1412" s="491">
        <f t="shared" si="207"/>
        <v>25</v>
      </c>
      <c r="J1412" s="492">
        <v>7.6</v>
      </c>
      <c r="K1412" s="492">
        <f t="shared" ref="K1412:K1417" si="208">I1412*J1412</f>
        <v>190</v>
      </c>
      <c r="M1412" s="456">
        <f>SUBTOTAL(9,K1366:K1506)</f>
        <v>48393.87</v>
      </c>
    </row>
    <row r="1413" s="456" customFormat="1" spans="1:26">
      <c r="A1413" s="488">
        <v>45946</v>
      </c>
      <c r="B1413" s="489" t="s">
        <v>370</v>
      </c>
      <c r="C1413" s="490" t="s">
        <v>830</v>
      </c>
      <c r="D1413" s="491"/>
      <c r="E1413" s="491"/>
      <c r="F1413" s="493" t="s">
        <v>12</v>
      </c>
      <c r="G1413" s="491">
        <v>1</v>
      </c>
      <c r="H1413" s="431">
        <v>25</v>
      </c>
      <c r="I1413" s="491">
        <f t="shared" si="207"/>
        <v>25</v>
      </c>
      <c r="J1413" s="492">
        <v>6.3</v>
      </c>
      <c r="K1413" s="492">
        <f t="shared" si="208"/>
        <v>157.5</v>
      </c>
    </row>
    <row r="1414" s="456" customFormat="1" spans="1:26">
      <c r="A1414" s="488">
        <v>45946</v>
      </c>
      <c r="B1414" s="489" t="s">
        <v>370</v>
      </c>
      <c r="C1414" s="490" t="s">
        <v>830</v>
      </c>
      <c r="D1414" s="491"/>
      <c r="E1414" s="491"/>
      <c r="F1414" s="493" t="s">
        <v>628</v>
      </c>
      <c r="G1414" s="491">
        <v>1</v>
      </c>
      <c r="H1414" s="431">
        <f>SUM(H1410:H1413)</f>
        <v>225</v>
      </c>
      <c r="I1414" s="491">
        <f t="shared" si="207"/>
        <v>225</v>
      </c>
      <c r="J1414" s="492">
        <v>5</v>
      </c>
      <c r="K1414" s="492">
        <f t="shared" si="208"/>
        <v>1125</v>
      </c>
      <c r="L1414" s="456">
        <f>SUM(K1410:K1414)</f>
        <v>1472.5</v>
      </c>
    </row>
    <row r="1415" s="457" customFormat="1" spans="1:26">
      <c r="A1415" s="494">
        <v>45946</v>
      </c>
      <c r="B1415" s="442" t="s">
        <v>372</v>
      </c>
      <c r="C1415" s="495">
        <v>45946</v>
      </c>
      <c r="D1415" s="463"/>
      <c r="E1415" s="463"/>
      <c r="F1415" s="496">
        <v>808</v>
      </c>
      <c r="G1415" s="463">
        <v>1</v>
      </c>
      <c r="H1415" s="432">
        <v>50</v>
      </c>
      <c r="I1415" s="463">
        <f t="shared" si="207"/>
        <v>50</v>
      </c>
      <c r="J1415" s="497">
        <v>7.6</v>
      </c>
      <c r="K1415" s="497">
        <f t="shared" si="208"/>
        <v>380</v>
      </c>
    </row>
    <row r="1416" s="457" customFormat="1" spans="1:26">
      <c r="A1416" s="494">
        <v>45946</v>
      </c>
      <c r="B1416" s="442" t="s">
        <v>372</v>
      </c>
      <c r="C1416" s="495">
        <v>45946</v>
      </c>
      <c r="D1416" s="463"/>
      <c r="E1416" s="463"/>
      <c r="F1416" s="496" t="s">
        <v>152</v>
      </c>
      <c r="G1416" s="463">
        <v>1</v>
      </c>
      <c r="H1416" s="432">
        <v>155</v>
      </c>
      <c r="I1416" s="463">
        <f t="shared" si="207"/>
        <v>155</v>
      </c>
      <c r="J1416" s="497">
        <v>6.3</v>
      </c>
      <c r="K1416" s="497">
        <f t="shared" si="208"/>
        <v>976.5</v>
      </c>
    </row>
    <row r="1417" s="457" customFormat="1" spans="1:26">
      <c r="A1417" s="494">
        <v>45946</v>
      </c>
      <c r="B1417" s="442" t="s">
        <v>372</v>
      </c>
      <c r="C1417" s="495">
        <v>45946</v>
      </c>
      <c r="D1417" s="463"/>
      <c r="E1417" s="463"/>
      <c r="F1417" s="496" t="s">
        <v>12</v>
      </c>
      <c r="G1417" s="463">
        <v>1</v>
      </c>
      <c r="H1417" s="432">
        <v>95</v>
      </c>
      <c r="I1417" s="463">
        <f t="shared" si="207"/>
        <v>95</v>
      </c>
      <c r="J1417" s="497">
        <v>6.3</v>
      </c>
      <c r="K1417" s="497">
        <f t="shared" si="208"/>
        <v>598.5</v>
      </c>
    </row>
    <row r="1418" s="457" customFormat="1" spans="1:26">
      <c r="A1418" s="494">
        <v>45946</v>
      </c>
      <c r="B1418" s="442" t="s">
        <v>372</v>
      </c>
      <c r="C1418" s="495">
        <v>45946</v>
      </c>
      <c r="D1418" s="463"/>
      <c r="E1418" s="463"/>
      <c r="F1418" s="496" t="s">
        <v>709</v>
      </c>
      <c r="G1418" s="463">
        <v>1</v>
      </c>
      <c r="H1418" s="432">
        <v>150</v>
      </c>
      <c r="I1418" s="463">
        <f t="shared" si="207"/>
        <v>150</v>
      </c>
      <c r="J1418" s="497"/>
      <c r="K1418" s="497"/>
      <c r="L1418" s="457" t="s">
        <v>126</v>
      </c>
    </row>
    <row r="1419" s="457" customFormat="1" spans="1:26">
      <c r="A1419" s="494">
        <v>45946</v>
      </c>
      <c r="B1419" s="442" t="s">
        <v>372</v>
      </c>
      <c r="C1419" s="495">
        <v>45946</v>
      </c>
      <c r="D1419" s="463"/>
      <c r="E1419" s="463"/>
      <c r="F1419" s="496" t="s">
        <v>710</v>
      </c>
      <c r="G1419" s="463">
        <v>1</v>
      </c>
      <c r="H1419" s="432">
        <v>253</v>
      </c>
      <c r="I1419" s="463">
        <f t="shared" si="207"/>
        <v>253</v>
      </c>
      <c r="J1419" s="497"/>
      <c r="K1419" s="497"/>
    </row>
    <row r="1420" s="457" customFormat="1" spans="1:26">
      <c r="A1420" s="494">
        <v>45946</v>
      </c>
      <c r="B1420" s="442" t="s">
        <v>372</v>
      </c>
      <c r="C1420" s="495">
        <v>45946</v>
      </c>
      <c r="D1420" s="463"/>
      <c r="E1420" s="463"/>
      <c r="F1420" s="498" t="s">
        <v>782</v>
      </c>
      <c r="G1420" s="463">
        <v>1</v>
      </c>
      <c r="H1420" s="432">
        <v>147</v>
      </c>
      <c r="I1420" s="463">
        <f t="shared" si="207"/>
        <v>147</v>
      </c>
      <c r="J1420" s="497"/>
      <c r="K1420" s="497"/>
    </row>
    <row r="1421" s="457" customFormat="1" spans="1:26">
      <c r="A1421" s="494">
        <v>45946</v>
      </c>
      <c r="B1421" s="442" t="s">
        <v>372</v>
      </c>
      <c r="C1421" s="495">
        <v>45946</v>
      </c>
      <c r="D1421" s="463"/>
      <c r="E1421" s="463"/>
      <c r="F1421" s="496" t="s">
        <v>16</v>
      </c>
      <c r="G1421" s="463">
        <v>1</v>
      </c>
      <c r="H1421" s="432">
        <v>150</v>
      </c>
      <c r="I1421" s="463">
        <f t="shared" si="207"/>
        <v>150</v>
      </c>
      <c r="J1421" s="497"/>
      <c r="K1421" s="497"/>
      <c r="R1421" s="456"/>
      <c r="S1421" s="456"/>
      <c r="T1421" s="456"/>
      <c r="U1421" s="456"/>
      <c r="V1421" s="456"/>
      <c r="W1421" s="456"/>
      <c r="X1421" s="456"/>
      <c r="Y1421" s="456"/>
      <c r="Z1421" s="456"/>
    </row>
    <row r="1422" s="457" customFormat="1" spans="1:26">
      <c r="A1422" s="494">
        <v>45946</v>
      </c>
      <c r="B1422" s="442" t="s">
        <v>372</v>
      </c>
      <c r="C1422" s="495">
        <v>45946</v>
      </c>
      <c r="D1422" s="463"/>
      <c r="E1422" s="463"/>
      <c r="F1422" s="496" t="s">
        <v>783</v>
      </c>
      <c r="G1422" s="463">
        <v>1</v>
      </c>
      <c r="H1422" s="432">
        <f>SUM(H1415:H1421)</f>
        <v>1000</v>
      </c>
      <c r="I1422" s="463">
        <f t="shared" si="207"/>
        <v>1000</v>
      </c>
      <c r="J1422" s="497">
        <v>1</v>
      </c>
      <c r="K1422" s="497">
        <f>I1422*J1422</f>
        <v>1000</v>
      </c>
      <c r="L1422" s="457">
        <f>SUM(K1415:K1422)</f>
        <v>2955</v>
      </c>
      <c r="R1422" s="456"/>
      <c r="S1422" s="456"/>
      <c r="T1422" s="456"/>
      <c r="U1422" s="456"/>
      <c r="V1422" s="456"/>
      <c r="W1422" s="456"/>
      <c r="X1422" s="456"/>
      <c r="Y1422" s="456"/>
      <c r="Z1422" s="456"/>
    </row>
    <row r="1423" s="456" customFormat="1" spans="1:26">
      <c r="A1423" s="488">
        <v>45948</v>
      </c>
      <c r="B1423" s="489" t="s">
        <v>272</v>
      </c>
      <c r="C1423" s="490" t="s">
        <v>831</v>
      </c>
      <c r="D1423" s="491"/>
      <c r="E1423" s="491"/>
      <c r="F1423" s="493" t="s">
        <v>16</v>
      </c>
      <c r="G1423" s="491">
        <v>1</v>
      </c>
      <c r="H1423" s="431">
        <v>70</v>
      </c>
      <c r="I1423" s="491">
        <f t="shared" si="207"/>
        <v>70</v>
      </c>
      <c r="J1423" s="492"/>
      <c r="K1423" s="492"/>
    </row>
    <row r="1424" s="456" customFormat="1" spans="1:26">
      <c r="A1424" s="488">
        <v>45948</v>
      </c>
      <c r="B1424" s="489" t="s">
        <v>272</v>
      </c>
      <c r="C1424" s="490" t="s">
        <v>831</v>
      </c>
      <c r="D1424" s="491"/>
      <c r="E1424" s="491"/>
      <c r="F1424" s="493" t="s">
        <v>832</v>
      </c>
      <c r="G1424" s="491">
        <v>1</v>
      </c>
      <c r="H1424" s="431">
        <v>100</v>
      </c>
      <c r="I1424" s="491">
        <f t="shared" si="207"/>
        <v>100</v>
      </c>
      <c r="J1424" s="492"/>
      <c r="K1424" s="492"/>
    </row>
    <row r="1425" s="456" customFormat="1" spans="1:12">
      <c r="A1425" s="488">
        <v>45948</v>
      </c>
      <c r="B1425" s="489" t="s">
        <v>272</v>
      </c>
      <c r="C1425" s="490" t="s">
        <v>831</v>
      </c>
      <c r="D1425" s="491"/>
      <c r="E1425" s="491"/>
      <c r="F1425" s="493">
        <v>808</v>
      </c>
      <c r="G1425" s="491">
        <v>1</v>
      </c>
      <c r="H1425" s="431">
        <v>20</v>
      </c>
      <c r="I1425" s="491">
        <f t="shared" si="207"/>
        <v>20</v>
      </c>
      <c r="J1425" s="492">
        <v>7.6</v>
      </c>
      <c r="K1425" s="492">
        <f>I1425*J1425</f>
        <v>152</v>
      </c>
    </row>
    <row r="1426" s="456" customFormat="1" spans="1:12">
      <c r="A1426" s="488">
        <v>45948</v>
      </c>
      <c r="B1426" s="489" t="s">
        <v>272</v>
      </c>
      <c r="C1426" s="490" t="s">
        <v>831</v>
      </c>
      <c r="D1426" s="491"/>
      <c r="E1426" s="491"/>
      <c r="F1426" s="493" t="s">
        <v>12</v>
      </c>
      <c r="G1426" s="491">
        <v>1</v>
      </c>
      <c r="H1426" s="431">
        <v>25</v>
      </c>
      <c r="I1426" s="491">
        <f t="shared" si="207"/>
        <v>25</v>
      </c>
      <c r="J1426" s="492">
        <v>6.3</v>
      </c>
      <c r="K1426" s="492">
        <f>I1426*J1426</f>
        <v>157.5</v>
      </c>
    </row>
    <row r="1427" s="456" customFormat="1" spans="1:12">
      <c r="A1427" s="488">
        <v>45948</v>
      </c>
      <c r="B1427" s="489" t="s">
        <v>272</v>
      </c>
      <c r="C1427" s="490" t="s">
        <v>831</v>
      </c>
      <c r="D1427" s="491"/>
      <c r="E1427" s="491"/>
      <c r="F1427" s="493" t="s">
        <v>833</v>
      </c>
      <c r="G1427" s="491">
        <v>1</v>
      </c>
      <c r="H1427" s="431">
        <f>SUM(H1423:H1426)</f>
        <v>215</v>
      </c>
      <c r="I1427" s="491">
        <f t="shared" si="207"/>
        <v>215</v>
      </c>
      <c r="J1427" s="492">
        <v>5</v>
      </c>
      <c r="K1427" s="492">
        <f>I1427*J1427</f>
        <v>1075</v>
      </c>
      <c r="L1427" s="456">
        <f>SUM(K1423:K1427)</f>
        <v>1384.5</v>
      </c>
    </row>
    <row r="1428" s="457" customFormat="1" spans="1:12">
      <c r="A1428" s="494">
        <v>45948</v>
      </c>
      <c r="B1428" s="442" t="s">
        <v>168</v>
      </c>
      <c r="C1428" s="495">
        <v>45947</v>
      </c>
      <c r="D1428" s="463"/>
      <c r="E1428" s="463"/>
      <c r="F1428" s="457" t="s">
        <v>16</v>
      </c>
      <c r="G1428" s="442">
        <v>1</v>
      </c>
      <c r="H1428" s="442">
        <v>90</v>
      </c>
      <c r="I1428" s="463">
        <f t="shared" si="207"/>
        <v>90</v>
      </c>
      <c r="J1428" s="497"/>
      <c r="K1428" s="497"/>
    </row>
    <row r="1429" s="457" customFormat="1" spans="1:12">
      <c r="A1429" s="494">
        <v>45948</v>
      </c>
      <c r="B1429" s="442" t="s">
        <v>168</v>
      </c>
      <c r="C1429" s="495">
        <v>45947</v>
      </c>
      <c r="D1429" s="463"/>
      <c r="E1429" s="463"/>
      <c r="F1429" s="457" t="s">
        <v>785</v>
      </c>
      <c r="G1429" s="442">
        <v>1</v>
      </c>
      <c r="H1429" s="442">
        <v>136.5</v>
      </c>
      <c r="I1429" s="463">
        <f t="shared" si="207"/>
        <v>136.5</v>
      </c>
      <c r="J1429" s="497"/>
      <c r="K1429" s="497"/>
    </row>
    <row r="1430" s="457" customFormat="1" spans="1:12">
      <c r="A1430" s="494">
        <v>45948</v>
      </c>
      <c r="B1430" s="442" t="s">
        <v>168</v>
      </c>
      <c r="C1430" s="495">
        <v>45947</v>
      </c>
      <c r="D1430" s="463"/>
      <c r="E1430" s="463"/>
      <c r="F1430" s="457" t="s">
        <v>547</v>
      </c>
      <c r="G1430" s="442">
        <v>1</v>
      </c>
      <c r="H1430" s="442">
        <v>35</v>
      </c>
      <c r="I1430" s="463">
        <f t="shared" si="207"/>
        <v>35</v>
      </c>
      <c r="J1430" s="497"/>
      <c r="K1430" s="497"/>
    </row>
    <row r="1431" s="457" customFormat="1" spans="1:12">
      <c r="A1431" s="494">
        <v>45948</v>
      </c>
      <c r="B1431" s="442" t="s">
        <v>168</v>
      </c>
      <c r="C1431" s="495">
        <v>45947</v>
      </c>
      <c r="D1431" s="463"/>
      <c r="E1431" s="463"/>
      <c r="F1431" s="457" t="s">
        <v>352</v>
      </c>
      <c r="G1431" s="442">
        <v>1</v>
      </c>
      <c r="H1431" s="442">
        <v>100</v>
      </c>
      <c r="I1431" s="463">
        <f t="shared" si="207"/>
        <v>100</v>
      </c>
      <c r="J1431" s="497"/>
      <c r="K1431" s="497"/>
      <c r="L1431" s="457" t="s">
        <v>116</v>
      </c>
    </row>
    <row r="1432" s="457" customFormat="1" spans="1:12">
      <c r="A1432" s="494">
        <v>45948</v>
      </c>
      <c r="B1432" s="442" t="s">
        <v>168</v>
      </c>
      <c r="C1432" s="495">
        <v>45947</v>
      </c>
      <c r="D1432" s="463"/>
      <c r="E1432" s="463"/>
      <c r="F1432" s="457" t="s">
        <v>115</v>
      </c>
      <c r="G1432" s="442">
        <v>1</v>
      </c>
      <c r="H1432" s="442">
        <v>50</v>
      </c>
      <c r="I1432" s="463">
        <f t="shared" si="207"/>
        <v>50</v>
      </c>
      <c r="J1432" s="497"/>
      <c r="K1432" s="497"/>
    </row>
    <row r="1433" s="457" customFormat="1" spans="1:12">
      <c r="A1433" s="494">
        <v>45948</v>
      </c>
      <c r="B1433" s="442" t="s">
        <v>168</v>
      </c>
      <c r="C1433" s="495">
        <v>45947</v>
      </c>
      <c r="D1433" s="463"/>
      <c r="E1433" s="463"/>
      <c r="F1433" s="496">
        <v>808</v>
      </c>
      <c r="G1433" s="442">
        <v>1</v>
      </c>
      <c r="H1433" s="442">
        <v>26</v>
      </c>
      <c r="I1433" s="463">
        <f t="shared" si="207"/>
        <v>26</v>
      </c>
      <c r="J1433" s="497">
        <v>7.6</v>
      </c>
      <c r="K1433" s="497">
        <f t="shared" ref="K1433:K1435" si="209">I1433*J1433</f>
        <v>197.6</v>
      </c>
    </row>
    <row r="1434" s="457" customFormat="1" spans="1:12">
      <c r="A1434" s="494">
        <v>45948</v>
      </c>
      <c r="B1434" s="442" t="s">
        <v>168</v>
      </c>
      <c r="C1434" s="495">
        <v>45947</v>
      </c>
      <c r="D1434" s="463"/>
      <c r="E1434" s="463"/>
      <c r="F1434" s="496" t="s">
        <v>12</v>
      </c>
      <c r="G1434" s="442">
        <v>1</v>
      </c>
      <c r="H1434" s="442">
        <v>64.5</v>
      </c>
      <c r="I1434" s="463">
        <f t="shared" si="207"/>
        <v>64.5</v>
      </c>
      <c r="J1434" s="497">
        <v>6.3</v>
      </c>
      <c r="K1434" s="497">
        <f t="shared" si="209"/>
        <v>406.35</v>
      </c>
    </row>
    <row r="1435" s="457" customFormat="1" ht="18" customHeight="1" spans="1:12">
      <c r="A1435" s="494">
        <v>45948</v>
      </c>
      <c r="B1435" s="442" t="s">
        <v>168</v>
      </c>
      <c r="C1435" s="495">
        <v>45947</v>
      </c>
      <c r="D1435" s="463"/>
      <c r="E1435" s="463"/>
      <c r="F1435" s="457" t="s">
        <v>435</v>
      </c>
      <c r="G1435" s="442">
        <v>1</v>
      </c>
      <c r="H1435" s="442">
        <f>SUM(H1428:H1434)</f>
        <v>502</v>
      </c>
      <c r="I1435" s="463">
        <f t="shared" si="207"/>
        <v>502</v>
      </c>
      <c r="J1435" s="497">
        <v>1</v>
      </c>
      <c r="K1435" s="497">
        <f t="shared" si="209"/>
        <v>502</v>
      </c>
      <c r="L1435" s="457">
        <f>SUM(K1428:K1435)</f>
        <v>1105.95</v>
      </c>
    </row>
    <row r="1436" s="456" customFormat="1" spans="1:12">
      <c r="A1436" s="488">
        <v>45950</v>
      </c>
      <c r="B1436" s="489" t="s">
        <v>85</v>
      </c>
      <c r="C1436" s="490">
        <v>45950</v>
      </c>
      <c r="D1436" s="491"/>
      <c r="E1436" s="491"/>
      <c r="F1436" s="493" t="s">
        <v>801</v>
      </c>
      <c r="G1436" s="491">
        <v>1</v>
      </c>
      <c r="H1436" s="431">
        <v>100</v>
      </c>
      <c r="I1436" s="491">
        <f t="shared" si="207"/>
        <v>100</v>
      </c>
      <c r="J1436" s="583" t="s">
        <v>834</v>
      </c>
      <c r="K1436" s="492"/>
    </row>
    <row r="1437" s="456" customFormat="1" spans="1:12">
      <c r="A1437" s="488">
        <v>45950</v>
      </c>
      <c r="B1437" s="489" t="s">
        <v>85</v>
      </c>
      <c r="C1437" s="490">
        <v>45950</v>
      </c>
      <c r="D1437" s="491"/>
      <c r="E1437" s="491"/>
      <c r="F1437" s="493" t="s">
        <v>207</v>
      </c>
      <c r="G1437" s="491">
        <v>1</v>
      </c>
      <c r="H1437" s="431">
        <v>200</v>
      </c>
      <c r="I1437" s="491">
        <f t="shared" ref="I1437:I1498" si="210">G1437*H1437</f>
        <v>200</v>
      </c>
      <c r="J1437" s="492"/>
      <c r="K1437" s="492"/>
    </row>
    <row r="1438" s="456" customFormat="1" spans="1:12">
      <c r="A1438" s="488">
        <v>45950</v>
      </c>
      <c r="B1438" s="489" t="s">
        <v>85</v>
      </c>
      <c r="C1438" s="490">
        <v>45950</v>
      </c>
      <c r="D1438" s="491"/>
      <c r="E1438" s="491"/>
      <c r="F1438" s="493" t="s">
        <v>794</v>
      </c>
      <c r="G1438" s="491">
        <v>1</v>
      </c>
      <c r="H1438" s="431">
        <v>100</v>
      </c>
      <c r="I1438" s="491">
        <f t="shared" si="210"/>
        <v>100</v>
      </c>
      <c r="J1438" s="492"/>
      <c r="K1438" s="492"/>
    </row>
    <row r="1439" s="456" customFormat="1" spans="1:12">
      <c r="A1439" s="488">
        <v>45950</v>
      </c>
      <c r="B1439" s="489" t="s">
        <v>85</v>
      </c>
      <c r="C1439" s="490">
        <v>45950</v>
      </c>
      <c r="D1439" s="491"/>
      <c r="E1439" s="491"/>
      <c r="F1439" s="493" t="s">
        <v>553</v>
      </c>
      <c r="G1439" s="491">
        <v>1</v>
      </c>
      <c r="H1439" s="431">
        <v>145</v>
      </c>
      <c r="I1439" s="491">
        <f t="shared" si="210"/>
        <v>145</v>
      </c>
      <c r="J1439" s="492"/>
      <c r="K1439" s="492"/>
    </row>
    <row r="1440" s="456" customFormat="1" spans="1:12">
      <c r="A1440" s="488">
        <v>45950</v>
      </c>
      <c r="B1440" s="489" t="s">
        <v>85</v>
      </c>
      <c r="C1440" s="490">
        <v>45950</v>
      </c>
      <c r="D1440" s="491"/>
      <c r="E1440" s="491"/>
      <c r="F1440" s="456" t="s">
        <v>191</v>
      </c>
      <c r="G1440" s="491">
        <v>1</v>
      </c>
      <c r="H1440" s="431">
        <v>25</v>
      </c>
      <c r="I1440" s="491">
        <f t="shared" si="210"/>
        <v>25</v>
      </c>
      <c r="J1440" s="492">
        <v>17</v>
      </c>
      <c r="K1440" s="492">
        <f t="shared" ref="K1440:K1447" si="211">I1440*J1440</f>
        <v>425</v>
      </c>
    </row>
    <row r="1441" s="456" customFormat="1" spans="1:26">
      <c r="A1441" s="488">
        <v>45950</v>
      </c>
      <c r="B1441" s="489" t="s">
        <v>85</v>
      </c>
      <c r="C1441" s="490">
        <v>45950</v>
      </c>
      <c r="D1441" s="491"/>
      <c r="E1441" s="491"/>
      <c r="F1441" s="493" t="s">
        <v>152</v>
      </c>
      <c r="G1441" s="491">
        <v>1</v>
      </c>
      <c r="H1441" s="431">
        <v>92</v>
      </c>
      <c r="I1441" s="491">
        <f t="shared" si="210"/>
        <v>92</v>
      </c>
      <c r="J1441" s="492">
        <v>6.3</v>
      </c>
      <c r="K1441" s="492">
        <f t="shared" si="211"/>
        <v>579.6</v>
      </c>
    </row>
    <row r="1442" s="456" customFormat="1" spans="1:26">
      <c r="A1442" s="488">
        <v>45950</v>
      </c>
      <c r="B1442" s="489" t="s">
        <v>85</v>
      </c>
      <c r="C1442" s="490">
        <v>45950</v>
      </c>
      <c r="D1442" s="491"/>
      <c r="E1442" s="491"/>
      <c r="F1442" s="493" t="s">
        <v>132</v>
      </c>
      <c r="G1442" s="491">
        <v>1</v>
      </c>
      <c r="H1442" s="431">
        <v>279</v>
      </c>
      <c r="I1442" s="491">
        <f t="shared" si="210"/>
        <v>279</v>
      </c>
      <c r="J1442" s="492">
        <v>3.3</v>
      </c>
      <c r="K1442" s="492">
        <f t="shared" si="211"/>
        <v>920.7</v>
      </c>
      <c r="M1442" s="457"/>
    </row>
    <row r="1443" s="456" customFormat="1" spans="1:26">
      <c r="A1443" s="488">
        <v>45950</v>
      </c>
      <c r="B1443" s="489" t="s">
        <v>85</v>
      </c>
      <c r="C1443" s="490">
        <v>45950</v>
      </c>
      <c r="D1443" s="491"/>
      <c r="E1443" s="491"/>
      <c r="F1443" s="493" t="s">
        <v>791</v>
      </c>
      <c r="G1443" s="491">
        <v>1</v>
      </c>
      <c r="H1443" s="431">
        <v>2.5</v>
      </c>
      <c r="I1443" s="491">
        <f t="shared" si="210"/>
        <v>2.5</v>
      </c>
      <c r="J1443" s="492">
        <v>25</v>
      </c>
      <c r="K1443" s="492">
        <f t="shared" si="211"/>
        <v>62.5</v>
      </c>
    </row>
    <row r="1444" s="456" customFormat="1" spans="1:26">
      <c r="A1444" s="488">
        <v>45950</v>
      </c>
      <c r="B1444" s="489" t="s">
        <v>85</v>
      </c>
      <c r="C1444" s="490">
        <v>45950</v>
      </c>
      <c r="D1444" s="491"/>
      <c r="E1444" s="491"/>
      <c r="F1444" s="493" t="s">
        <v>125</v>
      </c>
      <c r="G1444" s="491">
        <v>1</v>
      </c>
      <c r="H1444" s="431">
        <v>59</v>
      </c>
      <c r="I1444" s="491">
        <f t="shared" si="210"/>
        <v>59</v>
      </c>
      <c r="J1444" s="492">
        <v>5.4</v>
      </c>
      <c r="K1444" s="492">
        <f t="shared" si="211"/>
        <v>318.6</v>
      </c>
    </row>
    <row r="1445" s="456" customFormat="1" spans="1:26">
      <c r="A1445" s="488">
        <v>45950</v>
      </c>
      <c r="B1445" s="489" t="s">
        <v>85</v>
      </c>
      <c r="C1445" s="490">
        <v>45950</v>
      </c>
      <c r="D1445" s="491"/>
      <c r="E1445" s="491"/>
      <c r="F1445" s="493" t="s">
        <v>212</v>
      </c>
      <c r="G1445" s="491">
        <v>1</v>
      </c>
      <c r="H1445" s="431">
        <f>SUM(H1436:H1444)</f>
        <v>1002.5</v>
      </c>
      <c r="I1445" s="491">
        <f t="shared" si="210"/>
        <v>1002.5</v>
      </c>
      <c r="J1445" s="492">
        <v>1</v>
      </c>
      <c r="K1445" s="492">
        <f t="shared" si="211"/>
        <v>1002.5</v>
      </c>
      <c r="L1445" s="456">
        <f>SUM(K1436:K1445)</f>
        <v>3308.9</v>
      </c>
    </row>
    <row r="1446" s="457" customFormat="1" ht="21" customHeight="1" spans="1:26">
      <c r="A1446" s="494">
        <v>45951</v>
      </c>
      <c r="B1446" s="442" t="s">
        <v>309</v>
      </c>
      <c r="C1446" s="495">
        <v>45951</v>
      </c>
      <c r="D1446" s="463"/>
      <c r="E1446" s="463"/>
      <c r="F1446" s="496">
        <v>808</v>
      </c>
      <c r="G1446" s="463">
        <v>1</v>
      </c>
      <c r="H1446" s="432">
        <v>102</v>
      </c>
      <c r="I1446" s="463">
        <f t="shared" si="210"/>
        <v>102</v>
      </c>
      <c r="J1446" s="497">
        <v>7.6</v>
      </c>
      <c r="K1446" s="497">
        <f t="shared" si="211"/>
        <v>775.2</v>
      </c>
    </row>
    <row r="1447" s="457" customFormat="1" spans="1:26">
      <c r="A1447" s="494">
        <v>45951</v>
      </c>
      <c r="B1447" s="442" t="s">
        <v>309</v>
      </c>
      <c r="C1447" s="495">
        <v>45951</v>
      </c>
      <c r="D1447" s="463"/>
      <c r="E1447" s="463"/>
      <c r="F1447" s="496" t="s">
        <v>12</v>
      </c>
      <c r="G1447" s="463">
        <v>1</v>
      </c>
      <c r="H1447" s="432">
        <v>150</v>
      </c>
      <c r="I1447" s="463">
        <f t="shared" si="210"/>
        <v>150</v>
      </c>
      <c r="J1447" s="497">
        <v>6.3</v>
      </c>
      <c r="K1447" s="497">
        <f t="shared" si="211"/>
        <v>945</v>
      </c>
    </row>
    <row r="1448" s="457" customFormat="1" spans="1:26">
      <c r="A1448" s="494">
        <v>45951</v>
      </c>
      <c r="B1448" s="442" t="s">
        <v>309</v>
      </c>
      <c r="C1448" s="495">
        <v>45951</v>
      </c>
      <c r="D1448" s="463"/>
      <c r="E1448" s="463"/>
      <c r="F1448" s="496" t="s">
        <v>709</v>
      </c>
      <c r="G1448" s="463">
        <v>1</v>
      </c>
      <c r="H1448" s="432">
        <v>150</v>
      </c>
      <c r="I1448" s="463">
        <f t="shared" si="210"/>
        <v>150</v>
      </c>
      <c r="J1448" s="497"/>
      <c r="K1448" s="497"/>
      <c r="L1448" s="457" t="s">
        <v>126</v>
      </c>
    </row>
    <row r="1449" s="457" customFormat="1" spans="1:26">
      <c r="A1449" s="494">
        <v>45951</v>
      </c>
      <c r="B1449" s="442" t="s">
        <v>309</v>
      </c>
      <c r="C1449" s="495">
        <v>45951</v>
      </c>
      <c r="D1449" s="463"/>
      <c r="E1449" s="463"/>
      <c r="F1449" s="496" t="s">
        <v>710</v>
      </c>
      <c r="G1449" s="463">
        <v>1</v>
      </c>
      <c r="H1449" s="432">
        <v>140</v>
      </c>
      <c r="I1449" s="463">
        <f t="shared" si="210"/>
        <v>140</v>
      </c>
      <c r="J1449" s="497"/>
      <c r="K1449" s="497"/>
    </row>
    <row r="1450" s="457" customFormat="1" spans="1:26">
      <c r="A1450" s="494">
        <v>45951</v>
      </c>
      <c r="B1450" s="442" t="s">
        <v>309</v>
      </c>
      <c r="C1450" s="495">
        <v>45951</v>
      </c>
      <c r="D1450" s="463"/>
      <c r="E1450" s="463"/>
      <c r="F1450" s="498" t="s">
        <v>782</v>
      </c>
      <c r="G1450" s="463">
        <v>1</v>
      </c>
      <c r="H1450" s="432">
        <v>250</v>
      </c>
      <c r="I1450" s="463">
        <f t="shared" si="210"/>
        <v>250</v>
      </c>
      <c r="J1450" s="497"/>
      <c r="K1450" s="497"/>
    </row>
    <row r="1451" s="457" customFormat="1" spans="1:26">
      <c r="A1451" s="494">
        <v>45951</v>
      </c>
      <c r="B1451" s="442" t="s">
        <v>309</v>
      </c>
      <c r="C1451" s="495">
        <v>45951</v>
      </c>
      <c r="D1451" s="463"/>
      <c r="E1451" s="463"/>
      <c r="F1451" s="496" t="s">
        <v>16</v>
      </c>
      <c r="G1451" s="463">
        <v>1</v>
      </c>
      <c r="H1451" s="432">
        <v>208</v>
      </c>
      <c r="I1451" s="463">
        <f t="shared" si="210"/>
        <v>208</v>
      </c>
      <c r="J1451" s="497"/>
      <c r="K1451" s="497"/>
      <c r="R1451" s="456"/>
      <c r="S1451" s="456"/>
      <c r="T1451" s="456"/>
      <c r="U1451" s="456"/>
      <c r="V1451" s="456"/>
      <c r="W1451" s="456"/>
      <c r="X1451" s="456"/>
      <c r="Y1451" s="456"/>
      <c r="Z1451" s="456"/>
    </row>
    <row r="1452" s="457" customFormat="1" spans="1:26">
      <c r="A1452" s="494">
        <v>45951</v>
      </c>
      <c r="B1452" s="442" t="s">
        <v>309</v>
      </c>
      <c r="C1452" s="495">
        <v>45951</v>
      </c>
      <c r="D1452" s="463"/>
      <c r="E1452" s="463"/>
      <c r="F1452" s="496" t="s">
        <v>714</v>
      </c>
      <c r="G1452" s="463">
        <v>1</v>
      </c>
      <c r="H1452" s="432">
        <f>SUM(H1446:H1451)</f>
        <v>1000</v>
      </c>
      <c r="I1452" s="463">
        <f t="shared" si="210"/>
        <v>1000</v>
      </c>
      <c r="J1452" s="497">
        <v>1</v>
      </c>
      <c r="K1452" s="497">
        <f t="shared" ref="K1452:K1459" si="212">I1452*J1452</f>
        <v>1000</v>
      </c>
      <c r="L1452" s="457">
        <f>SUM(K1446:K1453)</f>
        <v>2250.2</v>
      </c>
      <c r="R1452" s="456"/>
      <c r="S1452" s="456"/>
      <c r="T1452" s="456"/>
      <c r="U1452" s="456"/>
      <c r="V1452" s="456"/>
      <c r="W1452" s="456"/>
      <c r="X1452" s="456"/>
      <c r="Y1452" s="456"/>
      <c r="Z1452" s="456"/>
    </row>
    <row r="1453" s="457" customFormat="1" spans="1:26">
      <c r="A1453" s="494">
        <v>45951</v>
      </c>
      <c r="B1453" s="442" t="s">
        <v>309</v>
      </c>
      <c r="C1453" s="495">
        <v>45951</v>
      </c>
      <c r="D1453" s="463"/>
      <c r="E1453" s="463"/>
      <c r="F1453" s="498" t="s">
        <v>835</v>
      </c>
      <c r="G1453" s="520">
        <v>-1</v>
      </c>
      <c r="H1453" s="521">
        <v>10</v>
      </c>
      <c r="I1453" s="520">
        <f t="shared" si="210"/>
        <v>-10</v>
      </c>
      <c r="J1453" s="515">
        <v>47</v>
      </c>
      <c r="K1453" s="515">
        <f t="shared" si="212"/>
        <v>-470</v>
      </c>
      <c r="R1453" s="456"/>
      <c r="S1453" s="456"/>
      <c r="T1453" s="456"/>
      <c r="U1453" s="456"/>
      <c r="V1453" s="456"/>
      <c r="W1453" s="456"/>
      <c r="X1453" s="456"/>
      <c r="Y1453" s="456"/>
      <c r="Z1453" s="456"/>
    </row>
    <row r="1454" s="456" customFormat="1" spans="1:26">
      <c r="A1454" s="488">
        <v>45953</v>
      </c>
      <c r="B1454" s="489" t="s">
        <v>203</v>
      </c>
      <c r="C1454" s="490" t="s">
        <v>836</v>
      </c>
      <c r="D1454" s="491"/>
      <c r="E1454" s="491"/>
      <c r="F1454" s="493" t="s">
        <v>16</v>
      </c>
      <c r="G1454" s="491">
        <v>1</v>
      </c>
      <c r="H1454" s="431">
        <v>80</v>
      </c>
      <c r="I1454" s="491">
        <f t="shared" si="210"/>
        <v>80</v>
      </c>
      <c r="J1454" s="492"/>
      <c r="K1454" s="492"/>
    </row>
    <row r="1455" s="456" customFormat="1" spans="1:26">
      <c r="A1455" s="488">
        <v>45953</v>
      </c>
      <c r="B1455" s="489" t="s">
        <v>203</v>
      </c>
      <c r="C1455" s="490" t="s">
        <v>836</v>
      </c>
      <c r="D1455" s="491"/>
      <c r="E1455" s="491"/>
      <c r="F1455" s="493" t="s">
        <v>405</v>
      </c>
      <c r="G1455" s="491">
        <v>1</v>
      </c>
      <c r="H1455" s="431">
        <v>3.2</v>
      </c>
      <c r="I1455" s="491">
        <f t="shared" si="210"/>
        <v>3.2</v>
      </c>
      <c r="J1455" s="492"/>
      <c r="K1455" s="492"/>
    </row>
    <row r="1456" s="456" customFormat="1" spans="1:26">
      <c r="A1456" s="488">
        <v>45953</v>
      </c>
      <c r="B1456" s="489" t="s">
        <v>203</v>
      </c>
      <c r="C1456" s="490" t="s">
        <v>836</v>
      </c>
      <c r="D1456" s="491"/>
      <c r="E1456" s="491"/>
      <c r="F1456" s="493" t="s">
        <v>733</v>
      </c>
      <c r="G1456" s="491">
        <v>1</v>
      </c>
      <c r="H1456" s="431">
        <v>40</v>
      </c>
      <c r="I1456" s="491">
        <f t="shared" si="210"/>
        <v>40</v>
      </c>
      <c r="J1456" s="492"/>
      <c r="K1456" s="492"/>
    </row>
    <row r="1457" s="456" customFormat="1" spans="1:18">
      <c r="A1457" s="488">
        <v>45953</v>
      </c>
      <c r="B1457" s="489" t="s">
        <v>203</v>
      </c>
      <c r="C1457" s="490" t="s">
        <v>836</v>
      </c>
      <c r="D1457" s="491"/>
      <c r="E1457" s="491"/>
      <c r="F1457" s="493">
        <v>808</v>
      </c>
      <c r="G1457" s="491">
        <v>1</v>
      </c>
      <c r="H1457" s="431">
        <v>72</v>
      </c>
      <c r="I1457" s="491">
        <f t="shared" si="210"/>
        <v>72</v>
      </c>
      <c r="J1457" s="492">
        <v>7.6</v>
      </c>
      <c r="K1457" s="492">
        <f t="shared" si="212"/>
        <v>547.2</v>
      </c>
    </row>
    <row r="1458" s="456" customFormat="1" spans="1:18">
      <c r="A1458" s="488">
        <v>45953</v>
      </c>
      <c r="B1458" s="489" t="s">
        <v>203</v>
      </c>
      <c r="C1458" s="490" t="s">
        <v>836</v>
      </c>
      <c r="D1458" s="491"/>
      <c r="E1458" s="491"/>
      <c r="F1458" s="493" t="s">
        <v>125</v>
      </c>
      <c r="G1458" s="491">
        <v>1</v>
      </c>
      <c r="H1458" s="431">
        <v>80</v>
      </c>
      <c r="I1458" s="491">
        <f t="shared" si="210"/>
        <v>80</v>
      </c>
      <c r="J1458" s="492">
        <v>5.4</v>
      </c>
      <c r="K1458" s="492">
        <f t="shared" si="212"/>
        <v>432</v>
      </c>
    </row>
    <row r="1459" s="456" customFormat="1" spans="1:18">
      <c r="A1459" s="488">
        <v>45953</v>
      </c>
      <c r="B1459" s="489" t="s">
        <v>203</v>
      </c>
      <c r="C1459" s="490" t="s">
        <v>836</v>
      </c>
      <c r="D1459" s="491"/>
      <c r="E1459" s="491"/>
      <c r="F1459" s="493" t="s">
        <v>412</v>
      </c>
      <c r="G1459" s="491">
        <v>1</v>
      </c>
      <c r="H1459" s="431">
        <f>SUM(H1454:H1458)</f>
        <v>275.2</v>
      </c>
      <c r="I1459" s="491">
        <f t="shared" si="210"/>
        <v>275.2</v>
      </c>
      <c r="J1459" s="576">
        <v>5</v>
      </c>
      <c r="K1459" s="492">
        <f t="shared" si="212"/>
        <v>1376</v>
      </c>
      <c r="L1459" s="456">
        <f>SUM(K1456:K1459)</f>
        <v>2355.2</v>
      </c>
    </row>
    <row r="1460" s="457" customFormat="1" ht="20" customHeight="1" spans="1:18">
      <c r="A1460" s="494">
        <v>45954</v>
      </c>
      <c r="B1460" s="457" t="s">
        <v>206</v>
      </c>
      <c r="C1460" s="495">
        <v>45954</v>
      </c>
      <c r="D1460" s="463"/>
      <c r="E1460" s="463"/>
      <c r="F1460" s="496" t="s">
        <v>16</v>
      </c>
      <c r="G1460" s="463">
        <v>1</v>
      </c>
      <c r="H1460" s="432">
        <v>35</v>
      </c>
      <c r="I1460" s="463">
        <f t="shared" si="210"/>
        <v>35</v>
      </c>
      <c r="J1460" s="497"/>
      <c r="K1460" s="497"/>
    </row>
    <row r="1461" s="457" customFormat="1" spans="1:18">
      <c r="A1461" s="494">
        <v>45954</v>
      </c>
      <c r="B1461" s="457" t="s">
        <v>206</v>
      </c>
      <c r="C1461" s="495">
        <v>45954</v>
      </c>
      <c r="D1461" s="463"/>
      <c r="E1461" s="463"/>
      <c r="F1461" s="496" t="s">
        <v>533</v>
      </c>
      <c r="G1461" s="463">
        <v>1</v>
      </c>
      <c r="H1461" s="432">
        <v>19</v>
      </c>
      <c r="I1461" s="463">
        <f t="shared" si="210"/>
        <v>19</v>
      </c>
      <c r="J1461" s="497"/>
      <c r="K1461" s="497"/>
    </row>
    <row r="1462" s="457" customFormat="1" spans="1:18">
      <c r="A1462" s="494">
        <v>45954</v>
      </c>
      <c r="B1462" s="457" t="s">
        <v>206</v>
      </c>
      <c r="C1462" s="495">
        <v>45954</v>
      </c>
      <c r="D1462" s="463"/>
      <c r="E1462" s="463"/>
      <c r="F1462" s="496" t="s">
        <v>534</v>
      </c>
      <c r="G1462" s="463">
        <v>1</v>
      </c>
      <c r="H1462" s="432">
        <v>27</v>
      </c>
      <c r="I1462" s="463">
        <f t="shared" si="210"/>
        <v>27</v>
      </c>
      <c r="J1462" s="497"/>
      <c r="K1462" s="497"/>
      <c r="M1462" s="537" t="s">
        <v>325</v>
      </c>
      <c r="N1462" s="537" t="s">
        <v>326</v>
      </c>
    </row>
    <row r="1463" s="457" customFormat="1" spans="1:18">
      <c r="A1463" s="494">
        <v>45954</v>
      </c>
      <c r="B1463" s="457" t="s">
        <v>206</v>
      </c>
      <c r="C1463" s="495">
        <v>45954</v>
      </c>
      <c r="D1463" s="463"/>
      <c r="E1463" s="463"/>
      <c r="F1463" s="496">
        <v>808</v>
      </c>
      <c r="G1463" s="463">
        <v>1</v>
      </c>
      <c r="H1463" s="432">
        <v>22</v>
      </c>
      <c r="I1463" s="463">
        <f t="shared" si="210"/>
        <v>22</v>
      </c>
      <c r="J1463" s="497">
        <v>7.6</v>
      </c>
      <c r="K1463" s="497">
        <f t="shared" ref="K1463:K1465" si="213">I1463*J1463</f>
        <v>167.2</v>
      </c>
      <c r="M1463" s="457" t="s">
        <v>541</v>
      </c>
    </row>
    <row r="1464" s="457" customFormat="1" spans="1:18">
      <c r="A1464" s="494">
        <v>45954</v>
      </c>
      <c r="B1464" s="457" t="s">
        <v>206</v>
      </c>
      <c r="C1464" s="495">
        <v>45954</v>
      </c>
      <c r="D1464" s="463"/>
      <c r="E1464" s="463"/>
      <c r="F1464" s="496" t="s">
        <v>125</v>
      </c>
      <c r="G1464" s="463">
        <v>1</v>
      </c>
      <c r="H1464" s="432">
        <v>13</v>
      </c>
      <c r="I1464" s="463">
        <f t="shared" si="210"/>
        <v>13</v>
      </c>
      <c r="J1464" s="497">
        <v>5.4</v>
      </c>
      <c r="K1464" s="497">
        <f t="shared" si="213"/>
        <v>70.2</v>
      </c>
    </row>
    <row r="1465" s="457" customFormat="1" spans="1:18">
      <c r="A1465" s="494">
        <v>45954</v>
      </c>
      <c r="B1465" s="457" t="s">
        <v>206</v>
      </c>
      <c r="C1465" s="495">
        <v>45954</v>
      </c>
      <c r="D1465" s="463"/>
      <c r="E1465" s="463"/>
      <c r="F1465" s="496" t="s">
        <v>12</v>
      </c>
      <c r="G1465" s="463">
        <v>1</v>
      </c>
      <c r="H1465" s="432">
        <v>13</v>
      </c>
      <c r="I1465" s="463">
        <f t="shared" si="210"/>
        <v>13</v>
      </c>
      <c r="J1465" s="497">
        <v>6.3</v>
      </c>
      <c r="K1465" s="497">
        <f t="shared" si="213"/>
        <v>81.9</v>
      </c>
    </row>
    <row r="1466" s="457" customFormat="1" spans="1:18">
      <c r="A1466" s="494">
        <v>45954</v>
      </c>
      <c r="B1466" s="457" t="s">
        <v>206</v>
      </c>
      <c r="C1466" s="495">
        <v>45954</v>
      </c>
      <c r="D1466" s="463"/>
      <c r="E1466" s="463"/>
      <c r="F1466" s="496" t="s">
        <v>542</v>
      </c>
      <c r="G1466" s="463">
        <v>1</v>
      </c>
      <c r="H1466" s="432">
        <v>55</v>
      </c>
      <c r="I1466" s="463">
        <f t="shared" si="210"/>
        <v>55</v>
      </c>
      <c r="J1466" s="497"/>
      <c r="K1466" s="497"/>
    </row>
    <row r="1467" s="457" customFormat="1" spans="1:18">
      <c r="A1467" s="494">
        <v>45954</v>
      </c>
      <c r="B1467" s="457" t="s">
        <v>206</v>
      </c>
      <c r="C1467" s="495">
        <v>45954</v>
      </c>
      <c r="D1467" s="463"/>
      <c r="E1467" s="463"/>
      <c r="F1467" s="496" t="s">
        <v>543</v>
      </c>
      <c r="G1467" s="463">
        <v>1</v>
      </c>
      <c r="H1467" s="432">
        <f>SUM(H1460:H1466)</f>
        <v>184</v>
      </c>
      <c r="I1467" s="463">
        <f t="shared" si="210"/>
        <v>184</v>
      </c>
      <c r="J1467" s="497">
        <v>1</v>
      </c>
      <c r="K1467" s="497">
        <f t="shared" ref="K1467:K1470" si="214">I1467*J1467</f>
        <v>184</v>
      </c>
      <c r="L1467" s="457">
        <f>SUM(K1460:K1467)</f>
        <v>503.3</v>
      </c>
      <c r="R1467" s="457" t="s">
        <v>359</v>
      </c>
    </row>
    <row r="1468" s="461" customFormat="1" spans="1:18">
      <c r="A1468" s="540">
        <v>45955</v>
      </c>
      <c r="B1468" s="541" t="s">
        <v>655</v>
      </c>
      <c r="C1468" s="542">
        <v>45954</v>
      </c>
      <c r="D1468" s="523"/>
      <c r="E1468" s="523"/>
      <c r="F1468" s="522">
        <v>808</v>
      </c>
      <c r="G1468" s="523">
        <v>1</v>
      </c>
      <c r="H1468" s="524">
        <v>50</v>
      </c>
      <c r="I1468" s="523">
        <f t="shared" si="210"/>
        <v>50</v>
      </c>
      <c r="J1468" s="525">
        <v>7.6</v>
      </c>
      <c r="K1468" s="525">
        <f t="shared" si="214"/>
        <v>380</v>
      </c>
      <c r="L1468" s="461" t="s">
        <v>126</v>
      </c>
    </row>
    <row r="1469" s="461" customFormat="1" spans="1:18">
      <c r="A1469" s="540">
        <v>45955</v>
      </c>
      <c r="B1469" s="541" t="s">
        <v>655</v>
      </c>
      <c r="C1469" s="542">
        <v>45954</v>
      </c>
      <c r="D1469" s="523"/>
      <c r="E1469" s="523"/>
      <c r="F1469" s="522" t="s">
        <v>125</v>
      </c>
      <c r="G1469" s="523">
        <v>1</v>
      </c>
      <c r="H1469" s="524">
        <v>108</v>
      </c>
      <c r="I1469" s="523">
        <f t="shared" si="210"/>
        <v>108</v>
      </c>
      <c r="J1469" s="525">
        <v>5.4</v>
      </c>
      <c r="K1469" s="525">
        <f t="shared" si="214"/>
        <v>583.2</v>
      </c>
    </row>
    <row r="1470" s="461" customFormat="1" spans="1:18">
      <c r="A1470" s="540">
        <v>45955</v>
      </c>
      <c r="B1470" s="541" t="s">
        <v>655</v>
      </c>
      <c r="C1470" s="542">
        <v>45954</v>
      </c>
      <c r="D1470" s="523"/>
      <c r="E1470" s="523"/>
      <c r="F1470" s="522" t="s">
        <v>12</v>
      </c>
      <c r="G1470" s="523">
        <v>1</v>
      </c>
      <c r="H1470" s="524">
        <v>10</v>
      </c>
      <c r="I1470" s="523">
        <f t="shared" si="210"/>
        <v>10</v>
      </c>
      <c r="J1470" s="525">
        <v>6.3</v>
      </c>
      <c r="K1470" s="525">
        <f t="shared" si="214"/>
        <v>63</v>
      </c>
    </row>
    <row r="1471" s="461" customFormat="1" spans="1:18">
      <c r="A1471" s="540">
        <v>45955</v>
      </c>
      <c r="B1471" s="541" t="s">
        <v>655</v>
      </c>
      <c r="C1471" s="542">
        <v>45954</v>
      </c>
      <c r="D1471" s="523"/>
      <c r="E1471" s="523"/>
      <c r="F1471" s="522" t="s">
        <v>240</v>
      </c>
      <c r="G1471" s="523">
        <v>1</v>
      </c>
      <c r="H1471" s="524">
        <v>75</v>
      </c>
      <c r="I1471" s="523">
        <f t="shared" si="210"/>
        <v>75</v>
      </c>
      <c r="J1471" s="525"/>
      <c r="K1471" s="525"/>
      <c r="M1471" s="461" t="s">
        <v>678</v>
      </c>
    </row>
    <row r="1472" s="461" customFormat="1" spans="1:18">
      <c r="A1472" s="540">
        <v>45955</v>
      </c>
      <c r="B1472" s="541" t="s">
        <v>655</v>
      </c>
      <c r="C1472" s="542">
        <v>45954</v>
      </c>
      <c r="D1472" s="523"/>
      <c r="E1472" s="523"/>
      <c r="F1472" s="522" t="s">
        <v>16</v>
      </c>
      <c r="G1472" s="523">
        <v>1</v>
      </c>
      <c r="H1472" s="524">
        <v>75</v>
      </c>
      <c r="I1472" s="523">
        <f t="shared" si="210"/>
        <v>75</v>
      </c>
      <c r="J1472" s="525"/>
      <c r="K1472" s="525"/>
    </row>
    <row r="1473" s="461" customFormat="1" spans="1:14">
      <c r="A1473" s="540">
        <v>45955</v>
      </c>
      <c r="B1473" s="541" t="s">
        <v>655</v>
      </c>
      <c r="C1473" s="542">
        <v>45954</v>
      </c>
      <c r="D1473" s="523"/>
      <c r="E1473" s="523"/>
      <c r="F1473" s="522" t="s">
        <v>300</v>
      </c>
      <c r="G1473" s="523">
        <v>1</v>
      </c>
      <c r="H1473" s="524">
        <v>75</v>
      </c>
      <c r="I1473" s="523">
        <f t="shared" si="210"/>
        <v>75</v>
      </c>
      <c r="J1473" s="525"/>
      <c r="K1473" s="525"/>
    </row>
    <row r="1474" s="461" customFormat="1" spans="1:14">
      <c r="A1474" s="540">
        <v>45955</v>
      </c>
      <c r="B1474" s="541" t="s">
        <v>655</v>
      </c>
      <c r="C1474" s="542">
        <v>45954</v>
      </c>
      <c r="D1474" s="523"/>
      <c r="E1474" s="523"/>
      <c r="F1474" s="522" t="s">
        <v>546</v>
      </c>
      <c r="G1474" s="523">
        <v>1</v>
      </c>
      <c r="H1474" s="524">
        <v>107</v>
      </c>
      <c r="I1474" s="523">
        <f t="shared" si="210"/>
        <v>107</v>
      </c>
      <c r="J1474" s="525"/>
      <c r="K1474" s="525"/>
    </row>
    <row r="1475" s="461" customFormat="1" spans="1:14">
      <c r="A1475" s="540">
        <v>45955</v>
      </c>
      <c r="B1475" s="541" t="s">
        <v>655</v>
      </c>
      <c r="C1475" s="542">
        <v>45954</v>
      </c>
      <c r="D1475" s="523"/>
      <c r="E1475" s="523"/>
      <c r="F1475" s="522" t="s">
        <v>301</v>
      </c>
      <c r="G1475" s="523">
        <v>1</v>
      </c>
      <c r="H1475" s="524">
        <f>SUM(H1468:H1474)</f>
        <v>500</v>
      </c>
      <c r="I1475" s="523">
        <f t="shared" si="210"/>
        <v>500</v>
      </c>
      <c r="J1475" s="525">
        <v>1</v>
      </c>
      <c r="K1475" s="525">
        <f>I1475*J1475</f>
        <v>500</v>
      </c>
      <c r="L1475" s="461">
        <f>SUM(K1468:K1475)</f>
        <v>1526.2</v>
      </c>
    </row>
    <row r="1476" s="456" customFormat="1" ht="18" customHeight="1" spans="1:14">
      <c r="A1476" s="488">
        <v>45955</v>
      </c>
      <c r="B1476" s="489" t="s">
        <v>113</v>
      </c>
      <c r="C1476" s="490">
        <v>45955</v>
      </c>
      <c r="D1476" s="491"/>
      <c r="E1476" s="491"/>
      <c r="F1476" s="456" t="s">
        <v>788</v>
      </c>
      <c r="G1476" s="489">
        <v>1</v>
      </c>
      <c r="H1476" s="489">
        <v>300</v>
      </c>
      <c r="I1476" s="491">
        <f t="shared" si="210"/>
        <v>300</v>
      </c>
      <c r="J1476" s="492"/>
      <c r="K1476" s="492"/>
    </row>
    <row r="1477" s="456" customFormat="1" ht="18" customHeight="1" spans="1:14">
      <c r="A1477" s="488">
        <v>45955</v>
      </c>
      <c r="B1477" s="489" t="s">
        <v>113</v>
      </c>
      <c r="C1477" s="490">
        <v>45955</v>
      </c>
      <c r="D1477" s="491"/>
      <c r="E1477" s="491"/>
      <c r="F1477" s="493">
        <v>808</v>
      </c>
      <c r="G1477" s="489">
        <v>1</v>
      </c>
      <c r="H1477" s="489">
        <v>450</v>
      </c>
      <c r="I1477" s="491">
        <f t="shared" si="210"/>
        <v>450</v>
      </c>
      <c r="J1477" s="492">
        <v>7.6</v>
      </c>
      <c r="K1477" s="492">
        <f t="shared" ref="K1476:K1481" si="215">I1477*J1477</f>
        <v>3420</v>
      </c>
    </row>
    <row r="1478" s="456" customFormat="1" ht="18" customHeight="1" spans="1:14">
      <c r="A1478" s="488">
        <v>45955</v>
      </c>
      <c r="B1478" s="489" t="s">
        <v>113</v>
      </c>
      <c r="C1478" s="490">
        <v>45955</v>
      </c>
      <c r="D1478" s="491"/>
      <c r="E1478" s="491"/>
      <c r="F1478" s="456" t="s">
        <v>109</v>
      </c>
      <c r="G1478" s="489">
        <v>1</v>
      </c>
      <c r="H1478" s="489">
        <f>SUM(H1476:H1477)</f>
        <v>750</v>
      </c>
      <c r="I1478" s="491">
        <f t="shared" si="210"/>
        <v>750</v>
      </c>
      <c r="J1478" s="492">
        <v>1</v>
      </c>
      <c r="K1478" s="492">
        <f t="shared" si="215"/>
        <v>750</v>
      </c>
      <c r="L1478" s="456">
        <f>SUM(K1476:K1478)</f>
        <v>4170</v>
      </c>
    </row>
    <row r="1479" s="457" customFormat="1" spans="1:14">
      <c r="A1479" s="494">
        <v>45955</v>
      </c>
      <c r="B1479" s="442" t="s">
        <v>119</v>
      </c>
      <c r="C1479" s="495">
        <v>45955</v>
      </c>
      <c r="D1479" s="463"/>
      <c r="E1479" s="463"/>
      <c r="F1479" s="496">
        <v>808</v>
      </c>
      <c r="G1479" s="463">
        <v>1</v>
      </c>
      <c r="H1479" s="432">
        <v>150</v>
      </c>
      <c r="I1479" s="463">
        <f t="shared" si="210"/>
        <v>150</v>
      </c>
      <c r="J1479" s="497">
        <v>7.6</v>
      </c>
      <c r="K1479" s="497">
        <f t="shared" si="215"/>
        <v>1140</v>
      </c>
    </row>
    <row r="1480" s="457" customFormat="1" spans="1:14">
      <c r="A1480" s="494">
        <v>45955</v>
      </c>
      <c r="B1480" s="442" t="s">
        <v>119</v>
      </c>
      <c r="C1480" s="495">
        <v>45955</v>
      </c>
      <c r="D1480" s="463"/>
      <c r="E1480" s="463"/>
      <c r="F1480" s="496" t="s">
        <v>12</v>
      </c>
      <c r="G1480" s="463">
        <v>1</v>
      </c>
      <c r="H1480" s="432">
        <v>130</v>
      </c>
      <c r="I1480" s="463">
        <f t="shared" si="210"/>
        <v>130</v>
      </c>
      <c r="J1480" s="497">
        <v>6.3</v>
      </c>
      <c r="K1480" s="497">
        <f t="shared" si="215"/>
        <v>819</v>
      </c>
    </row>
    <row r="1481" s="457" customFormat="1" spans="1:14">
      <c r="A1481" s="494">
        <v>45955</v>
      </c>
      <c r="B1481" s="442" t="s">
        <v>119</v>
      </c>
      <c r="C1481" s="495">
        <v>45955</v>
      </c>
      <c r="D1481" s="463"/>
      <c r="E1481" s="463"/>
      <c r="F1481" s="496" t="s">
        <v>152</v>
      </c>
      <c r="G1481" s="463">
        <v>1</v>
      </c>
      <c r="H1481" s="432">
        <v>100</v>
      </c>
      <c r="I1481" s="463">
        <f t="shared" si="210"/>
        <v>100</v>
      </c>
      <c r="J1481" s="497">
        <v>6.3</v>
      </c>
      <c r="K1481" s="497">
        <f t="shared" si="215"/>
        <v>630</v>
      </c>
    </row>
    <row r="1482" s="457" customFormat="1" spans="1:14">
      <c r="A1482" s="494">
        <v>45955</v>
      </c>
      <c r="B1482" s="442" t="s">
        <v>119</v>
      </c>
      <c r="C1482" s="495">
        <v>45955</v>
      </c>
      <c r="D1482" s="463"/>
      <c r="E1482" s="463"/>
      <c r="F1482" s="496" t="s">
        <v>709</v>
      </c>
      <c r="G1482" s="463">
        <v>1</v>
      </c>
      <c r="H1482" s="432">
        <v>120</v>
      </c>
      <c r="I1482" s="463">
        <f t="shared" si="210"/>
        <v>120</v>
      </c>
      <c r="J1482" s="497"/>
      <c r="K1482" s="497"/>
      <c r="L1482" s="457" t="s">
        <v>126</v>
      </c>
    </row>
    <row r="1483" s="457" customFormat="1" spans="1:14">
      <c r="A1483" s="494">
        <v>45955</v>
      </c>
      <c r="B1483" s="442" t="s">
        <v>119</v>
      </c>
      <c r="C1483" s="495">
        <v>45955</v>
      </c>
      <c r="D1483" s="463"/>
      <c r="E1483" s="463"/>
      <c r="F1483" s="496" t="s">
        <v>710</v>
      </c>
      <c r="G1483" s="463">
        <v>1</v>
      </c>
      <c r="H1483" s="432">
        <v>145</v>
      </c>
      <c r="I1483" s="463">
        <f t="shared" si="210"/>
        <v>145</v>
      </c>
      <c r="J1483" s="497"/>
      <c r="K1483" s="497"/>
    </row>
    <row r="1484" s="457" customFormat="1" spans="1:14">
      <c r="A1484" s="494">
        <v>45955</v>
      </c>
      <c r="B1484" s="442" t="s">
        <v>119</v>
      </c>
      <c r="C1484" s="495">
        <v>45955</v>
      </c>
      <c r="D1484" s="463"/>
      <c r="E1484" s="463"/>
      <c r="F1484" s="496" t="s">
        <v>782</v>
      </c>
      <c r="G1484" s="463">
        <v>1</v>
      </c>
      <c r="H1484" s="432">
        <v>103</v>
      </c>
      <c r="I1484" s="463">
        <f t="shared" si="210"/>
        <v>103</v>
      </c>
      <c r="J1484" s="497"/>
      <c r="K1484" s="497"/>
      <c r="N1484" s="457">
        <f>SUBTOTAL(9,K1357:K1361)</f>
        <v>774.5</v>
      </c>
    </row>
    <row r="1485" s="457" customFormat="1" spans="1:14">
      <c r="A1485" s="494">
        <v>45955</v>
      </c>
      <c r="B1485" s="442" t="s">
        <v>119</v>
      </c>
      <c r="C1485" s="495">
        <v>45955</v>
      </c>
      <c r="D1485" s="463"/>
      <c r="E1485" s="463"/>
      <c r="F1485" s="496" t="s">
        <v>191</v>
      </c>
      <c r="G1485" s="463">
        <v>1</v>
      </c>
      <c r="H1485" s="432">
        <v>30</v>
      </c>
      <c r="I1485" s="463">
        <f t="shared" si="210"/>
        <v>30</v>
      </c>
      <c r="J1485" s="497">
        <v>17</v>
      </c>
      <c r="K1485" s="497">
        <f t="shared" ref="K1485:K1492" si="216">I1485*J1485</f>
        <v>510</v>
      </c>
    </row>
    <row r="1486" s="457" customFormat="1" spans="1:14">
      <c r="A1486" s="494">
        <v>45955</v>
      </c>
      <c r="B1486" s="442" t="s">
        <v>119</v>
      </c>
      <c r="C1486" s="495">
        <v>45955</v>
      </c>
      <c r="D1486" s="463"/>
      <c r="E1486" s="463"/>
      <c r="F1486" s="496" t="s">
        <v>791</v>
      </c>
      <c r="G1486" s="463">
        <v>1</v>
      </c>
      <c r="H1486" s="432">
        <v>3</v>
      </c>
      <c r="I1486" s="463">
        <f t="shared" si="210"/>
        <v>3</v>
      </c>
      <c r="J1486" s="497">
        <v>25</v>
      </c>
      <c r="K1486" s="497">
        <f t="shared" si="216"/>
        <v>75</v>
      </c>
    </row>
    <row r="1487" s="457" customFormat="1" spans="1:14">
      <c r="A1487" s="494">
        <v>45955</v>
      </c>
      <c r="B1487" s="442" t="s">
        <v>119</v>
      </c>
      <c r="C1487" s="495">
        <v>45955</v>
      </c>
      <c r="D1487" s="463"/>
      <c r="E1487" s="463"/>
      <c r="F1487" s="496" t="s">
        <v>801</v>
      </c>
      <c r="G1487" s="463">
        <v>1</v>
      </c>
      <c r="H1487" s="432">
        <v>150</v>
      </c>
      <c r="I1487" s="463">
        <f t="shared" si="210"/>
        <v>150</v>
      </c>
      <c r="J1487" s="497"/>
      <c r="K1487" s="497"/>
    </row>
    <row r="1488" s="457" customFormat="1" spans="1:14">
      <c r="A1488" s="494">
        <v>45955</v>
      </c>
      <c r="B1488" s="442" t="s">
        <v>119</v>
      </c>
      <c r="C1488" s="495">
        <v>45955</v>
      </c>
      <c r="D1488" s="463"/>
      <c r="E1488" s="463"/>
      <c r="F1488" s="496" t="s">
        <v>132</v>
      </c>
      <c r="G1488" s="463">
        <v>1</v>
      </c>
      <c r="H1488" s="432">
        <v>75</v>
      </c>
      <c r="I1488" s="463">
        <f t="shared" si="210"/>
        <v>75</v>
      </c>
      <c r="J1488" s="497">
        <v>3.3</v>
      </c>
      <c r="K1488" s="497">
        <f t="shared" si="216"/>
        <v>247.5</v>
      </c>
    </row>
    <row r="1489" s="457" customFormat="1" spans="1:13">
      <c r="A1489" s="494">
        <v>45955</v>
      </c>
      <c r="B1489" s="442" t="s">
        <v>119</v>
      </c>
      <c r="C1489" s="495">
        <v>45955</v>
      </c>
      <c r="D1489" s="463"/>
      <c r="E1489" s="463"/>
      <c r="F1489" s="496" t="s">
        <v>304</v>
      </c>
      <c r="G1489" s="463">
        <v>1</v>
      </c>
      <c r="H1489" s="432">
        <f>SUM(H1479:H1488)</f>
        <v>1006</v>
      </c>
      <c r="I1489" s="463">
        <f t="shared" si="210"/>
        <v>1006</v>
      </c>
      <c r="J1489" s="497">
        <v>1</v>
      </c>
      <c r="K1489" s="497">
        <f t="shared" si="216"/>
        <v>1006</v>
      </c>
      <c r="L1489" s="457">
        <f>SUM(K1479:K1489)</f>
        <v>4427.5</v>
      </c>
    </row>
    <row r="1490" s="456" customFormat="1" spans="1:13">
      <c r="A1490" s="488">
        <v>45957</v>
      </c>
      <c r="B1490" s="489" t="s">
        <v>139</v>
      </c>
      <c r="C1490" s="490">
        <v>45954</v>
      </c>
      <c r="D1490" s="491"/>
      <c r="E1490" s="491"/>
      <c r="F1490" s="493" t="s">
        <v>837</v>
      </c>
      <c r="G1490" s="491">
        <v>1</v>
      </c>
      <c r="H1490" s="431">
        <v>5</v>
      </c>
      <c r="I1490" s="491">
        <f t="shared" si="210"/>
        <v>5</v>
      </c>
      <c r="J1490" s="492">
        <v>12.2</v>
      </c>
      <c r="K1490" s="492">
        <f t="shared" si="216"/>
        <v>61</v>
      </c>
    </row>
    <row r="1491" s="456" customFormat="1" spans="1:13">
      <c r="A1491" s="488">
        <v>45957</v>
      </c>
      <c r="B1491" s="489" t="s">
        <v>139</v>
      </c>
      <c r="C1491" s="490">
        <v>45954</v>
      </c>
      <c r="D1491" s="491"/>
      <c r="E1491" s="491"/>
      <c r="F1491" s="493" t="s">
        <v>838</v>
      </c>
      <c r="G1491" s="491">
        <v>1</v>
      </c>
      <c r="H1491" s="431">
        <v>3.5</v>
      </c>
      <c r="I1491" s="491">
        <f t="shared" si="210"/>
        <v>3.5</v>
      </c>
      <c r="J1491" s="492">
        <v>25</v>
      </c>
      <c r="K1491" s="492">
        <f t="shared" si="216"/>
        <v>87.5</v>
      </c>
    </row>
    <row r="1492" s="456" customFormat="1" spans="1:13">
      <c r="A1492" s="488">
        <v>45957</v>
      </c>
      <c r="B1492" s="489" t="s">
        <v>139</v>
      </c>
      <c r="C1492" s="490">
        <v>45954</v>
      </c>
      <c r="D1492" s="491"/>
      <c r="E1492" s="491"/>
      <c r="F1492" s="493" t="s">
        <v>756</v>
      </c>
      <c r="G1492" s="491">
        <v>2</v>
      </c>
      <c r="H1492" s="431">
        <v>1</v>
      </c>
      <c r="I1492" s="491">
        <f t="shared" si="210"/>
        <v>2</v>
      </c>
      <c r="J1492" s="492">
        <v>5.5</v>
      </c>
      <c r="K1492" s="492">
        <f t="shared" si="216"/>
        <v>11</v>
      </c>
      <c r="L1492" s="456">
        <f>SUM(K1490:K1492)</f>
        <v>159.5</v>
      </c>
    </row>
    <row r="1493" s="457" customFormat="1" spans="1:13">
      <c r="A1493" s="494">
        <v>45958</v>
      </c>
      <c r="B1493" s="442" t="s">
        <v>404</v>
      </c>
      <c r="C1493" s="495">
        <v>45957</v>
      </c>
      <c r="D1493" s="463"/>
      <c r="E1493" s="463"/>
      <c r="F1493" s="496" t="s">
        <v>16</v>
      </c>
      <c r="G1493" s="463">
        <v>1</v>
      </c>
      <c r="H1493" s="432">
        <v>48</v>
      </c>
      <c r="I1493" s="463">
        <f t="shared" si="210"/>
        <v>48</v>
      </c>
      <c r="J1493" s="497">
        <v>13.5</v>
      </c>
      <c r="K1493" s="497"/>
    </row>
    <row r="1494" s="457" customFormat="1" spans="1:13">
      <c r="A1494" s="494">
        <v>45958</v>
      </c>
      <c r="B1494" s="442" t="s">
        <v>404</v>
      </c>
      <c r="C1494" s="495">
        <v>45957</v>
      </c>
      <c r="D1494" s="463"/>
      <c r="E1494" s="463"/>
      <c r="F1494" s="496" t="s">
        <v>766</v>
      </c>
      <c r="G1494" s="463">
        <v>1</v>
      </c>
      <c r="H1494" s="432">
        <v>150</v>
      </c>
      <c r="I1494" s="463">
        <f t="shared" si="210"/>
        <v>150</v>
      </c>
      <c r="J1494" s="497">
        <v>14.2</v>
      </c>
      <c r="K1494" s="497"/>
    </row>
    <row r="1495" s="457" customFormat="1" spans="1:13">
      <c r="A1495" s="494">
        <v>45958</v>
      </c>
      <c r="B1495" s="442" t="s">
        <v>404</v>
      </c>
      <c r="C1495" s="495">
        <v>45957</v>
      </c>
      <c r="D1495" s="463"/>
      <c r="E1495" s="463"/>
      <c r="F1495" s="496">
        <v>808</v>
      </c>
      <c r="G1495" s="463">
        <v>1</v>
      </c>
      <c r="H1495" s="432">
        <v>30</v>
      </c>
      <c r="I1495" s="463">
        <f t="shared" si="210"/>
        <v>30</v>
      </c>
      <c r="J1495" s="497">
        <v>7.6</v>
      </c>
      <c r="K1495" s="497">
        <f t="shared" ref="K1495:K1497" si="217">I1495*J1495</f>
        <v>228</v>
      </c>
    </row>
    <row r="1496" s="457" customFormat="1" spans="1:13">
      <c r="A1496" s="494">
        <v>45958</v>
      </c>
      <c r="B1496" s="442" t="s">
        <v>404</v>
      </c>
      <c r="C1496" s="495">
        <v>45957</v>
      </c>
      <c r="D1496" s="463"/>
      <c r="E1496" s="463"/>
      <c r="F1496" s="496" t="s">
        <v>12</v>
      </c>
      <c r="G1496" s="463">
        <v>1</v>
      </c>
      <c r="H1496" s="432">
        <v>30</v>
      </c>
      <c r="I1496" s="463">
        <f t="shared" si="210"/>
        <v>30</v>
      </c>
      <c r="J1496" s="497">
        <v>6.3</v>
      </c>
      <c r="K1496" s="497">
        <f t="shared" si="217"/>
        <v>189</v>
      </c>
      <c r="M1496" s="554"/>
    </row>
    <row r="1497" s="457" customFormat="1" spans="1:13">
      <c r="A1497" s="494">
        <v>45958</v>
      </c>
      <c r="B1497" s="442" t="s">
        <v>404</v>
      </c>
      <c r="C1497" s="495">
        <v>45957</v>
      </c>
      <c r="D1497" s="463"/>
      <c r="E1497" s="463"/>
      <c r="F1497" s="496" t="s">
        <v>456</v>
      </c>
      <c r="G1497" s="463">
        <v>1</v>
      </c>
      <c r="H1497" s="432">
        <f>SUM(H1493:H1496)</f>
        <v>258</v>
      </c>
      <c r="I1497" s="463">
        <f t="shared" si="210"/>
        <v>258</v>
      </c>
      <c r="J1497" s="497">
        <v>3</v>
      </c>
      <c r="K1497" s="497">
        <f t="shared" si="217"/>
        <v>774</v>
      </c>
      <c r="L1497" s="457">
        <f>SUM(K1493:K1497)</f>
        <v>1191</v>
      </c>
    </row>
    <row r="1498" s="456" customFormat="1" spans="1:13">
      <c r="A1498" s="488">
        <v>45961</v>
      </c>
      <c r="B1498" s="489" t="s">
        <v>408</v>
      </c>
      <c r="C1498" s="490">
        <v>45961</v>
      </c>
      <c r="D1498" s="491"/>
      <c r="E1498" s="491"/>
      <c r="F1498" s="456" t="s">
        <v>722</v>
      </c>
      <c r="G1498" s="489">
        <v>1</v>
      </c>
      <c r="H1498" s="489">
        <v>82</v>
      </c>
      <c r="I1498" s="491">
        <f t="shared" si="210"/>
        <v>82</v>
      </c>
      <c r="J1498" s="492"/>
      <c r="K1498" s="492"/>
    </row>
    <row r="1499" s="456" customFormat="1" spans="1:13">
      <c r="A1499" s="488">
        <v>45961</v>
      </c>
      <c r="B1499" s="489" t="s">
        <v>408</v>
      </c>
      <c r="C1499" s="490">
        <v>45961</v>
      </c>
      <c r="D1499" s="491"/>
      <c r="E1499" s="491"/>
      <c r="F1499" s="493">
        <v>808</v>
      </c>
      <c r="G1499" s="489">
        <v>1</v>
      </c>
      <c r="H1499" s="489">
        <v>66</v>
      </c>
      <c r="I1499" s="489">
        <v>66</v>
      </c>
      <c r="J1499" s="492">
        <v>7.6</v>
      </c>
      <c r="K1499" s="492">
        <f t="shared" ref="K1499:K1502" si="218">I1499*J1499</f>
        <v>501.6</v>
      </c>
    </row>
    <row r="1500" s="456" customFormat="1" spans="1:13">
      <c r="A1500" s="488">
        <v>45961</v>
      </c>
      <c r="B1500" s="489" t="s">
        <v>408</v>
      </c>
      <c r="C1500" s="490">
        <v>45961</v>
      </c>
      <c r="D1500" s="491"/>
      <c r="E1500" s="491"/>
      <c r="F1500" s="493" t="s">
        <v>152</v>
      </c>
      <c r="G1500" s="489">
        <v>1</v>
      </c>
      <c r="H1500" s="489">
        <v>33</v>
      </c>
      <c r="I1500" s="491">
        <v>33</v>
      </c>
      <c r="J1500" s="491">
        <v>6.3</v>
      </c>
      <c r="K1500" s="492">
        <f t="shared" si="218"/>
        <v>207.9</v>
      </c>
    </row>
    <row r="1501" s="456" customFormat="1" spans="1:13">
      <c r="A1501" s="488">
        <v>45961</v>
      </c>
      <c r="B1501" s="489" t="s">
        <v>408</v>
      </c>
      <c r="C1501" s="490">
        <v>45961</v>
      </c>
      <c r="D1501" s="491"/>
      <c r="E1501" s="491"/>
      <c r="F1501" s="456" t="s">
        <v>125</v>
      </c>
      <c r="G1501" s="489">
        <v>1</v>
      </c>
      <c r="H1501" s="489">
        <v>175</v>
      </c>
      <c r="I1501" s="491">
        <f t="shared" ref="I1501:I1513" si="219">G1501*H1501</f>
        <v>175</v>
      </c>
      <c r="J1501" s="492">
        <v>5.1</v>
      </c>
      <c r="K1501" s="492">
        <f t="shared" si="218"/>
        <v>892.5</v>
      </c>
    </row>
    <row r="1502" s="456" customFormat="1" spans="1:13">
      <c r="A1502" s="488">
        <v>45961</v>
      </c>
      <c r="B1502" s="489" t="s">
        <v>408</v>
      </c>
      <c r="C1502" s="490">
        <v>45961</v>
      </c>
      <c r="D1502" s="491"/>
      <c r="E1502" s="491"/>
      <c r="F1502" s="456" t="s">
        <v>132</v>
      </c>
      <c r="G1502" s="489">
        <v>1</v>
      </c>
      <c r="H1502" s="489">
        <v>144</v>
      </c>
      <c r="I1502" s="491">
        <f t="shared" si="219"/>
        <v>144</v>
      </c>
      <c r="J1502" s="492">
        <v>3</v>
      </c>
      <c r="K1502" s="492">
        <f t="shared" si="218"/>
        <v>432</v>
      </c>
      <c r="L1502" s="456" t="s">
        <v>126</v>
      </c>
    </row>
    <row r="1503" s="456" customFormat="1" spans="1:13">
      <c r="A1503" s="488">
        <v>45961</v>
      </c>
      <c r="B1503" s="489" t="s">
        <v>408</v>
      </c>
      <c r="C1503" s="490">
        <v>45961</v>
      </c>
      <c r="D1503" s="491"/>
      <c r="E1503" s="491"/>
      <c r="F1503" s="456" t="s">
        <v>183</v>
      </c>
      <c r="G1503" s="489">
        <v>1</v>
      </c>
      <c r="H1503" s="489">
        <v>79</v>
      </c>
      <c r="I1503" s="491">
        <f t="shared" si="219"/>
        <v>79</v>
      </c>
      <c r="J1503" s="492"/>
      <c r="K1503" s="492"/>
      <c r="L1503" s="456" t="s">
        <v>723</v>
      </c>
    </row>
    <row r="1504" s="456" customFormat="1" spans="1:13">
      <c r="A1504" s="488">
        <v>45961</v>
      </c>
      <c r="B1504" s="489" t="s">
        <v>408</v>
      </c>
      <c r="C1504" s="490">
        <v>45961</v>
      </c>
      <c r="D1504" s="491"/>
      <c r="E1504" s="491"/>
      <c r="F1504" s="493" t="s">
        <v>191</v>
      </c>
      <c r="G1504" s="489">
        <v>1</v>
      </c>
      <c r="H1504" s="489">
        <v>18</v>
      </c>
      <c r="I1504" s="491">
        <f t="shared" si="219"/>
        <v>18</v>
      </c>
      <c r="J1504" s="492">
        <v>17</v>
      </c>
      <c r="K1504" s="492">
        <f t="shared" ref="K1504:K1507" si="220">I1504*J1504</f>
        <v>306</v>
      </c>
    </row>
    <row r="1505" s="456" customFormat="1" ht="18" customHeight="1" spans="1:26">
      <c r="A1505" s="488">
        <v>45961</v>
      </c>
      <c r="B1505" s="489" t="s">
        <v>408</v>
      </c>
      <c r="C1505" s="490">
        <v>45961</v>
      </c>
      <c r="D1505" s="491"/>
      <c r="E1505" s="491"/>
      <c r="F1505" s="456" t="s">
        <v>724</v>
      </c>
      <c r="G1505" s="489">
        <v>1</v>
      </c>
      <c r="H1505" s="489">
        <f>SUM(H1498:H1504)</f>
        <v>597</v>
      </c>
      <c r="I1505" s="491">
        <f t="shared" si="219"/>
        <v>597</v>
      </c>
      <c r="J1505" s="492">
        <v>1</v>
      </c>
      <c r="K1505" s="492">
        <f t="shared" si="220"/>
        <v>597</v>
      </c>
      <c r="L1505" s="456">
        <f>SUM(K1498:K1505)</f>
        <v>2937</v>
      </c>
    </row>
    <row r="1506" s="457" customFormat="1" spans="1:26">
      <c r="A1506" s="494">
        <v>45961</v>
      </c>
      <c r="B1506" s="442" t="s">
        <v>393</v>
      </c>
      <c r="C1506" s="495">
        <v>45961</v>
      </c>
      <c r="D1506" s="463"/>
      <c r="E1506" s="463"/>
      <c r="F1506" s="496">
        <v>808</v>
      </c>
      <c r="G1506" s="463">
        <v>1</v>
      </c>
      <c r="H1506" s="432">
        <v>144</v>
      </c>
      <c r="I1506" s="463">
        <f t="shared" si="219"/>
        <v>144</v>
      </c>
      <c r="J1506" s="497">
        <v>7.6</v>
      </c>
      <c r="K1506" s="497">
        <f t="shared" si="220"/>
        <v>1094.4</v>
      </c>
    </row>
    <row r="1507" s="457" customFormat="1" spans="1:26">
      <c r="A1507" s="494">
        <v>45961</v>
      </c>
      <c r="B1507" s="442" t="s">
        <v>393</v>
      </c>
      <c r="C1507" s="495">
        <v>45961</v>
      </c>
      <c r="D1507" s="463"/>
      <c r="E1507" s="463"/>
      <c r="F1507" s="496" t="s">
        <v>12</v>
      </c>
      <c r="G1507" s="463">
        <v>1</v>
      </c>
      <c r="H1507" s="432">
        <v>166</v>
      </c>
      <c r="I1507" s="463">
        <f t="shared" si="219"/>
        <v>166</v>
      </c>
      <c r="J1507" s="497">
        <v>6.1</v>
      </c>
      <c r="K1507" s="497">
        <f t="shared" si="220"/>
        <v>1012.6</v>
      </c>
    </row>
    <row r="1508" s="457" customFormat="1" spans="1:26">
      <c r="A1508" s="494">
        <v>45961</v>
      </c>
      <c r="B1508" s="442" t="s">
        <v>393</v>
      </c>
      <c r="C1508" s="495">
        <v>45961</v>
      </c>
      <c r="D1508" s="463"/>
      <c r="E1508" s="463"/>
      <c r="F1508" s="496" t="s">
        <v>13</v>
      </c>
      <c r="G1508" s="463">
        <v>1</v>
      </c>
      <c r="H1508" s="432">
        <v>216</v>
      </c>
      <c r="I1508" s="463">
        <f t="shared" si="219"/>
        <v>216</v>
      </c>
      <c r="J1508" s="497"/>
      <c r="K1508" s="497"/>
    </row>
    <row r="1509" s="457" customFormat="1" spans="1:26">
      <c r="A1509" s="494">
        <v>45961</v>
      </c>
      <c r="B1509" s="442" t="s">
        <v>393</v>
      </c>
      <c r="C1509" s="495">
        <v>45961</v>
      </c>
      <c r="D1509" s="463"/>
      <c r="E1509" s="463"/>
      <c r="F1509" s="496" t="s">
        <v>808</v>
      </c>
      <c r="G1509" s="463">
        <v>1</v>
      </c>
      <c r="H1509" s="432">
        <v>210</v>
      </c>
      <c r="I1509" s="463">
        <f t="shared" si="219"/>
        <v>210</v>
      </c>
      <c r="J1509" s="497"/>
      <c r="K1509" s="497"/>
    </row>
    <row r="1510" s="457" customFormat="1" spans="1:26">
      <c r="A1510" s="494">
        <v>45961</v>
      </c>
      <c r="B1510" s="442" t="s">
        <v>393</v>
      </c>
      <c r="C1510" s="495">
        <v>45961</v>
      </c>
      <c r="D1510" s="463"/>
      <c r="E1510" s="463"/>
      <c r="F1510" s="496" t="s">
        <v>839</v>
      </c>
      <c r="G1510" s="463">
        <v>1</v>
      </c>
      <c r="H1510" s="432">
        <v>188</v>
      </c>
      <c r="I1510" s="463">
        <f t="shared" si="219"/>
        <v>188</v>
      </c>
      <c r="J1510" s="497"/>
      <c r="K1510" s="497"/>
    </row>
    <row r="1511" s="457" customFormat="1" spans="1:26">
      <c r="A1511" s="494">
        <v>45961</v>
      </c>
      <c r="B1511" s="442" t="s">
        <v>393</v>
      </c>
      <c r="C1511" s="495">
        <v>45961</v>
      </c>
      <c r="D1511" s="463"/>
      <c r="E1511" s="463"/>
      <c r="F1511" s="496" t="s">
        <v>16</v>
      </c>
      <c r="G1511" s="463">
        <v>1</v>
      </c>
      <c r="H1511" s="432">
        <v>276</v>
      </c>
      <c r="I1511" s="463">
        <f t="shared" si="219"/>
        <v>276</v>
      </c>
      <c r="J1511" s="497"/>
      <c r="K1511" s="497"/>
      <c r="N1511" s="457">
        <f>SUBTOTAL(9,K1234:K1408)</f>
        <v>101154.97</v>
      </c>
    </row>
    <row r="1512" s="457" customFormat="1" spans="1:26">
      <c r="A1512" s="494">
        <v>45961</v>
      </c>
      <c r="B1512" s="442" t="s">
        <v>393</v>
      </c>
      <c r="C1512" s="495">
        <v>45961</v>
      </c>
      <c r="D1512" s="463"/>
      <c r="E1512" s="463"/>
      <c r="F1512" s="496" t="s">
        <v>17</v>
      </c>
      <c r="G1512" s="463">
        <v>1</v>
      </c>
      <c r="H1512" s="432">
        <f>SUM(H1506:H1511)</f>
        <v>1200</v>
      </c>
      <c r="I1512" s="463">
        <f t="shared" si="219"/>
        <v>1200</v>
      </c>
      <c r="J1512" s="497">
        <v>1</v>
      </c>
      <c r="K1512" s="497">
        <f>I1512*J1512</f>
        <v>1200</v>
      </c>
      <c r="L1512" s="457">
        <f>SUM(K1506:K1513)</f>
        <v>3369.5</v>
      </c>
    </row>
    <row r="1513" s="457" customFormat="1" spans="1:26">
      <c r="A1513" s="494">
        <v>45961</v>
      </c>
      <c r="B1513" s="442" t="s">
        <v>393</v>
      </c>
      <c r="C1513" s="495">
        <v>45961</v>
      </c>
      <c r="D1513" s="463"/>
      <c r="E1513" s="463"/>
      <c r="F1513" s="496" t="s">
        <v>840</v>
      </c>
      <c r="G1513" s="463">
        <v>5</v>
      </c>
      <c r="H1513" s="432">
        <v>1</v>
      </c>
      <c r="I1513" s="463">
        <f t="shared" si="219"/>
        <v>5</v>
      </c>
      <c r="J1513" s="497">
        <v>12.5</v>
      </c>
      <c r="K1513" s="497">
        <f>I1513*J1513</f>
        <v>62.5</v>
      </c>
    </row>
    <row r="1514" s="458" customFormat="1" ht="26" customHeight="1" spans="1:26">
      <c r="A1514" s="509" t="s">
        <v>492</v>
      </c>
      <c r="B1514" s="510"/>
      <c r="C1514" s="510"/>
      <c r="D1514" s="510"/>
      <c r="E1514" s="510"/>
      <c r="F1514" s="510"/>
      <c r="G1514" s="510"/>
      <c r="H1514" s="510"/>
      <c r="I1514" s="510"/>
      <c r="J1514" s="511" t="s">
        <v>28</v>
      </c>
      <c r="K1514" s="557">
        <f>SUM(K1517:K1683)</f>
        <v>65049.3</v>
      </c>
      <c r="L1514" s="458" t="s">
        <v>29</v>
      </c>
      <c r="M1514" s="509">
        <f>材料!L46+K1536</f>
        <v>38290.2</v>
      </c>
      <c r="N1514" s="513" t="s">
        <v>30</v>
      </c>
      <c r="O1514" s="509">
        <f>K1524+K1534+K1542+K1553+K1577+K1588+K1594+K1601+K1607+K1615+K1622++K1633+K1641+K1652+K1658+K1666+K1675+K1679+K1683</f>
        <v>21052.6</v>
      </c>
      <c r="P1514" s="510" t="s">
        <v>31</v>
      </c>
      <c r="Q1514" s="509">
        <f>K1555+K1564+K1565+K1566+K1642+K1643+K1556+K1558+K1560+K1561+K1562+K1645</f>
        <v>4763.5</v>
      </c>
      <c r="R1514" s="442"/>
      <c r="S1514" s="442"/>
      <c r="T1514" s="442"/>
      <c r="U1514" s="442"/>
      <c r="V1514" s="442"/>
      <c r="W1514" s="442"/>
      <c r="X1514" s="442"/>
      <c r="Y1514" s="442"/>
      <c r="Z1514" s="442"/>
    </row>
    <row r="1515" s="458" customFormat="1" ht="26" customHeight="1" spans="1:26">
      <c r="A1515" s="509"/>
      <c r="B1515" s="510"/>
      <c r="C1515" s="510"/>
      <c r="D1515" s="510"/>
      <c r="E1515" s="510"/>
      <c r="F1515" s="510"/>
      <c r="G1515" s="510"/>
      <c r="H1515" s="510"/>
      <c r="I1515" s="510"/>
      <c r="J1515" s="510" t="s">
        <v>32</v>
      </c>
      <c r="K1515" s="510"/>
      <c r="L1515" s="458" t="s">
        <v>33</v>
      </c>
      <c r="M1515" s="509">
        <f>K1525+K1526+K1535+K1537+K1554+K1559+K1602+K1644+K1557+K1563+K1667</f>
        <v>943</v>
      </c>
      <c r="N1515" s="514" t="s">
        <v>34</v>
      </c>
      <c r="O1515" s="557">
        <f>M1514+M1515+O1514+Q1514</f>
        <v>65049.3</v>
      </c>
      <c r="R1515" s="457"/>
      <c r="S1515" s="457"/>
      <c r="T1515" s="457"/>
      <c r="U1515" s="457"/>
      <c r="V1515" s="457"/>
      <c r="W1515" s="457"/>
      <c r="X1515" s="457"/>
      <c r="Y1515" s="457"/>
      <c r="Z1515" s="457"/>
    </row>
    <row r="1516" s="442" customFormat="1" ht="26" customHeight="1" spans="1:26">
      <c r="A1516" s="483" t="s">
        <v>35</v>
      </c>
      <c r="B1516" s="484" t="s">
        <v>36</v>
      </c>
      <c r="C1516" s="485" t="s">
        <v>37</v>
      </c>
      <c r="D1516" s="485"/>
      <c r="E1516" s="485"/>
      <c r="F1516" s="485" t="s">
        <v>38</v>
      </c>
      <c r="G1516" s="485" t="s">
        <v>4</v>
      </c>
      <c r="H1516" s="485" t="s">
        <v>5</v>
      </c>
      <c r="I1516" s="485" t="s">
        <v>6</v>
      </c>
      <c r="J1516" s="485" t="s">
        <v>7</v>
      </c>
      <c r="K1516" s="485" t="s">
        <v>8</v>
      </c>
      <c r="L1516" s="485" t="s">
        <v>39</v>
      </c>
      <c r="M1516" s="485" t="s">
        <v>40</v>
      </c>
      <c r="N1516" s="427"/>
      <c r="O1516" s="427"/>
      <c r="P1516" s="458"/>
      <c r="Q1516" s="458"/>
      <c r="R1516" s="457"/>
      <c r="S1516" s="457"/>
      <c r="T1516" s="457"/>
      <c r="U1516" s="457"/>
      <c r="V1516" s="457"/>
      <c r="W1516" s="457"/>
      <c r="X1516" s="457"/>
      <c r="Y1516" s="457"/>
      <c r="Z1516" s="457"/>
    </row>
    <row r="1517" s="456" customFormat="1" spans="1:26">
      <c r="A1517" s="488">
        <v>45962</v>
      </c>
      <c r="B1517" s="489" t="s">
        <v>792</v>
      </c>
      <c r="C1517" s="490">
        <v>45962</v>
      </c>
      <c r="D1517" s="491"/>
      <c r="E1517" s="491"/>
      <c r="F1517" s="493">
        <v>808</v>
      </c>
      <c r="G1517" s="491">
        <v>1</v>
      </c>
      <c r="H1517" s="431">
        <v>50</v>
      </c>
      <c r="I1517" s="491">
        <f>G1517*H1517</f>
        <v>50</v>
      </c>
      <c r="J1517" s="492">
        <v>7.6</v>
      </c>
      <c r="K1517" s="492">
        <f>I1517*J1517</f>
        <v>380</v>
      </c>
      <c r="L1517" s="456" t="s">
        <v>126</v>
      </c>
    </row>
    <row r="1518" s="456" customFormat="1" spans="1:26">
      <c r="A1518" s="488">
        <v>45962</v>
      </c>
      <c r="B1518" s="489" t="s">
        <v>792</v>
      </c>
      <c r="C1518" s="490">
        <v>45962</v>
      </c>
      <c r="D1518" s="491"/>
      <c r="E1518" s="491"/>
      <c r="F1518" s="493" t="s">
        <v>125</v>
      </c>
      <c r="G1518" s="491">
        <v>1</v>
      </c>
      <c r="H1518" s="431">
        <v>95</v>
      </c>
      <c r="I1518" s="491">
        <f>G1518*H1518</f>
        <v>95</v>
      </c>
      <c r="J1518" s="492">
        <v>5.1</v>
      </c>
      <c r="K1518" s="492">
        <f>I1518*J1518</f>
        <v>484.5</v>
      </c>
    </row>
    <row r="1519" s="456" customFormat="1" spans="1:26">
      <c r="A1519" s="488">
        <v>45962</v>
      </c>
      <c r="B1519" s="489" t="s">
        <v>792</v>
      </c>
      <c r="C1519" s="490">
        <v>45962</v>
      </c>
      <c r="D1519" s="491"/>
      <c r="E1519" s="491"/>
      <c r="F1519" s="493" t="s">
        <v>12</v>
      </c>
      <c r="G1519" s="491">
        <v>1</v>
      </c>
      <c r="H1519" s="431">
        <v>10</v>
      </c>
      <c r="I1519" s="491">
        <f>G1519*H1519</f>
        <v>10</v>
      </c>
      <c r="J1519" s="492">
        <v>6.1</v>
      </c>
      <c r="K1519" s="492">
        <f>I1519*J1519</f>
        <v>61</v>
      </c>
    </row>
    <row r="1520" s="456" customFormat="1" spans="1:26">
      <c r="A1520" s="488">
        <v>45962</v>
      </c>
      <c r="B1520" s="489" t="s">
        <v>792</v>
      </c>
      <c r="C1520" s="490">
        <v>45962</v>
      </c>
      <c r="D1520" s="491"/>
      <c r="E1520" s="491"/>
      <c r="F1520" s="493" t="s">
        <v>240</v>
      </c>
      <c r="G1520" s="491">
        <v>1</v>
      </c>
      <c r="H1520" s="431">
        <v>75</v>
      </c>
      <c r="I1520" s="491">
        <f>G1520*H1520</f>
        <v>75</v>
      </c>
      <c r="J1520" s="492"/>
      <c r="K1520" s="492"/>
      <c r="M1520" s="456" t="s">
        <v>678</v>
      </c>
    </row>
    <row r="1521" s="456" customFormat="1" spans="1:12">
      <c r="A1521" s="488">
        <v>45962</v>
      </c>
      <c r="B1521" s="489" t="s">
        <v>792</v>
      </c>
      <c r="C1521" s="490">
        <v>45962</v>
      </c>
      <c r="D1521" s="491"/>
      <c r="E1521" s="491"/>
      <c r="F1521" s="493" t="s">
        <v>16</v>
      </c>
      <c r="G1521" s="491">
        <v>1</v>
      </c>
      <c r="H1521" s="431">
        <v>75</v>
      </c>
      <c r="I1521" s="491">
        <f t="shared" ref="I1521:I1526" si="221">G1521*H1521</f>
        <v>75</v>
      </c>
      <c r="J1521" s="492"/>
      <c r="K1521" s="492"/>
    </row>
    <row r="1522" s="456" customFormat="1" spans="1:12">
      <c r="A1522" s="488">
        <v>45962</v>
      </c>
      <c r="B1522" s="489" t="s">
        <v>792</v>
      </c>
      <c r="C1522" s="490">
        <v>45962</v>
      </c>
      <c r="D1522" s="491"/>
      <c r="E1522" s="491"/>
      <c r="F1522" s="493" t="s">
        <v>300</v>
      </c>
      <c r="G1522" s="491">
        <v>1</v>
      </c>
      <c r="H1522" s="431">
        <v>75</v>
      </c>
      <c r="I1522" s="491">
        <f t="shared" si="221"/>
        <v>75</v>
      </c>
      <c r="J1522" s="492"/>
      <c r="K1522" s="492"/>
    </row>
    <row r="1523" s="456" customFormat="1" spans="1:12">
      <c r="A1523" s="488">
        <v>45962</v>
      </c>
      <c r="B1523" s="489" t="s">
        <v>792</v>
      </c>
      <c r="C1523" s="490">
        <v>45962</v>
      </c>
      <c r="D1523" s="491"/>
      <c r="E1523" s="491"/>
      <c r="F1523" s="493" t="s">
        <v>841</v>
      </c>
      <c r="G1523" s="491">
        <v>1</v>
      </c>
      <c r="H1523" s="431">
        <v>120</v>
      </c>
      <c r="I1523" s="491">
        <f t="shared" si="221"/>
        <v>120</v>
      </c>
      <c r="J1523" s="492"/>
      <c r="K1523" s="492"/>
    </row>
    <row r="1524" s="456" customFormat="1" spans="1:12">
      <c r="A1524" s="488">
        <v>45962</v>
      </c>
      <c r="B1524" s="489" t="s">
        <v>792</v>
      </c>
      <c r="C1524" s="490">
        <v>45962</v>
      </c>
      <c r="D1524" s="491"/>
      <c r="E1524" s="491"/>
      <c r="F1524" s="493" t="s">
        <v>301</v>
      </c>
      <c r="G1524" s="491">
        <v>1</v>
      </c>
      <c r="H1524" s="431">
        <f>SUM(H1517:H1523)</f>
        <v>500</v>
      </c>
      <c r="I1524" s="491">
        <f t="shared" si="221"/>
        <v>500</v>
      </c>
      <c r="J1524" s="492">
        <v>1</v>
      </c>
      <c r="K1524" s="492">
        <f>I1524*J1524</f>
        <v>500</v>
      </c>
      <c r="L1524" s="456">
        <f>SUM(K1517:K1526)</f>
        <v>1788</v>
      </c>
    </row>
    <row r="1525" s="456" customFormat="1" spans="1:12">
      <c r="A1525" s="488">
        <v>45962</v>
      </c>
      <c r="B1525" s="489" t="s">
        <v>792</v>
      </c>
      <c r="C1525" s="490">
        <v>45962</v>
      </c>
      <c r="D1525" s="491"/>
      <c r="E1525" s="491"/>
      <c r="F1525" s="493" t="s">
        <v>840</v>
      </c>
      <c r="G1525" s="491">
        <v>11</v>
      </c>
      <c r="H1525" s="431">
        <v>1</v>
      </c>
      <c r="I1525" s="491">
        <f t="shared" si="221"/>
        <v>11</v>
      </c>
      <c r="J1525" s="492">
        <v>12.5</v>
      </c>
      <c r="K1525" s="492">
        <f>I1525*J1525</f>
        <v>137.5</v>
      </c>
    </row>
    <row r="1526" s="456" customFormat="1" spans="1:12">
      <c r="A1526" s="488">
        <v>45962</v>
      </c>
      <c r="B1526" s="489" t="s">
        <v>792</v>
      </c>
      <c r="C1526" s="519">
        <v>45960</v>
      </c>
      <c r="D1526" s="520"/>
      <c r="E1526" s="520"/>
      <c r="F1526" s="498" t="s">
        <v>531</v>
      </c>
      <c r="G1526" s="491">
        <v>18</v>
      </c>
      <c r="H1526" s="431">
        <v>1</v>
      </c>
      <c r="I1526" s="491">
        <f t="shared" si="221"/>
        <v>18</v>
      </c>
      <c r="J1526" s="492">
        <v>12.5</v>
      </c>
      <c r="K1526" s="492">
        <f>I1526*J1526</f>
        <v>225</v>
      </c>
    </row>
    <row r="1527" s="457" customFormat="1" spans="1:12">
      <c r="A1527" s="494">
        <v>45962</v>
      </c>
      <c r="B1527" s="442" t="s">
        <v>358</v>
      </c>
      <c r="C1527" s="495">
        <v>45962</v>
      </c>
      <c r="D1527" s="463"/>
      <c r="E1527" s="463"/>
      <c r="F1527" s="457" t="s">
        <v>16</v>
      </c>
      <c r="G1527" s="442">
        <v>1</v>
      </c>
      <c r="H1527" s="442">
        <v>90</v>
      </c>
      <c r="I1527" s="463">
        <f t="shared" ref="I1527:I1562" si="222">G1527*H1527</f>
        <v>90</v>
      </c>
      <c r="J1527" s="497"/>
      <c r="K1527" s="497"/>
    </row>
    <row r="1528" s="457" customFormat="1" spans="1:12">
      <c r="A1528" s="494">
        <v>45962</v>
      </c>
      <c r="B1528" s="442" t="s">
        <v>358</v>
      </c>
      <c r="C1528" s="495">
        <v>45962</v>
      </c>
      <c r="D1528" s="463"/>
      <c r="E1528" s="463"/>
      <c r="F1528" s="457" t="s">
        <v>785</v>
      </c>
      <c r="G1528" s="442">
        <v>1</v>
      </c>
      <c r="H1528" s="442">
        <v>136.5</v>
      </c>
      <c r="I1528" s="463">
        <f t="shared" si="222"/>
        <v>136.5</v>
      </c>
      <c r="J1528" s="497"/>
      <c r="K1528" s="497"/>
    </row>
    <row r="1529" s="457" customFormat="1" spans="1:12">
      <c r="A1529" s="494">
        <v>45962</v>
      </c>
      <c r="B1529" s="442" t="s">
        <v>358</v>
      </c>
      <c r="C1529" s="495">
        <v>45962</v>
      </c>
      <c r="D1529" s="463"/>
      <c r="E1529" s="463"/>
      <c r="F1529" s="457" t="s">
        <v>842</v>
      </c>
      <c r="G1529" s="442">
        <v>1</v>
      </c>
      <c r="H1529" s="442">
        <v>39</v>
      </c>
      <c r="I1529" s="463">
        <f t="shared" si="222"/>
        <v>39</v>
      </c>
      <c r="J1529" s="497"/>
      <c r="K1529" s="497"/>
    </row>
    <row r="1530" s="457" customFormat="1" spans="1:12">
      <c r="A1530" s="494">
        <v>45962</v>
      </c>
      <c r="B1530" s="442" t="s">
        <v>358</v>
      </c>
      <c r="C1530" s="495">
        <v>45962</v>
      </c>
      <c r="D1530" s="463"/>
      <c r="E1530" s="463"/>
      <c r="F1530" s="457" t="s">
        <v>352</v>
      </c>
      <c r="G1530" s="442">
        <v>1</v>
      </c>
      <c r="H1530" s="442">
        <v>100</v>
      </c>
      <c r="I1530" s="463">
        <f t="shared" si="222"/>
        <v>100</v>
      </c>
      <c r="J1530" s="497"/>
      <c r="K1530" s="497"/>
      <c r="L1530" s="457" t="s">
        <v>116</v>
      </c>
    </row>
    <row r="1531" s="457" customFormat="1" spans="1:12">
      <c r="A1531" s="494">
        <v>45962</v>
      </c>
      <c r="B1531" s="442" t="s">
        <v>358</v>
      </c>
      <c r="C1531" s="495">
        <v>45962</v>
      </c>
      <c r="D1531" s="463"/>
      <c r="E1531" s="463"/>
      <c r="F1531" s="457" t="s">
        <v>115</v>
      </c>
      <c r="G1531" s="442">
        <v>1</v>
      </c>
      <c r="H1531" s="442">
        <v>50</v>
      </c>
      <c r="I1531" s="463">
        <f t="shared" si="222"/>
        <v>50</v>
      </c>
      <c r="J1531" s="497"/>
      <c r="K1531" s="497"/>
    </row>
    <row r="1532" s="457" customFormat="1" spans="1:12">
      <c r="A1532" s="494">
        <v>45962</v>
      </c>
      <c r="B1532" s="442" t="s">
        <v>358</v>
      </c>
      <c r="C1532" s="495">
        <v>45962</v>
      </c>
      <c r="D1532" s="463"/>
      <c r="E1532" s="463"/>
      <c r="F1532" s="496">
        <v>808</v>
      </c>
      <c r="G1532" s="442">
        <v>1</v>
      </c>
      <c r="H1532" s="442">
        <v>26</v>
      </c>
      <c r="I1532" s="463">
        <f t="shared" si="222"/>
        <v>26</v>
      </c>
      <c r="J1532" s="497">
        <v>7.6</v>
      </c>
      <c r="K1532" s="497">
        <f t="shared" ref="K1532:K1537" si="223">I1532*J1532</f>
        <v>197.6</v>
      </c>
    </row>
    <row r="1533" s="457" customFormat="1" spans="1:12">
      <c r="A1533" s="494">
        <v>45962</v>
      </c>
      <c r="B1533" s="442" t="s">
        <v>358</v>
      </c>
      <c r="C1533" s="495">
        <v>45962</v>
      </c>
      <c r="D1533" s="463"/>
      <c r="E1533" s="463"/>
      <c r="F1533" s="496" t="s">
        <v>12</v>
      </c>
      <c r="G1533" s="442">
        <v>1</v>
      </c>
      <c r="H1533" s="442">
        <v>61</v>
      </c>
      <c r="I1533" s="463">
        <f t="shared" si="222"/>
        <v>61</v>
      </c>
      <c r="J1533" s="497">
        <v>6.1</v>
      </c>
      <c r="K1533" s="497">
        <f t="shared" si="223"/>
        <v>372.1</v>
      </c>
    </row>
    <row r="1534" s="457" customFormat="1" ht="18" customHeight="1" spans="1:12">
      <c r="A1534" s="494">
        <v>45962</v>
      </c>
      <c r="B1534" s="442" t="s">
        <v>358</v>
      </c>
      <c r="C1534" s="495">
        <v>45962</v>
      </c>
      <c r="D1534" s="463"/>
      <c r="E1534" s="463"/>
      <c r="F1534" s="457" t="s">
        <v>435</v>
      </c>
      <c r="G1534" s="442">
        <v>1</v>
      </c>
      <c r="H1534" s="442">
        <f>SUM(H1527:H1533)</f>
        <v>502.5</v>
      </c>
      <c r="I1534" s="463">
        <f t="shared" si="222"/>
        <v>502.5</v>
      </c>
      <c r="J1534" s="497">
        <v>1</v>
      </c>
      <c r="K1534" s="497">
        <f t="shared" si="223"/>
        <v>502.5</v>
      </c>
      <c r="L1534" s="457">
        <f>SUM(K1527:K1535)</f>
        <v>1197.2</v>
      </c>
    </row>
    <row r="1535" spans="1:12">
      <c r="A1535" s="494">
        <v>45962</v>
      </c>
      <c r="B1535" s="442" t="s">
        <v>358</v>
      </c>
      <c r="C1535" s="495">
        <v>45962</v>
      </c>
      <c r="D1535" s="463"/>
      <c r="E1535" s="463"/>
      <c r="F1535" s="496" t="s">
        <v>840</v>
      </c>
      <c r="G1535" s="463">
        <v>10</v>
      </c>
      <c r="H1535" s="432">
        <v>1</v>
      </c>
      <c r="I1535" s="463">
        <f t="shared" si="222"/>
        <v>10</v>
      </c>
      <c r="J1535" s="497">
        <v>12.5</v>
      </c>
      <c r="K1535" s="497">
        <f t="shared" si="223"/>
        <v>125</v>
      </c>
    </row>
    <row r="1536" s="456" customFormat="1" spans="1:12">
      <c r="A1536" s="488">
        <v>45966</v>
      </c>
      <c r="B1536" s="489" t="s">
        <v>395</v>
      </c>
      <c r="C1536" s="490">
        <v>45964</v>
      </c>
      <c r="D1536" s="491"/>
      <c r="E1536" s="491"/>
      <c r="F1536" s="498" t="s">
        <v>843</v>
      </c>
      <c r="G1536" s="520">
        <v>1</v>
      </c>
      <c r="H1536" s="521">
        <v>2</v>
      </c>
      <c r="I1536" s="520">
        <f t="shared" si="222"/>
        <v>2</v>
      </c>
      <c r="J1536" s="492">
        <v>24</v>
      </c>
      <c r="K1536" s="492">
        <f t="shared" si="223"/>
        <v>48</v>
      </c>
    </row>
    <row r="1537" s="456" customFormat="1" spans="1:12">
      <c r="A1537" s="488">
        <v>45966</v>
      </c>
      <c r="B1537" s="489" t="s">
        <v>395</v>
      </c>
      <c r="C1537" s="490">
        <v>45964</v>
      </c>
      <c r="D1537" s="491"/>
      <c r="E1537" s="491"/>
      <c r="F1537" s="498" t="s">
        <v>756</v>
      </c>
      <c r="G1537" s="520">
        <v>1</v>
      </c>
      <c r="H1537" s="521">
        <v>1</v>
      </c>
      <c r="I1537" s="520">
        <f t="shared" si="222"/>
        <v>1</v>
      </c>
      <c r="J1537" s="492">
        <v>5.5</v>
      </c>
      <c r="K1537" s="492">
        <f t="shared" si="223"/>
        <v>5.5</v>
      </c>
    </row>
    <row r="1538" s="456" customFormat="1" spans="1:12">
      <c r="A1538" s="488">
        <v>45966</v>
      </c>
      <c r="B1538" s="489" t="s">
        <v>395</v>
      </c>
      <c r="C1538" s="490">
        <v>45966</v>
      </c>
      <c r="D1538" s="491"/>
      <c r="E1538" s="491"/>
      <c r="F1538" s="493" t="s">
        <v>16</v>
      </c>
      <c r="G1538" s="491">
        <v>1</v>
      </c>
      <c r="H1538" s="431">
        <v>6</v>
      </c>
      <c r="I1538" s="491">
        <f t="shared" si="222"/>
        <v>6</v>
      </c>
      <c r="J1538" s="492">
        <v>12.5</v>
      </c>
      <c r="K1538" s="492"/>
    </row>
    <row r="1539" s="456" customFormat="1" spans="1:12">
      <c r="A1539" s="488">
        <v>45966</v>
      </c>
      <c r="B1539" s="489" t="s">
        <v>395</v>
      </c>
      <c r="C1539" s="490">
        <v>45966</v>
      </c>
      <c r="D1539" s="491"/>
      <c r="E1539" s="491"/>
      <c r="F1539" s="493" t="s">
        <v>513</v>
      </c>
      <c r="G1539" s="491">
        <v>1</v>
      </c>
      <c r="H1539" s="431">
        <v>40</v>
      </c>
      <c r="I1539" s="491">
        <f t="shared" si="222"/>
        <v>40</v>
      </c>
      <c r="J1539" s="492">
        <v>15</v>
      </c>
      <c r="K1539" s="492">
        <f t="shared" ref="K1539:K1545" si="224">I1539*J1539</f>
        <v>600</v>
      </c>
    </row>
    <row r="1540" s="456" customFormat="1" spans="1:12">
      <c r="A1540" s="488">
        <v>45966</v>
      </c>
      <c r="B1540" s="489" t="s">
        <v>395</v>
      </c>
      <c r="C1540" s="490">
        <v>45966</v>
      </c>
      <c r="D1540" s="491"/>
      <c r="E1540" s="491"/>
      <c r="F1540" s="493" t="s">
        <v>152</v>
      </c>
      <c r="G1540" s="491">
        <v>1</v>
      </c>
      <c r="H1540" s="431">
        <v>146</v>
      </c>
      <c r="I1540" s="491">
        <f t="shared" si="222"/>
        <v>146</v>
      </c>
      <c r="J1540" s="492">
        <v>6.2</v>
      </c>
      <c r="K1540" s="492">
        <f t="shared" si="224"/>
        <v>905.2</v>
      </c>
      <c r="L1540" s="456" t="s">
        <v>844</v>
      </c>
    </row>
    <row r="1541" s="456" customFormat="1" spans="1:12">
      <c r="A1541" s="488">
        <v>45966</v>
      </c>
      <c r="B1541" s="489" t="s">
        <v>395</v>
      </c>
      <c r="C1541" s="490">
        <v>45966</v>
      </c>
      <c r="D1541" s="491"/>
      <c r="E1541" s="491"/>
      <c r="F1541" s="493" t="s">
        <v>125</v>
      </c>
      <c r="G1541" s="491">
        <v>1</v>
      </c>
      <c r="H1541" s="431">
        <v>128</v>
      </c>
      <c r="I1541" s="491">
        <f t="shared" si="222"/>
        <v>128</v>
      </c>
      <c r="J1541" s="492">
        <v>5.1</v>
      </c>
      <c r="K1541" s="492">
        <f t="shared" si="224"/>
        <v>652.8</v>
      </c>
    </row>
    <row r="1542" s="456" customFormat="1" spans="1:12">
      <c r="A1542" s="488">
        <v>45966</v>
      </c>
      <c r="B1542" s="489" t="s">
        <v>395</v>
      </c>
      <c r="C1542" s="490">
        <v>45966</v>
      </c>
      <c r="D1542" s="491"/>
      <c r="E1542" s="491"/>
      <c r="F1542" s="493" t="s">
        <v>389</v>
      </c>
      <c r="G1542" s="491">
        <v>1</v>
      </c>
      <c r="H1542" s="431">
        <f>SUM(H1538:H1541)</f>
        <v>320</v>
      </c>
      <c r="I1542" s="491">
        <f t="shared" si="222"/>
        <v>320</v>
      </c>
      <c r="J1542" s="492">
        <v>1</v>
      </c>
      <c r="K1542" s="492">
        <f t="shared" si="224"/>
        <v>320</v>
      </c>
      <c r="L1542" s="456">
        <f>SUM(K1536:K1542)</f>
        <v>2531.5</v>
      </c>
    </row>
    <row r="1543" s="457" customFormat="1" spans="1:12">
      <c r="A1543" s="494">
        <v>45968</v>
      </c>
      <c r="B1543" s="442" t="s">
        <v>154</v>
      </c>
      <c r="C1543" s="495">
        <v>45967</v>
      </c>
      <c r="D1543" s="463"/>
      <c r="E1543" s="463"/>
      <c r="F1543" s="496">
        <v>808</v>
      </c>
      <c r="G1543" s="463">
        <v>1</v>
      </c>
      <c r="H1543" s="432">
        <v>54</v>
      </c>
      <c r="I1543" s="463">
        <f t="shared" si="222"/>
        <v>54</v>
      </c>
      <c r="J1543" s="497">
        <v>7.6</v>
      </c>
      <c r="K1543" s="497">
        <f t="shared" si="224"/>
        <v>410.4</v>
      </c>
    </row>
    <row r="1544" s="457" customFormat="1" spans="1:12">
      <c r="A1544" s="494">
        <v>45968</v>
      </c>
      <c r="B1544" s="442" t="s">
        <v>154</v>
      </c>
      <c r="C1544" s="495">
        <v>45967</v>
      </c>
      <c r="D1544" s="463"/>
      <c r="E1544" s="463"/>
      <c r="F1544" s="496" t="s">
        <v>12</v>
      </c>
      <c r="G1544" s="463">
        <v>1</v>
      </c>
      <c r="H1544" s="432">
        <v>45</v>
      </c>
      <c r="I1544" s="463">
        <f t="shared" si="222"/>
        <v>45</v>
      </c>
      <c r="J1544" s="497">
        <v>6.1</v>
      </c>
      <c r="K1544" s="497">
        <f t="shared" si="224"/>
        <v>274.5</v>
      </c>
    </row>
    <row r="1545" s="457" customFormat="1" spans="1:12">
      <c r="A1545" s="494">
        <v>45968</v>
      </c>
      <c r="B1545" s="442" t="s">
        <v>154</v>
      </c>
      <c r="C1545" s="495">
        <v>45967</v>
      </c>
      <c r="D1545" s="463"/>
      <c r="E1545" s="463"/>
      <c r="F1545" s="496" t="s">
        <v>152</v>
      </c>
      <c r="G1545" s="463">
        <v>1</v>
      </c>
      <c r="H1545" s="432">
        <v>36</v>
      </c>
      <c r="I1545" s="463">
        <f t="shared" si="222"/>
        <v>36</v>
      </c>
      <c r="J1545" s="497">
        <v>6.2</v>
      </c>
      <c r="K1545" s="497">
        <f t="shared" si="224"/>
        <v>223.2</v>
      </c>
    </row>
    <row r="1546" s="457" customFormat="1" spans="1:12">
      <c r="A1546" s="494">
        <v>45968</v>
      </c>
      <c r="B1546" s="442" t="s">
        <v>154</v>
      </c>
      <c r="C1546" s="495">
        <v>45967</v>
      </c>
      <c r="D1546" s="463"/>
      <c r="E1546" s="463"/>
      <c r="F1546" s="496" t="s">
        <v>709</v>
      </c>
      <c r="G1546" s="463">
        <v>1</v>
      </c>
      <c r="H1546" s="432">
        <v>43</v>
      </c>
      <c r="I1546" s="463">
        <f t="shared" si="222"/>
        <v>43</v>
      </c>
      <c r="J1546" s="497"/>
      <c r="K1546" s="497"/>
    </row>
    <row r="1547" s="457" customFormat="1" spans="1:12">
      <c r="A1547" s="494">
        <v>45968</v>
      </c>
      <c r="B1547" s="442" t="s">
        <v>154</v>
      </c>
      <c r="C1547" s="495">
        <v>45967</v>
      </c>
      <c r="D1547" s="463"/>
      <c r="E1547" s="463"/>
      <c r="F1547" s="496" t="s">
        <v>710</v>
      </c>
      <c r="G1547" s="463">
        <v>1</v>
      </c>
      <c r="H1547" s="432">
        <v>52</v>
      </c>
      <c r="I1547" s="463">
        <f t="shared" si="222"/>
        <v>52</v>
      </c>
      <c r="J1547" s="497"/>
      <c r="K1547" s="497"/>
    </row>
    <row r="1548" s="457" customFormat="1" spans="1:12">
      <c r="A1548" s="494">
        <v>45968</v>
      </c>
      <c r="B1548" s="442" t="s">
        <v>154</v>
      </c>
      <c r="C1548" s="495">
        <v>45967</v>
      </c>
      <c r="D1548" s="463"/>
      <c r="E1548" s="463"/>
      <c r="F1548" s="496" t="s">
        <v>782</v>
      </c>
      <c r="G1548" s="463">
        <v>1</v>
      </c>
      <c r="H1548" s="432">
        <v>37</v>
      </c>
      <c r="I1548" s="463">
        <f t="shared" si="222"/>
        <v>37</v>
      </c>
      <c r="J1548" s="497"/>
      <c r="K1548" s="497"/>
    </row>
    <row r="1549" s="457" customFormat="1" spans="1:12">
      <c r="A1549" s="494">
        <v>45968</v>
      </c>
      <c r="B1549" s="442" t="s">
        <v>154</v>
      </c>
      <c r="C1549" s="495">
        <v>45967</v>
      </c>
      <c r="D1549" s="463"/>
      <c r="E1549" s="463"/>
      <c r="F1549" s="496" t="s">
        <v>191</v>
      </c>
      <c r="G1549" s="463">
        <v>1</v>
      </c>
      <c r="H1549" s="432">
        <v>8.6</v>
      </c>
      <c r="I1549" s="463">
        <f t="shared" si="222"/>
        <v>8.6</v>
      </c>
      <c r="J1549" s="497">
        <v>17</v>
      </c>
      <c r="K1549" s="497">
        <f>I1549*J1549</f>
        <v>146.2</v>
      </c>
    </row>
    <row r="1550" s="457" customFormat="1" spans="1:12">
      <c r="A1550" s="494">
        <v>45968</v>
      </c>
      <c r="B1550" s="442" t="s">
        <v>154</v>
      </c>
      <c r="C1550" s="495">
        <v>45967</v>
      </c>
      <c r="D1550" s="463"/>
      <c r="E1550" s="463"/>
      <c r="F1550" s="496" t="s">
        <v>791</v>
      </c>
      <c r="G1550" s="463">
        <v>1</v>
      </c>
      <c r="H1550" s="432">
        <v>1</v>
      </c>
      <c r="I1550" s="463">
        <f t="shared" si="222"/>
        <v>1</v>
      </c>
      <c r="J1550" s="497">
        <v>25</v>
      </c>
      <c r="K1550" s="497">
        <f>I1550*J1550</f>
        <v>25</v>
      </c>
    </row>
    <row r="1551" s="457" customFormat="1" spans="1:12">
      <c r="A1551" s="494">
        <v>45968</v>
      </c>
      <c r="B1551" s="442" t="s">
        <v>154</v>
      </c>
      <c r="C1551" s="495">
        <v>45967</v>
      </c>
      <c r="D1551" s="463"/>
      <c r="E1551" s="463"/>
      <c r="F1551" s="496" t="s">
        <v>801</v>
      </c>
      <c r="G1551" s="463">
        <v>1</v>
      </c>
      <c r="H1551" s="432">
        <v>54</v>
      </c>
      <c r="I1551" s="463">
        <f t="shared" si="222"/>
        <v>54</v>
      </c>
      <c r="J1551" s="497"/>
      <c r="K1551" s="497"/>
    </row>
    <row r="1552" s="457" customFormat="1" spans="1:12">
      <c r="A1552" s="494">
        <v>45968</v>
      </c>
      <c r="B1552" s="442" t="s">
        <v>154</v>
      </c>
      <c r="C1552" s="495">
        <v>45967</v>
      </c>
      <c r="D1552" s="463"/>
      <c r="E1552" s="463"/>
      <c r="F1552" s="496" t="s">
        <v>132</v>
      </c>
      <c r="G1552" s="463">
        <v>1</v>
      </c>
      <c r="H1552" s="432">
        <v>34</v>
      </c>
      <c r="I1552" s="463">
        <f t="shared" si="222"/>
        <v>34</v>
      </c>
      <c r="J1552" s="497">
        <v>3</v>
      </c>
      <c r="K1552" s="497">
        <f>I1552*J1552</f>
        <v>102</v>
      </c>
      <c r="L1552" s="457" t="s">
        <v>812</v>
      </c>
    </row>
    <row r="1553" s="457" customFormat="1" spans="1:20">
      <c r="A1553" s="494">
        <v>45968</v>
      </c>
      <c r="B1553" s="442" t="s">
        <v>154</v>
      </c>
      <c r="C1553" s="495">
        <v>45967</v>
      </c>
      <c r="D1553" s="463"/>
      <c r="E1553" s="463"/>
      <c r="F1553" s="496" t="s">
        <v>813</v>
      </c>
      <c r="G1553" s="463">
        <v>1</v>
      </c>
      <c r="H1553" s="432">
        <f>SUM(H1543:H1552)</f>
        <v>364.6</v>
      </c>
      <c r="I1553" s="463">
        <f t="shared" si="222"/>
        <v>364.6</v>
      </c>
      <c r="J1553" s="497">
        <v>1</v>
      </c>
      <c r="K1553" s="497">
        <f>I1553*J1553</f>
        <v>364.6</v>
      </c>
      <c r="L1553" s="584"/>
    </row>
    <row r="1554" s="457" customFormat="1" spans="1:20">
      <c r="A1554" s="494">
        <v>45968</v>
      </c>
      <c r="B1554" s="442" t="s">
        <v>154</v>
      </c>
      <c r="C1554" s="495">
        <v>45967</v>
      </c>
      <c r="D1554" s="463"/>
      <c r="E1554" s="463"/>
      <c r="F1554" s="496" t="s">
        <v>499</v>
      </c>
      <c r="G1554" s="463">
        <v>20</v>
      </c>
      <c r="H1554" s="432">
        <v>1</v>
      </c>
      <c r="I1554" s="463">
        <f t="shared" si="222"/>
        <v>20</v>
      </c>
      <c r="J1554" s="497">
        <v>12.5</v>
      </c>
      <c r="K1554" s="497">
        <f>I1554*J1554</f>
        <v>250</v>
      </c>
      <c r="L1554" s="584">
        <f>SUM(K1543:K1554)</f>
        <v>1795.9</v>
      </c>
    </row>
    <row r="1555" s="457" customFormat="1" spans="1:20">
      <c r="A1555" s="494">
        <v>45968</v>
      </c>
      <c r="B1555" s="442" t="s">
        <v>154</v>
      </c>
      <c r="C1555" s="495">
        <v>45967</v>
      </c>
      <c r="D1555" s="463"/>
      <c r="E1555" s="463"/>
      <c r="F1555" s="498" t="s">
        <v>845</v>
      </c>
      <c r="G1555" s="463">
        <v>1</v>
      </c>
      <c r="H1555" s="432">
        <v>4</v>
      </c>
      <c r="I1555" s="463">
        <f t="shared" si="222"/>
        <v>4</v>
      </c>
      <c r="J1555" s="497">
        <v>23</v>
      </c>
      <c r="K1555" s="497">
        <f>I1555*J1555</f>
        <v>92</v>
      </c>
      <c r="L1555" s="585" t="s">
        <v>846</v>
      </c>
      <c r="M1555" s="459"/>
      <c r="N1555" s="586" t="s">
        <v>847</v>
      </c>
    </row>
    <row r="1556" s="457" customFormat="1" spans="1:20">
      <c r="A1556" s="494">
        <v>45968</v>
      </c>
      <c r="B1556" s="442" t="s">
        <v>154</v>
      </c>
      <c r="C1556" s="495">
        <v>45967</v>
      </c>
      <c r="D1556" s="463"/>
      <c r="E1556" s="463"/>
      <c r="F1556" s="498" t="s">
        <v>848</v>
      </c>
      <c r="G1556" s="463">
        <v>-1</v>
      </c>
      <c r="H1556" s="432">
        <v>1.5</v>
      </c>
      <c r="I1556" s="463">
        <f t="shared" si="222"/>
        <v>-1.5</v>
      </c>
      <c r="J1556" s="497">
        <v>15</v>
      </c>
      <c r="K1556" s="497">
        <f>I1556*J1556</f>
        <v>-22.5</v>
      </c>
      <c r="L1556" s="585"/>
      <c r="M1556" s="459"/>
      <c r="N1556" s="586"/>
    </row>
    <row r="1557" s="457" customFormat="1" spans="1:20">
      <c r="A1557" s="494">
        <v>45968</v>
      </c>
      <c r="B1557" s="442" t="s">
        <v>154</v>
      </c>
      <c r="C1557" s="495">
        <v>45967</v>
      </c>
      <c r="D1557" s="463"/>
      <c r="E1557" s="463"/>
      <c r="F1557" s="496" t="s">
        <v>779</v>
      </c>
      <c r="G1557" s="463">
        <v>1</v>
      </c>
      <c r="H1557" s="432">
        <v>1</v>
      </c>
      <c r="I1557" s="463">
        <f t="shared" ref="I1557:I1566" si="225">G1557*H1557</f>
        <v>1</v>
      </c>
      <c r="J1557" s="497">
        <v>5.5</v>
      </c>
      <c r="K1557" s="497">
        <f t="shared" ref="K1557:K1569" si="226">I1557*J1557</f>
        <v>5.5</v>
      </c>
      <c r="L1557" s="584">
        <f>SUM(K1543:K1557)</f>
        <v>1870.9</v>
      </c>
    </row>
    <row r="1558" s="456" customFormat="1" spans="1:20">
      <c r="A1558" s="488">
        <v>45969</v>
      </c>
      <c r="B1558" s="489" t="s">
        <v>247</v>
      </c>
      <c r="C1558" s="490">
        <v>45968</v>
      </c>
      <c r="D1558" s="491"/>
      <c r="E1558" s="491"/>
      <c r="F1558" s="493" t="s">
        <v>679</v>
      </c>
      <c r="G1558" s="491">
        <v>5</v>
      </c>
      <c r="H1558" s="431">
        <v>20</v>
      </c>
      <c r="I1558" s="491">
        <f t="shared" si="225"/>
        <v>100</v>
      </c>
      <c r="J1558" s="492">
        <v>15</v>
      </c>
      <c r="K1558" s="492">
        <f t="shared" si="226"/>
        <v>1500</v>
      </c>
      <c r="L1558" s="536"/>
      <c r="M1558" s="536"/>
      <c r="N1558" s="536"/>
    </row>
    <row r="1559" s="456" customFormat="1" spans="1:20">
      <c r="A1559" s="488">
        <v>45969</v>
      </c>
      <c r="B1559" s="489" t="s">
        <v>247</v>
      </c>
      <c r="C1559" s="490">
        <v>45968</v>
      </c>
      <c r="D1559" s="491"/>
      <c r="E1559" s="491"/>
      <c r="F1559" s="493" t="s">
        <v>653</v>
      </c>
      <c r="G1559" s="491">
        <v>5</v>
      </c>
      <c r="H1559" s="431">
        <v>1</v>
      </c>
      <c r="I1559" s="491">
        <f t="shared" si="225"/>
        <v>5</v>
      </c>
      <c r="J1559" s="492">
        <v>12.5</v>
      </c>
      <c r="K1559" s="492">
        <f t="shared" si="226"/>
        <v>62.5</v>
      </c>
      <c r="L1559" s="536"/>
      <c r="M1559" s="536"/>
      <c r="N1559" s="536"/>
    </row>
    <row r="1560" s="456" customFormat="1" spans="1:20">
      <c r="A1560" s="488">
        <v>45969</v>
      </c>
      <c r="B1560" s="489" t="s">
        <v>247</v>
      </c>
      <c r="C1560" s="490">
        <v>45968</v>
      </c>
      <c r="D1560" s="491"/>
      <c r="E1560" s="491"/>
      <c r="F1560" s="561" t="s">
        <v>284</v>
      </c>
      <c r="G1560" s="491">
        <v>4</v>
      </c>
      <c r="H1560" s="431">
        <v>10</v>
      </c>
      <c r="I1560" s="491">
        <f t="shared" si="225"/>
        <v>40</v>
      </c>
      <c r="J1560" s="492">
        <v>15.5</v>
      </c>
      <c r="K1560" s="492">
        <f t="shared" si="226"/>
        <v>620</v>
      </c>
      <c r="L1560" s="456" t="s">
        <v>616</v>
      </c>
      <c r="M1560" s="489"/>
      <c r="O1560" s="489"/>
      <c r="S1560" s="489"/>
      <c r="T1560" s="456" t="s">
        <v>617</v>
      </c>
    </row>
    <row r="1561" s="456" customFormat="1" spans="1:20">
      <c r="A1561" s="488">
        <v>45969</v>
      </c>
      <c r="B1561" s="489" t="s">
        <v>247</v>
      </c>
      <c r="C1561" s="490">
        <v>45968</v>
      </c>
      <c r="D1561" s="491"/>
      <c r="E1561" s="491"/>
      <c r="F1561" s="561" t="s">
        <v>284</v>
      </c>
      <c r="G1561" s="491">
        <v>10</v>
      </c>
      <c r="H1561" s="431">
        <v>4</v>
      </c>
      <c r="I1561" s="491">
        <f t="shared" si="225"/>
        <v>40</v>
      </c>
      <c r="J1561" s="492">
        <v>15.5</v>
      </c>
      <c r="K1561" s="492">
        <f t="shared" si="226"/>
        <v>620</v>
      </c>
      <c r="L1561" s="456" t="s">
        <v>616</v>
      </c>
      <c r="M1561" s="489"/>
      <c r="O1561" s="489"/>
      <c r="S1561" s="489"/>
      <c r="T1561" s="456" t="s">
        <v>617</v>
      </c>
    </row>
    <row r="1562" s="456" customFormat="1" spans="1:20">
      <c r="A1562" s="488">
        <v>45969</v>
      </c>
      <c r="B1562" s="489" t="s">
        <v>247</v>
      </c>
      <c r="C1562" s="490">
        <v>45968</v>
      </c>
      <c r="D1562" s="491"/>
      <c r="E1562" s="491"/>
      <c r="F1562" s="561" t="s">
        <v>429</v>
      </c>
      <c r="G1562" s="491">
        <v>1</v>
      </c>
      <c r="H1562" s="431">
        <v>10</v>
      </c>
      <c r="I1562" s="491">
        <f t="shared" si="225"/>
        <v>10</v>
      </c>
      <c r="J1562" s="492">
        <v>15.5</v>
      </c>
      <c r="K1562" s="492">
        <f t="shared" si="226"/>
        <v>155</v>
      </c>
      <c r="L1562" s="456" t="s">
        <v>849</v>
      </c>
      <c r="M1562" s="489"/>
      <c r="O1562" s="489"/>
      <c r="S1562" s="489"/>
      <c r="T1562" s="456" t="s">
        <v>617</v>
      </c>
    </row>
    <row r="1563" s="456" customFormat="1" spans="1:20">
      <c r="A1563" s="488">
        <v>45969</v>
      </c>
      <c r="B1563" s="489" t="s">
        <v>247</v>
      </c>
      <c r="C1563" s="490">
        <v>45968</v>
      </c>
      <c r="D1563" s="491"/>
      <c r="E1563" s="491"/>
      <c r="F1563" s="561" t="s">
        <v>666</v>
      </c>
      <c r="G1563" s="491">
        <v>10</v>
      </c>
      <c r="H1563" s="431">
        <v>1</v>
      </c>
      <c r="I1563" s="491">
        <f t="shared" si="225"/>
        <v>10</v>
      </c>
      <c r="J1563" s="492">
        <v>5.5</v>
      </c>
      <c r="K1563" s="492">
        <f t="shared" si="226"/>
        <v>55</v>
      </c>
      <c r="L1563" s="493">
        <f>SUM(K1558:K1563)</f>
        <v>3012.5</v>
      </c>
    </row>
    <row r="1564" s="459" customFormat="1" spans="1:20">
      <c r="A1564" s="488">
        <v>45969</v>
      </c>
      <c r="B1564" s="489" t="s">
        <v>247</v>
      </c>
      <c r="C1564" s="490">
        <v>45968</v>
      </c>
      <c r="D1564" s="491"/>
      <c r="E1564" s="491"/>
      <c r="F1564" s="498" t="s">
        <v>815</v>
      </c>
      <c r="G1564" s="520">
        <v>1</v>
      </c>
      <c r="H1564" s="521">
        <v>25</v>
      </c>
      <c r="I1564" s="520">
        <f t="shared" si="225"/>
        <v>25</v>
      </c>
      <c r="J1564" s="515">
        <v>18</v>
      </c>
      <c r="K1564" s="515">
        <f t="shared" si="226"/>
        <v>450</v>
      </c>
      <c r="L1564" s="459" t="s">
        <v>850</v>
      </c>
      <c r="N1564" s="580" t="s">
        <v>817</v>
      </c>
    </row>
    <row r="1565" s="459" customFormat="1" spans="1:20">
      <c r="A1565" s="488">
        <v>45969</v>
      </c>
      <c r="B1565" s="489" t="s">
        <v>247</v>
      </c>
      <c r="C1565" s="490">
        <v>45968</v>
      </c>
      <c r="D1565" s="491"/>
      <c r="E1565" s="491"/>
      <c r="F1565" s="498" t="s">
        <v>851</v>
      </c>
      <c r="G1565" s="520">
        <v>2</v>
      </c>
      <c r="H1565" s="521">
        <v>20</v>
      </c>
      <c r="I1565" s="520">
        <f t="shared" si="225"/>
        <v>40</v>
      </c>
      <c r="J1565" s="515">
        <v>21</v>
      </c>
      <c r="K1565" s="515">
        <f t="shared" si="226"/>
        <v>840</v>
      </c>
      <c r="L1565" s="459" t="s">
        <v>850</v>
      </c>
      <c r="N1565" s="580"/>
    </row>
    <row r="1566" s="459" customFormat="1" spans="1:20">
      <c r="A1566" s="488">
        <v>45969</v>
      </c>
      <c r="B1566" s="489" t="s">
        <v>247</v>
      </c>
      <c r="C1566" s="490">
        <v>45968</v>
      </c>
      <c r="D1566" s="491"/>
      <c r="E1566" s="491"/>
      <c r="F1566" s="581" t="s">
        <v>852</v>
      </c>
      <c r="G1566" s="520">
        <v>1</v>
      </c>
      <c r="H1566" s="521">
        <v>20</v>
      </c>
      <c r="I1566" s="520">
        <f t="shared" si="225"/>
        <v>20</v>
      </c>
      <c r="J1566" s="515">
        <v>23</v>
      </c>
      <c r="K1566" s="515">
        <f t="shared" si="226"/>
        <v>460</v>
      </c>
      <c r="L1566" s="459" t="s">
        <v>850</v>
      </c>
      <c r="M1566" s="459">
        <f>SUM(K1558:K1566)</f>
        <v>4762.5</v>
      </c>
      <c r="N1566" s="580"/>
    </row>
    <row r="1567" s="457" customFormat="1" spans="1:20">
      <c r="A1567" s="494">
        <v>45969</v>
      </c>
      <c r="B1567" s="442" t="s">
        <v>250</v>
      </c>
      <c r="C1567" s="495">
        <v>45969</v>
      </c>
      <c r="D1567" s="463"/>
      <c r="E1567" s="463"/>
      <c r="F1567" s="496">
        <v>808</v>
      </c>
      <c r="G1567" s="442">
        <v>1</v>
      </c>
      <c r="H1567" s="442">
        <v>47</v>
      </c>
      <c r="I1567" s="463">
        <f t="shared" ref="I1567:I1594" si="227">G1567*H1567</f>
        <v>47</v>
      </c>
      <c r="J1567" s="497">
        <v>7.6</v>
      </c>
      <c r="K1567" s="497">
        <f t="shared" si="226"/>
        <v>357.2</v>
      </c>
    </row>
    <row r="1568" s="457" customFormat="1" spans="1:20">
      <c r="A1568" s="494">
        <v>45969</v>
      </c>
      <c r="B1568" s="442" t="s">
        <v>250</v>
      </c>
      <c r="C1568" s="495">
        <v>45969</v>
      </c>
      <c r="D1568" s="463"/>
      <c r="E1568" s="463"/>
      <c r="F1568" s="457" t="s">
        <v>125</v>
      </c>
      <c r="G1568" s="442">
        <v>1</v>
      </c>
      <c r="H1568" s="442">
        <v>51</v>
      </c>
      <c r="I1568" s="463">
        <f t="shared" si="227"/>
        <v>51</v>
      </c>
      <c r="J1568" s="497">
        <v>5.1</v>
      </c>
      <c r="K1568" s="497">
        <f t="shared" si="226"/>
        <v>260.1</v>
      </c>
    </row>
    <row r="1569" s="457" customFormat="1" spans="1:14">
      <c r="A1569" s="494">
        <v>45969</v>
      </c>
      <c r="B1569" s="442" t="s">
        <v>250</v>
      </c>
      <c r="C1569" s="495">
        <v>45969</v>
      </c>
      <c r="D1569" s="463"/>
      <c r="E1569" s="463"/>
      <c r="F1569" s="457" t="s">
        <v>12</v>
      </c>
      <c r="G1569" s="442">
        <v>1</v>
      </c>
      <c r="H1569" s="442">
        <v>20</v>
      </c>
      <c r="I1569" s="463">
        <f t="shared" si="227"/>
        <v>20</v>
      </c>
      <c r="J1569" s="497">
        <v>6.1</v>
      </c>
      <c r="K1569" s="497">
        <f t="shared" si="226"/>
        <v>122</v>
      </c>
    </row>
    <row r="1570" s="457" customFormat="1" spans="1:14">
      <c r="A1570" s="494">
        <v>45969</v>
      </c>
      <c r="B1570" s="442" t="s">
        <v>250</v>
      </c>
      <c r="C1570" s="495">
        <v>45969</v>
      </c>
      <c r="D1570" s="463"/>
      <c r="E1570" s="463"/>
      <c r="F1570" s="457" t="s">
        <v>298</v>
      </c>
      <c r="G1570" s="442">
        <v>1</v>
      </c>
      <c r="H1570" s="442">
        <v>74</v>
      </c>
      <c r="I1570" s="463">
        <f t="shared" si="227"/>
        <v>74</v>
      </c>
      <c r="J1570" s="497"/>
      <c r="K1570" s="497"/>
    </row>
    <row r="1571" s="457" customFormat="1" spans="1:14">
      <c r="A1571" s="494">
        <v>45969</v>
      </c>
      <c r="B1571" s="442" t="s">
        <v>250</v>
      </c>
      <c r="C1571" s="495">
        <v>45969</v>
      </c>
      <c r="D1571" s="463"/>
      <c r="E1571" s="463"/>
      <c r="F1571" s="457" t="s">
        <v>842</v>
      </c>
      <c r="G1571" s="442">
        <v>1</v>
      </c>
      <c r="H1571" s="442">
        <v>111</v>
      </c>
      <c r="I1571" s="463">
        <f t="shared" si="227"/>
        <v>111</v>
      </c>
      <c r="J1571" s="497"/>
      <c r="K1571" s="497"/>
      <c r="L1571" s="457" t="s">
        <v>853</v>
      </c>
    </row>
    <row r="1572" s="457" customFormat="1" spans="1:14">
      <c r="A1572" s="494">
        <v>45969</v>
      </c>
      <c r="B1572" s="442" t="s">
        <v>250</v>
      </c>
      <c r="C1572" s="495">
        <v>45969</v>
      </c>
      <c r="D1572" s="463"/>
      <c r="E1572" s="463"/>
      <c r="F1572" s="457" t="s">
        <v>648</v>
      </c>
      <c r="G1572" s="442">
        <v>1</v>
      </c>
      <c r="H1572" s="442">
        <v>75</v>
      </c>
      <c r="I1572" s="463">
        <f t="shared" si="227"/>
        <v>75</v>
      </c>
      <c r="J1572" s="497"/>
      <c r="K1572" s="497"/>
      <c r="L1572" s="457" t="s">
        <v>126</v>
      </c>
    </row>
    <row r="1573" s="457" customFormat="1" spans="1:14">
      <c r="A1573" s="494">
        <v>45969</v>
      </c>
      <c r="B1573" s="442" t="s">
        <v>250</v>
      </c>
      <c r="C1573" s="495">
        <v>45969</v>
      </c>
      <c r="D1573" s="463"/>
      <c r="E1573" s="463"/>
      <c r="F1573" s="496" t="s">
        <v>854</v>
      </c>
      <c r="G1573" s="442">
        <v>1</v>
      </c>
      <c r="H1573" s="442">
        <v>2</v>
      </c>
      <c r="I1573" s="463">
        <f t="shared" si="227"/>
        <v>2</v>
      </c>
      <c r="J1573" s="497">
        <v>25</v>
      </c>
      <c r="K1573" s="497">
        <f>I1573*J1573</f>
        <v>50</v>
      </c>
    </row>
    <row r="1574" s="457" customFormat="1" spans="1:14">
      <c r="A1574" s="494">
        <v>45969</v>
      </c>
      <c r="B1574" s="442" t="s">
        <v>250</v>
      </c>
      <c r="C1574" s="495">
        <v>45969</v>
      </c>
      <c r="D1574" s="463"/>
      <c r="E1574" s="463"/>
      <c r="F1574" s="496" t="s">
        <v>191</v>
      </c>
      <c r="G1574" s="442">
        <v>1</v>
      </c>
      <c r="H1574" s="442">
        <v>15</v>
      </c>
      <c r="I1574" s="463">
        <f t="shared" si="227"/>
        <v>15</v>
      </c>
      <c r="J1574" s="497">
        <v>17</v>
      </c>
      <c r="K1574" s="497">
        <f>I1574*J1574</f>
        <v>255</v>
      </c>
    </row>
    <row r="1575" s="457" customFormat="1" spans="1:14">
      <c r="A1575" s="494">
        <v>45969</v>
      </c>
      <c r="B1575" s="442" t="s">
        <v>250</v>
      </c>
      <c r="C1575" s="495">
        <v>45969</v>
      </c>
      <c r="D1575" s="463"/>
      <c r="E1575" s="463"/>
      <c r="F1575" s="496" t="s">
        <v>801</v>
      </c>
      <c r="G1575" s="442">
        <v>1</v>
      </c>
      <c r="H1575" s="442">
        <v>75</v>
      </c>
      <c r="I1575" s="463">
        <f t="shared" si="227"/>
        <v>75</v>
      </c>
      <c r="J1575" s="497"/>
      <c r="K1575" s="497"/>
      <c r="L1575" s="457" t="s">
        <v>855</v>
      </c>
    </row>
    <row r="1576" s="457" customFormat="1" spans="1:14">
      <c r="A1576" s="494">
        <v>45969</v>
      </c>
      <c r="B1576" s="442" t="s">
        <v>250</v>
      </c>
      <c r="C1576" s="495">
        <v>45969</v>
      </c>
      <c r="D1576" s="463"/>
      <c r="E1576" s="463"/>
      <c r="F1576" s="496" t="s">
        <v>132</v>
      </c>
      <c r="G1576" s="442">
        <v>1</v>
      </c>
      <c r="H1576" s="442">
        <v>30</v>
      </c>
      <c r="I1576" s="463">
        <f t="shared" si="227"/>
        <v>30</v>
      </c>
      <c r="J1576" s="497">
        <v>3</v>
      </c>
      <c r="K1576" s="497">
        <f>I1576*J1576</f>
        <v>90</v>
      </c>
    </row>
    <row r="1577" s="457" customFormat="1" ht="18" customHeight="1" spans="1:14">
      <c r="A1577" s="494">
        <v>45969</v>
      </c>
      <c r="B1577" s="442" t="s">
        <v>250</v>
      </c>
      <c r="C1577" s="495">
        <v>45969</v>
      </c>
      <c r="D1577" s="463"/>
      <c r="E1577" s="463"/>
      <c r="F1577" s="457" t="s">
        <v>630</v>
      </c>
      <c r="G1577" s="442">
        <v>1</v>
      </c>
      <c r="H1577" s="442">
        <f>SUM(H1567:H1576)</f>
        <v>500</v>
      </c>
      <c r="I1577" s="463">
        <f t="shared" si="227"/>
        <v>500</v>
      </c>
      <c r="J1577" s="497">
        <v>1</v>
      </c>
      <c r="K1577" s="497">
        <f>I1577*J1577</f>
        <v>500</v>
      </c>
      <c r="L1577" s="457">
        <f>SUM(K1567:K1577)</f>
        <v>1634.3</v>
      </c>
    </row>
    <row r="1578" s="456" customFormat="1" spans="1:14">
      <c r="A1578" s="488">
        <v>45975</v>
      </c>
      <c r="B1578" s="489" t="s">
        <v>423</v>
      </c>
      <c r="C1578" s="490">
        <v>45974</v>
      </c>
      <c r="D1578" s="491"/>
      <c r="E1578" s="491"/>
      <c r="F1578" s="493">
        <v>808</v>
      </c>
      <c r="G1578" s="491">
        <v>1</v>
      </c>
      <c r="H1578" s="431">
        <v>150</v>
      </c>
      <c r="I1578" s="491">
        <f t="shared" si="227"/>
        <v>150</v>
      </c>
      <c r="J1578" s="492">
        <v>7.6</v>
      </c>
      <c r="K1578" s="492">
        <f>I1578*J1578</f>
        <v>1140</v>
      </c>
    </row>
    <row r="1579" s="456" customFormat="1" spans="1:14">
      <c r="A1579" s="488">
        <v>45975</v>
      </c>
      <c r="B1579" s="489" t="s">
        <v>423</v>
      </c>
      <c r="C1579" s="490">
        <v>45974</v>
      </c>
      <c r="D1579" s="491"/>
      <c r="E1579" s="491"/>
      <c r="F1579" s="493" t="s">
        <v>12</v>
      </c>
      <c r="G1579" s="491">
        <v>1</v>
      </c>
      <c r="H1579" s="431">
        <v>117</v>
      </c>
      <c r="I1579" s="491">
        <f t="shared" si="227"/>
        <v>117</v>
      </c>
      <c r="J1579" s="492">
        <v>6.1</v>
      </c>
      <c r="K1579" s="492">
        <f>I1579*J1579</f>
        <v>713.7</v>
      </c>
    </row>
    <row r="1580" s="456" customFormat="1" spans="1:14">
      <c r="A1580" s="488">
        <v>45975</v>
      </c>
      <c r="B1580" s="489" t="s">
        <v>423</v>
      </c>
      <c r="C1580" s="490">
        <v>45974</v>
      </c>
      <c r="D1580" s="491"/>
      <c r="E1580" s="491"/>
      <c r="F1580" s="493" t="s">
        <v>152</v>
      </c>
      <c r="G1580" s="491">
        <v>1</v>
      </c>
      <c r="H1580" s="431">
        <v>40</v>
      </c>
      <c r="I1580" s="491">
        <f t="shared" si="227"/>
        <v>40</v>
      </c>
      <c r="J1580" s="492">
        <v>6.2</v>
      </c>
      <c r="K1580" s="492">
        <f>I1580*J1580</f>
        <v>248</v>
      </c>
      <c r="M1580" s="457"/>
    </row>
    <row r="1581" s="456" customFormat="1" spans="1:14">
      <c r="A1581" s="488">
        <v>45975</v>
      </c>
      <c r="B1581" s="489" t="s">
        <v>423</v>
      </c>
      <c r="C1581" s="490">
        <v>45974</v>
      </c>
      <c r="D1581" s="491"/>
      <c r="E1581" s="491"/>
      <c r="F1581" s="493" t="s">
        <v>709</v>
      </c>
      <c r="G1581" s="491">
        <v>1</v>
      </c>
      <c r="H1581" s="431">
        <v>120</v>
      </c>
      <c r="I1581" s="491">
        <f t="shared" si="227"/>
        <v>120</v>
      </c>
      <c r="J1581" s="492"/>
      <c r="K1581" s="492"/>
      <c r="L1581" s="456" t="s">
        <v>126</v>
      </c>
    </row>
    <row r="1582" s="456" customFormat="1" spans="1:14">
      <c r="A1582" s="488">
        <v>45975</v>
      </c>
      <c r="B1582" s="489" t="s">
        <v>423</v>
      </c>
      <c r="C1582" s="490">
        <v>45974</v>
      </c>
      <c r="D1582" s="491"/>
      <c r="E1582" s="491"/>
      <c r="F1582" s="493" t="s">
        <v>856</v>
      </c>
      <c r="G1582" s="491">
        <v>1</v>
      </c>
      <c r="H1582" s="431">
        <v>203</v>
      </c>
      <c r="I1582" s="491">
        <f t="shared" si="227"/>
        <v>203</v>
      </c>
      <c r="J1582" s="492"/>
      <c r="K1582" s="492"/>
    </row>
    <row r="1583" s="456" customFormat="1" spans="1:14">
      <c r="A1583" s="488">
        <v>45975</v>
      </c>
      <c r="B1583" s="489" t="s">
        <v>423</v>
      </c>
      <c r="C1583" s="490">
        <v>45974</v>
      </c>
      <c r="D1583" s="491"/>
      <c r="E1583" s="491"/>
      <c r="F1583" s="493" t="s">
        <v>857</v>
      </c>
      <c r="G1583" s="491">
        <v>1</v>
      </c>
      <c r="H1583" s="431">
        <v>118</v>
      </c>
      <c r="I1583" s="491">
        <f t="shared" si="227"/>
        <v>118</v>
      </c>
      <c r="J1583" s="492"/>
      <c r="K1583" s="492"/>
      <c r="N1583" s="456">
        <f>SUBTOTAL(9,K1307:K1851)</f>
        <v>367660.44</v>
      </c>
    </row>
    <row r="1584" s="456" customFormat="1" spans="1:14">
      <c r="A1584" s="488">
        <v>45975</v>
      </c>
      <c r="B1584" s="489" t="s">
        <v>423</v>
      </c>
      <c r="C1584" s="490">
        <v>45974</v>
      </c>
      <c r="D1584" s="491"/>
      <c r="E1584" s="491"/>
      <c r="F1584" s="493" t="s">
        <v>191</v>
      </c>
      <c r="G1584" s="491">
        <v>1</v>
      </c>
      <c r="H1584" s="431">
        <v>30</v>
      </c>
      <c r="I1584" s="491">
        <f t="shared" si="227"/>
        <v>30</v>
      </c>
      <c r="J1584" s="492">
        <v>17</v>
      </c>
      <c r="K1584" s="492">
        <f t="shared" ref="K1584:K1588" si="228">I1584*J1584</f>
        <v>510</v>
      </c>
    </row>
    <row r="1585" s="456" customFormat="1" spans="1:14">
      <c r="A1585" s="488">
        <v>45975</v>
      </c>
      <c r="B1585" s="489" t="s">
        <v>423</v>
      </c>
      <c r="C1585" s="490">
        <v>45974</v>
      </c>
      <c r="D1585" s="491"/>
      <c r="E1585" s="491"/>
      <c r="F1585" s="493" t="s">
        <v>791</v>
      </c>
      <c r="G1585" s="491">
        <v>1</v>
      </c>
      <c r="H1585" s="431">
        <v>3</v>
      </c>
      <c r="I1585" s="491">
        <f t="shared" si="227"/>
        <v>3</v>
      </c>
      <c r="J1585" s="492">
        <v>25</v>
      </c>
      <c r="K1585" s="492">
        <f t="shared" si="228"/>
        <v>75</v>
      </c>
    </row>
    <row r="1586" s="456" customFormat="1" spans="1:14">
      <c r="A1586" s="488">
        <v>45975</v>
      </c>
      <c r="B1586" s="489" t="s">
        <v>423</v>
      </c>
      <c r="C1586" s="490">
        <v>45974</v>
      </c>
      <c r="D1586" s="491"/>
      <c r="E1586" s="491"/>
      <c r="F1586" s="493" t="s">
        <v>801</v>
      </c>
      <c r="G1586" s="491">
        <v>1</v>
      </c>
      <c r="H1586" s="431">
        <v>150</v>
      </c>
      <c r="I1586" s="491">
        <f t="shared" si="227"/>
        <v>150</v>
      </c>
      <c r="J1586" s="492"/>
      <c r="K1586" s="492"/>
    </row>
    <row r="1587" s="456" customFormat="1" spans="1:14">
      <c r="A1587" s="488">
        <v>45975</v>
      </c>
      <c r="B1587" s="489" t="s">
        <v>423</v>
      </c>
      <c r="C1587" s="490">
        <v>45974</v>
      </c>
      <c r="D1587" s="491"/>
      <c r="E1587" s="491"/>
      <c r="F1587" s="493" t="s">
        <v>132</v>
      </c>
      <c r="G1587" s="491">
        <v>1</v>
      </c>
      <c r="H1587" s="431">
        <v>75</v>
      </c>
      <c r="I1587" s="491">
        <f t="shared" si="227"/>
        <v>75</v>
      </c>
      <c r="J1587" s="492">
        <v>3</v>
      </c>
      <c r="K1587" s="492">
        <f t="shared" si="228"/>
        <v>225</v>
      </c>
      <c r="L1587" s="456" t="s">
        <v>802</v>
      </c>
    </row>
    <row r="1588" s="456" customFormat="1" spans="1:14">
      <c r="A1588" s="488">
        <v>45975</v>
      </c>
      <c r="B1588" s="489" t="s">
        <v>423</v>
      </c>
      <c r="C1588" s="490">
        <v>45974</v>
      </c>
      <c r="D1588" s="491"/>
      <c r="E1588" s="491"/>
      <c r="F1588" s="493" t="s">
        <v>304</v>
      </c>
      <c r="G1588" s="491">
        <v>1</v>
      </c>
      <c r="H1588" s="431">
        <f>SUM(H1578:H1587)</f>
        <v>1006</v>
      </c>
      <c r="I1588" s="491">
        <f t="shared" si="227"/>
        <v>1006</v>
      </c>
      <c r="J1588" s="492">
        <v>1</v>
      </c>
      <c r="K1588" s="492">
        <f t="shared" si="228"/>
        <v>1006</v>
      </c>
      <c r="L1588" s="456">
        <f>SUM(K1578:K1588)</f>
        <v>3917.7</v>
      </c>
    </row>
    <row r="1589" s="457" customFormat="1" ht="21" customHeight="1" spans="1:14">
      <c r="A1589" s="494">
        <v>45975</v>
      </c>
      <c r="B1589" s="442" t="s">
        <v>461</v>
      </c>
      <c r="C1589" s="495" t="s">
        <v>858</v>
      </c>
      <c r="D1589" s="463"/>
      <c r="E1589" s="463"/>
      <c r="F1589" s="496" t="s">
        <v>176</v>
      </c>
      <c r="G1589" s="463">
        <v>1</v>
      </c>
      <c r="H1589" s="432">
        <v>200</v>
      </c>
      <c r="I1589" s="463">
        <f t="shared" si="227"/>
        <v>200</v>
      </c>
      <c r="J1589" s="497">
        <v>13</v>
      </c>
      <c r="K1589" s="497"/>
    </row>
    <row r="1590" s="457" customFormat="1" spans="1:14">
      <c r="A1590" s="494">
        <v>45975</v>
      </c>
      <c r="B1590" s="442" t="s">
        <v>461</v>
      </c>
      <c r="C1590" s="495" t="s">
        <v>858</v>
      </c>
      <c r="D1590" s="463"/>
      <c r="E1590" s="463"/>
      <c r="F1590" s="496" t="s">
        <v>171</v>
      </c>
      <c r="G1590" s="463">
        <v>1</v>
      </c>
      <c r="H1590" s="432">
        <v>100</v>
      </c>
      <c r="I1590" s="463">
        <f t="shared" ref="I1590:I1653" si="229">G1590*H1590</f>
        <v>100</v>
      </c>
      <c r="J1590" s="497">
        <v>22</v>
      </c>
      <c r="K1590" s="497"/>
      <c r="L1590" s="537"/>
      <c r="M1590" s="537"/>
      <c r="N1590" s="537"/>
    </row>
    <row r="1591" s="457" customFormat="1" spans="1:14">
      <c r="A1591" s="494">
        <v>45975</v>
      </c>
      <c r="B1591" s="442" t="s">
        <v>461</v>
      </c>
      <c r="C1591" s="495" t="s">
        <v>858</v>
      </c>
      <c r="D1591" s="463"/>
      <c r="E1591" s="463"/>
      <c r="F1591" s="496" t="s">
        <v>774</v>
      </c>
      <c r="G1591" s="463">
        <v>1</v>
      </c>
      <c r="H1591" s="432">
        <v>25</v>
      </c>
      <c r="I1591" s="463">
        <f t="shared" si="229"/>
        <v>25</v>
      </c>
      <c r="J1591" s="497">
        <v>82</v>
      </c>
      <c r="K1591" s="497">
        <f t="shared" ref="K1589:K1596" si="230">I1591*J1591</f>
        <v>2050</v>
      </c>
      <c r="L1591" s="537" t="s">
        <v>775</v>
      </c>
      <c r="M1591" s="537"/>
      <c r="N1591" s="537"/>
    </row>
    <row r="1592" s="457" customFormat="1" spans="1:14">
      <c r="A1592" s="494">
        <v>45975</v>
      </c>
      <c r="B1592" s="442" t="s">
        <v>461</v>
      </c>
      <c r="C1592" s="495" t="s">
        <v>858</v>
      </c>
      <c r="D1592" s="463"/>
      <c r="E1592" s="463"/>
      <c r="F1592" s="496">
        <v>808</v>
      </c>
      <c r="G1592" s="463">
        <v>1</v>
      </c>
      <c r="H1592" s="432">
        <v>300</v>
      </c>
      <c r="I1592" s="463">
        <f t="shared" si="229"/>
        <v>300</v>
      </c>
      <c r="J1592" s="497">
        <v>7.6</v>
      </c>
      <c r="K1592" s="497">
        <f t="shared" si="230"/>
        <v>2280</v>
      </c>
      <c r="L1592" s="537" t="s">
        <v>472</v>
      </c>
      <c r="N1592" s="537"/>
    </row>
    <row r="1593" s="457" customFormat="1" spans="1:14">
      <c r="A1593" s="494">
        <v>45975</v>
      </c>
      <c r="B1593" s="442" t="s">
        <v>461</v>
      </c>
      <c r="C1593" s="495" t="s">
        <v>858</v>
      </c>
      <c r="D1593" s="463"/>
      <c r="E1593" s="463"/>
      <c r="F1593" s="496" t="s">
        <v>125</v>
      </c>
      <c r="G1593" s="463">
        <v>1</v>
      </c>
      <c r="H1593" s="432">
        <v>125</v>
      </c>
      <c r="I1593" s="463">
        <f t="shared" si="229"/>
        <v>125</v>
      </c>
      <c r="J1593" s="497">
        <v>5.1</v>
      </c>
      <c r="K1593" s="497">
        <f t="shared" si="230"/>
        <v>637.5</v>
      </c>
      <c r="L1593" s="537"/>
      <c r="M1593" s="537" t="s">
        <v>473</v>
      </c>
      <c r="N1593" s="537"/>
    </row>
    <row r="1594" s="457" customFormat="1" spans="1:14">
      <c r="A1594" s="494">
        <v>45975</v>
      </c>
      <c r="B1594" s="442" t="s">
        <v>461</v>
      </c>
      <c r="C1594" s="495" t="s">
        <v>858</v>
      </c>
      <c r="D1594" s="463"/>
      <c r="E1594" s="463"/>
      <c r="F1594" s="496" t="s">
        <v>179</v>
      </c>
      <c r="G1594" s="463">
        <v>1</v>
      </c>
      <c r="H1594" s="432">
        <f>SUM(H1589:H1593)</f>
        <v>750</v>
      </c>
      <c r="I1594" s="463">
        <f t="shared" si="229"/>
        <v>750</v>
      </c>
      <c r="J1594" s="497">
        <v>7.5</v>
      </c>
      <c r="K1594" s="497">
        <f t="shared" si="230"/>
        <v>5625</v>
      </c>
      <c r="L1594" s="537">
        <f>SUM(K1589:K1594)</f>
        <v>10592.5</v>
      </c>
      <c r="M1594" s="537"/>
      <c r="N1594" s="537"/>
    </row>
    <row r="1595" s="456" customFormat="1" ht="21" customHeight="1" spans="1:14">
      <c r="A1595" s="488">
        <v>45975</v>
      </c>
      <c r="B1595" s="489" t="s">
        <v>372</v>
      </c>
      <c r="C1595" s="490">
        <v>45975</v>
      </c>
      <c r="D1595" s="491"/>
      <c r="E1595" s="491"/>
      <c r="F1595" s="493">
        <v>808</v>
      </c>
      <c r="G1595" s="491">
        <v>1</v>
      </c>
      <c r="H1595" s="431">
        <v>102</v>
      </c>
      <c r="I1595" s="491">
        <f t="shared" si="229"/>
        <v>102</v>
      </c>
      <c r="J1595" s="492">
        <v>7.6</v>
      </c>
      <c r="K1595" s="492">
        <f t="shared" si="230"/>
        <v>775.2</v>
      </c>
    </row>
    <row r="1596" s="456" customFormat="1" spans="1:14">
      <c r="A1596" s="488">
        <v>45975</v>
      </c>
      <c r="B1596" s="489" t="s">
        <v>372</v>
      </c>
      <c r="C1596" s="490">
        <v>45975</v>
      </c>
      <c r="D1596" s="491"/>
      <c r="E1596" s="491"/>
      <c r="F1596" s="493" t="s">
        <v>12</v>
      </c>
      <c r="G1596" s="491">
        <v>1</v>
      </c>
      <c r="H1596" s="431">
        <v>58</v>
      </c>
      <c r="I1596" s="491">
        <f t="shared" si="229"/>
        <v>58</v>
      </c>
      <c r="J1596" s="492">
        <v>6.1</v>
      </c>
      <c r="K1596" s="492">
        <f t="shared" si="230"/>
        <v>353.8</v>
      </c>
    </row>
    <row r="1597" s="456" customFormat="1" spans="1:14">
      <c r="A1597" s="488">
        <v>45975</v>
      </c>
      <c r="B1597" s="489" t="s">
        <v>372</v>
      </c>
      <c r="C1597" s="490">
        <v>45975</v>
      </c>
      <c r="D1597" s="491"/>
      <c r="E1597" s="491"/>
      <c r="F1597" s="493" t="s">
        <v>709</v>
      </c>
      <c r="G1597" s="491">
        <v>1</v>
      </c>
      <c r="H1597" s="431">
        <v>150</v>
      </c>
      <c r="I1597" s="491">
        <f t="shared" si="229"/>
        <v>150</v>
      </c>
      <c r="J1597" s="492"/>
      <c r="K1597" s="492"/>
      <c r="L1597" s="456" t="s">
        <v>126</v>
      </c>
    </row>
    <row r="1598" s="456" customFormat="1" spans="1:14">
      <c r="A1598" s="488">
        <v>45975</v>
      </c>
      <c r="B1598" s="489" t="s">
        <v>372</v>
      </c>
      <c r="C1598" s="490">
        <v>45975</v>
      </c>
      <c r="D1598" s="491"/>
      <c r="E1598" s="491"/>
      <c r="F1598" s="493" t="s">
        <v>856</v>
      </c>
      <c r="G1598" s="491">
        <v>1</v>
      </c>
      <c r="H1598" s="431">
        <v>196</v>
      </c>
      <c r="I1598" s="491">
        <f t="shared" si="229"/>
        <v>196</v>
      </c>
      <c r="J1598" s="492"/>
      <c r="K1598" s="492"/>
    </row>
    <row r="1599" s="456" customFormat="1" spans="1:14">
      <c r="A1599" s="488">
        <v>45975</v>
      </c>
      <c r="B1599" s="489" t="s">
        <v>372</v>
      </c>
      <c r="C1599" s="490">
        <v>45975</v>
      </c>
      <c r="D1599" s="491"/>
      <c r="E1599" s="491"/>
      <c r="F1599" s="493" t="s">
        <v>857</v>
      </c>
      <c r="G1599" s="491">
        <v>1</v>
      </c>
      <c r="H1599" s="431">
        <v>286</v>
      </c>
      <c r="I1599" s="491">
        <f t="shared" si="229"/>
        <v>286</v>
      </c>
      <c r="J1599" s="492"/>
      <c r="K1599" s="492"/>
    </row>
    <row r="1600" s="456" customFormat="1" spans="1:14">
      <c r="A1600" s="488">
        <v>45975</v>
      </c>
      <c r="B1600" s="489" t="s">
        <v>372</v>
      </c>
      <c r="C1600" s="490">
        <v>45975</v>
      </c>
      <c r="D1600" s="491"/>
      <c r="E1600" s="491"/>
      <c r="F1600" s="493" t="s">
        <v>16</v>
      </c>
      <c r="G1600" s="491">
        <v>1</v>
      </c>
      <c r="H1600" s="431">
        <v>208</v>
      </c>
      <c r="I1600" s="491">
        <f t="shared" si="229"/>
        <v>208</v>
      </c>
      <c r="J1600" s="492"/>
      <c r="K1600" s="492"/>
    </row>
    <row r="1601" s="456" customFormat="1" spans="1:13">
      <c r="A1601" s="488">
        <v>45975</v>
      </c>
      <c r="B1601" s="489" t="s">
        <v>372</v>
      </c>
      <c r="C1601" s="490">
        <v>45975</v>
      </c>
      <c r="D1601" s="491"/>
      <c r="E1601" s="491"/>
      <c r="F1601" s="493" t="s">
        <v>714</v>
      </c>
      <c r="G1601" s="491">
        <v>1</v>
      </c>
      <c r="H1601" s="431">
        <f>SUM(H1595:H1600)</f>
        <v>1000</v>
      </c>
      <c r="I1601" s="491">
        <f t="shared" si="229"/>
        <v>1000</v>
      </c>
      <c r="J1601" s="492">
        <v>1</v>
      </c>
      <c r="K1601" s="492">
        <f>I1601*J1601</f>
        <v>1000</v>
      </c>
      <c r="L1601" s="456">
        <f>SUM(K1595:K1602)</f>
        <v>2167</v>
      </c>
    </row>
    <row r="1602" s="456" customFormat="1" spans="1:13">
      <c r="A1602" s="488">
        <v>45975</v>
      </c>
      <c r="B1602" s="489" t="s">
        <v>372</v>
      </c>
      <c r="C1602" s="519">
        <v>45974</v>
      </c>
      <c r="D1602" s="520"/>
      <c r="E1602" s="520"/>
      <c r="F1602" s="498" t="s">
        <v>859</v>
      </c>
      <c r="G1602" s="491">
        <v>1</v>
      </c>
      <c r="H1602" s="431">
        <v>20</v>
      </c>
      <c r="I1602" s="491">
        <f t="shared" si="229"/>
        <v>20</v>
      </c>
      <c r="J1602" s="492">
        <v>1.9</v>
      </c>
      <c r="K1602" s="492">
        <f>I1602*J1602</f>
        <v>38</v>
      </c>
    </row>
    <row r="1603" s="457" customFormat="1" spans="1:13">
      <c r="A1603" s="494">
        <v>45976</v>
      </c>
      <c r="B1603" s="442" t="s">
        <v>305</v>
      </c>
      <c r="C1603" s="495">
        <v>45976</v>
      </c>
      <c r="D1603" s="463"/>
      <c r="E1603" s="463"/>
      <c r="F1603" s="496" t="s">
        <v>16</v>
      </c>
      <c r="G1603" s="463">
        <v>1</v>
      </c>
      <c r="H1603" s="432">
        <v>64</v>
      </c>
      <c r="I1603" s="463">
        <f t="shared" si="229"/>
        <v>64</v>
      </c>
      <c r="J1603" s="497">
        <v>13.5</v>
      </c>
      <c r="K1603" s="497"/>
    </row>
    <row r="1604" s="457" customFormat="1" spans="1:13">
      <c r="A1604" s="494">
        <v>45976</v>
      </c>
      <c r="B1604" s="442" t="s">
        <v>305</v>
      </c>
      <c r="C1604" s="495">
        <v>45976</v>
      </c>
      <c r="D1604" s="463"/>
      <c r="E1604" s="463"/>
      <c r="F1604" s="496" t="s">
        <v>766</v>
      </c>
      <c r="G1604" s="463">
        <v>1</v>
      </c>
      <c r="H1604" s="432">
        <v>200</v>
      </c>
      <c r="I1604" s="463">
        <f t="shared" si="229"/>
        <v>200</v>
      </c>
      <c r="J1604" s="497">
        <v>14.2</v>
      </c>
      <c r="K1604" s="497"/>
    </row>
    <row r="1605" s="457" customFormat="1" spans="1:13">
      <c r="A1605" s="494">
        <v>45976</v>
      </c>
      <c r="B1605" s="442" t="s">
        <v>305</v>
      </c>
      <c r="C1605" s="495">
        <v>45976</v>
      </c>
      <c r="D1605" s="463"/>
      <c r="E1605" s="463"/>
      <c r="F1605" s="496">
        <v>808</v>
      </c>
      <c r="G1605" s="463">
        <v>1</v>
      </c>
      <c r="H1605" s="432">
        <v>40</v>
      </c>
      <c r="I1605" s="463">
        <f t="shared" si="229"/>
        <v>40</v>
      </c>
      <c r="J1605" s="497">
        <v>7.6</v>
      </c>
      <c r="K1605" s="497">
        <f t="shared" ref="K1605:K1610" si="231">I1605*J1605</f>
        <v>304</v>
      </c>
    </row>
    <row r="1606" s="457" customFormat="1" spans="1:13">
      <c r="A1606" s="494">
        <v>45976</v>
      </c>
      <c r="B1606" s="442" t="s">
        <v>305</v>
      </c>
      <c r="C1606" s="495">
        <v>45976</v>
      </c>
      <c r="D1606" s="463"/>
      <c r="E1606" s="463"/>
      <c r="F1606" s="496" t="s">
        <v>12</v>
      </c>
      <c r="G1606" s="463">
        <v>1</v>
      </c>
      <c r="H1606" s="432">
        <v>40</v>
      </c>
      <c r="I1606" s="463">
        <f t="shared" si="229"/>
        <v>40</v>
      </c>
      <c r="J1606" s="497">
        <v>6.1</v>
      </c>
      <c r="K1606" s="497">
        <f t="shared" si="231"/>
        <v>244</v>
      </c>
      <c r="M1606" s="554"/>
    </row>
    <row r="1607" s="457" customFormat="1" spans="1:13">
      <c r="A1607" s="494">
        <v>45976</v>
      </c>
      <c r="B1607" s="442" t="s">
        <v>305</v>
      </c>
      <c r="C1607" s="495">
        <v>45976</v>
      </c>
      <c r="D1607" s="463"/>
      <c r="E1607" s="463"/>
      <c r="F1607" s="496" t="s">
        <v>456</v>
      </c>
      <c r="G1607" s="463">
        <v>1</v>
      </c>
      <c r="H1607" s="432">
        <f>SUM(H1603:H1606)</f>
        <v>344</v>
      </c>
      <c r="I1607" s="463">
        <f t="shared" si="229"/>
        <v>344</v>
      </c>
      <c r="J1607" s="497">
        <v>3</v>
      </c>
      <c r="K1607" s="497">
        <f t="shared" si="231"/>
        <v>1032</v>
      </c>
      <c r="L1607" s="457">
        <f>SUM(K1603:K1607)</f>
        <v>1580</v>
      </c>
    </row>
    <row r="1608" s="456" customFormat="1" spans="1:13">
      <c r="A1608" s="488">
        <v>45976</v>
      </c>
      <c r="B1608" s="489" t="s">
        <v>263</v>
      </c>
      <c r="C1608" s="490">
        <v>45976</v>
      </c>
      <c r="D1608" s="491"/>
      <c r="E1608" s="491"/>
      <c r="F1608" s="493">
        <v>808</v>
      </c>
      <c r="G1608" s="491">
        <v>1</v>
      </c>
      <c r="H1608" s="431">
        <v>50</v>
      </c>
      <c r="I1608" s="491">
        <f t="shared" si="229"/>
        <v>50</v>
      </c>
      <c r="J1608" s="492">
        <v>7.6</v>
      </c>
      <c r="K1608" s="492">
        <f t="shared" si="231"/>
        <v>380</v>
      </c>
    </row>
    <row r="1609" s="456" customFormat="1" spans="1:13">
      <c r="A1609" s="488">
        <v>45976</v>
      </c>
      <c r="B1609" s="489" t="s">
        <v>263</v>
      </c>
      <c r="C1609" s="490">
        <v>45976</v>
      </c>
      <c r="D1609" s="491"/>
      <c r="E1609" s="491"/>
      <c r="F1609" s="493" t="s">
        <v>152</v>
      </c>
      <c r="G1609" s="491">
        <v>1</v>
      </c>
      <c r="H1609" s="431">
        <v>155</v>
      </c>
      <c r="I1609" s="491">
        <f t="shared" si="229"/>
        <v>155</v>
      </c>
      <c r="J1609" s="492">
        <v>6.2</v>
      </c>
      <c r="K1609" s="492">
        <f t="shared" si="231"/>
        <v>961</v>
      </c>
      <c r="M1609" s="457"/>
    </row>
    <row r="1610" s="456" customFormat="1" spans="1:13">
      <c r="A1610" s="488">
        <v>45976</v>
      </c>
      <c r="B1610" s="489" t="s">
        <v>263</v>
      </c>
      <c r="C1610" s="490">
        <v>45976</v>
      </c>
      <c r="D1610" s="491"/>
      <c r="E1610" s="491"/>
      <c r="F1610" s="493" t="s">
        <v>12</v>
      </c>
      <c r="G1610" s="491">
        <v>1</v>
      </c>
      <c r="H1610" s="431">
        <v>95</v>
      </c>
      <c r="I1610" s="491">
        <f t="shared" si="229"/>
        <v>95</v>
      </c>
      <c r="J1610" s="492">
        <v>6.1</v>
      </c>
      <c r="K1610" s="492">
        <f t="shared" si="231"/>
        <v>579.5</v>
      </c>
    </row>
    <row r="1611" s="456" customFormat="1" spans="1:13">
      <c r="A1611" s="488">
        <v>45976</v>
      </c>
      <c r="B1611" s="489" t="s">
        <v>263</v>
      </c>
      <c r="C1611" s="490">
        <v>45976</v>
      </c>
      <c r="D1611" s="491"/>
      <c r="E1611" s="491"/>
      <c r="F1611" s="493" t="s">
        <v>709</v>
      </c>
      <c r="G1611" s="491">
        <v>1</v>
      </c>
      <c r="H1611" s="431">
        <v>150</v>
      </c>
      <c r="I1611" s="491">
        <f t="shared" si="229"/>
        <v>150</v>
      </c>
      <c r="J1611" s="492"/>
      <c r="K1611" s="492"/>
      <c r="L1611" s="456" t="s">
        <v>126</v>
      </c>
    </row>
    <row r="1612" s="456" customFormat="1" spans="1:13">
      <c r="A1612" s="488">
        <v>45976</v>
      </c>
      <c r="B1612" s="489" t="s">
        <v>263</v>
      </c>
      <c r="C1612" s="490">
        <v>45976</v>
      </c>
      <c r="D1612" s="491"/>
      <c r="E1612" s="491"/>
      <c r="F1612" s="493" t="s">
        <v>860</v>
      </c>
      <c r="G1612" s="491">
        <v>1</v>
      </c>
      <c r="H1612" s="431">
        <v>253</v>
      </c>
      <c r="I1612" s="491">
        <f t="shared" si="229"/>
        <v>253</v>
      </c>
      <c r="J1612" s="492"/>
      <c r="K1612" s="492"/>
    </row>
    <row r="1613" s="456" customFormat="1" spans="1:13">
      <c r="A1613" s="488">
        <v>45976</v>
      </c>
      <c r="B1613" s="489" t="s">
        <v>263</v>
      </c>
      <c r="C1613" s="490">
        <v>45976</v>
      </c>
      <c r="D1613" s="491"/>
      <c r="E1613" s="491"/>
      <c r="F1613" s="493" t="s">
        <v>782</v>
      </c>
      <c r="G1613" s="491">
        <v>1</v>
      </c>
      <c r="H1613" s="431">
        <v>147</v>
      </c>
      <c r="I1613" s="491">
        <f t="shared" si="229"/>
        <v>147</v>
      </c>
      <c r="J1613" s="492"/>
      <c r="K1613" s="492"/>
    </row>
    <row r="1614" s="456" customFormat="1" spans="1:13">
      <c r="A1614" s="488">
        <v>45976</v>
      </c>
      <c r="B1614" s="489" t="s">
        <v>263</v>
      </c>
      <c r="C1614" s="490">
        <v>45976</v>
      </c>
      <c r="D1614" s="491"/>
      <c r="E1614" s="491"/>
      <c r="F1614" s="493" t="s">
        <v>16</v>
      </c>
      <c r="G1614" s="491">
        <v>1</v>
      </c>
      <c r="H1614" s="431">
        <v>150</v>
      </c>
      <c r="I1614" s="491">
        <f t="shared" si="229"/>
        <v>150</v>
      </c>
      <c r="J1614" s="492"/>
      <c r="K1614" s="492"/>
    </row>
    <row r="1615" s="456" customFormat="1" spans="1:13">
      <c r="A1615" s="488">
        <v>45976</v>
      </c>
      <c r="B1615" s="489" t="s">
        <v>263</v>
      </c>
      <c r="C1615" s="490">
        <v>45976</v>
      </c>
      <c r="D1615" s="491"/>
      <c r="E1615" s="491"/>
      <c r="F1615" s="493" t="s">
        <v>783</v>
      </c>
      <c r="G1615" s="491">
        <v>1</v>
      </c>
      <c r="H1615" s="431">
        <f>SUM(H1608:H1614)</f>
        <v>1000</v>
      </c>
      <c r="I1615" s="491">
        <f t="shared" si="229"/>
        <v>1000</v>
      </c>
      <c r="J1615" s="492">
        <v>1</v>
      </c>
      <c r="K1615" s="492">
        <f t="shared" ref="K1615:K1617" si="232">I1615*J1615</f>
        <v>1000</v>
      </c>
      <c r="L1615" s="456">
        <f>SUM(K1608:K1615)</f>
        <v>2920.5</v>
      </c>
    </row>
    <row r="1616" s="457" customFormat="1" spans="1:13">
      <c r="A1616" s="494">
        <v>45978</v>
      </c>
      <c r="B1616" s="442" t="s">
        <v>175</v>
      </c>
      <c r="C1616" s="495">
        <v>45978</v>
      </c>
      <c r="D1616" s="463"/>
      <c r="E1616" s="463"/>
      <c r="F1616" s="496">
        <v>808</v>
      </c>
      <c r="G1616" s="463">
        <v>1</v>
      </c>
      <c r="H1616" s="432">
        <v>144</v>
      </c>
      <c r="I1616" s="463">
        <f t="shared" si="229"/>
        <v>144</v>
      </c>
      <c r="J1616" s="497">
        <v>7.6</v>
      </c>
      <c r="K1616" s="497">
        <f t="shared" si="232"/>
        <v>1094.4</v>
      </c>
    </row>
    <row r="1617" s="457" customFormat="1" spans="1:14">
      <c r="A1617" s="494">
        <v>45978</v>
      </c>
      <c r="B1617" s="442" t="s">
        <v>175</v>
      </c>
      <c r="C1617" s="495">
        <v>45978</v>
      </c>
      <c r="D1617" s="463"/>
      <c r="E1617" s="463"/>
      <c r="F1617" s="496" t="s">
        <v>12</v>
      </c>
      <c r="G1617" s="463">
        <v>1</v>
      </c>
      <c r="H1617" s="432">
        <v>186</v>
      </c>
      <c r="I1617" s="463">
        <f t="shared" si="229"/>
        <v>186</v>
      </c>
      <c r="J1617" s="497">
        <v>6.1</v>
      </c>
      <c r="K1617" s="497">
        <f t="shared" si="232"/>
        <v>1134.6</v>
      </c>
    </row>
    <row r="1618" s="457" customFormat="1" spans="1:14">
      <c r="A1618" s="494">
        <v>45978</v>
      </c>
      <c r="B1618" s="442" t="s">
        <v>175</v>
      </c>
      <c r="C1618" s="495">
        <v>45978</v>
      </c>
      <c r="D1618" s="463"/>
      <c r="E1618" s="463"/>
      <c r="F1618" s="496" t="s">
        <v>13</v>
      </c>
      <c r="G1618" s="463">
        <v>1</v>
      </c>
      <c r="H1618" s="432">
        <v>216</v>
      </c>
      <c r="I1618" s="463">
        <f t="shared" si="229"/>
        <v>216</v>
      </c>
      <c r="J1618" s="497"/>
      <c r="K1618" s="497"/>
    </row>
    <row r="1619" s="457" customFormat="1" spans="1:14">
      <c r="A1619" s="494">
        <v>45978</v>
      </c>
      <c r="B1619" s="442" t="s">
        <v>175</v>
      </c>
      <c r="C1619" s="495">
        <v>45978</v>
      </c>
      <c r="D1619" s="463"/>
      <c r="E1619" s="463"/>
      <c r="F1619" s="496" t="s">
        <v>808</v>
      </c>
      <c r="G1619" s="463">
        <v>1</v>
      </c>
      <c r="H1619" s="432">
        <v>210</v>
      </c>
      <c r="I1619" s="463">
        <f t="shared" si="229"/>
        <v>210</v>
      </c>
      <c r="J1619" s="497"/>
      <c r="K1619" s="497"/>
    </row>
    <row r="1620" s="457" customFormat="1" spans="1:14">
      <c r="A1620" s="494">
        <v>45978</v>
      </c>
      <c r="B1620" s="442" t="s">
        <v>175</v>
      </c>
      <c r="C1620" s="495">
        <v>45978</v>
      </c>
      <c r="D1620" s="463"/>
      <c r="E1620" s="463"/>
      <c r="F1620" s="496" t="s">
        <v>861</v>
      </c>
      <c r="G1620" s="463">
        <v>1</v>
      </c>
      <c r="H1620" s="432">
        <v>168</v>
      </c>
      <c r="I1620" s="463">
        <f t="shared" si="229"/>
        <v>168</v>
      </c>
      <c r="J1620" s="497"/>
      <c r="K1620" s="497"/>
    </row>
    <row r="1621" s="457" customFormat="1" spans="1:14">
      <c r="A1621" s="494">
        <v>45978</v>
      </c>
      <c r="B1621" s="442" t="s">
        <v>175</v>
      </c>
      <c r="C1621" s="495">
        <v>45978</v>
      </c>
      <c r="D1621" s="463"/>
      <c r="E1621" s="463"/>
      <c r="F1621" s="496" t="s">
        <v>16</v>
      </c>
      <c r="G1621" s="463">
        <v>1</v>
      </c>
      <c r="H1621" s="432">
        <v>276</v>
      </c>
      <c r="I1621" s="463">
        <f t="shared" si="229"/>
        <v>276</v>
      </c>
      <c r="J1621" s="497"/>
      <c r="K1621" s="497"/>
      <c r="N1621" s="457">
        <f>SUBTOTAL(9,K1344:K1517)</f>
        <v>172165.54</v>
      </c>
    </row>
    <row r="1622" s="457" customFormat="1" spans="1:14">
      <c r="A1622" s="494">
        <v>45978</v>
      </c>
      <c r="B1622" s="442" t="s">
        <v>175</v>
      </c>
      <c r="C1622" s="495">
        <v>45978</v>
      </c>
      <c r="D1622" s="463"/>
      <c r="E1622" s="463"/>
      <c r="F1622" s="496" t="s">
        <v>17</v>
      </c>
      <c r="G1622" s="463">
        <v>1</v>
      </c>
      <c r="H1622" s="432">
        <f>SUM(H1616:H1621)</f>
        <v>1200</v>
      </c>
      <c r="I1622" s="463">
        <f t="shared" si="229"/>
        <v>1200</v>
      </c>
      <c r="J1622" s="497">
        <v>1</v>
      </c>
      <c r="K1622" s="497">
        <f>I1622*J1622</f>
        <v>1200</v>
      </c>
      <c r="L1622" s="457">
        <f>SUM(K1616:K1623)</f>
        <v>3429</v>
      </c>
    </row>
    <row r="1623" s="456" customFormat="1" spans="1:14">
      <c r="A1623" s="488">
        <v>45978</v>
      </c>
      <c r="B1623" s="489" t="s">
        <v>180</v>
      </c>
      <c r="C1623" s="490">
        <v>45978</v>
      </c>
      <c r="D1623" s="491"/>
      <c r="E1623" s="491"/>
      <c r="F1623" s="493" t="s">
        <v>801</v>
      </c>
      <c r="G1623" s="491">
        <v>1</v>
      </c>
      <c r="H1623" s="431">
        <v>100</v>
      </c>
      <c r="I1623" s="491">
        <f t="shared" si="229"/>
        <v>100</v>
      </c>
      <c r="J1623" s="492"/>
      <c r="K1623" s="492"/>
    </row>
    <row r="1624" s="456" customFormat="1" spans="1:14">
      <c r="A1624" s="488">
        <v>45978</v>
      </c>
      <c r="B1624" s="489" t="s">
        <v>180</v>
      </c>
      <c r="C1624" s="490">
        <v>45978</v>
      </c>
      <c r="D1624" s="491"/>
      <c r="E1624" s="491"/>
      <c r="F1624" s="493" t="s">
        <v>207</v>
      </c>
      <c r="G1624" s="491">
        <v>1</v>
      </c>
      <c r="H1624" s="431">
        <v>200</v>
      </c>
      <c r="I1624" s="491">
        <f t="shared" si="229"/>
        <v>200</v>
      </c>
      <c r="J1624" s="492"/>
      <c r="K1624" s="492"/>
    </row>
    <row r="1625" s="456" customFormat="1" spans="1:14">
      <c r="A1625" s="488">
        <v>45978</v>
      </c>
      <c r="B1625" s="489" t="s">
        <v>180</v>
      </c>
      <c r="C1625" s="490">
        <v>45978</v>
      </c>
      <c r="D1625" s="491"/>
      <c r="E1625" s="491"/>
      <c r="F1625" s="493" t="s">
        <v>862</v>
      </c>
      <c r="G1625" s="491">
        <v>1</v>
      </c>
      <c r="H1625" s="431">
        <v>114</v>
      </c>
      <c r="I1625" s="491">
        <f t="shared" si="229"/>
        <v>114</v>
      </c>
      <c r="J1625" s="492"/>
      <c r="K1625" s="492"/>
    </row>
    <row r="1626" s="456" customFormat="1" spans="1:14">
      <c r="A1626" s="488">
        <v>45978</v>
      </c>
      <c r="B1626" s="489" t="s">
        <v>180</v>
      </c>
      <c r="C1626" s="490">
        <v>45978</v>
      </c>
      <c r="D1626" s="491"/>
      <c r="E1626" s="491"/>
      <c r="F1626" s="493" t="s">
        <v>863</v>
      </c>
      <c r="G1626" s="491">
        <v>1</v>
      </c>
      <c r="H1626" s="431">
        <v>203</v>
      </c>
      <c r="I1626" s="491">
        <f t="shared" si="229"/>
        <v>203</v>
      </c>
      <c r="J1626" s="492"/>
      <c r="K1626" s="492"/>
    </row>
    <row r="1627" s="456" customFormat="1" spans="1:14">
      <c r="A1627" s="488">
        <v>45978</v>
      </c>
      <c r="B1627" s="489" t="s">
        <v>180</v>
      </c>
      <c r="C1627" s="490">
        <v>45978</v>
      </c>
      <c r="D1627" s="491"/>
      <c r="E1627" s="491"/>
      <c r="F1627" s="456" t="s">
        <v>191</v>
      </c>
      <c r="G1627" s="491">
        <v>1</v>
      </c>
      <c r="H1627" s="431">
        <v>25</v>
      </c>
      <c r="I1627" s="491">
        <f t="shared" si="229"/>
        <v>25</v>
      </c>
      <c r="J1627" s="492">
        <v>17</v>
      </c>
      <c r="K1627" s="492">
        <f>I1627*J1627</f>
        <v>425</v>
      </c>
    </row>
    <row r="1628" s="456" customFormat="1" spans="1:14">
      <c r="A1628" s="488">
        <v>45978</v>
      </c>
      <c r="B1628" s="489" t="s">
        <v>180</v>
      </c>
      <c r="C1628" s="490">
        <v>45978</v>
      </c>
      <c r="D1628" s="491"/>
      <c r="E1628" s="491"/>
      <c r="F1628" s="493" t="s">
        <v>152</v>
      </c>
      <c r="G1628" s="491">
        <v>1</v>
      </c>
      <c r="H1628" s="431">
        <v>30</v>
      </c>
      <c r="I1628" s="491">
        <f t="shared" si="229"/>
        <v>30</v>
      </c>
      <c r="J1628" s="492">
        <v>6.2</v>
      </c>
      <c r="K1628" s="492">
        <f t="shared" ref="K1628:K1636" si="233">I1628*J1628</f>
        <v>186</v>
      </c>
    </row>
    <row r="1629" s="456" customFormat="1" spans="1:14">
      <c r="A1629" s="488">
        <v>45978</v>
      </c>
      <c r="B1629" s="489" t="s">
        <v>180</v>
      </c>
      <c r="C1629" s="490">
        <v>45978</v>
      </c>
      <c r="D1629" s="491"/>
      <c r="E1629" s="491"/>
      <c r="F1629" s="493" t="s">
        <v>125</v>
      </c>
      <c r="G1629" s="491">
        <v>1</v>
      </c>
      <c r="H1629" s="431">
        <v>59</v>
      </c>
      <c r="I1629" s="491">
        <f t="shared" si="229"/>
        <v>59</v>
      </c>
      <c r="J1629" s="492">
        <v>5.1</v>
      </c>
      <c r="K1629" s="492">
        <f t="shared" si="233"/>
        <v>300.9</v>
      </c>
    </row>
    <row r="1630" s="456" customFormat="1" spans="1:14">
      <c r="A1630" s="488">
        <v>45978</v>
      </c>
      <c r="B1630" s="489" t="s">
        <v>180</v>
      </c>
      <c r="C1630" s="490">
        <v>45978</v>
      </c>
      <c r="D1630" s="491"/>
      <c r="E1630" s="491"/>
      <c r="F1630" s="493" t="s">
        <v>12</v>
      </c>
      <c r="G1630" s="491">
        <v>1</v>
      </c>
      <c r="H1630" s="431">
        <v>30</v>
      </c>
      <c r="I1630" s="491">
        <f t="shared" si="229"/>
        <v>30</v>
      </c>
      <c r="J1630" s="492">
        <v>6.1</v>
      </c>
      <c r="K1630" s="492">
        <f t="shared" si="233"/>
        <v>183</v>
      </c>
    </row>
    <row r="1631" s="456" customFormat="1" spans="1:14">
      <c r="A1631" s="488">
        <v>45978</v>
      </c>
      <c r="B1631" s="489" t="s">
        <v>180</v>
      </c>
      <c r="C1631" s="490">
        <v>45978</v>
      </c>
      <c r="D1631" s="491"/>
      <c r="E1631" s="491"/>
      <c r="F1631" s="493" t="s">
        <v>132</v>
      </c>
      <c r="G1631" s="491">
        <v>1</v>
      </c>
      <c r="H1631" s="431">
        <v>239</v>
      </c>
      <c r="I1631" s="491">
        <f t="shared" si="229"/>
        <v>239</v>
      </c>
      <c r="J1631" s="492">
        <v>3</v>
      </c>
      <c r="K1631" s="492">
        <f t="shared" si="233"/>
        <v>717</v>
      </c>
    </row>
    <row r="1632" s="456" customFormat="1" spans="1:14">
      <c r="A1632" s="488">
        <v>45978</v>
      </c>
      <c r="B1632" s="489" t="s">
        <v>180</v>
      </c>
      <c r="C1632" s="490">
        <v>45978</v>
      </c>
      <c r="D1632" s="491"/>
      <c r="E1632" s="491"/>
      <c r="F1632" s="493" t="s">
        <v>791</v>
      </c>
      <c r="G1632" s="491">
        <v>1</v>
      </c>
      <c r="H1632" s="431">
        <v>2.5</v>
      </c>
      <c r="I1632" s="491">
        <f t="shared" si="229"/>
        <v>2.5</v>
      </c>
      <c r="J1632" s="492">
        <v>25</v>
      </c>
      <c r="K1632" s="492">
        <f t="shared" si="233"/>
        <v>62.5</v>
      </c>
    </row>
    <row r="1633" s="456" customFormat="1" spans="1:14">
      <c r="A1633" s="488">
        <v>45978</v>
      </c>
      <c r="B1633" s="489" t="s">
        <v>180</v>
      </c>
      <c r="C1633" s="490">
        <v>45978</v>
      </c>
      <c r="D1633" s="491"/>
      <c r="E1633" s="491"/>
      <c r="F1633" s="493" t="s">
        <v>212</v>
      </c>
      <c r="G1633" s="491">
        <v>1</v>
      </c>
      <c r="H1633" s="431">
        <f>SUM(H1623:H1632)</f>
        <v>1002.5</v>
      </c>
      <c r="I1633" s="491">
        <f t="shared" si="229"/>
        <v>1002.5</v>
      </c>
      <c r="J1633" s="492">
        <v>1</v>
      </c>
      <c r="K1633" s="492">
        <f t="shared" si="233"/>
        <v>1002.5</v>
      </c>
      <c r="L1633" s="456">
        <f>SUM(K1623:K1633)</f>
        <v>2876.9</v>
      </c>
    </row>
    <row r="1634" s="457" customFormat="1" spans="1:14">
      <c r="A1634" s="494">
        <v>45981</v>
      </c>
      <c r="B1634" s="442" t="s">
        <v>281</v>
      </c>
      <c r="C1634" s="495">
        <v>45981</v>
      </c>
      <c r="D1634" s="463"/>
      <c r="E1634" s="463"/>
      <c r="F1634" s="496">
        <v>808</v>
      </c>
      <c r="G1634" s="463">
        <v>1</v>
      </c>
      <c r="H1634" s="432">
        <v>50</v>
      </c>
      <c r="I1634" s="463">
        <f t="shared" si="229"/>
        <v>50</v>
      </c>
      <c r="J1634" s="497">
        <v>7.6</v>
      </c>
      <c r="K1634" s="497">
        <f t="shared" si="233"/>
        <v>380</v>
      </c>
    </row>
    <row r="1635" s="457" customFormat="1" spans="1:14">
      <c r="A1635" s="494">
        <v>45981</v>
      </c>
      <c r="B1635" s="442" t="s">
        <v>281</v>
      </c>
      <c r="C1635" s="495">
        <v>45981</v>
      </c>
      <c r="D1635" s="463"/>
      <c r="E1635" s="463"/>
      <c r="F1635" s="496" t="s">
        <v>152</v>
      </c>
      <c r="G1635" s="463">
        <v>1</v>
      </c>
      <c r="H1635" s="432">
        <v>155</v>
      </c>
      <c r="I1635" s="463">
        <f t="shared" si="229"/>
        <v>155</v>
      </c>
      <c r="J1635" s="497">
        <v>6.2</v>
      </c>
      <c r="K1635" s="497">
        <f t="shared" si="233"/>
        <v>961</v>
      </c>
    </row>
    <row r="1636" s="457" customFormat="1" spans="1:14">
      <c r="A1636" s="494">
        <v>45981</v>
      </c>
      <c r="B1636" s="442" t="s">
        <v>281</v>
      </c>
      <c r="C1636" s="495">
        <v>45981</v>
      </c>
      <c r="D1636" s="463"/>
      <c r="E1636" s="463"/>
      <c r="F1636" s="496" t="s">
        <v>12</v>
      </c>
      <c r="G1636" s="463">
        <v>1</v>
      </c>
      <c r="H1636" s="432">
        <v>95</v>
      </c>
      <c r="I1636" s="463">
        <f t="shared" si="229"/>
        <v>95</v>
      </c>
      <c r="J1636" s="497">
        <v>6.1</v>
      </c>
      <c r="K1636" s="497">
        <f t="shared" si="233"/>
        <v>579.5</v>
      </c>
    </row>
    <row r="1637" s="457" customFormat="1" spans="1:14">
      <c r="A1637" s="494">
        <v>45981</v>
      </c>
      <c r="B1637" s="442" t="s">
        <v>281</v>
      </c>
      <c r="C1637" s="495">
        <v>45981</v>
      </c>
      <c r="D1637" s="463"/>
      <c r="E1637" s="463"/>
      <c r="F1637" s="496" t="s">
        <v>709</v>
      </c>
      <c r="G1637" s="463">
        <v>1</v>
      </c>
      <c r="H1637" s="432">
        <v>150</v>
      </c>
      <c r="I1637" s="463">
        <f t="shared" si="229"/>
        <v>150</v>
      </c>
      <c r="J1637" s="497"/>
      <c r="K1637" s="497"/>
      <c r="L1637" s="457" t="s">
        <v>126</v>
      </c>
    </row>
    <row r="1638" s="457" customFormat="1" spans="1:14">
      <c r="A1638" s="494">
        <v>45981</v>
      </c>
      <c r="B1638" s="442" t="s">
        <v>281</v>
      </c>
      <c r="C1638" s="495">
        <v>45981</v>
      </c>
      <c r="D1638" s="463"/>
      <c r="E1638" s="463"/>
      <c r="F1638" s="496" t="s">
        <v>860</v>
      </c>
      <c r="G1638" s="463">
        <v>1</v>
      </c>
      <c r="H1638" s="432">
        <v>253</v>
      </c>
      <c r="I1638" s="463">
        <f t="shared" si="229"/>
        <v>253</v>
      </c>
      <c r="J1638" s="497"/>
      <c r="K1638" s="497"/>
    </row>
    <row r="1639" s="457" customFormat="1" spans="1:14">
      <c r="A1639" s="494">
        <v>45981</v>
      </c>
      <c r="B1639" s="442" t="s">
        <v>281</v>
      </c>
      <c r="C1639" s="495">
        <v>45981</v>
      </c>
      <c r="D1639" s="463"/>
      <c r="E1639" s="463"/>
      <c r="F1639" s="496" t="s">
        <v>782</v>
      </c>
      <c r="G1639" s="463">
        <v>1</v>
      </c>
      <c r="H1639" s="432">
        <v>147</v>
      </c>
      <c r="I1639" s="463">
        <f t="shared" si="229"/>
        <v>147</v>
      </c>
      <c r="J1639" s="497"/>
      <c r="K1639" s="497"/>
    </row>
    <row r="1640" s="457" customFormat="1" spans="1:14">
      <c r="A1640" s="494">
        <v>45981</v>
      </c>
      <c r="B1640" s="442" t="s">
        <v>281</v>
      </c>
      <c r="C1640" s="495">
        <v>45981</v>
      </c>
      <c r="D1640" s="463"/>
      <c r="E1640" s="463"/>
      <c r="F1640" s="496" t="s">
        <v>16</v>
      </c>
      <c r="G1640" s="463">
        <v>1</v>
      </c>
      <c r="H1640" s="432">
        <v>150</v>
      </c>
      <c r="I1640" s="463">
        <f t="shared" si="229"/>
        <v>150</v>
      </c>
      <c r="J1640" s="497"/>
      <c r="K1640" s="497"/>
    </row>
    <row r="1641" s="457" customFormat="1" spans="1:14">
      <c r="A1641" s="494">
        <v>45981</v>
      </c>
      <c r="B1641" s="442" t="s">
        <v>281</v>
      </c>
      <c r="C1641" s="495">
        <v>45981</v>
      </c>
      <c r="D1641" s="463"/>
      <c r="E1641" s="463"/>
      <c r="F1641" s="496" t="s">
        <v>783</v>
      </c>
      <c r="G1641" s="463">
        <v>1</v>
      </c>
      <c r="H1641" s="432">
        <f>SUM(H1634:H1640)</f>
        <v>1000</v>
      </c>
      <c r="I1641" s="463">
        <f t="shared" si="229"/>
        <v>1000</v>
      </c>
      <c r="J1641" s="497">
        <v>1</v>
      </c>
      <c r="K1641" s="497">
        <f t="shared" ref="K1641:K1647" si="234">I1641*J1641</f>
        <v>1000</v>
      </c>
    </row>
    <row r="1642" s="457" customFormat="1" spans="1:14">
      <c r="A1642" s="494">
        <v>45981</v>
      </c>
      <c r="B1642" s="442" t="s">
        <v>281</v>
      </c>
      <c r="C1642" s="495">
        <v>45981</v>
      </c>
      <c r="D1642" s="463"/>
      <c r="E1642" s="463"/>
      <c r="F1642" s="498" t="s">
        <v>864</v>
      </c>
      <c r="G1642" s="463">
        <v>1</v>
      </c>
      <c r="H1642" s="432">
        <v>2</v>
      </c>
      <c r="I1642" s="463">
        <f t="shared" si="229"/>
        <v>2</v>
      </c>
      <c r="J1642" s="497">
        <v>21</v>
      </c>
      <c r="K1642" s="497">
        <f t="shared" si="234"/>
        <v>42</v>
      </c>
    </row>
    <row r="1643" s="457" customFormat="1" spans="1:14">
      <c r="A1643" s="494">
        <v>45981</v>
      </c>
      <c r="B1643" s="442" t="s">
        <v>281</v>
      </c>
      <c r="C1643" s="495">
        <v>45981</v>
      </c>
      <c r="D1643" s="463"/>
      <c r="E1643" s="463"/>
      <c r="F1643" s="498" t="s">
        <v>865</v>
      </c>
      <c r="G1643" s="463">
        <v>1</v>
      </c>
      <c r="H1643" s="432">
        <v>2</v>
      </c>
      <c r="I1643" s="463">
        <f t="shared" si="229"/>
        <v>2</v>
      </c>
      <c r="J1643" s="497">
        <v>23</v>
      </c>
      <c r="K1643" s="497">
        <f t="shared" si="234"/>
        <v>46</v>
      </c>
    </row>
    <row r="1644" s="457" customFormat="1" spans="1:14">
      <c r="A1644" s="494">
        <v>45981</v>
      </c>
      <c r="B1644" s="442" t="s">
        <v>281</v>
      </c>
      <c r="C1644" s="495">
        <v>45981</v>
      </c>
      <c r="D1644" s="463"/>
      <c r="E1644" s="463"/>
      <c r="F1644" s="498" t="s">
        <v>866</v>
      </c>
      <c r="G1644" s="463">
        <v>2</v>
      </c>
      <c r="H1644" s="432">
        <v>1</v>
      </c>
      <c r="I1644" s="463">
        <f t="shared" si="229"/>
        <v>2</v>
      </c>
      <c r="J1644" s="497">
        <v>5.5</v>
      </c>
      <c r="K1644" s="497">
        <f t="shared" si="234"/>
        <v>11</v>
      </c>
    </row>
    <row r="1645" s="457" customFormat="1" spans="1:14">
      <c r="A1645" s="494">
        <v>45981</v>
      </c>
      <c r="B1645" s="442" t="s">
        <v>281</v>
      </c>
      <c r="C1645" s="495">
        <v>45981</v>
      </c>
      <c r="D1645" s="463"/>
      <c r="E1645" s="463"/>
      <c r="F1645" s="498" t="s">
        <v>848</v>
      </c>
      <c r="G1645" s="463">
        <v>-2.6</v>
      </c>
      <c r="H1645" s="432">
        <v>1</v>
      </c>
      <c r="I1645" s="463">
        <f t="shared" si="229"/>
        <v>-2.6</v>
      </c>
      <c r="J1645" s="497">
        <v>15</v>
      </c>
      <c r="K1645" s="497">
        <f t="shared" si="234"/>
        <v>-39</v>
      </c>
      <c r="L1645" s="457">
        <f>SUM(K1634:K1645)</f>
        <v>2980.5</v>
      </c>
    </row>
    <row r="1646" s="456" customFormat="1" ht="21" customHeight="1" spans="1:14">
      <c r="A1646" s="488">
        <v>45982</v>
      </c>
      <c r="B1646" s="489" t="s">
        <v>309</v>
      </c>
      <c r="C1646" s="490">
        <v>45982</v>
      </c>
      <c r="D1646" s="491"/>
      <c r="E1646" s="491"/>
      <c r="F1646" s="493">
        <v>808</v>
      </c>
      <c r="G1646" s="491">
        <v>1</v>
      </c>
      <c r="H1646" s="431">
        <v>102</v>
      </c>
      <c r="I1646" s="491">
        <f t="shared" si="229"/>
        <v>102</v>
      </c>
      <c r="J1646" s="492">
        <v>7.6</v>
      </c>
      <c r="K1646" s="492">
        <f t="shared" si="234"/>
        <v>775.2</v>
      </c>
      <c r="N1646" s="456">
        <f>SUBTOTAL(9,K1517:K1659)</f>
        <v>50232.7</v>
      </c>
    </row>
    <row r="1647" s="456" customFormat="1" spans="1:14">
      <c r="A1647" s="488">
        <v>45982</v>
      </c>
      <c r="B1647" s="489" t="s">
        <v>309</v>
      </c>
      <c r="C1647" s="490">
        <v>45982</v>
      </c>
      <c r="D1647" s="491"/>
      <c r="E1647" s="491"/>
      <c r="F1647" s="493" t="s">
        <v>12</v>
      </c>
      <c r="G1647" s="491">
        <v>1</v>
      </c>
      <c r="H1647" s="431">
        <v>150</v>
      </c>
      <c r="I1647" s="491">
        <f t="shared" si="229"/>
        <v>150</v>
      </c>
      <c r="J1647" s="492">
        <v>6.1</v>
      </c>
      <c r="K1647" s="492">
        <f t="shared" si="234"/>
        <v>915</v>
      </c>
    </row>
    <row r="1648" s="456" customFormat="1" spans="1:14">
      <c r="A1648" s="488">
        <v>45982</v>
      </c>
      <c r="B1648" s="489" t="s">
        <v>309</v>
      </c>
      <c r="C1648" s="490">
        <v>45982</v>
      </c>
      <c r="D1648" s="491"/>
      <c r="E1648" s="491"/>
      <c r="F1648" s="493" t="s">
        <v>709</v>
      </c>
      <c r="G1648" s="491">
        <v>1</v>
      </c>
      <c r="H1648" s="431">
        <v>150</v>
      </c>
      <c r="I1648" s="491">
        <f t="shared" si="229"/>
        <v>150</v>
      </c>
      <c r="J1648" s="492"/>
      <c r="K1648" s="492"/>
      <c r="L1648" s="456" t="s">
        <v>126</v>
      </c>
    </row>
    <row r="1649" s="456" customFormat="1" spans="1:13">
      <c r="A1649" s="488">
        <v>45982</v>
      </c>
      <c r="B1649" s="489" t="s">
        <v>309</v>
      </c>
      <c r="C1649" s="490">
        <v>45982</v>
      </c>
      <c r="D1649" s="491"/>
      <c r="E1649" s="491"/>
      <c r="F1649" s="493" t="s">
        <v>867</v>
      </c>
      <c r="G1649" s="491">
        <v>1</v>
      </c>
      <c r="H1649" s="431">
        <v>140</v>
      </c>
      <c r="I1649" s="491">
        <f t="shared" si="229"/>
        <v>140</v>
      </c>
      <c r="J1649" s="492"/>
      <c r="K1649" s="492"/>
    </row>
    <row r="1650" s="456" customFormat="1" spans="1:13">
      <c r="A1650" s="488">
        <v>45982</v>
      </c>
      <c r="B1650" s="489" t="s">
        <v>309</v>
      </c>
      <c r="C1650" s="490">
        <v>45982</v>
      </c>
      <c r="D1650" s="491"/>
      <c r="E1650" s="491"/>
      <c r="F1650" s="493" t="s">
        <v>868</v>
      </c>
      <c r="G1650" s="491">
        <v>1</v>
      </c>
      <c r="H1650" s="431">
        <v>250</v>
      </c>
      <c r="I1650" s="491">
        <f t="shared" si="229"/>
        <v>250</v>
      </c>
      <c r="J1650" s="492"/>
      <c r="K1650" s="492"/>
    </row>
    <row r="1651" s="456" customFormat="1" spans="1:13">
      <c r="A1651" s="488">
        <v>45982</v>
      </c>
      <c r="B1651" s="489" t="s">
        <v>309</v>
      </c>
      <c r="C1651" s="490">
        <v>45982</v>
      </c>
      <c r="D1651" s="491"/>
      <c r="E1651" s="491"/>
      <c r="F1651" s="493" t="s">
        <v>16</v>
      </c>
      <c r="G1651" s="491">
        <v>1</v>
      </c>
      <c r="H1651" s="431">
        <v>208</v>
      </c>
      <c r="I1651" s="491">
        <f t="shared" si="229"/>
        <v>208</v>
      </c>
      <c r="J1651" s="492"/>
      <c r="K1651" s="492"/>
    </row>
    <row r="1652" s="456" customFormat="1" spans="1:13">
      <c r="A1652" s="488">
        <v>45982</v>
      </c>
      <c r="B1652" s="489" t="s">
        <v>309</v>
      </c>
      <c r="C1652" s="490">
        <v>45982</v>
      </c>
      <c r="D1652" s="491"/>
      <c r="E1652" s="491"/>
      <c r="F1652" s="493" t="s">
        <v>714</v>
      </c>
      <c r="G1652" s="491">
        <v>1</v>
      </c>
      <c r="H1652" s="431">
        <f>SUM(H1646:H1651)</f>
        <v>1000</v>
      </c>
      <c r="I1652" s="491">
        <f t="shared" si="229"/>
        <v>1000</v>
      </c>
      <c r="J1652" s="492">
        <v>1</v>
      </c>
      <c r="K1652" s="492">
        <f>I1652*J1652</f>
        <v>1000</v>
      </c>
      <c r="L1652" s="456">
        <f>SUM(K1646:K1652)</f>
        <v>2690.2</v>
      </c>
    </row>
    <row r="1653" s="457" customFormat="1" spans="1:13">
      <c r="A1653" s="494">
        <v>45982</v>
      </c>
      <c r="B1653" s="442" t="s">
        <v>312</v>
      </c>
      <c r="C1653" s="495" t="s">
        <v>869</v>
      </c>
      <c r="D1653" s="463"/>
      <c r="E1653" s="463"/>
      <c r="F1653" s="496" t="s">
        <v>16</v>
      </c>
      <c r="G1653" s="463">
        <v>2</v>
      </c>
      <c r="H1653" s="432">
        <v>50</v>
      </c>
      <c r="I1653" s="463">
        <f t="shared" si="229"/>
        <v>100</v>
      </c>
      <c r="J1653" s="497"/>
      <c r="K1653" s="497"/>
    </row>
    <row r="1654" s="457" customFormat="1" spans="1:13">
      <c r="A1654" s="494">
        <v>45982</v>
      </c>
      <c r="B1654" s="442" t="s">
        <v>312</v>
      </c>
      <c r="C1654" s="495" t="s">
        <v>869</v>
      </c>
      <c r="D1654" s="463"/>
      <c r="E1654" s="463"/>
      <c r="F1654" s="496" t="s">
        <v>405</v>
      </c>
      <c r="G1654" s="463">
        <v>2</v>
      </c>
      <c r="H1654" s="432">
        <v>2</v>
      </c>
      <c r="I1654" s="463">
        <f t="shared" ref="I1654:I1666" si="235">G1654*H1654</f>
        <v>4</v>
      </c>
      <c r="J1654" s="497"/>
      <c r="K1654" s="497"/>
    </row>
    <row r="1655" s="457" customFormat="1" spans="1:13">
      <c r="A1655" s="494">
        <v>45982</v>
      </c>
      <c r="B1655" s="442" t="s">
        <v>312</v>
      </c>
      <c r="C1655" s="495" t="s">
        <v>869</v>
      </c>
      <c r="D1655" s="463"/>
      <c r="E1655" s="463"/>
      <c r="F1655" s="496" t="s">
        <v>733</v>
      </c>
      <c r="G1655" s="463">
        <v>2</v>
      </c>
      <c r="H1655" s="432">
        <v>25</v>
      </c>
      <c r="I1655" s="463">
        <f t="shared" si="235"/>
        <v>50</v>
      </c>
      <c r="J1655" s="497"/>
      <c r="K1655" s="497"/>
    </row>
    <row r="1656" s="457" customFormat="1" spans="1:13">
      <c r="A1656" s="494">
        <v>45982</v>
      </c>
      <c r="B1656" s="442" t="s">
        <v>312</v>
      </c>
      <c r="C1656" s="495" t="s">
        <v>869</v>
      </c>
      <c r="D1656" s="463"/>
      <c r="E1656" s="463"/>
      <c r="F1656" s="496">
        <v>808</v>
      </c>
      <c r="G1656" s="463">
        <v>2</v>
      </c>
      <c r="H1656" s="432">
        <v>45</v>
      </c>
      <c r="I1656" s="463">
        <f t="shared" si="235"/>
        <v>90</v>
      </c>
      <c r="J1656" s="497">
        <v>7.6</v>
      </c>
      <c r="K1656" s="497">
        <f>I1656*J1656</f>
        <v>684</v>
      </c>
      <c r="M1656" s="457" t="s">
        <v>728</v>
      </c>
    </row>
    <row r="1657" s="457" customFormat="1" spans="1:13">
      <c r="A1657" s="494">
        <v>45982</v>
      </c>
      <c r="B1657" s="442" t="s">
        <v>312</v>
      </c>
      <c r="C1657" s="495" t="s">
        <v>869</v>
      </c>
      <c r="D1657" s="463"/>
      <c r="E1657" s="463"/>
      <c r="F1657" s="496" t="s">
        <v>125</v>
      </c>
      <c r="G1657" s="463">
        <v>2</v>
      </c>
      <c r="H1657" s="432">
        <v>50</v>
      </c>
      <c r="I1657" s="463">
        <f t="shared" si="235"/>
        <v>100</v>
      </c>
      <c r="J1657" s="497">
        <v>5.1</v>
      </c>
      <c r="K1657" s="497">
        <f t="shared" ref="K1656:K1661" si="236">I1657*J1657</f>
        <v>510</v>
      </c>
      <c r="M1657" s="457">
        <f>SUBTOTAL(9,K1518:K1660)</f>
        <v>50352.5</v>
      </c>
    </row>
    <row r="1658" s="457" customFormat="1" spans="1:13">
      <c r="A1658" s="494">
        <v>45982</v>
      </c>
      <c r="B1658" s="442" t="s">
        <v>312</v>
      </c>
      <c r="C1658" s="495" t="s">
        <v>869</v>
      </c>
      <c r="D1658" s="463"/>
      <c r="E1658" s="463"/>
      <c r="F1658" s="496" t="s">
        <v>412</v>
      </c>
      <c r="G1658" s="463">
        <v>2</v>
      </c>
      <c r="H1658" s="432">
        <f>SUM(H1653:H1657)</f>
        <v>172</v>
      </c>
      <c r="I1658" s="463">
        <f t="shared" si="235"/>
        <v>344</v>
      </c>
      <c r="J1658" s="533">
        <v>5</v>
      </c>
      <c r="K1658" s="497">
        <f t="shared" si="236"/>
        <v>1720</v>
      </c>
      <c r="L1658" s="457">
        <f>SUM(K1655:K1658)</f>
        <v>2914</v>
      </c>
    </row>
    <row r="1659" s="456" customFormat="1" spans="1:13">
      <c r="A1659" s="488">
        <v>45982</v>
      </c>
      <c r="B1659" s="489" t="s">
        <v>192</v>
      </c>
      <c r="C1659" s="490">
        <v>45982</v>
      </c>
      <c r="D1659" s="491"/>
      <c r="E1659" s="491"/>
      <c r="F1659" s="493">
        <v>808</v>
      </c>
      <c r="G1659" s="491">
        <v>1</v>
      </c>
      <c r="H1659" s="431">
        <v>50</v>
      </c>
      <c r="I1659" s="491">
        <f t="shared" si="235"/>
        <v>50</v>
      </c>
      <c r="J1659" s="492">
        <v>7.6</v>
      </c>
      <c r="K1659" s="492">
        <f t="shared" si="236"/>
        <v>380</v>
      </c>
      <c r="L1659" s="456" t="s">
        <v>126</v>
      </c>
    </row>
    <row r="1660" s="456" customFormat="1" spans="1:13">
      <c r="A1660" s="488">
        <v>45982</v>
      </c>
      <c r="B1660" s="489" t="s">
        <v>192</v>
      </c>
      <c r="C1660" s="490">
        <v>45982</v>
      </c>
      <c r="D1660" s="491"/>
      <c r="E1660" s="491"/>
      <c r="F1660" s="493" t="s">
        <v>125</v>
      </c>
      <c r="G1660" s="491">
        <v>1</v>
      </c>
      <c r="H1660" s="431">
        <v>98</v>
      </c>
      <c r="I1660" s="491">
        <f t="shared" si="235"/>
        <v>98</v>
      </c>
      <c r="J1660" s="492">
        <v>5.1</v>
      </c>
      <c r="K1660" s="492">
        <f t="shared" si="236"/>
        <v>499.8</v>
      </c>
    </row>
    <row r="1661" s="456" customFormat="1" spans="1:13">
      <c r="A1661" s="488">
        <v>45982</v>
      </c>
      <c r="B1661" s="489" t="s">
        <v>192</v>
      </c>
      <c r="C1661" s="490">
        <v>45982</v>
      </c>
      <c r="D1661" s="491"/>
      <c r="E1661" s="491"/>
      <c r="F1661" s="493" t="s">
        <v>12</v>
      </c>
      <c r="G1661" s="491">
        <v>1</v>
      </c>
      <c r="H1661" s="431">
        <v>20</v>
      </c>
      <c r="I1661" s="491">
        <f t="shared" si="235"/>
        <v>20</v>
      </c>
      <c r="J1661" s="492">
        <v>6.1</v>
      </c>
      <c r="K1661" s="492">
        <f t="shared" si="236"/>
        <v>122</v>
      </c>
    </row>
    <row r="1662" s="456" customFormat="1" spans="1:13">
      <c r="A1662" s="488">
        <v>45982</v>
      </c>
      <c r="B1662" s="489" t="s">
        <v>192</v>
      </c>
      <c r="C1662" s="490">
        <v>45982</v>
      </c>
      <c r="D1662" s="491"/>
      <c r="E1662" s="491"/>
      <c r="F1662" s="493" t="s">
        <v>240</v>
      </c>
      <c r="G1662" s="491">
        <v>1</v>
      </c>
      <c r="H1662" s="431">
        <v>75</v>
      </c>
      <c r="I1662" s="491">
        <f t="shared" si="235"/>
        <v>75</v>
      </c>
      <c r="J1662" s="492"/>
      <c r="K1662" s="492"/>
      <c r="M1662" s="456" t="s">
        <v>678</v>
      </c>
    </row>
    <row r="1663" s="456" customFormat="1" spans="1:13">
      <c r="A1663" s="488">
        <v>45982</v>
      </c>
      <c r="B1663" s="489" t="s">
        <v>192</v>
      </c>
      <c r="C1663" s="490">
        <v>45982</v>
      </c>
      <c r="D1663" s="491"/>
      <c r="E1663" s="491"/>
      <c r="F1663" s="493" t="s">
        <v>16</v>
      </c>
      <c r="G1663" s="491">
        <v>1</v>
      </c>
      <c r="H1663" s="431">
        <v>75</v>
      </c>
      <c r="I1663" s="491">
        <f t="shared" si="235"/>
        <v>75</v>
      </c>
      <c r="J1663" s="492"/>
      <c r="K1663" s="492"/>
    </row>
    <row r="1664" s="456" customFormat="1" spans="1:13">
      <c r="A1664" s="488">
        <v>45982</v>
      </c>
      <c r="B1664" s="489" t="s">
        <v>192</v>
      </c>
      <c r="C1664" s="490">
        <v>45982</v>
      </c>
      <c r="D1664" s="491"/>
      <c r="E1664" s="491"/>
      <c r="F1664" s="493" t="s">
        <v>300</v>
      </c>
      <c r="G1664" s="491">
        <v>1</v>
      </c>
      <c r="H1664" s="431">
        <v>75</v>
      </c>
      <c r="I1664" s="491">
        <f t="shared" si="235"/>
        <v>75</v>
      </c>
      <c r="J1664" s="492"/>
      <c r="K1664" s="492"/>
    </row>
    <row r="1665" s="456" customFormat="1" spans="1:13">
      <c r="A1665" s="488">
        <v>45982</v>
      </c>
      <c r="B1665" s="489" t="s">
        <v>192</v>
      </c>
      <c r="C1665" s="490">
        <v>45982</v>
      </c>
      <c r="D1665" s="491"/>
      <c r="E1665" s="491"/>
      <c r="F1665" s="493" t="s">
        <v>870</v>
      </c>
      <c r="G1665" s="491">
        <v>1</v>
      </c>
      <c r="H1665" s="431">
        <v>107</v>
      </c>
      <c r="I1665" s="491">
        <f t="shared" si="235"/>
        <v>107</v>
      </c>
      <c r="J1665" s="492"/>
      <c r="K1665" s="492"/>
    </row>
    <row r="1666" s="456" customFormat="1" spans="1:13">
      <c r="A1666" s="488">
        <v>45982</v>
      </c>
      <c r="B1666" s="489" t="s">
        <v>192</v>
      </c>
      <c r="C1666" s="490">
        <v>45982</v>
      </c>
      <c r="D1666" s="491"/>
      <c r="E1666" s="491"/>
      <c r="F1666" s="493" t="s">
        <v>301</v>
      </c>
      <c r="G1666" s="491">
        <v>1</v>
      </c>
      <c r="H1666" s="431">
        <f>SUM(H1659:H1665)</f>
        <v>500</v>
      </c>
      <c r="I1666" s="491">
        <f t="shared" si="235"/>
        <v>500</v>
      </c>
      <c r="J1666" s="492">
        <v>1</v>
      </c>
      <c r="K1666" s="492">
        <f t="shared" ref="K1666:K1670" si="237">I1666*J1666</f>
        <v>500</v>
      </c>
      <c r="L1666" s="456">
        <f>SUM(K1659:K1666)</f>
        <v>1501.8</v>
      </c>
    </row>
    <row r="1667" s="457" customFormat="1" spans="1:13">
      <c r="A1667" s="494">
        <v>45988</v>
      </c>
      <c r="B1667" s="442" t="s">
        <v>121</v>
      </c>
      <c r="C1667" s="495">
        <v>45986</v>
      </c>
      <c r="D1667" s="463"/>
      <c r="E1667" s="463"/>
      <c r="F1667" s="498" t="s">
        <v>871</v>
      </c>
      <c r="G1667" s="463">
        <v>4</v>
      </c>
      <c r="H1667" s="432">
        <v>1</v>
      </c>
      <c r="I1667" s="463">
        <f t="shared" ref="I1667:I1683" si="238">G1667*H1667</f>
        <v>4</v>
      </c>
      <c r="J1667" s="497">
        <v>7</v>
      </c>
      <c r="K1667" s="497">
        <f t="shared" si="237"/>
        <v>28</v>
      </c>
    </row>
    <row r="1668" s="457" customFormat="1" spans="1:13">
      <c r="A1668" s="494">
        <v>45988</v>
      </c>
      <c r="B1668" s="442" t="s">
        <v>121</v>
      </c>
      <c r="C1668" s="495">
        <v>45987</v>
      </c>
      <c r="D1668" s="463"/>
      <c r="E1668" s="463"/>
      <c r="F1668" s="496">
        <v>808</v>
      </c>
      <c r="G1668" s="463">
        <v>1</v>
      </c>
      <c r="H1668" s="432">
        <v>50</v>
      </c>
      <c r="I1668" s="463">
        <f t="shared" si="238"/>
        <v>50</v>
      </c>
      <c r="J1668" s="497">
        <v>7.6</v>
      </c>
      <c r="K1668" s="497">
        <f t="shared" si="237"/>
        <v>380</v>
      </c>
      <c r="L1668" s="457" t="s">
        <v>126</v>
      </c>
    </row>
    <row r="1669" s="457" customFormat="1" spans="1:13">
      <c r="A1669" s="494">
        <v>45988</v>
      </c>
      <c r="B1669" s="442" t="s">
        <v>121</v>
      </c>
      <c r="C1669" s="495">
        <v>45987</v>
      </c>
      <c r="D1669" s="463"/>
      <c r="E1669" s="463"/>
      <c r="F1669" s="496" t="s">
        <v>125</v>
      </c>
      <c r="G1669" s="463">
        <v>1</v>
      </c>
      <c r="H1669" s="432">
        <v>98</v>
      </c>
      <c r="I1669" s="463">
        <f t="shared" si="238"/>
        <v>98</v>
      </c>
      <c r="J1669" s="497">
        <v>5.1</v>
      </c>
      <c r="K1669" s="497">
        <f t="shared" si="237"/>
        <v>499.8</v>
      </c>
    </row>
    <row r="1670" s="457" customFormat="1" spans="1:13">
      <c r="A1670" s="494">
        <v>45988</v>
      </c>
      <c r="B1670" s="442" t="s">
        <v>121</v>
      </c>
      <c r="C1670" s="495">
        <v>45987</v>
      </c>
      <c r="D1670" s="463"/>
      <c r="E1670" s="463"/>
      <c r="F1670" s="496" t="s">
        <v>12</v>
      </c>
      <c r="G1670" s="463">
        <v>1</v>
      </c>
      <c r="H1670" s="432">
        <v>20</v>
      </c>
      <c r="I1670" s="463">
        <f t="shared" si="238"/>
        <v>20</v>
      </c>
      <c r="J1670" s="497">
        <v>6.1</v>
      </c>
      <c r="K1670" s="497">
        <f t="shared" si="237"/>
        <v>122</v>
      </c>
    </row>
    <row r="1671" s="457" customFormat="1" spans="1:13">
      <c r="A1671" s="494">
        <v>45988</v>
      </c>
      <c r="B1671" s="442" t="s">
        <v>121</v>
      </c>
      <c r="C1671" s="495">
        <v>45987</v>
      </c>
      <c r="D1671" s="463"/>
      <c r="E1671" s="463"/>
      <c r="F1671" s="496" t="s">
        <v>240</v>
      </c>
      <c r="G1671" s="463">
        <v>1</v>
      </c>
      <c r="H1671" s="432">
        <v>75</v>
      </c>
      <c r="I1671" s="463">
        <f t="shared" si="238"/>
        <v>75</v>
      </c>
      <c r="J1671" s="497"/>
      <c r="K1671" s="497"/>
      <c r="M1671" s="457" t="s">
        <v>678</v>
      </c>
    </row>
    <row r="1672" s="457" customFormat="1" spans="1:13">
      <c r="A1672" s="494">
        <v>45988</v>
      </c>
      <c r="B1672" s="442" t="s">
        <v>121</v>
      </c>
      <c r="C1672" s="495">
        <v>45987</v>
      </c>
      <c r="D1672" s="463"/>
      <c r="E1672" s="463"/>
      <c r="F1672" s="496" t="s">
        <v>16</v>
      </c>
      <c r="G1672" s="463">
        <v>1</v>
      </c>
      <c r="H1672" s="432">
        <v>75</v>
      </c>
      <c r="I1672" s="463">
        <f t="shared" si="238"/>
        <v>75</v>
      </c>
      <c r="J1672" s="497"/>
      <c r="K1672" s="497"/>
    </row>
    <row r="1673" s="457" customFormat="1" spans="1:13">
      <c r="A1673" s="494">
        <v>45988</v>
      </c>
      <c r="B1673" s="442" t="s">
        <v>121</v>
      </c>
      <c r="C1673" s="495">
        <v>45987</v>
      </c>
      <c r="D1673" s="463"/>
      <c r="E1673" s="463"/>
      <c r="F1673" s="496" t="s">
        <v>300</v>
      </c>
      <c r="G1673" s="463">
        <v>1</v>
      </c>
      <c r="H1673" s="432">
        <v>75</v>
      </c>
      <c r="I1673" s="463">
        <f t="shared" si="238"/>
        <v>75</v>
      </c>
      <c r="J1673" s="497"/>
      <c r="K1673" s="497"/>
    </row>
    <row r="1674" s="457" customFormat="1" spans="1:13">
      <c r="A1674" s="494">
        <v>45988</v>
      </c>
      <c r="B1674" s="442" t="s">
        <v>121</v>
      </c>
      <c r="C1674" s="495">
        <v>45987</v>
      </c>
      <c r="D1674" s="463"/>
      <c r="E1674" s="463"/>
      <c r="F1674" s="496" t="s">
        <v>870</v>
      </c>
      <c r="G1674" s="463">
        <v>1</v>
      </c>
      <c r="H1674" s="432">
        <v>107</v>
      </c>
      <c r="I1674" s="463">
        <f t="shared" si="238"/>
        <v>107</v>
      </c>
      <c r="J1674" s="497"/>
      <c r="K1674" s="497"/>
    </row>
    <row r="1675" s="457" customFormat="1" spans="1:13">
      <c r="A1675" s="494">
        <v>45988</v>
      </c>
      <c r="B1675" s="442" t="s">
        <v>121</v>
      </c>
      <c r="C1675" s="495">
        <v>45987</v>
      </c>
      <c r="D1675" s="463"/>
      <c r="E1675" s="463"/>
      <c r="F1675" s="496" t="s">
        <v>301</v>
      </c>
      <c r="G1675" s="463">
        <v>1</v>
      </c>
      <c r="H1675" s="432">
        <f>SUM(H1668:H1674)</f>
        <v>500</v>
      </c>
      <c r="I1675" s="463">
        <f t="shared" si="238"/>
        <v>500</v>
      </c>
      <c r="J1675" s="497">
        <v>1</v>
      </c>
      <c r="K1675" s="497">
        <f t="shared" ref="K1675:K1679" si="239">I1675*J1675</f>
        <v>500</v>
      </c>
      <c r="L1675" s="457">
        <f>SUM(K1667:K1675)</f>
        <v>1529.8</v>
      </c>
    </row>
    <row r="1676" s="456" customFormat="1" spans="1:13">
      <c r="A1676" s="488">
        <v>45989</v>
      </c>
      <c r="B1676" s="489" t="s">
        <v>220</v>
      </c>
      <c r="C1676" s="490">
        <v>45989</v>
      </c>
      <c r="D1676" s="491"/>
      <c r="E1676" s="491"/>
      <c r="F1676" s="493" t="s">
        <v>872</v>
      </c>
      <c r="G1676" s="491">
        <v>2</v>
      </c>
      <c r="H1676" s="431">
        <v>400</v>
      </c>
      <c r="I1676" s="491">
        <f t="shared" si="238"/>
        <v>800</v>
      </c>
      <c r="J1676" s="492"/>
      <c r="K1676" s="492"/>
    </row>
    <row r="1677" s="456" customFormat="1" spans="1:13">
      <c r="A1677" s="488">
        <v>45989</v>
      </c>
      <c r="B1677" s="489" t="s">
        <v>220</v>
      </c>
      <c r="C1677" s="490">
        <v>45989</v>
      </c>
      <c r="D1677" s="491"/>
      <c r="E1677" s="491"/>
      <c r="F1677" s="493" t="s">
        <v>12</v>
      </c>
      <c r="G1677" s="491">
        <v>2</v>
      </c>
      <c r="H1677" s="431">
        <v>180</v>
      </c>
      <c r="I1677" s="491">
        <f t="shared" si="238"/>
        <v>360</v>
      </c>
      <c r="J1677" s="492">
        <v>6.1</v>
      </c>
      <c r="K1677" s="492">
        <f t="shared" si="239"/>
        <v>2196</v>
      </c>
    </row>
    <row r="1678" s="456" customFormat="1" spans="1:13">
      <c r="A1678" s="488">
        <v>45989</v>
      </c>
      <c r="B1678" s="489" t="s">
        <v>220</v>
      </c>
      <c r="C1678" s="490">
        <v>45989</v>
      </c>
      <c r="D1678" s="491"/>
      <c r="E1678" s="491"/>
      <c r="F1678" s="493" t="s">
        <v>125</v>
      </c>
      <c r="G1678" s="491">
        <v>2</v>
      </c>
      <c r="H1678" s="431">
        <v>560</v>
      </c>
      <c r="I1678" s="491">
        <f t="shared" si="238"/>
        <v>1120</v>
      </c>
      <c r="J1678" s="492">
        <v>5.1</v>
      </c>
      <c r="K1678" s="492">
        <f t="shared" si="239"/>
        <v>5712</v>
      </c>
    </row>
    <row r="1679" s="456" customFormat="1" spans="1:13">
      <c r="A1679" s="488">
        <v>45989</v>
      </c>
      <c r="B1679" s="489" t="s">
        <v>220</v>
      </c>
      <c r="C1679" s="490">
        <v>45989</v>
      </c>
      <c r="D1679" s="491"/>
      <c r="E1679" s="491"/>
      <c r="F1679" s="498" t="s">
        <v>873</v>
      </c>
      <c r="G1679" s="520">
        <v>2</v>
      </c>
      <c r="H1679" s="431">
        <f>SUM(H1676:H1678)</f>
        <v>1140</v>
      </c>
      <c r="I1679" s="491">
        <f t="shared" si="238"/>
        <v>2280</v>
      </c>
      <c r="J1679" s="492">
        <v>0.8</v>
      </c>
      <c r="K1679" s="492">
        <f t="shared" si="239"/>
        <v>1824</v>
      </c>
      <c r="L1679" s="456">
        <f>SUM(K1676:K1679)</f>
        <v>9732</v>
      </c>
    </row>
    <row r="1680" s="457" customFormat="1" spans="1:13">
      <c r="A1680" s="488">
        <v>45989</v>
      </c>
      <c r="B1680" s="489" t="s">
        <v>220</v>
      </c>
      <c r="C1680" s="490">
        <v>45989</v>
      </c>
      <c r="D1680" s="491"/>
      <c r="E1680" s="491"/>
      <c r="F1680" s="493" t="s">
        <v>872</v>
      </c>
      <c r="G1680" s="491">
        <v>1</v>
      </c>
      <c r="H1680" s="431">
        <v>200</v>
      </c>
      <c r="I1680" s="491">
        <f t="shared" si="238"/>
        <v>200</v>
      </c>
      <c r="J1680" s="492"/>
      <c r="K1680" s="492"/>
    </row>
    <row r="1681" s="457" customFormat="1" spans="1:26">
      <c r="A1681" s="488">
        <v>45989</v>
      </c>
      <c r="B1681" s="489" t="s">
        <v>220</v>
      </c>
      <c r="C1681" s="490">
        <v>45989</v>
      </c>
      <c r="D1681" s="491"/>
      <c r="E1681" s="491"/>
      <c r="F1681" s="493" t="s">
        <v>12</v>
      </c>
      <c r="G1681" s="491">
        <v>1</v>
      </c>
      <c r="H1681" s="431">
        <v>90</v>
      </c>
      <c r="I1681" s="491">
        <f t="shared" si="238"/>
        <v>90</v>
      </c>
      <c r="J1681" s="492">
        <v>6.1</v>
      </c>
      <c r="K1681" s="492">
        <f t="shared" ref="K1681:K1683" si="240">I1681*J1681</f>
        <v>549</v>
      </c>
    </row>
    <row r="1682" s="457" customFormat="1" spans="1:26">
      <c r="A1682" s="488">
        <v>45989</v>
      </c>
      <c r="B1682" s="489" t="s">
        <v>220</v>
      </c>
      <c r="C1682" s="490">
        <v>45989</v>
      </c>
      <c r="D1682" s="491"/>
      <c r="E1682" s="491"/>
      <c r="F1682" s="493" t="s">
        <v>125</v>
      </c>
      <c r="G1682" s="491">
        <v>1</v>
      </c>
      <c r="H1682" s="431">
        <v>280</v>
      </c>
      <c r="I1682" s="491">
        <f t="shared" si="238"/>
        <v>280</v>
      </c>
      <c r="J1682" s="492">
        <v>5.1</v>
      </c>
      <c r="K1682" s="492">
        <f t="shared" si="240"/>
        <v>1428</v>
      </c>
    </row>
    <row r="1683" s="457" customFormat="1" spans="1:26">
      <c r="A1683" s="488">
        <v>45989</v>
      </c>
      <c r="B1683" s="489" t="s">
        <v>220</v>
      </c>
      <c r="C1683" s="490">
        <v>45989</v>
      </c>
      <c r="D1683" s="491"/>
      <c r="E1683" s="491"/>
      <c r="F1683" s="498" t="s">
        <v>873</v>
      </c>
      <c r="G1683" s="491">
        <v>1</v>
      </c>
      <c r="H1683" s="431">
        <f>SUM(H1680:H1682)</f>
        <v>570</v>
      </c>
      <c r="I1683" s="491">
        <f t="shared" si="238"/>
        <v>570</v>
      </c>
      <c r="J1683" s="492">
        <v>0.8</v>
      </c>
      <c r="K1683" s="492">
        <f t="shared" si="240"/>
        <v>456</v>
      </c>
      <c r="L1683" s="457">
        <f>SUM(K1676:K1683)</f>
        <v>12165</v>
      </c>
    </row>
    <row r="1684" s="458" customFormat="1" ht="26" customHeight="1" spans="1:26">
      <c r="A1684" s="509" t="s">
        <v>525</v>
      </c>
      <c r="B1684" s="510"/>
      <c r="C1684" s="510"/>
      <c r="D1684" s="510"/>
      <c r="E1684" s="510"/>
      <c r="F1684" s="510"/>
      <c r="G1684" s="510"/>
      <c r="H1684" s="510"/>
      <c r="I1684" s="510"/>
      <c r="J1684" s="511" t="s">
        <v>28</v>
      </c>
      <c r="K1684" s="557">
        <f>SUM(K1687:K1822)</f>
        <v>43389.15</v>
      </c>
      <c r="L1684" s="458" t="s">
        <v>29</v>
      </c>
      <c r="M1684" s="509">
        <f>材料!L23+K1751</f>
        <v>25433.25</v>
      </c>
      <c r="N1684" s="513" t="s">
        <v>30</v>
      </c>
      <c r="O1684" s="509">
        <f>K1694+K1707+K1717+K1725+K1731+K1741+K1749+K1762+K1768+K1778+K1782+K1790+K1800+K1806+K1817+K1822</f>
        <v>15729.9</v>
      </c>
      <c r="P1684" s="510" t="s">
        <v>31</v>
      </c>
      <c r="Q1684" s="509">
        <f>K1708+K1709+K1710+K1711+K1712</f>
        <v>1685</v>
      </c>
      <c r="R1684" s="442"/>
      <c r="S1684" s="442"/>
      <c r="T1684" s="442"/>
      <c r="U1684" s="442"/>
      <c r="V1684" s="442"/>
      <c r="W1684" s="442"/>
      <c r="X1684" s="442"/>
      <c r="Y1684" s="442"/>
      <c r="Z1684" s="442"/>
    </row>
    <row r="1685" s="458" customFormat="1" ht="26" customHeight="1" spans="1:26">
      <c r="A1685" s="509"/>
      <c r="B1685" s="510"/>
      <c r="C1685" s="510"/>
      <c r="D1685" s="510"/>
      <c r="E1685" s="510"/>
      <c r="F1685" s="510"/>
      <c r="G1685" s="510"/>
      <c r="H1685" s="510"/>
      <c r="I1685" s="510"/>
      <c r="J1685" s="510" t="s">
        <v>32</v>
      </c>
      <c r="K1685" s="510"/>
      <c r="L1685" s="458" t="s">
        <v>33</v>
      </c>
      <c r="M1685" s="509">
        <f>K1699+K1733+K1750+K1752+K1753+K1754+K180+K1801</f>
        <v>541</v>
      </c>
      <c r="N1685" s="514" t="s">
        <v>34</v>
      </c>
      <c r="O1685" s="557">
        <f>M1684+M1685+O1684+Q1684</f>
        <v>43389.15</v>
      </c>
      <c r="R1685" s="457"/>
      <c r="S1685" s="457"/>
      <c r="T1685" s="457"/>
      <c r="U1685" s="457"/>
      <c r="V1685" s="457"/>
      <c r="W1685" s="457"/>
      <c r="X1685" s="457"/>
      <c r="Y1685" s="457"/>
      <c r="Z1685" s="457"/>
    </row>
    <row r="1686" s="442" customFormat="1" ht="26" customHeight="1" spans="1:26">
      <c r="A1686" s="483" t="s">
        <v>35</v>
      </c>
      <c r="B1686" s="484" t="s">
        <v>36</v>
      </c>
      <c r="C1686" s="485" t="s">
        <v>37</v>
      </c>
      <c r="D1686" s="485"/>
      <c r="E1686" s="485"/>
      <c r="F1686" s="485" t="s">
        <v>38</v>
      </c>
      <c r="G1686" s="485" t="s">
        <v>4</v>
      </c>
      <c r="H1686" s="485" t="s">
        <v>5</v>
      </c>
      <c r="I1686" s="485" t="s">
        <v>6</v>
      </c>
      <c r="J1686" s="485" t="s">
        <v>7</v>
      </c>
      <c r="K1686" s="485" t="s">
        <v>8</v>
      </c>
      <c r="L1686" s="485" t="s">
        <v>39</v>
      </c>
      <c r="M1686" s="485" t="s">
        <v>40</v>
      </c>
      <c r="N1686" s="427"/>
      <c r="O1686" s="427"/>
      <c r="P1686" s="458"/>
      <c r="Q1686" s="458"/>
      <c r="R1686" s="457"/>
      <c r="S1686" s="457"/>
      <c r="T1686" s="457"/>
      <c r="U1686" s="457"/>
      <c r="V1686" s="457"/>
      <c r="W1686" s="457"/>
      <c r="X1686" s="457"/>
      <c r="Y1686" s="457"/>
      <c r="Z1686" s="457"/>
    </row>
    <row r="1687" s="457" customFormat="1" spans="1:26">
      <c r="A1687" s="494">
        <v>45993</v>
      </c>
      <c r="B1687" s="442" t="s">
        <v>643</v>
      </c>
      <c r="C1687" s="495">
        <v>45992</v>
      </c>
      <c r="D1687" s="463"/>
      <c r="E1687" s="463"/>
      <c r="F1687" s="496" t="s">
        <v>315</v>
      </c>
      <c r="G1687" s="463">
        <v>1</v>
      </c>
      <c r="H1687" s="432">
        <v>40</v>
      </c>
      <c r="I1687" s="463">
        <f t="shared" ref="I1687:I1694" si="241">G1687*H1687</f>
        <v>40</v>
      </c>
      <c r="J1687" s="497"/>
      <c r="K1687" s="492"/>
    </row>
    <row r="1688" s="457" customFormat="1" spans="1:26">
      <c r="A1688" s="494">
        <v>45993</v>
      </c>
      <c r="B1688" s="442" t="s">
        <v>643</v>
      </c>
      <c r="C1688" s="495">
        <v>45992</v>
      </c>
      <c r="D1688" s="463"/>
      <c r="E1688" s="463"/>
      <c r="F1688" s="496" t="s">
        <v>316</v>
      </c>
      <c r="G1688" s="463">
        <v>1</v>
      </c>
      <c r="H1688" s="432">
        <v>6</v>
      </c>
      <c r="I1688" s="463">
        <f t="shared" si="241"/>
        <v>6</v>
      </c>
      <c r="J1688" s="497"/>
      <c r="K1688" s="492"/>
    </row>
    <row r="1689" s="457" customFormat="1" spans="1:26">
      <c r="A1689" s="494">
        <v>45993</v>
      </c>
      <c r="B1689" s="442" t="s">
        <v>643</v>
      </c>
      <c r="C1689" s="495">
        <v>45992</v>
      </c>
      <c r="D1689" s="463"/>
      <c r="E1689" s="463"/>
      <c r="F1689" s="496" t="s">
        <v>345</v>
      </c>
      <c r="G1689" s="463">
        <v>1</v>
      </c>
      <c r="H1689" s="432">
        <v>40</v>
      </c>
      <c r="I1689" s="463">
        <f t="shared" si="241"/>
        <v>40</v>
      </c>
      <c r="J1689" s="497"/>
      <c r="K1689" s="492"/>
    </row>
    <row r="1690" s="457" customFormat="1" spans="1:26">
      <c r="A1690" s="494">
        <v>45993</v>
      </c>
      <c r="B1690" s="442" t="s">
        <v>643</v>
      </c>
      <c r="C1690" s="495">
        <v>45992</v>
      </c>
      <c r="D1690" s="463"/>
      <c r="E1690" s="463"/>
      <c r="F1690" s="496" t="s">
        <v>874</v>
      </c>
      <c r="G1690" s="463">
        <v>1</v>
      </c>
      <c r="H1690" s="432">
        <v>12</v>
      </c>
      <c r="I1690" s="463">
        <f t="shared" si="241"/>
        <v>12</v>
      </c>
      <c r="J1690" s="497"/>
      <c r="K1690" s="492"/>
    </row>
    <row r="1691" s="457" customFormat="1" spans="1:26">
      <c r="A1691" s="494">
        <v>45993</v>
      </c>
      <c r="B1691" s="442" t="s">
        <v>643</v>
      </c>
      <c r="C1691" s="495">
        <v>45992</v>
      </c>
      <c r="D1691" s="463"/>
      <c r="E1691" s="463"/>
      <c r="F1691" s="496" t="s">
        <v>856</v>
      </c>
      <c r="G1691" s="463">
        <v>1</v>
      </c>
      <c r="H1691" s="432">
        <v>39</v>
      </c>
      <c r="I1691" s="463">
        <f t="shared" si="241"/>
        <v>39</v>
      </c>
      <c r="J1691" s="497"/>
      <c r="K1691" s="492"/>
    </row>
    <row r="1692" s="457" customFormat="1" spans="1:26">
      <c r="A1692" s="494">
        <v>45993</v>
      </c>
      <c r="B1692" s="442" t="s">
        <v>643</v>
      </c>
      <c r="C1692" s="495">
        <v>45992</v>
      </c>
      <c r="D1692" s="463"/>
      <c r="E1692" s="463"/>
      <c r="F1692" s="496">
        <v>808</v>
      </c>
      <c r="G1692" s="463">
        <v>1</v>
      </c>
      <c r="H1692" s="432">
        <v>40</v>
      </c>
      <c r="I1692" s="463">
        <f t="shared" si="241"/>
        <v>40</v>
      </c>
      <c r="J1692" s="497">
        <v>7.5</v>
      </c>
      <c r="K1692" s="497">
        <f t="shared" ref="K1692:K1694" si="242">I1692*J1692</f>
        <v>300</v>
      </c>
      <c r="M1692" s="457" t="s">
        <v>126</v>
      </c>
    </row>
    <row r="1693" s="457" customFormat="1" spans="1:26">
      <c r="A1693" s="494">
        <v>45993</v>
      </c>
      <c r="B1693" s="442" t="s">
        <v>643</v>
      </c>
      <c r="C1693" s="495">
        <v>45992</v>
      </c>
      <c r="D1693" s="463"/>
      <c r="E1693" s="463"/>
      <c r="F1693" s="496" t="s">
        <v>12</v>
      </c>
      <c r="G1693" s="463">
        <v>1</v>
      </c>
      <c r="H1693" s="432">
        <v>23</v>
      </c>
      <c r="I1693" s="463">
        <f t="shared" si="241"/>
        <v>23</v>
      </c>
      <c r="J1693" s="497">
        <v>5.9</v>
      </c>
      <c r="K1693" s="497">
        <f t="shared" si="242"/>
        <v>135.7</v>
      </c>
    </row>
    <row r="1694" s="457" customFormat="1" spans="1:26">
      <c r="A1694" s="494">
        <v>45993</v>
      </c>
      <c r="B1694" s="442" t="s">
        <v>643</v>
      </c>
      <c r="C1694" s="495">
        <v>45992</v>
      </c>
      <c r="D1694" s="463"/>
      <c r="E1694" s="463"/>
      <c r="F1694" s="496" t="s">
        <v>346</v>
      </c>
      <c r="G1694" s="463">
        <v>1</v>
      </c>
      <c r="H1694" s="432">
        <f>SUM(H1687:H1693)</f>
        <v>200</v>
      </c>
      <c r="I1694" s="463">
        <f t="shared" si="241"/>
        <v>200</v>
      </c>
      <c r="J1694" s="497">
        <v>1</v>
      </c>
      <c r="K1694" s="497">
        <f t="shared" si="242"/>
        <v>200</v>
      </c>
      <c r="M1694" s="457">
        <f>SUM(K1692:K1694)</f>
        <v>635.7</v>
      </c>
    </row>
    <row r="1695" s="456" customFormat="1" spans="1:26">
      <c r="A1695" s="488">
        <v>45995</v>
      </c>
      <c r="B1695" s="489" t="s">
        <v>827</v>
      </c>
      <c r="C1695" s="490">
        <v>45995</v>
      </c>
      <c r="D1695" s="491"/>
      <c r="E1695" s="491"/>
      <c r="F1695" s="493" t="s">
        <v>207</v>
      </c>
      <c r="G1695" s="491">
        <v>2</v>
      </c>
      <c r="H1695" s="431">
        <v>5</v>
      </c>
      <c r="I1695" s="491">
        <f t="shared" ref="I1695:I1717" si="243">G1695*H1695</f>
        <v>10</v>
      </c>
      <c r="J1695" s="492"/>
      <c r="K1695" s="492"/>
    </row>
    <row r="1696" s="456" customFormat="1" spans="1:26">
      <c r="A1696" s="488">
        <v>45995</v>
      </c>
      <c r="B1696" s="489" t="s">
        <v>827</v>
      </c>
      <c r="C1696" s="490">
        <v>45995</v>
      </c>
      <c r="D1696" s="491"/>
      <c r="E1696" s="491"/>
      <c r="F1696" s="493" t="s">
        <v>115</v>
      </c>
      <c r="G1696" s="491">
        <v>2</v>
      </c>
      <c r="H1696" s="431">
        <v>17</v>
      </c>
      <c r="I1696" s="491">
        <f t="shared" si="243"/>
        <v>34</v>
      </c>
      <c r="J1696" s="492"/>
      <c r="K1696" s="492"/>
    </row>
    <row r="1697" s="456" customFormat="1" spans="1:13">
      <c r="A1697" s="488">
        <v>45995</v>
      </c>
      <c r="B1697" s="489" t="s">
        <v>827</v>
      </c>
      <c r="C1697" s="490">
        <v>45995</v>
      </c>
      <c r="D1697" s="491"/>
      <c r="E1697" s="491"/>
      <c r="F1697" s="493" t="s">
        <v>533</v>
      </c>
      <c r="G1697" s="491">
        <v>1</v>
      </c>
      <c r="H1697" s="431">
        <v>17</v>
      </c>
      <c r="I1697" s="491">
        <f t="shared" si="243"/>
        <v>17</v>
      </c>
      <c r="J1697" s="492"/>
      <c r="K1697" s="492"/>
    </row>
    <row r="1698" s="456" customFormat="1" spans="1:13">
      <c r="A1698" s="488">
        <v>45995</v>
      </c>
      <c r="B1698" s="489" t="s">
        <v>827</v>
      </c>
      <c r="C1698" s="490">
        <v>45995</v>
      </c>
      <c r="D1698" s="491"/>
      <c r="E1698" s="491"/>
      <c r="F1698" s="493" t="s">
        <v>547</v>
      </c>
      <c r="G1698" s="491">
        <v>1</v>
      </c>
      <c r="H1698" s="431">
        <v>17</v>
      </c>
      <c r="I1698" s="491">
        <f t="shared" si="243"/>
        <v>17</v>
      </c>
      <c r="J1698" s="492"/>
      <c r="K1698" s="492"/>
    </row>
    <row r="1699" s="457" customFormat="1" spans="1:13">
      <c r="A1699" s="494">
        <v>45997</v>
      </c>
      <c r="B1699" s="442" t="s">
        <v>565</v>
      </c>
      <c r="C1699" s="495">
        <v>45995</v>
      </c>
      <c r="D1699" s="463"/>
      <c r="E1699" s="463"/>
      <c r="F1699" s="496" t="s">
        <v>875</v>
      </c>
      <c r="G1699" s="463">
        <v>2</v>
      </c>
      <c r="H1699" s="432">
        <v>1</v>
      </c>
      <c r="I1699" s="463">
        <f t="shared" si="243"/>
        <v>2</v>
      </c>
      <c r="J1699" s="497">
        <v>7</v>
      </c>
      <c r="K1699" s="497">
        <f>I1699*J1699</f>
        <v>14</v>
      </c>
    </row>
    <row r="1700" s="457" customFormat="1" spans="1:13">
      <c r="A1700" s="494">
        <v>45997</v>
      </c>
      <c r="B1700" s="442" t="s">
        <v>565</v>
      </c>
      <c r="C1700" s="495">
        <v>45997</v>
      </c>
      <c r="D1700" s="463"/>
      <c r="E1700" s="463"/>
      <c r="F1700" s="496">
        <v>808</v>
      </c>
      <c r="G1700" s="463">
        <v>1</v>
      </c>
      <c r="H1700" s="432">
        <v>50</v>
      </c>
      <c r="I1700" s="463">
        <f t="shared" si="243"/>
        <v>50</v>
      </c>
      <c r="J1700" s="497">
        <v>7.5</v>
      </c>
      <c r="K1700" s="497">
        <f t="shared" ref="K1700:K1702" si="244">I1700*J1700</f>
        <v>375</v>
      </c>
    </row>
    <row r="1701" s="457" customFormat="1" spans="1:13">
      <c r="A1701" s="494">
        <v>45997</v>
      </c>
      <c r="B1701" s="442" t="s">
        <v>565</v>
      </c>
      <c r="C1701" s="495">
        <v>45997</v>
      </c>
      <c r="D1701" s="463"/>
      <c r="E1701" s="463"/>
      <c r="F1701" s="496" t="s">
        <v>152</v>
      </c>
      <c r="G1701" s="463">
        <v>1</v>
      </c>
      <c r="H1701" s="432">
        <v>155</v>
      </c>
      <c r="I1701" s="463">
        <f t="shared" si="243"/>
        <v>155</v>
      </c>
      <c r="J1701" s="497">
        <v>6.1</v>
      </c>
      <c r="K1701" s="497">
        <f t="shared" si="244"/>
        <v>945.5</v>
      </c>
    </row>
    <row r="1702" s="457" customFormat="1" spans="1:13">
      <c r="A1702" s="494">
        <v>45997</v>
      </c>
      <c r="B1702" s="442" t="s">
        <v>565</v>
      </c>
      <c r="C1702" s="495">
        <v>45997</v>
      </c>
      <c r="D1702" s="463"/>
      <c r="E1702" s="463"/>
      <c r="F1702" s="496" t="s">
        <v>12</v>
      </c>
      <c r="G1702" s="463">
        <v>1</v>
      </c>
      <c r="H1702" s="432">
        <v>95</v>
      </c>
      <c r="I1702" s="463">
        <f t="shared" si="243"/>
        <v>95</v>
      </c>
      <c r="J1702" s="497">
        <v>5.9</v>
      </c>
      <c r="K1702" s="497">
        <f t="shared" si="244"/>
        <v>560.5</v>
      </c>
    </row>
    <row r="1703" s="457" customFormat="1" spans="1:13">
      <c r="A1703" s="494">
        <v>45997</v>
      </c>
      <c r="B1703" s="442" t="s">
        <v>565</v>
      </c>
      <c r="C1703" s="495">
        <v>45997</v>
      </c>
      <c r="D1703" s="463"/>
      <c r="E1703" s="463"/>
      <c r="F1703" s="496" t="s">
        <v>709</v>
      </c>
      <c r="G1703" s="463">
        <v>1</v>
      </c>
      <c r="H1703" s="432">
        <v>150</v>
      </c>
      <c r="I1703" s="463">
        <f t="shared" si="243"/>
        <v>150</v>
      </c>
      <c r="J1703" s="497"/>
      <c r="K1703" s="497"/>
      <c r="L1703" s="457" t="s">
        <v>126</v>
      </c>
    </row>
    <row r="1704" s="457" customFormat="1" spans="1:13">
      <c r="A1704" s="494">
        <v>45997</v>
      </c>
      <c r="B1704" s="442" t="s">
        <v>565</v>
      </c>
      <c r="C1704" s="495">
        <v>45997</v>
      </c>
      <c r="D1704" s="463"/>
      <c r="E1704" s="463"/>
      <c r="F1704" s="496" t="s">
        <v>860</v>
      </c>
      <c r="G1704" s="463">
        <v>1</v>
      </c>
      <c r="H1704" s="432">
        <v>253</v>
      </c>
      <c r="I1704" s="463">
        <f t="shared" si="243"/>
        <v>253</v>
      </c>
      <c r="J1704" s="497"/>
      <c r="K1704" s="497"/>
    </row>
    <row r="1705" s="457" customFormat="1" spans="1:13">
      <c r="A1705" s="494">
        <v>45997</v>
      </c>
      <c r="B1705" s="442" t="s">
        <v>565</v>
      </c>
      <c r="C1705" s="495">
        <v>45997</v>
      </c>
      <c r="D1705" s="463"/>
      <c r="E1705" s="463"/>
      <c r="F1705" s="496" t="s">
        <v>782</v>
      </c>
      <c r="G1705" s="463">
        <v>1</v>
      </c>
      <c r="H1705" s="432">
        <v>147</v>
      </c>
      <c r="I1705" s="463">
        <f t="shared" si="243"/>
        <v>147</v>
      </c>
      <c r="J1705" s="497"/>
      <c r="K1705" s="497"/>
    </row>
    <row r="1706" s="457" customFormat="1" spans="1:13">
      <c r="A1706" s="494">
        <v>45997</v>
      </c>
      <c r="B1706" s="442" t="s">
        <v>565</v>
      </c>
      <c r="C1706" s="495">
        <v>45997</v>
      </c>
      <c r="D1706" s="463"/>
      <c r="E1706" s="463"/>
      <c r="F1706" s="496" t="s">
        <v>16</v>
      </c>
      <c r="G1706" s="463">
        <v>1</v>
      </c>
      <c r="H1706" s="432">
        <v>150</v>
      </c>
      <c r="I1706" s="463">
        <f t="shared" si="243"/>
        <v>150</v>
      </c>
      <c r="J1706" s="497"/>
      <c r="K1706" s="497"/>
    </row>
    <row r="1707" s="457" customFormat="1" spans="1:13">
      <c r="A1707" s="494">
        <v>45997</v>
      </c>
      <c r="B1707" s="442" t="s">
        <v>565</v>
      </c>
      <c r="C1707" s="495">
        <v>45997</v>
      </c>
      <c r="D1707" s="463"/>
      <c r="E1707" s="463"/>
      <c r="F1707" s="496" t="s">
        <v>783</v>
      </c>
      <c r="G1707" s="463">
        <v>1</v>
      </c>
      <c r="H1707" s="432">
        <f>SUM(H1700:H1706)</f>
        <v>1000</v>
      </c>
      <c r="I1707" s="463">
        <f t="shared" si="243"/>
        <v>1000</v>
      </c>
      <c r="J1707" s="497">
        <v>1</v>
      </c>
      <c r="K1707" s="497">
        <f t="shared" ref="K1707:K1712" si="245">I1707*J1707</f>
        <v>1000</v>
      </c>
      <c r="M1707" s="457">
        <f>SUM(K1699:K1707)</f>
        <v>2895</v>
      </c>
    </row>
    <row r="1708" s="456" customFormat="1" spans="1:13">
      <c r="A1708" s="488">
        <v>45997</v>
      </c>
      <c r="B1708" s="489" t="s">
        <v>455</v>
      </c>
      <c r="C1708" s="490">
        <v>45997</v>
      </c>
      <c r="D1708" s="491"/>
      <c r="E1708" s="491"/>
      <c r="F1708" s="493" t="s">
        <v>876</v>
      </c>
      <c r="G1708" s="491">
        <v>1</v>
      </c>
      <c r="H1708" s="431">
        <v>20</v>
      </c>
      <c r="I1708" s="491">
        <f t="shared" si="243"/>
        <v>20</v>
      </c>
      <c r="J1708" s="492">
        <v>21</v>
      </c>
      <c r="K1708" s="492">
        <f t="shared" si="245"/>
        <v>420</v>
      </c>
    </row>
    <row r="1709" s="456" customFormat="1" spans="1:13">
      <c r="A1709" s="488">
        <v>45997</v>
      </c>
      <c r="B1709" s="489" t="s">
        <v>455</v>
      </c>
      <c r="C1709" s="490">
        <v>45997</v>
      </c>
      <c r="D1709" s="491"/>
      <c r="E1709" s="491"/>
      <c r="F1709" s="493" t="s">
        <v>877</v>
      </c>
      <c r="G1709" s="491">
        <v>1</v>
      </c>
      <c r="H1709" s="431">
        <v>20</v>
      </c>
      <c r="I1709" s="491">
        <f t="shared" si="243"/>
        <v>20</v>
      </c>
      <c r="J1709" s="492">
        <v>18</v>
      </c>
      <c r="K1709" s="492">
        <f t="shared" si="245"/>
        <v>360</v>
      </c>
    </row>
    <row r="1710" s="456" customFormat="1" spans="1:13">
      <c r="A1710" s="488">
        <v>45997</v>
      </c>
      <c r="B1710" s="489" t="s">
        <v>455</v>
      </c>
      <c r="C1710" s="490">
        <v>45997</v>
      </c>
      <c r="D1710" s="491"/>
      <c r="E1710" s="491"/>
      <c r="F1710" s="493" t="s">
        <v>878</v>
      </c>
      <c r="G1710" s="491">
        <v>1</v>
      </c>
      <c r="H1710" s="431">
        <v>10</v>
      </c>
      <c r="I1710" s="491">
        <f t="shared" si="243"/>
        <v>10</v>
      </c>
      <c r="J1710" s="492">
        <v>23</v>
      </c>
      <c r="K1710" s="492">
        <f t="shared" si="245"/>
        <v>230</v>
      </c>
    </row>
    <row r="1711" s="456" customFormat="1" spans="1:13">
      <c r="A1711" s="488">
        <v>45997</v>
      </c>
      <c r="B1711" s="489" t="s">
        <v>455</v>
      </c>
      <c r="C1711" s="490">
        <v>45997</v>
      </c>
      <c r="D1711" s="491"/>
      <c r="E1711" s="491"/>
      <c r="F1711" s="493" t="s">
        <v>879</v>
      </c>
      <c r="G1711" s="491">
        <v>1</v>
      </c>
      <c r="H1711" s="431">
        <v>10</v>
      </c>
      <c r="I1711" s="491">
        <f t="shared" si="243"/>
        <v>10</v>
      </c>
      <c r="J1711" s="492">
        <v>21</v>
      </c>
      <c r="K1711" s="492">
        <f t="shared" si="245"/>
        <v>210</v>
      </c>
    </row>
    <row r="1712" s="456" customFormat="1" spans="1:13">
      <c r="A1712" s="488">
        <v>45997</v>
      </c>
      <c r="B1712" s="489" t="s">
        <v>455</v>
      </c>
      <c r="C1712" s="490">
        <v>45997</v>
      </c>
      <c r="D1712" s="491"/>
      <c r="E1712" s="491"/>
      <c r="F1712" s="493" t="s">
        <v>429</v>
      </c>
      <c r="G1712" s="491">
        <v>3</v>
      </c>
      <c r="H1712" s="431">
        <v>10</v>
      </c>
      <c r="I1712" s="491">
        <f t="shared" si="243"/>
        <v>30</v>
      </c>
      <c r="J1712" s="492">
        <v>15.5</v>
      </c>
      <c r="K1712" s="492">
        <f t="shared" si="245"/>
        <v>465</v>
      </c>
      <c r="L1712" s="456" t="s">
        <v>880</v>
      </c>
      <c r="M1712" s="456">
        <f>SUM(K1708:K1712)</f>
        <v>1685</v>
      </c>
    </row>
    <row r="1713" s="457" customFormat="1" spans="1:14">
      <c r="A1713" s="494">
        <v>46000</v>
      </c>
      <c r="B1713" s="442" t="s">
        <v>247</v>
      </c>
      <c r="C1713" s="495" t="s">
        <v>881</v>
      </c>
      <c r="D1713" s="463"/>
      <c r="E1713" s="463"/>
      <c r="F1713" s="496" t="s">
        <v>16</v>
      </c>
      <c r="G1713" s="463">
        <v>1</v>
      </c>
      <c r="H1713" s="432">
        <v>50</v>
      </c>
      <c r="I1713" s="463">
        <f t="shared" si="243"/>
        <v>50</v>
      </c>
      <c r="J1713" s="497"/>
      <c r="K1713" s="497"/>
    </row>
    <row r="1714" s="457" customFormat="1" spans="1:14">
      <c r="A1714" s="494">
        <v>46000</v>
      </c>
      <c r="B1714" s="442" t="s">
        <v>247</v>
      </c>
      <c r="C1714" s="495" t="s">
        <v>881</v>
      </c>
      <c r="D1714" s="463"/>
      <c r="E1714" s="463"/>
      <c r="F1714" s="496" t="s">
        <v>93</v>
      </c>
      <c r="G1714" s="463">
        <v>1</v>
      </c>
      <c r="H1714" s="432">
        <v>125</v>
      </c>
      <c r="I1714" s="463">
        <f t="shared" si="243"/>
        <v>125</v>
      </c>
      <c r="J1714" s="497"/>
      <c r="K1714" s="497"/>
    </row>
    <row r="1715" s="457" customFormat="1" spans="1:14">
      <c r="A1715" s="494">
        <v>46000</v>
      </c>
      <c r="B1715" s="442" t="s">
        <v>247</v>
      </c>
      <c r="C1715" s="495" t="s">
        <v>881</v>
      </c>
      <c r="D1715" s="463"/>
      <c r="E1715" s="463"/>
      <c r="F1715" s="496">
        <v>808</v>
      </c>
      <c r="G1715" s="463">
        <v>1</v>
      </c>
      <c r="H1715" s="432">
        <v>25</v>
      </c>
      <c r="I1715" s="463">
        <f t="shared" si="243"/>
        <v>25</v>
      </c>
      <c r="J1715" s="497">
        <v>7.5</v>
      </c>
      <c r="K1715" s="497">
        <f>I1715*J1715</f>
        <v>187.5</v>
      </c>
      <c r="M1715" s="457">
        <f>SUBTOTAL(9,K1692:K1742)</f>
        <v>21562.6</v>
      </c>
    </row>
    <row r="1716" s="457" customFormat="1" spans="1:14">
      <c r="A1716" s="494">
        <v>46000</v>
      </c>
      <c r="B1716" s="442" t="s">
        <v>247</v>
      </c>
      <c r="C1716" s="495" t="s">
        <v>881</v>
      </c>
      <c r="D1716" s="463"/>
      <c r="E1716" s="463"/>
      <c r="F1716" s="496" t="s">
        <v>12</v>
      </c>
      <c r="G1716" s="463">
        <v>1</v>
      </c>
      <c r="H1716" s="432">
        <v>25</v>
      </c>
      <c r="I1716" s="463">
        <f t="shared" si="243"/>
        <v>25</v>
      </c>
      <c r="J1716" s="497">
        <v>5.9</v>
      </c>
      <c r="K1716" s="497">
        <f>I1716*J1716</f>
        <v>147.5</v>
      </c>
    </row>
    <row r="1717" s="457" customFormat="1" spans="1:14">
      <c r="A1717" s="494">
        <v>46000</v>
      </c>
      <c r="B1717" s="442" t="s">
        <v>247</v>
      </c>
      <c r="C1717" s="495" t="s">
        <v>881</v>
      </c>
      <c r="D1717" s="463"/>
      <c r="E1717" s="463"/>
      <c r="F1717" s="496" t="s">
        <v>628</v>
      </c>
      <c r="G1717" s="463">
        <v>1</v>
      </c>
      <c r="H1717" s="432">
        <f>SUM(H1713:H1716)</f>
        <v>225</v>
      </c>
      <c r="I1717" s="463">
        <f t="shared" si="243"/>
        <v>225</v>
      </c>
      <c r="J1717" s="497">
        <v>5</v>
      </c>
      <c r="K1717" s="497">
        <f>I1717*J1717</f>
        <v>1125</v>
      </c>
      <c r="L1717" s="457">
        <f>SUM(K1713:K1717)</f>
        <v>1460</v>
      </c>
    </row>
    <row r="1718" s="456" customFormat="1" spans="1:14">
      <c r="A1718" s="488">
        <v>46000</v>
      </c>
      <c r="B1718" s="489" t="s">
        <v>250</v>
      </c>
      <c r="C1718" s="490">
        <v>46000</v>
      </c>
      <c r="D1718" s="491"/>
      <c r="E1718" s="491"/>
      <c r="F1718" s="456" t="s">
        <v>16</v>
      </c>
      <c r="G1718" s="489">
        <v>1</v>
      </c>
      <c r="H1718" s="489">
        <v>90</v>
      </c>
      <c r="I1718" s="491">
        <f t="shared" ref="I1718:I1781" si="246">G1718*H1718</f>
        <v>90</v>
      </c>
      <c r="J1718" s="492"/>
      <c r="K1718" s="492"/>
    </row>
    <row r="1719" s="456" customFormat="1" spans="1:14">
      <c r="A1719" s="488">
        <v>46000</v>
      </c>
      <c r="B1719" s="489" t="s">
        <v>250</v>
      </c>
      <c r="C1719" s="490">
        <v>46000</v>
      </c>
      <c r="D1719" s="491"/>
      <c r="E1719" s="491"/>
      <c r="F1719" s="456" t="s">
        <v>785</v>
      </c>
      <c r="G1719" s="489">
        <v>1</v>
      </c>
      <c r="H1719" s="489">
        <v>136.5</v>
      </c>
      <c r="I1719" s="491">
        <f t="shared" si="246"/>
        <v>136.5</v>
      </c>
      <c r="J1719" s="492"/>
      <c r="K1719" s="492"/>
    </row>
    <row r="1720" s="456" customFormat="1" spans="1:14">
      <c r="A1720" s="488">
        <v>46000</v>
      </c>
      <c r="B1720" s="489" t="s">
        <v>250</v>
      </c>
      <c r="C1720" s="490">
        <v>46000</v>
      </c>
      <c r="D1720" s="491"/>
      <c r="E1720" s="491"/>
      <c r="F1720" s="456" t="s">
        <v>842</v>
      </c>
      <c r="G1720" s="489">
        <v>1</v>
      </c>
      <c r="H1720" s="489">
        <v>39</v>
      </c>
      <c r="I1720" s="491">
        <f t="shared" si="246"/>
        <v>39</v>
      </c>
      <c r="J1720" s="492"/>
      <c r="K1720" s="492"/>
    </row>
    <row r="1721" s="456" customFormat="1" spans="1:14">
      <c r="A1721" s="488">
        <v>46000</v>
      </c>
      <c r="B1721" s="489" t="s">
        <v>250</v>
      </c>
      <c r="C1721" s="490">
        <v>46000</v>
      </c>
      <c r="D1721" s="491"/>
      <c r="E1721" s="491"/>
      <c r="F1721" s="456" t="s">
        <v>352</v>
      </c>
      <c r="G1721" s="489">
        <v>1</v>
      </c>
      <c r="H1721" s="489">
        <v>100</v>
      </c>
      <c r="I1721" s="491">
        <f t="shared" si="246"/>
        <v>100</v>
      </c>
      <c r="J1721" s="492"/>
      <c r="K1721" s="492"/>
      <c r="L1721" s="456" t="s">
        <v>116</v>
      </c>
    </row>
    <row r="1722" s="456" customFormat="1" spans="1:14">
      <c r="A1722" s="488">
        <v>46000</v>
      </c>
      <c r="B1722" s="489" t="s">
        <v>250</v>
      </c>
      <c r="C1722" s="490">
        <v>46000</v>
      </c>
      <c r="D1722" s="491"/>
      <c r="E1722" s="491"/>
      <c r="F1722" s="456" t="s">
        <v>115</v>
      </c>
      <c r="G1722" s="489">
        <v>1</v>
      </c>
      <c r="H1722" s="489">
        <v>50</v>
      </c>
      <c r="I1722" s="491">
        <f t="shared" si="246"/>
        <v>50</v>
      </c>
      <c r="J1722" s="492"/>
      <c r="K1722" s="492"/>
    </row>
    <row r="1723" s="456" customFormat="1" spans="1:14">
      <c r="A1723" s="488">
        <v>46000</v>
      </c>
      <c r="B1723" s="489" t="s">
        <v>250</v>
      </c>
      <c r="C1723" s="490">
        <v>46000</v>
      </c>
      <c r="D1723" s="491"/>
      <c r="E1723" s="491"/>
      <c r="F1723" s="493">
        <v>808</v>
      </c>
      <c r="G1723" s="489">
        <v>1</v>
      </c>
      <c r="H1723" s="489">
        <v>26</v>
      </c>
      <c r="I1723" s="491">
        <f t="shared" si="246"/>
        <v>26</v>
      </c>
      <c r="J1723" s="492">
        <v>7.5</v>
      </c>
      <c r="K1723" s="492">
        <f>I1723*J1723</f>
        <v>195</v>
      </c>
    </row>
    <row r="1724" s="456" customFormat="1" spans="1:14">
      <c r="A1724" s="488">
        <v>46000</v>
      </c>
      <c r="B1724" s="489" t="s">
        <v>250</v>
      </c>
      <c r="C1724" s="490">
        <v>46000</v>
      </c>
      <c r="D1724" s="491"/>
      <c r="E1724" s="491"/>
      <c r="F1724" s="493" t="s">
        <v>12</v>
      </c>
      <c r="G1724" s="489">
        <v>1</v>
      </c>
      <c r="H1724" s="489">
        <v>61</v>
      </c>
      <c r="I1724" s="491">
        <f t="shared" si="246"/>
        <v>61</v>
      </c>
      <c r="J1724" s="492">
        <v>5.9</v>
      </c>
      <c r="K1724" s="492">
        <f>I1724*J1724</f>
        <v>359.9</v>
      </c>
    </row>
    <row r="1725" s="456" customFormat="1" ht="18" customHeight="1" spans="1:14">
      <c r="A1725" s="488">
        <v>46000</v>
      </c>
      <c r="B1725" s="489" t="s">
        <v>250</v>
      </c>
      <c r="C1725" s="490">
        <v>46000</v>
      </c>
      <c r="D1725" s="491"/>
      <c r="E1725" s="491"/>
      <c r="F1725" s="456" t="s">
        <v>435</v>
      </c>
      <c r="G1725" s="489">
        <v>1</v>
      </c>
      <c r="H1725" s="489">
        <f>SUM(H1718:H1724)</f>
        <v>502.5</v>
      </c>
      <c r="I1725" s="491">
        <f t="shared" si="246"/>
        <v>502.5</v>
      </c>
      <c r="J1725" s="492">
        <v>1</v>
      </c>
      <c r="K1725" s="492">
        <f>I1725*J1725</f>
        <v>502.5</v>
      </c>
      <c r="L1725" s="456">
        <f>SUM(K1718:K1725)</f>
        <v>1057.4</v>
      </c>
    </row>
    <row r="1726" s="457" customFormat="1" spans="1:14">
      <c r="A1726" s="494">
        <v>46001</v>
      </c>
      <c r="B1726" s="442" t="s">
        <v>57</v>
      </c>
      <c r="C1726" s="495" t="s">
        <v>882</v>
      </c>
      <c r="D1726" s="463"/>
      <c r="E1726" s="463"/>
      <c r="F1726" s="496" t="s">
        <v>176</v>
      </c>
      <c r="G1726" s="463">
        <v>1</v>
      </c>
      <c r="H1726" s="432">
        <v>200</v>
      </c>
      <c r="I1726" s="463">
        <f t="shared" si="246"/>
        <v>200</v>
      </c>
      <c r="J1726" s="497">
        <v>13</v>
      </c>
      <c r="K1726" s="497"/>
    </row>
    <row r="1727" s="457" customFormat="1" spans="1:14">
      <c r="A1727" s="494">
        <v>46001</v>
      </c>
      <c r="B1727" s="442" t="s">
        <v>57</v>
      </c>
      <c r="C1727" s="495" t="s">
        <v>882</v>
      </c>
      <c r="D1727" s="463"/>
      <c r="E1727" s="463"/>
      <c r="F1727" s="496" t="s">
        <v>171</v>
      </c>
      <c r="G1727" s="463">
        <v>1</v>
      </c>
      <c r="H1727" s="432">
        <v>100</v>
      </c>
      <c r="I1727" s="463">
        <f t="shared" si="246"/>
        <v>100</v>
      </c>
      <c r="J1727" s="497">
        <v>22</v>
      </c>
      <c r="K1727" s="497"/>
      <c r="L1727" s="537"/>
      <c r="M1727" s="537"/>
      <c r="N1727" s="537"/>
    </row>
    <row r="1728" s="457" customFormat="1" spans="1:14">
      <c r="A1728" s="494">
        <v>46001</v>
      </c>
      <c r="B1728" s="442" t="s">
        <v>57</v>
      </c>
      <c r="C1728" s="495" t="s">
        <v>882</v>
      </c>
      <c r="D1728" s="463"/>
      <c r="E1728" s="463"/>
      <c r="F1728" s="496" t="s">
        <v>774</v>
      </c>
      <c r="G1728" s="463">
        <v>1</v>
      </c>
      <c r="H1728" s="432">
        <v>25</v>
      </c>
      <c r="I1728" s="463">
        <f t="shared" si="246"/>
        <v>25</v>
      </c>
      <c r="J1728" s="497">
        <v>82</v>
      </c>
      <c r="K1728" s="497">
        <f t="shared" ref="K1728:K1736" si="247">I1728*J1728</f>
        <v>2050</v>
      </c>
      <c r="L1728" s="537" t="s">
        <v>775</v>
      </c>
      <c r="M1728" s="537"/>
      <c r="N1728" s="537"/>
    </row>
    <row r="1729" s="457" customFormat="1" spans="1:14">
      <c r="A1729" s="494">
        <v>46001</v>
      </c>
      <c r="B1729" s="442" t="s">
        <v>57</v>
      </c>
      <c r="C1729" s="495" t="s">
        <v>882</v>
      </c>
      <c r="D1729" s="463"/>
      <c r="E1729" s="463"/>
      <c r="F1729" s="496">
        <v>808</v>
      </c>
      <c r="G1729" s="463">
        <v>1</v>
      </c>
      <c r="H1729" s="432">
        <v>300</v>
      </c>
      <c r="I1729" s="463">
        <f t="shared" si="246"/>
        <v>300</v>
      </c>
      <c r="J1729" s="497">
        <v>7.5</v>
      </c>
      <c r="K1729" s="497">
        <f t="shared" si="247"/>
        <v>2250</v>
      </c>
      <c r="L1729" s="537" t="s">
        <v>472</v>
      </c>
      <c r="N1729" s="537"/>
    </row>
    <row r="1730" s="457" customFormat="1" spans="1:14">
      <c r="A1730" s="494">
        <v>46001</v>
      </c>
      <c r="B1730" s="442" t="s">
        <v>57</v>
      </c>
      <c r="C1730" s="495" t="s">
        <v>882</v>
      </c>
      <c r="D1730" s="463"/>
      <c r="E1730" s="463"/>
      <c r="F1730" s="496" t="s">
        <v>125</v>
      </c>
      <c r="G1730" s="463">
        <v>1</v>
      </c>
      <c r="H1730" s="432">
        <v>125</v>
      </c>
      <c r="I1730" s="463">
        <f t="shared" si="246"/>
        <v>125</v>
      </c>
      <c r="J1730" s="497">
        <v>5</v>
      </c>
      <c r="K1730" s="497">
        <f t="shared" si="247"/>
        <v>625</v>
      </c>
      <c r="L1730" s="537"/>
    </row>
    <row r="1731" s="457" customFormat="1" spans="1:14">
      <c r="A1731" s="494">
        <v>46001</v>
      </c>
      <c r="B1731" s="442" t="s">
        <v>57</v>
      </c>
      <c r="C1731" s="495" t="s">
        <v>882</v>
      </c>
      <c r="D1731" s="463"/>
      <c r="E1731" s="463"/>
      <c r="F1731" s="496" t="s">
        <v>179</v>
      </c>
      <c r="G1731" s="463">
        <v>1</v>
      </c>
      <c r="H1731" s="432">
        <f>SUM(H1726:H1730)</f>
        <v>750</v>
      </c>
      <c r="I1731" s="463">
        <f t="shared" si="246"/>
        <v>750</v>
      </c>
      <c r="J1731" s="497">
        <v>7.5</v>
      </c>
      <c r="K1731" s="497">
        <f t="shared" si="247"/>
        <v>5625</v>
      </c>
      <c r="L1731" s="537"/>
    </row>
    <row r="1732" s="456" customFormat="1" spans="1:14">
      <c r="A1732" s="488">
        <v>46002</v>
      </c>
      <c r="B1732" s="489" t="s">
        <v>504</v>
      </c>
      <c r="C1732" s="490">
        <v>46002</v>
      </c>
      <c r="D1732" s="491"/>
      <c r="E1732" s="491"/>
      <c r="F1732" s="498" t="s">
        <v>883</v>
      </c>
      <c r="G1732" s="491">
        <v>1</v>
      </c>
      <c r="H1732" s="431">
        <v>5</v>
      </c>
      <c r="I1732" s="463">
        <f t="shared" si="246"/>
        <v>5</v>
      </c>
      <c r="J1732" s="492">
        <v>2.9</v>
      </c>
      <c r="K1732" s="515">
        <f t="shared" si="247"/>
        <v>14.5</v>
      </c>
    </row>
    <row r="1733" s="456" customFormat="1" spans="1:14">
      <c r="A1733" s="488">
        <v>46002</v>
      </c>
      <c r="B1733" s="489" t="s">
        <v>504</v>
      </c>
      <c r="C1733" s="490">
        <v>46002</v>
      </c>
      <c r="D1733" s="491"/>
      <c r="E1733" s="491"/>
      <c r="F1733" s="493" t="s">
        <v>884</v>
      </c>
      <c r="G1733" s="491">
        <v>1</v>
      </c>
      <c r="H1733" s="431">
        <v>1</v>
      </c>
      <c r="I1733" s="491">
        <f t="shared" si="246"/>
        <v>1</v>
      </c>
      <c r="J1733" s="492">
        <v>9</v>
      </c>
      <c r="K1733" s="492">
        <f t="shared" si="247"/>
        <v>9</v>
      </c>
    </row>
    <row r="1734" s="456" customFormat="1" spans="1:14">
      <c r="A1734" s="488">
        <v>46002</v>
      </c>
      <c r="B1734" s="489" t="s">
        <v>504</v>
      </c>
      <c r="C1734" s="490">
        <v>46002</v>
      </c>
      <c r="D1734" s="491"/>
      <c r="E1734" s="491"/>
      <c r="F1734" s="493">
        <v>808</v>
      </c>
      <c r="G1734" s="491">
        <v>1</v>
      </c>
      <c r="H1734" s="431">
        <v>50</v>
      </c>
      <c r="I1734" s="491">
        <f t="shared" si="246"/>
        <v>50</v>
      </c>
      <c r="J1734" s="492">
        <v>7.5</v>
      </c>
      <c r="K1734" s="492">
        <f t="shared" si="247"/>
        <v>375</v>
      </c>
    </row>
    <row r="1735" s="456" customFormat="1" spans="1:14">
      <c r="A1735" s="488">
        <v>46002</v>
      </c>
      <c r="B1735" s="489" t="s">
        <v>504</v>
      </c>
      <c r="C1735" s="490">
        <v>46002</v>
      </c>
      <c r="D1735" s="491"/>
      <c r="E1735" s="491"/>
      <c r="F1735" s="493" t="s">
        <v>152</v>
      </c>
      <c r="G1735" s="491">
        <v>1</v>
      </c>
      <c r="H1735" s="431">
        <v>155</v>
      </c>
      <c r="I1735" s="491">
        <f t="shared" si="246"/>
        <v>155</v>
      </c>
      <c r="J1735" s="492">
        <v>6.1</v>
      </c>
      <c r="K1735" s="492">
        <f t="shared" si="247"/>
        <v>945.5</v>
      </c>
    </row>
    <row r="1736" s="456" customFormat="1" spans="1:14">
      <c r="A1736" s="488">
        <v>46002</v>
      </c>
      <c r="B1736" s="489" t="s">
        <v>504</v>
      </c>
      <c r="C1736" s="490">
        <v>46002</v>
      </c>
      <c r="D1736" s="491"/>
      <c r="E1736" s="491"/>
      <c r="F1736" s="493" t="s">
        <v>12</v>
      </c>
      <c r="G1736" s="491">
        <v>1</v>
      </c>
      <c r="H1736" s="431">
        <v>95</v>
      </c>
      <c r="I1736" s="491">
        <f t="shared" si="246"/>
        <v>95</v>
      </c>
      <c r="J1736" s="492">
        <v>5.9</v>
      </c>
      <c r="K1736" s="492">
        <f t="shared" si="247"/>
        <v>560.5</v>
      </c>
    </row>
    <row r="1737" s="456" customFormat="1" spans="1:14">
      <c r="A1737" s="488">
        <v>46002</v>
      </c>
      <c r="B1737" s="489" t="s">
        <v>504</v>
      </c>
      <c r="C1737" s="490">
        <v>46002</v>
      </c>
      <c r="D1737" s="491"/>
      <c r="E1737" s="491"/>
      <c r="F1737" s="493" t="s">
        <v>709</v>
      </c>
      <c r="G1737" s="491">
        <v>1</v>
      </c>
      <c r="H1737" s="431">
        <v>150</v>
      </c>
      <c r="I1737" s="491">
        <f t="shared" si="246"/>
        <v>150</v>
      </c>
      <c r="J1737" s="492"/>
      <c r="K1737" s="492"/>
    </row>
    <row r="1738" s="456" customFormat="1" spans="1:14">
      <c r="A1738" s="488">
        <v>46002</v>
      </c>
      <c r="B1738" s="489" t="s">
        <v>504</v>
      </c>
      <c r="C1738" s="490">
        <v>46002</v>
      </c>
      <c r="D1738" s="491"/>
      <c r="E1738" s="491"/>
      <c r="F1738" s="493" t="s">
        <v>860</v>
      </c>
      <c r="G1738" s="491">
        <v>1</v>
      </c>
      <c r="H1738" s="431">
        <v>253</v>
      </c>
      <c r="I1738" s="491">
        <f t="shared" si="246"/>
        <v>253</v>
      </c>
      <c r="J1738" s="492"/>
      <c r="K1738" s="492"/>
    </row>
    <row r="1739" s="456" customFormat="1" spans="1:14">
      <c r="A1739" s="488">
        <v>46002</v>
      </c>
      <c r="B1739" s="489" t="s">
        <v>504</v>
      </c>
      <c r="C1739" s="490">
        <v>46002</v>
      </c>
      <c r="D1739" s="491"/>
      <c r="E1739" s="491"/>
      <c r="F1739" s="493" t="s">
        <v>782</v>
      </c>
      <c r="G1739" s="491">
        <v>1</v>
      </c>
      <c r="H1739" s="431">
        <v>147</v>
      </c>
      <c r="I1739" s="491">
        <f t="shared" si="246"/>
        <v>147</v>
      </c>
      <c r="J1739" s="492"/>
      <c r="K1739" s="492"/>
    </row>
    <row r="1740" s="456" customFormat="1" spans="1:14">
      <c r="A1740" s="488">
        <v>46002</v>
      </c>
      <c r="B1740" s="489" t="s">
        <v>504</v>
      </c>
      <c r="C1740" s="490">
        <v>46002</v>
      </c>
      <c r="D1740" s="491"/>
      <c r="E1740" s="491"/>
      <c r="F1740" s="493" t="s">
        <v>16</v>
      </c>
      <c r="G1740" s="491">
        <v>1</v>
      </c>
      <c r="H1740" s="431">
        <v>150</v>
      </c>
      <c r="I1740" s="491">
        <f t="shared" si="246"/>
        <v>150</v>
      </c>
      <c r="J1740" s="492"/>
      <c r="K1740" s="492"/>
    </row>
    <row r="1741" s="456" customFormat="1" spans="1:14">
      <c r="A1741" s="488">
        <v>46002</v>
      </c>
      <c r="B1741" s="489" t="s">
        <v>504</v>
      </c>
      <c r="C1741" s="490">
        <v>46002</v>
      </c>
      <c r="D1741" s="491"/>
      <c r="E1741" s="491"/>
      <c r="F1741" s="493" t="s">
        <v>783</v>
      </c>
      <c r="G1741" s="491">
        <v>1</v>
      </c>
      <c r="H1741" s="431">
        <f>SUM(H1734:H1740)</f>
        <v>1000</v>
      </c>
      <c r="I1741" s="491">
        <f t="shared" si="246"/>
        <v>1000</v>
      </c>
      <c r="J1741" s="492">
        <v>1</v>
      </c>
      <c r="K1741" s="492">
        <f>I1741*J1741</f>
        <v>1000</v>
      </c>
    </row>
    <row r="1742" s="457" customFormat="1" spans="1:14">
      <c r="A1742" s="494">
        <v>46007</v>
      </c>
      <c r="B1742" s="442" t="s">
        <v>372</v>
      </c>
      <c r="C1742" s="495">
        <v>46006</v>
      </c>
      <c r="D1742" s="463"/>
      <c r="E1742" s="463"/>
      <c r="F1742" s="496">
        <v>808</v>
      </c>
      <c r="G1742" s="463">
        <v>1</v>
      </c>
      <c r="H1742" s="432">
        <v>50</v>
      </c>
      <c r="I1742" s="463">
        <f t="shared" si="246"/>
        <v>50</v>
      </c>
      <c r="J1742" s="497">
        <v>7.5</v>
      </c>
      <c r="K1742" s="497">
        <f>I1742*J1742</f>
        <v>375</v>
      </c>
      <c r="L1742" s="457" t="s">
        <v>126</v>
      </c>
    </row>
    <row r="1743" s="457" customFormat="1" spans="1:14">
      <c r="A1743" s="494">
        <v>46007</v>
      </c>
      <c r="B1743" s="442" t="s">
        <v>372</v>
      </c>
      <c r="C1743" s="495">
        <v>46006</v>
      </c>
      <c r="D1743" s="463"/>
      <c r="E1743" s="463"/>
      <c r="F1743" s="496" t="s">
        <v>125</v>
      </c>
      <c r="G1743" s="463">
        <v>1</v>
      </c>
      <c r="H1743" s="432">
        <v>98</v>
      </c>
      <c r="I1743" s="463">
        <f t="shared" si="246"/>
        <v>98</v>
      </c>
      <c r="J1743" s="497">
        <v>5</v>
      </c>
      <c r="K1743" s="497">
        <f>I1743*J1743</f>
        <v>490</v>
      </c>
    </row>
    <row r="1744" s="457" customFormat="1" spans="1:14">
      <c r="A1744" s="494">
        <v>46007</v>
      </c>
      <c r="B1744" s="442" t="s">
        <v>372</v>
      </c>
      <c r="C1744" s="495">
        <v>46006</v>
      </c>
      <c r="D1744" s="463"/>
      <c r="E1744" s="463"/>
      <c r="F1744" s="496" t="s">
        <v>12</v>
      </c>
      <c r="G1744" s="463">
        <v>1</v>
      </c>
      <c r="H1744" s="432">
        <v>20</v>
      </c>
      <c r="I1744" s="463">
        <f t="shared" si="246"/>
        <v>20</v>
      </c>
      <c r="J1744" s="497">
        <v>5.9</v>
      </c>
      <c r="K1744" s="497">
        <f>I1744*J1744</f>
        <v>118</v>
      </c>
    </row>
    <row r="1745" s="457" customFormat="1" spans="1:14">
      <c r="A1745" s="494">
        <v>46007</v>
      </c>
      <c r="B1745" s="442" t="s">
        <v>372</v>
      </c>
      <c r="C1745" s="495">
        <v>46006</v>
      </c>
      <c r="D1745" s="463"/>
      <c r="E1745" s="463"/>
      <c r="F1745" s="496" t="s">
        <v>240</v>
      </c>
      <c r="G1745" s="463">
        <v>1</v>
      </c>
      <c r="H1745" s="432">
        <v>75</v>
      </c>
      <c r="I1745" s="463">
        <f t="shared" si="246"/>
        <v>75</v>
      </c>
      <c r="J1745" s="497"/>
      <c r="K1745" s="497"/>
      <c r="M1745" s="457" t="s">
        <v>678</v>
      </c>
    </row>
    <row r="1746" s="457" customFormat="1" spans="1:14">
      <c r="A1746" s="494">
        <v>46007</v>
      </c>
      <c r="B1746" s="442" t="s">
        <v>372</v>
      </c>
      <c r="C1746" s="495">
        <v>46006</v>
      </c>
      <c r="D1746" s="463"/>
      <c r="E1746" s="463"/>
      <c r="F1746" s="496" t="s">
        <v>16</v>
      </c>
      <c r="G1746" s="463">
        <v>1</v>
      </c>
      <c r="H1746" s="432">
        <v>75</v>
      </c>
      <c r="I1746" s="463">
        <f t="shared" si="246"/>
        <v>75</v>
      </c>
      <c r="J1746" s="497"/>
      <c r="K1746" s="497"/>
    </row>
    <row r="1747" s="457" customFormat="1" spans="1:14">
      <c r="A1747" s="494">
        <v>46007</v>
      </c>
      <c r="B1747" s="442" t="s">
        <v>372</v>
      </c>
      <c r="C1747" s="495">
        <v>46006</v>
      </c>
      <c r="D1747" s="463"/>
      <c r="E1747" s="463"/>
      <c r="F1747" s="496" t="s">
        <v>300</v>
      </c>
      <c r="G1747" s="463">
        <v>1</v>
      </c>
      <c r="H1747" s="432">
        <v>75</v>
      </c>
      <c r="I1747" s="463">
        <f t="shared" si="246"/>
        <v>75</v>
      </c>
      <c r="J1747" s="497"/>
      <c r="K1747" s="497"/>
    </row>
    <row r="1748" s="457" customFormat="1" spans="1:14">
      <c r="A1748" s="494">
        <v>46007</v>
      </c>
      <c r="B1748" s="442" t="s">
        <v>372</v>
      </c>
      <c r="C1748" s="495">
        <v>46006</v>
      </c>
      <c r="D1748" s="463"/>
      <c r="E1748" s="463"/>
      <c r="F1748" s="496" t="s">
        <v>870</v>
      </c>
      <c r="G1748" s="463">
        <v>1</v>
      </c>
      <c r="H1748" s="432">
        <v>107</v>
      </c>
      <c r="I1748" s="463">
        <f t="shared" si="246"/>
        <v>107</v>
      </c>
      <c r="J1748" s="497"/>
      <c r="K1748" s="497"/>
    </row>
    <row r="1749" s="457" customFormat="1" spans="1:14">
      <c r="A1749" s="494">
        <v>46007</v>
      </c>
      <c r="B1749" s="442" t="s">
        <v>372</v>
      </c>
      <c r="C1749" s="495">
        <v>46006</v>
      </c>
      <c r="D1749" s="463"/>
      <c r="E1749" s="463"/>
      <c r="F1749" s="496" t="s">
        <v>301</v>
      </c>
      <c r="G1749" s="463">
        <v>1</v>
      </c>
      <c r="H1749" s="432">
        <f>SUM(H1742:H1748)</f>
        <v>500</v>
      </c>
      <c r="I1749" s="463">
        <f t="shared" si="246"/>
        <v>500</v>
      </c>
      <c r="J1749" s="497">
        <v>1</v>
      </c>
      <c r="K1749" s="497">
        <f t="shared" ref="K1749:K1758" si="248">I1749*J1749</f>
        <v>500</v>
      </c>
      <c r="L1749" s="457">
        <f>SUM(K1742:K1750)</f>
        <v>1808</v>
      </c>
    </row>
    <row r="1750" s="457" customFormat="1" spans="1:14">
      <c r="A1750" s="494">
        <v>46007</v>
      </c>
      <c r="B1750" s="442" t="s">
        <v>372</v>
      </c>
      <c r="C1750" s="495">
        <v>46006</v>
      </c>
      <c r="D1750" s="463"/>
      <c r="E1750" s="463"/>
      <c r="F1750" s="496" t="s">
        <v>885</v>
      </c>
      <c r="G1750" s="463">
        <v>26</v>
      </c>
      <c r="H1750" s="432">
        <v>1</v>
      </c>
      <c r="I1750" s="463">
        <f t="shared" si="246"/>
        <v>26</v>
      </c>
      <c r="J1750" s="497">
        <v>12.5</v>
      </c>
      <c r="K1750" s="497">
        <f t="shared" si="248"/>
        <v>325</v>
      </c>
    </row>
    <row r="1751" s="457" customFormat="1" spans="1:14">
      <c r="A1751" s="517">
        <v>46014</v>
      </c>
      <c r="B1751" s="587" t="s">
        <v>187</v>
      </c>
      <c r="C1751" s="519">
        <v>46008</v>
      </c>
      <c r="D1751" s="520"/>
      <c r="E1751" s="520"/>
      <c r="F1751" s="498" t="s">
        <v>886</v>
      </c>
      <c r="G1751" s="520">
        <v>1</v>
      </c>
      <c r="H1751" s="521">
        <v>2</v>
      </c>
      <c r="I1751" s="520">
        <f t="shared" si="246"/>
        <v>2</v>
      </c>
      <c r="J1751" s="515">
        <v>25</v>
      </c>
      <c r="K1751" s="515">
        <f t="shared" si="248"/>
        <v>50</v>
      </c>
    </row>
    <row r="1752" s="457" customFormat="1" spans="1:14">
      <c r="A1752" s="517">
        <v>46014</v>
      </c>
      <c r="B1752" s="587" t="s">
        <v>187</v>
      </c>
      <c r="C1752" s="519">
        <v>46008</v>
      </c>
      <c r="D1752" s="520"/>
      <c r="E1752" s="520"/>
      <c r="F1752" s="498" t="s">
        <v>887</v>
      </c>
      <c r="G1752" s="520">
        <v>1</v>
      </c>
      <c r="H1752" s="521">
        <v>1</v>
      </c>
      <c r="I1752" s="520">
        <f t="shared" si="246"/>
        <v>1</v>
      </c>
      <c r="J1752" s="515">
        <v>5.5</v>
      </c>
      <c r="K1752" s="515">
        <f t="shared" si="248"/>
        <v>5.5</v>
      </c>
    </row>
    <row r="1753" s="457" customFormat="1" spans="1:14">
      <c r="A1753" s="517">
        <v>46014</v>
      </c>
      <c r="B1753" s="587" t="s">
        <v>187</v>
      </c>
      <c r="C1753" s="519">
        <v>46010</v>
      </c>
      <c r="D1753" s="520"/>
      <c r="E1753" s="520"/>
      <c r="F1753" s="498" t="s">
        <v>888</v>
      </c>
      <c r="G1753" s="520">
        <v>10</v>
      </c>
      <c r="H1753" s="521">
        <v>1</v>
      </c>
      <c r="I1753" s="520">
        <f t="shared" si="246"/>
        <v>10</v>
      </c>
      <c r="J1753" s="515">
        <v>12.5</v>
      </c>
      <c r="K1753" s="515">
        <f t="shared" si="248"/>
        <v>125</v>
      </c>
    </row>
    <row r="1754" s="457" customFormat="1" spans="1:14">
      <c r="A1754" s="517">
        <v>46014</v>
      </c>
      <c r="B1754" s="587" t="s">
        <v>187</v>
      </c>
      <c r="C1754" s="519">
        <v>46011</v>
      </c>
      <c r="D1754" s="520"/>
      <c r="E1754" s="520"/>
      <c r="F1754" s="498" t="s">
        <v>888</v>
      </c>
      <c r="G1754" s="520">
        <v>3</v>
      </c>
      <c r="H1754" s="521">
        <v>1</v>
      </c>
      <c r="I1754" s="520">
        <f t="shared" si="246"/>
        <v>3</v>
      </c>
      <c r="J1754" s="515">
        <v>12.5</v>
      </c>
      <c r="K1754" s="515">
        <f t="shared" si="248"/>
        <v>37.5</v>
      </c>
    </row>
    <row r="1755" s="456" customFormat="1" ht="20" customHeight="1" spans="1:14">
      <c r="A1755" s="517">
        <v>46014</v>
      </c>
      <c r="B1755" s="587" t="s">
        <v>187</v>
      </c>
      <c r="C1755" s="490">
        <v>45954</v>
      </c>
      <c r="D1755" s="491"/>
      <c r="E1755" s="491"/>
      <c r="F1755" s="493" t="s">
        <v>16</v>
      </c>
      <c r="G1755" s="491">
        <v>1</v>
      </c>
      <c r="H1755" s="431">
        <v>85</v>
      </c>
      <c r="I1755" s="491">
        <f t="shared" si="246"/>
        <v>85</v>
      </c>
      <c r="J1755" s="492"/>
      <c r="K1755" s="492"/>
    </row>
    <row r="1756" s="456" customFormat="1" spans="1:14">
      <c r="A1756" s="517">
        <v>46014</v>
      </c>
      <c r="B1756" s="587" t="s">
        <v>187</v>
      </c>
      <c r="C1756" s="490">
        <v>45954</v>
      </c>
      <c r="D1756" s="491"/>
      <c r="E1756" s="491"/>
      <c r="F1756" s="493" t="s">
        <v>533</v>
      </c>
      <c r="G1756" s="491">
        <v>1</v>
      </c>
      <c r="H1756" s="431">
        <v>53</v>
      </c>
      <c r="I1756" s="491">
        <f t="shared" si="246"/>
        <v>53</v>
      </c>
      <c r="J1756" s="492"/>
      <c r="K1756" s="492"/>
    </row>
    <row r="1757" s="456" customFormat="1" spans="1:14">
      <c r="A1757" s="517">
        <v>46014</v>
      </c>
      <c r="B1757" s="587" t="s">
        <v>187</v>
      </c>
      <c r="C1757" s="490">
        <v>45954</v>
      </c>
      <c r="D1757" s="491"/>
      <c r="E1757" s="491"/>
      <c r="F1757" s="493" t="s">
        <v>534</v>
      </c>
      <c r="G1757" s="491">
        <v>1</v>
      </c>
      <c r="H1757" s="431">
        <v>65</v>
      </c>
      <c r="I1757" s="491">
        <f t="shared" si="246"/>
        <v>65</v>
      </c>
      <c r="J1757" s="492"/>
      <c r="K1757" s="492"/>
      <c r="M1757" s="536"/>
      <c r="N1757" s="536" t="s">
        <v>326</v>
      </c>
    </row>
    <row r="1758" s="456" customFormat="1" spans="1:14">
      <c r="A1758" s="517">
        <v>46014</v>
      </c>
      <c r="B1758" s="587" t="s">
        <v>187</v>
      </c>
      <c r="C1758" s="490">
        <v>45954</v>
      </c>
      <c r="D1758" s="491"/>
      <c r="E1758" s="491"/>
      <c r="F1758" s="493">
        <v>808</v>
      </c>
      <c r="G1758" s="491">
        <v>1</v>
      </c>
      <c r="H1758" s="431">
        <v>53</v>
      </c>
      <c r="I1758" s="491">
        <f t="shared" si="246"/>
        <v>53</v>
      </c>
      <c r="J1758" s="492">
        <v>7.1</v>
      </c>
      <c r="K1758" s="492">
        <f t="shared" ref="K1758:K1760" si="249">I1758*J1758</f>
        <v>376.3</v>
      </c>
      <c r="M1758" s="456" t="s">
        <v>541</v>
      </c>
    </row>
    <row r="1759" s="456" customFormat="1" spans="1:14">
      <c r="A1759" s="517">
        <v>46014</v>
      </c>
      <c r="B1759" s="587" t="s">
        <v>187</v>
      </c>
      <c r="C1759" s="490">
        <v>45954</v>
      </c>
      <c r="D1759" s="491"/>
      <c r="E1759" s="491"/>
      <c r="F1759" s="493" t="s">
        <v>125</v>
      </c>
      <c r="G1759" s="491">
        <v>1</v>
      </c>
      <c r="H1759" s="431">
        <v>25</v>
      </c>
      <c r="I1759" s="491">
        <f t="shared" si="246"/>
        <v>25</v>
      </c>
      <c r="J1759" s="492">
        <v>5.1</v>
      </c>
      <c r="K1759" s="492">
        <f t="shared" si="249"/>
        <v>127.5</v>
      </c>
      <c r="M1759" s="456">
        <f>SUBTOTAL(9,K1730:K1820)</f>
        <v>31078.55</v>
      </c>
    </row>
    <row r="1760" s="456" customFormat="1" spans="1:14">
      <c r="A1760" s="517">
        <v>46014</v>
      </c>
      <c r="B1760" s="587" t="s">
        <v>187</v>
      </c>
      <c r="C1760" s="490">
        <v>45954</v>
      </c>
      <c r="D1760" s="491"/>
      <c r="E1760" s="491"/>
      <c r="F1760" s="493" t="s">
        <v>12</v>
      </c>
      <c r="G1760" s="491">
        <v>1</v>
      </c>
      <c r="H1760" s="431">
        <v>32</v>
      </c>
      <c r="I1760" s="491">
        <f t="shared" si="246"/>
        <v>32</v>
      </c>
      <c r="J1760" s="492">
        <v>5.9</v>
      </c>
      <c r="K1760" s="492">
        <f t="shared" si="249"/>
        <v>188.8</v>
      </c>
    </row>
    <row r="1761" s="456" customFormat="1" spans="1:18">
      <c r="A1761" s="517">
        <v>46014</v>
      </c>
      <c r="B1761" s="587" t="s">
        <v>187</v>
      </c>
      <c r="C1761" s="490">
        <v>45954</v>
      </c>
      <c r="D1761" s="491"/>
      <c r="E1761" s="491"/>
      <c r="F1761" s="493" t="s">
        <v>542</v>
      </c>
      <c r="G1761" s="491">
        <v>1</v>
      </c>
      <c r="H1761" s="431">
        <v>132</v>
      </c>
      <c r="I1761" s="491">
        <f t="shared" si="246"/>
        <v>132</v>
      </c>
      <c r="J1761" s="492"/>
      <c r="K1761" s="492"/>
    </row>
    <row r="1762" s="456" customFormat="1" spans="1:18">
      <c r="A1762" s="517">
        <v>46014</v>
      </c>
      <c r="B1762" s="587" t="s">
        <v>187</v>
      </c>
      <c r="C1762" s="490">
        <v>45954</v>
      </c>
      <c r="D1762" s="491"/>
      <c r="E1762" s="491"/>
      <c r="F1762" s="493" t="s">
        <v>543</v>
      </c>
      <c r="G1762" s="491">
        <v>1</v>
      </c>
      <c r="H1762" s="431">
        <f>SUM(H1755:H1761)</f>
        <v>445</v>
      </c>
      <c r="I1762" s="491">
        <f t="shared" si="246"/>
        <v>445</v>
      </c>
      <c r="J1762" s="492">
        <v>1</v>
      </c>
      <c r="K1762" s="492">
        <f t="shared" ref="K1762:K1767" si="250">I1762*J1762</f>
        <v>445</v>
      </c>
      <c r="L1762" s="456">
        <f>SUM(K1751:K1762)</f>
        <v>1355.6</v>
      </c>
      <c r="R1762" s="456" t="s">
        <v>359</v>
      </c>
    </row>
    <row r="1763" s="457" customFormat="1" spans="1:18">
      <c r="A1763" s="494">
        <v>46014</v>
      </c>
      <c r="B1763" s="442" t="s">
        <v>309</v>
      </c>
      <c r="C1763" s="495" t="s">
        <v>889</v>
      </c>
      <c r="D1763" s="463"/>
      <c r="E1763" s="463"/>
      <c r="F1763" s="496" t="s">
        <v>16</v>
      </c>
      <c r="G1763" s="463">
        <v>1</v>
      </c>
      <c r="H1763" s="432">
        <v>50</v>
      </c>
      <c r="I1763" s="463">
        <f t="shared" si="246"/>
        <v>50</v>
      </c>
      <c r="J1763" s="497"/>
      <c r="K1763" s="497"/>
    </row>
    <row r="1764" s="457" customFormat="1" spans="1:18">
      <c r="A1764" s="494">
        <v>46014</v>
      </c>
      <c r="B1764" s="442" t="s">
        <v>309</v>
      </c>
      <c r="C1764" s="495" t="s">
        <v>889</v>
      </c>
      <c r="D1764" s="463"/>
      <c r="E1764" s="463"/>
      <c r="F1764" s="496" t="s">
        <v>890</v>
      </c>
      <c r="G1764" s="463">
        <v>1</v>
      </c>
      <c r="H1764" s="432">
        <v>25</v>
      </c>
      <c r="I1764" s="463">
        <f t="shared" si="246"/>
        <v>25</v>
      </c>
      <c r="J1764" s="497"/>
      <c r="K1764" s="497"/>
    </row>
    <row r="1765" s="457" customFormat="1" spans="1:18">
      <c r="A1765" s="494">
        <v>46014</v>
      </c>
      <c r="B1765" s="442" t="s">
        <v>309</v>
      </c>
      <c r="C1765" s="495" t="s">
        <v>889</v>
      </c>
      <c r="D1765" s="463"/>
      <c r="E1765" s="463"/>
      <c r="F1765" s="496">
        <v>808</v>
      </c>
      <c r="G1765" s="463">
        <v>1</v>
      </c>
      <c r="H1765" s="432">
        <v>45</v>
      </c>
      <c r="I1765" s="463">
        <f t="shared" si="246"/>
        <v>45</v>
      </c>
      <c r="J1765" s="497">
        <v>7.1</v>
      </c>
      <c r="K1765" s="497">
        <f t="shared" si="250"/>
        <v>319.5</v>
      </c>
      <c r="M1765" s="457">
        <f>SUBTOTAL(9,K1742:K1787)</f>
        <v>16095.1</v>
      </c>
      <c r="O1765" s="457">
        <f>SUBTOTAL(9,K1692:K1804)</f>
        <v>38658</v>
      </c>
    </row>
    <row r="1766" s="457" customFormat="1" spans="1:18">
      <c r="A1766" s="494">
        <v>46014</v>
      </c>
      <c r="B1766" s="442" t="s">
        <v>309</v>
      </c>
      <c r="C1766" s="495" t="s">
        <v>889</v>
      </c>
      <c r="D1766" s="463"/>
      <c r="E1766" s="463"/>
      <c r="F1766" s="496" t="s">
        <v>125</v>
      </c>
      <c r="G1766" s="463">
        <v>1</v>
      </c>
      <c r="H1766" s="432">
        <v>50</v>
      </c>
      <c r="I1766" s="463">
        <f t="shared" si="246"/>
        <v>50</v>
      </c>
      <c r="J1766" s="497">
        <v>5.1</v>
      </c>
      <c r="K1766" s="497">
        <f t="shared" si="250"/>
        <v>255</v>
      </c>
    </row>
    <row r="1767" s="457" customFormat="1" spans="1:18">
      <c r="A1767" s="494">
        <v>46014</v>
      </c>
      <c r="B1767" s="442" t="s">
        <v>309</v>
      </c>
      <c r="C1767" s="495" t="s">
        <v>889</v>
      </c>
      <c r="D1767" s="463"/>
      <c r="E1767" s="463"/>
      <c r="F1767" s="496" t="s">
        <v>891</v>
      </c>
      <c r="G1767" s="463">
        <v>1</v>
      </c>
      <c r="H1767" s="432">
        <v>2</v>
      </c>
      <c r="I1767" s="463">
        <f t="shared" si="246"/>
        <v>2</v>
      </c>
      <c r="J1767" s="497"/>
      <c r="K1767" s="497"/>
    </row>
    <row r="1768" s="457" customFormat="1" spans="1:18">
      <c r="A1768" s="494">
        <v>46014</v>
      </c>
      <c r="B1768" s="442" t="s">
        <v>309</v>
      </c>
      <c r="C1768" s="495" t="s">
        <v>889</v>
      </c>
      <c r="D1768" s="463"/>
      <c r="E1768" s="463"/>
      <c r="F1768" s="496" t="s">
        <v>892</v>
      </c>
      <c r="G1768" s="463">
        <v>1</v>
      </c>
      <c r="H1768" s="432">
        <f>SUM(H1763:H1767)</f>
        <v>172</v>
      </c>
      <c r="I1768" s="463">
        <f t="shared" si="246"/>
        <v>172</v>
      </c>
      <c r="J1768" s="497">
        <v>5</v>
      </c>
      <c r="K1768" s="497">
        <f>I1768*J1768</f>
        <v>860</v>
      </c>
      <c r="L1768" s="457">
        <f>SUM(K1763:K1768)</f>
        <v>1434.5</v>
      </c>
    </row>
    <row r="1769" s="456" customFormat="1" spans="1:18">
      <c r="A1769" s="488">
        <v>46014</v>
      </c>
      <c r="B1769" s="489" t="s">
        <v>312</v>
      </c>
      <c r="C1769" s="490">
        <v>46014</v>
      </c>
      <c r="D1769" s="491"/>
      <c r="E1769" s="491"/>
      <c r="F1769" s="456" t="s">
        <v>801</v>
      </c>
      <c r="G1769" s="489">
        <v>1</v>
      </c>
      <c r="H1769" s="489">
        <v>59</v>
      </c>
      <c r="I1769" s="491">
        <f t="shared" si="246"/>
        <v>59</v>
      </c>
      <c r="J1769" s="492"/>
      <c r="K1769" s="492"/>
    </row>
    <row r="1770" s="456" customFormat="1" spans="1:18">
      <c r="A1770" s="488">
        <v>46014</v>
      </c>
      <c r="B1770" s="489" t="s">
        <v>312</v>
      </c>
      <c r="C1770" s="490">
        <v>46014</v>
      </c>
      <c r="D1770" s="491"/>
      <c r="E1770" s="491"/>
      <c r="F1770" s="456" t="s">
        <v>893</v>
      </c>
      <c r="G1770" s="489">
        <v>1</v>
      </c>
      <c r="H1770" s="489">
        <v>46</v>
      </c>
      <c r="I1770" s="491">
        <f t="shared" si="246"/>
        <v>46</v>
      </c>
      <c r="J1770" s="492"/>
      <c r="K1770" s="492"/>
    </row>
    <row r="1771" s="456" customFormat="1" spans="1:18">
      <c r="A1771" s="488">
        <v>46014</v>
      </c>
      <c r="B1771" s="489" t="s">
        <v>312</v>
      </c>
      <c r="C1771" s="490">
        <v>46014</v>
      </c>
      <c r="D1771" s="491"/>
      <c r="E1771" s="491"/>
      <c r="F1771" s="456" t="s">
        <v>894</v>
      </c>
      <c r="G1771" s="489">
        <v>1</v>
      </c>
      <c r="H1771" s="489">
        <v>70</v>
      </c>
      <c r="I1771" s="491">
        <f t="shared" si="246"/>
        <v>70</v>
      </c>
      <c r="J1771" s="492"/>
      <c r="K1771" s="492"/>
    </row>
    <row r="1772" s="456" customFormat="1" spans="1:18">
      <c r="A1772" s="488">
        <v>46014</v>
      </c>
      <c r="B1772" s="489" t="s">
        <v>312</v>
      </c>
      <c r="C1772" s="490">
        <v>46014</v>
      </c>
      <c r="D1772" s="491"/>
      <c r="E1772" s="491"/>
      <c r="F1772" s="456" t="s">
        <v>352</v>
      </c>
      <c r="G1772" s="489">
        <v>1</v>
      </c>
      <c r="H1772" s="489">
        <v>70</v>
      </c>
      <c r="I1772" s="491">
        <f t="shared" si="246"/>
        <v>70</v>
      </c>
      <c r="J1772" s="492"/>
      <c r="K1772" s="492"/>
      <c r="L1772" s="456" t="s">
        <v>116</v>
      </c>
    </row>
    <row r="1773" s="456" customFormat="1" spans="1:18">
      <c r="A1773" s="488">
        <v>46014</v>
      </c>
      <c r="B1773" s="489" t="s">
        <v>312</v>
      </c>
      <c r="C1773" s="490">
        <v>46014</v>
      </c>
      <c r="D1773" s="491"/>
      <c r="E1773" s="491"/>
      <c r="F1773" s="493" t="s">
        <v>125</v>
      </c>
      <c r="G1773" s="489">
        <v>1</v>
      </c>
      <c r="H1773" s="489">
        <v>79</v>
      </c>
      <c r="I1773" s="491">
        <f t="shared" si="246"/>
        <v>79</v>
      </c>
      <c r="J1773" s="492">
        <v>5.1</v>
      </c>
      <c r="K1773" s="492">
        <f t="shared" ref="K1773:K1778" si="251">I1773*J1773</f>
        <v>402.9</v>
      </c>
    </row>
    <row r="1774" s="456" customFormat="1" spans="1:18">
      <c r="A1774" s="488">
        <v>46014</v>
      </c>
      <c r="B1774" s="489" t="s">
        <v>312</v>
      </c>
      <c r="C1774" s="490">
        <v>46014</v>
      </c>
      <c r="D1774" s="491"/>
      <c r="E1774" s="491"/>
      <c r="F1774" s="493" t="s">
        <v>132</v>
      </c>
      <c r="G1774" s="489">
        <v>1</v>
      </c>
      <c r="H1774" s="489">
        <v>55</v>
      </c>
      <c r="I1774" s="491">
        <f t="shared" si="246"/>
        <v>55</v>
      </c>
      <c r="J1774" s="492">
        <v>3</v>
      </c>
      <c r="K1774" s="492">
        <f t="shared" si="251"/>
        <v>165</v>
      </c>
      <c r="M1774" s="456">
        <f>SUBTOTAL(9,K1774:K1821)</f>
        <v>17019.05</v>
      </c>
    </row>
    <row r="1775" s="456" customFormat="1" spans="1:18">
      <c r="A1775" s="488">
        <v>46014</v>
      </c>
      <c r="B1775" s="489" t="s">
        <v>312</v>
      </c>
      <c r="C1775" s="490">
        <v>46014</v>
      </c>
      <c r="D1775" s="491"/>
      <c r="E1775" s="491"/>
      <c r="F1775" s="493" t="s">
        <v>191</v>
      </c>
      <c r="G1775" s="489">
        <v>1</v>
      </c>
      <c r="H1775" s="489">
        <v>12</v>
      </c>
      <c r="I1775" s="491">
        <f t="shared" si="246"/>
        <v>12</v>
      </c>
      <c r="J1775" s="492">
        <v>17</v>
      </c>
      <c r="K1775" s="492">
        <f t="shared" si="251"/>
        <v>204</v>
      </c>
    </row>
    <row r="1776" s="456" customFormat="1" spans="1:18">
      <c r="A1776" s="488">
        <v>46014</v>
      </c>
      <c r="B1776" s="489" t="s">
        <v>312</v>
      </c>
      <c r="C1776" s="490">
        <v>46014</v>
      </c>
      <c r="D1776" s="491"/>
      <c r="E1776" s="491"/>
      <c r="F1776" s="493" t="s">
        <v>791</v>
      </c>
      <c r="G1776" s="489">
        <v>1</v>
      </c>
      <c r="H1776" s="489">
        <v>2</v>
      </c>
      <c r="I1776" s="491">
        <f t="shared" si="246"/>
        <v>2</v>
      </c>
      <c r="J1776" s="492">
        <v>25</v>
      </c>
      <c r="K1776" s="492">
        <f t="shared" si="251"/>
        <v>50</v>
      </c>
    </row>
    <row r="1777" s="456" customFormat="1" spans="1:14">
      <c r="A1777" s="488">
        <v>46014</v>
      </c>
      <c r="B1777" s="489" t="s">
        <v>312</v>
      </c>
      <c r="C1777" s="490">
        <v>46014</v>
      </c>
      <c r="D1777" s="491"/>
      <c r="E1777" s="491"/>
      <c r="F1777" s="493" t="s">
        <v>895</v>
      </c>
      <c r="G1777" s="489">
        <v>1</v>
      </c>
      <c r="H1777" s="489">
        <v>115</v>
      </c>
      <c r="I1777" s="491">
        <f t="shared" si="246"/>
        <v>115</v>
      </c>
      <c r="J1777" s="492"/>
      <c r="K1777" s="492"/>
    </row>
    <row r="1778" s="456" customFormat="1" ht="18" customHeight="1" spans="1:14">
      <c r="A1778" s="488">
        <v>46014</v>
      </c>
      <c r="B1778" s="489" t="s">
        <v>312</v>
      </c>
      <c r="C1778" s="490">
        <v>46014</v>
      </c>
      <c r="D1778" s="491"/>
      <c r="E1778" s="491"/>
      <c r="F1778" s="456" t="s">
        <v>571</v>
      </c>
      <c r="G1778" s="489">
        <v>1</v>
      </c>
      <c r="H1778" s="489">
        <f>SUM(H1769:H1777)</f>
        <v>508</v>
      </c>
      <c r="I1778" s="491">
        <f t="shared" si="246"/>
        <v>508</v>
      </c>
      <c r="J1778" s="492">
        <v>1</v>
      </c>
      <c r="K1778" s="492">
        <f t="shared" si="251"/>
        <v>508</v>
      </c>
      <c r="L1778" s="456">
        <f>SUM(K1769:K1778)</f>
        <v>1329.9</v>
      </c>
    </row>
    <row r="1779" s="457" customFormat="1" spans="1:14">
      <c r="A1779" s="494">
        <v>46015</v>
      </c>
      <c r="B1779" s="442" t="s">
        <v>192</v>
      </c>
      <c r="C1779" s="495">
        <v>46015</v>
      </c>
      <c r="D1779" s="463"/>
      <c r="E1779" s="463"/>
      <c r="F1779" s="496" t="s">
        <v>896</v>
      </c>
      <c r="G1779" s="463">
        <v>1</v>
      </c>
      <c r="H1779" s="432">
        <v>325</v>
      </c>
      <c r="I1779" s="463">
        <f t="shared" si="246"/>
        <v>325</v>
      </c>
      <c r="J1779" s="497"/>
      <c r="K1779" s="497"/>
    </row>
    <row r="1780" s="457" customFormat="1" spans="1:14">
      <c r="A1780" s="494">
        <v>46015</v>
      </c>
      <c r="B1780" s="442" t="s">
        <v>192</v>
      </c>
      <c r="C1780" s="495">
        <v>46015</v>
      </c>
      <c r="D1780" s="463"/>
      <c r="E1780" s="463"/>
      <c r="F1780" s="496" t="s">
        <v>12</v>
      </c>
      <c r="G1780" s="463">
        <v>1</v>
      </c>
      <c r="H1780" s="432">
        <v>293</v>
      </c>
      <c r="I1780" s="463">
        <f t="shared" si="246"/>
        <v>293</v>
      </c>
      <c r="J1780" s="497">
        <v>5.9</v>
      </c>
      <c r="K1780" s="497">
        <f>I1780*J1780</f>
        <v>1728.7</v>
      </c>
    </row>
    <row r="1781" s="457" customFormat="1" spans="1:14">
      <c r="A1781" s="494">
        <v>46015</v>
      </c>
      <c r="B1781" s="442" t="s">
        <v>192</v>
      </c>
      <c r="C1781" s="495">
        <v>46015</v>
      </c>
      <c r="D1781" s="463"/>
      <c r="E1781" s="463"/>
      <c r="F1781" s="496" t="s">
        <v>125</v>
      </c>
      <c r="G1781" s="463">
        <v>1</v>
      </c>
      <c r="H1781" s="432">
        <v>1300</v>
      </c>
      <c r="I1781" s="463">
        <f t="shared" si="246"/>
        <v>1300</v>
      </c>
      <c r="J1781" s="497">
        <v>5.1</v>
      </c>
      <c r="K1781" s="497">
        <f>I1781*J1781</f>
        <v>6630</v>
      </c>
    </row>
    <row r="1782" s="457" customFormat="1" spans="1:14">
      <c r="A1782" s="494">
        <v>46015</v>
      </c>
      <c r="B1782" s="442" t="s">
        <v>192</v>
      </c>
      <c r="C1782" s="495">
        <v>46015</v>
      </c>
      <c r="D1782" s="463"/>
      <c r="E1782" s="463"/>
      <c r="F1782" s="496" t="s">
        <v>897</v>
      </c>
      <c r="G1782" s="463">
        <v>1</v>
      </c>
      <c r="H1782" s="432">
        <f>SUM(H1779:H1781)</f>
        <v>1918</v>
      </c>
      <c r="I1782" s="463">
        <f>G1782*H1782</f>
        <v>1918</v>
      </c>
      <c r="J1782" s="497">
        <v>0.8</v>
      </c>
      <c r="K1782" s="497">
        <f>I1782*J1782</f>
        <v>1534.4</v>
      </c>
      <c r="L1782" s="457">
        <f>SUM(K1779:K1782)</f>
        <v>9893.1</v>
      </c>
    </row>
    <row r="1783" s="456" customFormat="1" spans="1:14">
      <c r="A1783" s="488">
        <v>46017</v>
      </c>
      <c r="B1783" s="489" t="s">
        <v>206</v>
      </c>
      <c r="C1783" s="490">
        <v>46016</v>
      </c>
      <c r="D1783" s="491"/>
      <c r="E1783" s="491"/>
      <c r="F1783" s="493" t="s">
        <v>16</v>
      </c>
      <c r="G1783" s="491">
        <v>1</v>
      </c>
      <c r="H1783" s="431">
        <v>45</v>
      </c>
      <c r="I1783" s="491">
        <f t="shared" ref="I1783:I1806" si="252">G1783*H1783</f>
        <v>45</v>
      </c>
      <c r="J1783" s="492"/>
      <c r="K1783" s="492">
        <f>I1783*J1783</f>
        <v>0</v>
      </c>
    </row>
    <row r="1784" s="456" customFormat="1" spans="1:14">
      <c r="A1784" s="488">
        <v>46017</v>
      </c>
      <c r="B1784" s="489" t="s">
        <v>206</v>
      </c>
      <c r="C1784" s="490">
        <v>46016</v>
      </c>
      <c r="D1784" s="491"/>
      <c r="E1784" s="491"/>
      <c r="F1784" s="493" t="s">
        <v>452</v>
      </c>
      <c r="G1784" s="491">
        <v>1</v>
      </c>
      <c r="H1784" s="431">
        <v>45</v>
      </c>
      <c r="I1784" s="491">
        <f t="shared" si="252"/>
        <v>45</v>
      </c>
      <c r="J1784" s="492"/>
      <c r="K1784" s="492"/>
    </row>
    <row r="1785" s="456" customFormat="1" spans="1:14">
      <c r="A1785" s="488">
        <v>46017</v>
      </c>
      <c r="B1785" s="489" t="s">
        <v>206</v>
      </c>
      <c r="C1785" s="490">
        <v>46016</v>
      </c>
      <c r="D1785" s="491"/>
      <c r="E1785" s="491"/>
      <c r="F1785" s="493" t="s">
        <v>546</v>
      </c>
      <c r="G1785" s="491">
        <v>1</v>
      </c>
      <c r="H1785" s="431">
        <v>64</v>
      </c>
      <c r="I1785" s="491">
        <f t="shared" si="252"/>
        <v>64</v>
      </c>
      <c r="J1785" s="492"/>
      <c r="K1785" s="492"/>
      <c r="L1785" s="548">
        <v>63.5</v>
      </c>
      <c r="M1785" s="536"/>
      <c r="N1785" s="536"/>
    </row>
    <row r="1786" s="456" customFormat="1" spans="1:14">
      <c r="A1786" s="488">
        <v>46017</v>
      </c>
      <c r="B1786" s="489" t="s">
        <v>206</v>
      </c>
      <c r="C1786" s="490">
        <v>46016</v>
      </c>
      <c r="D1786" s="491"/>
      <c r="E1786" s="491"/>
      <c r="F1786" s="493">
        <v>808</v>
      </c>
      <c r="G1786" s="491">
        <v>1</v>
      </c>
      <c r="H1786" s="431">
        <v>30</v>
      </c>
      <c r="I1786" s="491">
        <f t="shared" si="252"/>
        <v>30</v>
      </c>
      <c r="J1786" s="492">
        <v>7.1</v>
      </c>
      <c r="K1786" s="492">
        <f t="shared" ref="K1783:K1788" si="253">I1786*J1786</f>
        <v>213</v>
      </c>
      <c r="L1786" s="536"/>
      <c r="M1786" s="536"/>
      <c r="N1786" s="536"/>
    </row>
    <row r="1787" s="456" customFormat="1" spans="1:14">
      <c r="A1787" s="488">
        <v>46017</v>
      </c>
      <c r="B1787" s="489" t="s">
        <v>206</v>
      </c>
      <c r="C1787" s="490">
        <v>46016</v>
      </c>
      <c r="D1787" s="491"/>
      <c r="E1787" s="491"/>
      <c r="F1787" s="493" t="s">
        <v>152</v>
      </c>
      <c r="G1787" s="491">
        <v>1</v>
      </c>
      <c r="H1787" s="431">
        <v>10</v>
      </c>
      <c r="I1787" s="491">
        <f t="shared" si="252"/>
        <v>10</v>
      </c>
      <c r="J1787" s="492">
        <v>6.1</v>
      </c>
      <c r="K1787" s="492">
        <f t="shared" si="253"/>
        <v>61</v>
      </c>
      <c r="L1787" s="536"/>
      <c r="M1787" s="536"/>
      <c r="N1787" s="536"/>
    </row>
    <row r="1788" s="456" customFormat="1" spans="1:14">
      <c r="A1788" s="488">
        <v>46017</v>
      </c>
      <c r="B1788" s="489" t="s">
        <v>206</v>
      </c>
      <c r="C1788" s="490">
        <v>46016</v>
      </c>
      <c r="D1788" s="491"/>
      <c r="E1788" s="491"/>
      <c r="F1788" s="493" t="s">
        <v>125</v>
      </c>
      <c r="G1788" s="491">
        <v>1</v>
      </c>
      <c r="H1788" s="431">
        <v>61</v>
      </c>
      <c r="I1788" s="491">
        <f t="shared" si="252"/>
        <v>61</v>
      </c>
      <c r="J1788" s="492">
        <v>5.1</v>
      </c>
      <c r="K1788" s="492">
        <f t="shared" si="253"/>
        <v>311.1</v>
      </c>
      <c r="L1788" s="536"/>
      <c r="M1788" s="536"/>
      <c r="N1788" s="536"/>
    </row>
    <row r="1789" s="456" customFormat="1" spans="1:14">
      <c r="A1789" s="488">
        <v>46017</v>
      </c>
      <c r="B1789" s="489" t="s">
        <v>206</v>
      </c>
      <c r="C1789" s="490">
        <v>46016</v>
      </c>
      <c r="D1789" s="491"/>
      <c r="E1789" s="491"/>
      <c r="F1789" s="493" t="s">
        <v>115</v>
      </c>
      <c r="G1789" s="491">
        <v>1</v>
      </c>
      <c r="H1789" s="431">
        <v>45</v>
      </c>
      <c r="I1789" s="491">
        <f t="shared" si="252"/>
        <v>45</v>
      </c>
      <c r="J1789" s="492"/>
      <c r="K1789" s="492"/>
      <c r="L1789" s="536" t="s">
        <v>126</v>
      </c>
      <c r="M1789" s="536"/>
      <c r="N1789" s="536"/>
    </row>
    <row r="1790" s="456" customFormat="1" spans="1:14">
      <c r="A1790" s="488">
        <v>46017</v>
      </c>
      <c r="B1790" s="489" t="s">
        <v>206</v>
      </c>
      <c r="C1790" s="490">
        <v>46016</v>
      </c>
      <c r="D1790" s="491"/>
      <c r="E1790" s="491"/>
      <c r="F1790" s="493" t="s">
        <v>453</v>
      </c>
      <c r="G1790" s="491">
        <v>1</v>
      </c>
      <c r="H1790" s="431">
        <f>SUM(H1783:H1789)</f>
        <v>300</v>
      </c>
      <c r="I1790" s="491">
        <f t="shared" si="252"/>
        <v>300</v>
      </c>
      <c r="J1790" s="492">
        <v>1</v>
      </c>
      <c r="K1790" s="492">
        <f>I1790*J1790</f>
        <v>300</v>
      </c>
      <c r="L1790" s="536">
        <f>SUM(K1783:K1790)</f>
        <v>885.1</v>
      </c>
      <c r="M1790" s="536"/>
      <c r="N1790" s="536"/>
    </row>
    <row r="1791" s="457" customFormat="1" spans="1:14">
      <c r="A1791" s="494">
        <v>46020</v>
      </c>
      <c r="B1791" s="442" t="s">
        <v>113</v>
      </c>
      <c r="C1791" s="495">
        <v>46020</v>
      </c>
      <c r="D1791" s="463"/>
      <c r="E1791" s="463"/>
      <c r="F1791" s="496">
        <v>808</v>
      </c>
      <c r="G1791" s="463">
        <v>1</v>
      </c>
      <c r="H1791" s="432">
        <v>27</v>
      </c>
      <c r="I1791" s="463">
        <f t="shared" si="252"/>
        <v>27</v>
      </c>
      <c r="J1791" s="497">
        <v>7.1</v>
      </c>
      <c r="K1791" s="497">
        <f>I1791*J1791</f>
        <v>191.7</v>
      </c>
      <c r="L1791" s="537"/>
      <c r="M1791" s="537"/>
      <c r="N1791" s="537"/>
    </row>
    <row r="1792" s="457" customFormat="1" spans="1:14">
      <c r="A1792" s="494">
        <v>46020</v>
      </c>
      <c r="B1792" s="442" t="s">
        <v>113</v>
      </c>
      <c r="C1792" s="495">
        <v>46020</v>
      </c>
      <c r="D1792" s="463"/>
      <c r="E1792" s="463"/>
      <c r="F1792" s="496" t="s">
        <v>152</v>
      </c>
      <c r="G1792" s="463">
        <v>1</v>
      </c>
      <c r="H1792" s="432">
        <v>8</v>
      </c>
      <c r="I1792" s="463">
        <f t="shared" si="252"/>
        <v>8</v>
      </c>
      <c r="J1792" s="497">
        <v>6.1</v>
      </c>
      <c r="K1792" s="497">
        <f t="shared" ref="K1792:K1801" si="254">I1792*J1792</f>
        <v>48.8</v>
      </c>
      <c r="L1792" s="537"/>
      <c r="M1792" s="537"/>
      <c r="N1792" s="537"/>
    </row>
    <row r="1793" s="457" customFormat="1" spans="1:14">
      <c r="A1793" s="494">
        <v>46020</v>
      </c>
      <c r="B1793" s="442" t="s">
        <v>113</v>
      </c>
      <c r="C1793" s="495">
        <v>46020</v>
      </c>
      <c r="D1793" s="463"/>
      <c r="E1793" s="463"/>
      <c r="F1793" s="496" t="s">
        <v>12</v>
      </c>
      <c r="G1793" s="463">
        <v>1</v>
      </c>
      <c r="H1793" s="432">
        <v>13</v>
      </c>
      <c r="I1793" s="463">
        <f t="shared" si="252"/>
        <v>13</v>
      </c>
      <c r="J1793" s="497">
        <v>6</v>
      </c>
      <c r="K1793" s="497">
        <f t="shared" si="254"/>
        <v>78</v>
      </c>
      <c r="L1793" s="537"/>
      <c r="M1793" s="537"/>
      <c r="N1793" s="537"/>
    </row>
    <row r="1794" s="457" customFormat="1" spans="1:14">
      <c r="A1794" s="494">
        <v>46020</v>
      </c>
      <c r="B1794" s="442" t="s">
        <v>113</v>
      </c>
      <c r="C1794" s="495">
        <v>46020</v>
      </c>
      <c r="D1794" s="463"/>
      <c r="E1794" s="463"/>
      <c r="F1794" s="496" t="s">
        <v>125</v>
      </c>
      <c r="G1794" s="463">
        <v>1</v>
      </c>
      <c r="H1794" s="432">
        <v>7</v>
      </c>
      <c r="I1794" s="463">
        <f t="shared" si="252"/>
        <v>7</v>
      </c>
      <c r="J1794" s="497">
        <v>5.1</v>
      </c>
      <c r="K1794" s="497">
        <f t="shared" si="254"/>
        <v>35.7</v>
      </c>
      <c r="L1794" s="537"/>
      <c r="M1794" s="537"/>
      <c r="N1794" s="537"/>
    </row>
    <row r="1795" s="457" customFormat="1" spans="1:14">
      <c r="A1795" s="494">
        <v>46020</v>
      </c>
      <c r="B1795" s="442" t="s">
        <v>113</v>
      </c>
      <c r="C1795" s="495">
        <v>46020</v>
      </c>
      <c r="D1795" s="463"/>
      <c r="E1795" s="463"/>
      <c r="F1795" s="496" t="s">
        <v>240</v>
      </c>
      <c r="G1795" s="463">
        <v>1</v>
      </c>
      <c r="H1795" s="432">
        <v>17</v>
      </c>
      <c r="I1795" s="463">
        <f t="shared" si="252"/>
        <v>17</v>
      </c>
      <c r="J1795" s="497"/>
      <c r="K1795" s="497"/>
      <c r="L1795" s="537"/>
      <c r="M1795" s="537"/>
      <c r="N1795" s="537"/>
    </row>
    <row r="1796" s="457" customFormat="1" spans="1:14">
      <c r="A1796" s="494">
        <v>46020</v>
      </c>
      <c r="B1796" s="442" t="s">
        <v>113</v>
      </c>
      <c r="C1796" s="495">
        <v>46020</v>
      </c>
      <c r="D1796" s="463"/>
      <c r="E1796" s="463"/>
      <c r="F1796" s="496" t="s">
        <v>898</v>
      </c>
      <c r="G1796" s="463">
        <v>1</v>
      </c>
      <c r="H1796" s="432">
        <v>20</v>
      </c>
      <c r="I1796" s="463">
        <f t="shared" si="252"/>
        <v>20</v>
      </c>
      <c r="J1796" s="497"/>
      <c r="K1796" s="497"/>
      <c r="L1796" s="537"/>
      <c r="M1796" s="537"/>
      <c r="N1796" s="537"/>
    </row>
    <row r="1797" s="457" customFormat="1" spans="1:14">
      <c r="A1797" s="494">
        <v>46020</v>
      </c>
      <c r="B1797" s="442" t="s">
        <v>113</v>
      </c>
      <c r="C1797" s="495">
        <v>46020</v>
      </c>
      <c r="D1797" s="463"/>
      <c r="E1797" s="463"/>
      <c r="F1797" s="496" t="s">
        <v>899</v>
      </c>
      <c r="G1797" s="463">
        <v>1</v>
      </c>
      <c r="H1797" s="432">
        <v>30</v>
      </c>
      <c r="I1797" s="463">
        <f t="shared" si="252"/>
        <v>30</v>
      </c>
      <c r="J1797" s="497"/>
      <c r="K1797" s="497"/>
      <c r="L1797" s="537"/>
      <c r="M1797" s="537"/>
      <c r="N1797" s="537"/>
    </row>
    <row r="1798" s="457" customFormat="1" spans="1:14">
      <c r="A1798" s="494">
        <v>46020</v>
      </c>
      <c r="B1798" s="442" t="s">
        <v>113</v>
      </c>
      <c r="C1798" s="495">
        <v>46020</v>
      </c>
      <c r="D1798" s="463"/>
      <c r="E1798" s="463"/>
      <c r="F1798" s="496" t="s">
        <v>438</v>
      </c>
      <c r="G1798" s="463">
        <v>1</v>
      </c>
      <c r="H1798" s="432">
        <v>25</v>
      </c>
      <c r="I1798" s="463">
        <f t="shared" si="252"/>
        <v>25</v>
      </c>
      <c r="J1798" s="497"/>
      <c r="K1798" s="497"/>
      <c r="L1798" s="537"/>
      <c r="M1798" s="537"/>
      <c r="N1798" s="537"/>
    </row>
    <row r="1799" s="457" customFormat="1" spans="1:14">
      <c r="A1799" s="494">
        <v>46020</v>
      </c>
      <c r="B1799" s="442" t="s">
        <v>113</v>
      </c>
      <c r="C1799" s="495">
        <v>46020</v>
      </c>
      <c r="D1799" s="463"/>
      <c r="E1799" s="463"/>
      <c r="F1799" s="496" t="s">
        <v>16</v>
      </c>
      <c r="G1799" s="463">
        <v>1</v>
      </c>
      <c r="H1799" s="432">
        <v>25</v>
      </c>
      <c r="I1799" s="463">
        <f t="shared" si="252"/>
        <v>25</v>
      </c>
      <c r="J1799" s="497"/>
      <c r="K1799" s="497"/>
      <c r="L1799" s="537"/>
      <c r="M1799" s="537"/>
      <c r="N1799" s="537"/>
    </row>
    <row r="1800" s="457" customFormat="1" spans="1:14">
      <c r="A1800" s="494">
        <v>46020</v>
      </c>
      <c r="B1800" s="442" t="s">
        <v>113</v>
      </c>
      <c r="C1800" s="495">
        <v>46020</v>
      </c>
      <c r="D1800" s="463"/>
      <c r="E1800" s="463"/>
      <c r="F1800" s="496" t="s">
        <v>738</v>
      </c>
      <c r="G1800" s="463">
        <v>1</v>
      </c>
      <c r="H1800" s="432">
        <f>SUM(H1791:H1799)</f>
        <v>172</v>
      </c>
      <c r="I1800" s="463">
        <f t="shared" si="252"/>
        <v>172</v>
      </c>
      <c r="J1800" s="497">
        <v>1</v>
      </c>
      <c r="K1800" s="497">
        <f t="shared" si="254"/>
        <v>172</v>
      </c>
      <c r="L1800" s="537">
        <f>SUM(K1791:K1800)</f>
        <v>526.2</v>
      </c>
      <c r="M1800" s="537"/>
      <c r="N1800" s="537"/>
    </row>
    <row r="1801" s="461" customFormat="1" spans="1:14">
      <c r="A1801" s="540">
        <v>46021</v>
      </c>
      <c r="B1801" s="541" t="s">
        <v>135</v>
      </c>
      <c r="C1801" s="542">
        <v>46018</v>
      </c>
      <c r="D1801" s="523"/>
      <c r="E1801" s="523"/>
      <c r="F1801" s="522" t="s">
        <v>888</v>
      </c>
      <c r="G1801" s="523">
        <v>2</v>
      </c>
      <c r="H1801" s="524">
        <v>1</v>
      </c>
      <c r="I1801" s="523">
        <f t="shared" si="252"/>
        <v>2</v>
      </c>
      <c r="J1801" s="525">
        <v>12.5</v>
      </c>
      <c r="K1801" s="525">
        <f t="shared" si="254"/>
        <v>25</v>
      </c>
      <c r="L1801" s="543"/>
      <c r="M1801" s="543"/>
      <c r="N1801" s="543"/>
    </row>
    <row r="1802" s="461" customFormat="1" spans="1:14">
      <c r="A1802" s="540">
        <v>46021</v>
      </c>
      <c r="B1802" s="541" t="s">
        <v>135</v>
      </c>
      <c r="C1802" s="542">
        <v>46021</v>
      </c>
      <c r="D1802" s="523"/>
      <c r="E1802" s="523"/>
      <c r="F1802" s="522" t="s">
        <v>16</v>
      </c>
      <c r="G1802" s="523">
        <v>1</v>
      </c>
      <c r="H1802" s="524">
        <v>48</v>
      </c>
      <c r="I1802" s="523">
        <f t="shared" si="252"/>
        <v>48</v>
      </c>
      <c r="J1802" s="525">
        <v>13.5</v>
      </c>
      <c r="K1802" s="525"/>
    </row>
    <row r="1803" s="461" customFormat="1" spans="1:14">
      <c r="A1803" s="540">
        <v>46021</v>
      </c>
      <c r="B1803" s="541" t="s">
        <v>135</v>
      </c>
      <c r="C1803" s="542">
        <v>46021</v>
      </c>
      <c r="D1803" s="523"/>
      <c r="E1803" s="523"/>
      <c r="F1803" s="522" t="s">
        <v>766</v>
      </c>
      <c r="G1803" s="523">
        <v>1</v>
      </c>
      <c r="H1803" s="524">
        <v>150</v>
      </c>
      <c r="I1803" s="523">
        <f t="shared" si="252"/>
        <v>150</v>
      </c>
      <c r="J1803" s="525">
        <v>14.2</v>
      </c>
      <c r="K1803" s="525"/>
    </row>
    <row r="1804" s="461" customFormat="1" spans="1:14">
      <c r="A1804" s="540">
        <v>46021</v>
      </c>
      <c r="B1804" s="541" t="s">
        <v>135</v>
      </c>
      <c r="C1804" s="542">
        <v>46021</v>
      </c>
      <c r="D1804" s="523"/>
      <c r="E1804" s="523"/>
      <c r="F1804" s="522">
        <v>808</v>
      </c>
      <c r="G1804" s="523">
        <v>1</v>
      </c>
      <c r="H1804" s="524">
        <v>30</v>
      </c>
      <c r="I1804" s="523">
        <f t="shared" si="252"/>
        <v>30</v>
      </c>
      <c r="J1804" s="525">
        <v>7.1</v>
      </c>
      <c r="K1804" s="525">
        <f t="shared" ref="K1804:K1806" si="255">I1804*J1804</f>
        <v>213</v>
      </c>
    </row>
    <row r="1805" s="461" customFormat="1" spans="1:14">
      <c r="A1805" s="540">
        <v>46021</v>
      </c>
      <c r="B1805" s="541" t="s">
        <v>135</v>
      </c>
      <c r="C1805" s="542">
        <v>46021</v>
      </c>
      <c r="D1805" s="523"/>
      <c r="E1805" s="523"/>
      <c r="F1805" s="522" t="s">
        <v>12</v>
      </c>
      <c r="G1805" s="523">
        <v>1</v>
      </c>
      <c r="H1805" s="524">
        <v>30</v>
      </c>
      <c r="I1805" s="523">
        <f t="shared" si="252"/>
        <v>30</v>
      </c>
      <c r="J1805" s="525">
        <v>6</v>
      </c>
      <c r="K1805" s="525">
        <f t="shared" si="255"/>
        <v>180</v>
      </c>
      <c r="M1805" s="588"/>
    </row>
    <row r="1806" s="461" customFormat="1" spans="1:14">
      <c r="A1806" s="540">
        <v>46021</v>
      </c>
      <c r="B1806" s="541" t="s">
        <v>135</v>
      </c>
      <c r="C1806" s="542">
        <v>46021</v>
      </c>
      <c r="D1806" s="523"/>
      <c r="E1806" s="523"/>
      <c r="F1806" s="522" t="s">
        <v>456</v>
      </c>
      <c r="G1806" s="523">
        <v>1</v>
      </c>
      <c r="H1806" s="524">
        <f>SUM(H1802:H1805)</f>
        <v>258</v>
      </c>
      <c r="I1806" s="523">
        <f t="shared" si="252"/>
        <v>258</v>
      </c>
      <c r="J1806" s="525">
        <v>3</v>
      </c>
      <c r="K1806" s="525">
        <f t="shared" si="255"/>
        <v>774</v>
      </c>
      <c r="L1806" s="461">
        <f>SUM(K1801:K1806)</f>
        <v>1192</v>
      </c>
    </row>
    <row r="1807" s="456" customFormat="1" spans="1:14">
      <c r="A1807" s="488">
        <v>46387</v>
      </c>
      <c r="B1807" s="489" t="s">
        <v>139</v>
      </c>
      <c r="C1807" s="490">
        <v>46387</v>
      </c>
      <c r="D1807" s="491"/>
      <c r="E1807" s="491"/>
      <c r="F1807" s="493" t="s">
        <v>801</v>
      </c>
      <c r="G1807" s="491">
        <v>1</v>
      </c>
      <c r="H1807" s="431">
        <v>100</v>
      </c>
      <c r="I1807" s="491">
        <f t="shared" ref="I1807:I1827" si="256">G1807*H1807</f>
        <v>100</v>
      </c>
      <c r="J1807" s="492"/>
      <c r="K1807" s="492"/>
    </row>
    <row r="1808" s="456" customFormat="1" spans="1:14">
      <c r="A1808" s="488">
        <v>46387</v>
      </c>
      <c r="B1808" s="489" t="s">
        <v>139</v>
      </c>
      <c r="C1808" s="490">
        <v>46387</v>
      </c>
      <c r="D1808" s="491"/>
      <c r="E1808" s="491"/>
      <c r="F1808" s="493" t="s">
        <v>207</v>
      </c>
      <c r="G1808" s="491">
        <v>1</v>
      </c>
      <c r="H1808" s="431">
        <v>200</v>
      </c>
      <c r="I1808" s="491">
        <f t="shared" si="256"/>
        <v>200</v>
      </c>
      <c r="J1808" s="492"/>
      <c r="K1808" s="492"/>
    </row>
    <row r="1809" s="456" customFormat="1" spans="1:26">
      <c r="A1809" s="488">
        <v>46387</v>
      </c>
      <c r="B1809" s="489" t="s">
        <v>139</v>
      </c>
      <c r="C1809" s="490">
        <v>46387</v>
      </c>
      <c r="D1809" s="491"/>
      <c r="E1809" s="491"/>
      <c r="F1809" s="493" t="s">
        <v>862</v>
      </c>
      <c r="G1809" s="491">
        <v>1</v>
      </c>
      <c r="H1809" s="431">
        <v>114</v>
      </c>
      <c r="I1809" s="491">
        <f t="shared" si="256"/>
        <v>114</v>
      </c>
      <c r="J1809" s="492"/>
      <c r="K1809" s="492"/>
    </row>
    <row r="1810" s="456" customFormat="1" spans="1:26">
      <c r="A1810" s="488">
        <v>46387</v>
      </c>
      <c r="B1810" s="489" t="s">
        <v>139</v>
      </c>
      <c r="C1810" s="490">
        <v>46387</v>
      </c>
      <c r="D1810" s="491"/>
      <c r="E1810" s="491"/>
      <c r="F1810" s="493" t="s">
        <v>900</v>
      </c>
      <c r="G1810" s="491">
        <v>1</v>
      </c>
      <c r="H1810" s="431">
        <v>162</v>
      </c>
      <c r="I1810" s="491">
        <f t="shared" si="256"/>
        <v>162</v>
      </c>
      <c r="J1810" s="492"/>
      <c r="K1810" s="492"/>
    </row>
    <row r="1811" s="456" customFormat="1" spans="1:26">
      <c r="A1811" s="488">
        <v>46387</v>
      </c>
      <c r="B1811" s="489" t="s">
        <v>139</v>
      </c>
      <c r="C1811" s="490">
        <v>46387</v>
      </c>
      <c r="D1811" s="491"/>
      <c r="E1811" s="491"/>
      <c r="F1811" s="456" t="s">
        <v>191</v>
      </c>
      <c r="G1811" s="491">
        <v>1</v>
      </c>
      <c r="H1811" s="431">
        <v>25</v>
      </c>
      <c r="I1811" s="491">
        <f t="shared" si="256"/>
        <v>25</v>
      </c>
      <c r="J1811" s="492">
        <v>17</v>
      </c>
      <c r="K1811" s="492">
        <f>I1811*J1811</f>
        <v>425</v>
      </c>
    </row>
    <row r="1812" s="456" customFormat="1" spans="1:26">
      <c r="A1812" s="488">
        <v>46387</v>
      </c>
      <c r="B1812" s="489" t="s">
        <v>139</v>
      </c>
      <c r="C1812" s="490">
        <v>46387</v>
      </c>
      <c r="D1812" s="491"/>
      <c r="E1812" s="491"/>
      <c r="F1812" s="493" t="s">
        <v>152</v>
      </c>
      <c r="G1812" s="491">
        <v>1</v>
      </c>
      <c r="H1812" s="431">
        <v>85</v>
      </c>
      <c r="I1812" s="491">
        <f t="shared" si="256"/>
        <v>85</v>
      </c>
      <c r="J1812" s="492">
        <v>6.2</v>
      </c>
      <c r="K1812" s="492">
        <f t="shared" ref="K1812:K1817" si="257">I1812*J1812</f>
        <v>527</v>
      </c>
    </row>
    <row r="1813" s="456" customFormat="1" spans="1:26">
      <c r="A1813" s="488">
        <v>46387</v>
      </c>
      <c r="B1813" s="489" t="s">
        <v>139</v>
      </c>
      <c r="C1813" s="490">
        <v>46387</v>
      </c>
      <c r="D1813" s="491"/>
      <c r="E1813" s="491"/>
      <c r="F1813" s="493" t="s">
        <v>125</v>
      </c>
      <c r="G1813" s="491">
        <v>1</v>
      </c>
      <c r="H1813" s="431">
        <v>45</v>
      </c>
      <c r="I1813" s="491">
        <f t="shared" si="256"/>
        <v>45</v>
      </c>
      <c r="J1813" s="492">
        <v>5.1</v>
      </c>
      <c r="K1813" s="492">
        <f t="shared" si="257"/>
        <v>229.5</v>
      </c>
    </row>
    <row r="1814" s="456" customFormat="1" spans="1:26">
      <c r="A1814" s="488">
        <v>46387</v>
      </c>
      <c r="B1814" s="489" t="s">
        <v>139</v>
      </c>
      <c r="C1814" s="490">
        <v>46387</v>
      </c>
      <c r="D1814" s="491"/>
      <c r="E1814" s="491"/>
      <c r="F1814" s="493" t="s">
        <v>12</v>
      </c>
      <c r="G1814" s="491">
        <v>1</v>
      </c>
      <c r="H1814" s="431">
        <v>30</v>
      </c>
      <c r="I1814" s="491">
        <f t="shared" si="256"/>
        <v>30</v>
      </c>
      <c r="J1814" s="492">
        <v>6</v>
      </c>
      <c r="K1814" s="492">
        <f t="shared" si="257"/>
        <v>180</v>
      </c>
    </row>
    <row r="1815" s="456" customFormat="1" spans="1:26">
      <c r="A1815" s="488">
        <v>46387</v>
      </c>
      <c r="B1815" s="489" t="s">
        <v>139</v>
      </c>
      <c r="C1815" s="490">
        <v>46387</v>
      </c>
      <c r="D1815" s="491"/>
      <c r="E1815" s="491"/>
      <c r="F1815" s="493" t="s">
        <v>132</v>
      </c>
      <c r="G1815" s="491">
        <v>1</v>
      </c>
      <c r="H1815" s="431">
        <v>239</v>
      </c>
      <c r="I1815" s="491">
        <f t="shared" si="256"/>
        <v>239</v>
      </c>
      <c r="J1815" s="492">
        <v>3</v>
      </c>
      <c r="K1815" s="492">
        <f t="shared" si="257"/>
        <v>717</v>
      </c>
    </row>
    <row r="1816" s="456" customFormat="1" spans="1:26">
      <c r="A1816" s="488">
        <v>46387</v>
      </c>
      <c r="B1816" s="489" t="s">
        <v>139</v>
      </c>
      <c r="C1816" s="490">
        <v>46387</v>
      </c>
      <c r="D1816" s="491"/>
      <c r="E1816" s="491"/>
      <c r="F1816" s="493" t="s">
        <v>791</v>
      </c>
      <c r="G1816" s="491">
        <v>1</v>
      </c>
      <c r="H1816" s="431">
        <v>2.5</v>
      </c>
      <c r="I1816" s="491">
        <f t="shared" si="256"/>
        <v>2.5</v>
      </c>
      <c r="J1816" s="492">
        <v>25</v>
      </c>
      <c r="K1816" s="492">
        <f t="shared" si="257"/>
        <v>62.5</v>
      </c>
    </row>
    <row r="1817" s="456" customFormat="1" spans="1:26">
      <c r="A1817" s="488">
        <v>46387</v>
      </c>
      <c r="B1817" s="489" t="s">
        <v>139</v>
      </c>
      <c r="C1817" s="490">
        <v>46387</v>
      </c>
      <c r="D1817" s="491"/>
      <c r="E1817" s="491"/>
      <c r="F1817" s="493" t="s">
        <v>212</v>
      </c>
      <c r="G1817" s="491">
        <v>1</v>
      </c>
      <c r="H1817" s="431">
        <f>SUM(H1807:H1816)</f>
        <v>1002.5</v>
      </c>
      <c r="I1817" s="491">
        <f t="shared" si="256"/>
        <v>1002.5</v>
      </c>
      <c r="J1817" s="492">
        <v>1</v>
      </c>
      <c r="K1817" s="492">
        <f t="shared" si="257"/>
        <v>1002.5</v>
      </c>
      <c r="L1817" s="456">
        <f>SUM(K1807:K1817)</f>
        <v>3143.5</v>
      </c>
    </row>
    <row r="1818" s="457" customFormat="1" spans="1:26">
      <c r="A1818" s="494">
        <v>46022</v>
      </c>
      <c r="B1818" s="442" t="s">
        <v>219</v>
      </c>
      <c r="C1818" s="495">
        <v>46022</v>
      </c>
      <c r="D1818" s="463"/>
      <c r="E1818" s="463"/>
      <c r="F1818" s="496" t="s">
        <v>901</v>
      </c>
      <c r="G1818" s="463">
        <v>1</v>
      </c>
      <c r="H1818" s="432">
        <v>103</v>
      </c>
      <c r="I1818" s="463">
        <v>103</v>
      </c>
      <c r="J1818" s="497"/>
      <c r="K1818" s="497"/>
    </row>
    <row r="1819" s="457" customFormat="1" spans="1:26">
      <c r="A1819" s="494">
        <v>46022</v>
      </c>
      <c r="B1819" s="442" t="s">
        <v>219</v>
      </c>
      <c r="C1819" s="495">
        <v>46022</v>
      </c>
      <c r="D1819" s="463"/>
      <c r="E1819" s="463"/>
      <c r="F1819" s="496" t="s">
        <v>191</v>
      </c>
      <c r="G1819" s="463">
        <v>1</v>
      </c>
      <c r="H1819" s="432">
        <v>10</v>
      </c>
      <c r="I1819" s="463">
        <f>G1819*H1819</f>
        <v>10</v>
      </c>
      <c r="J1819" s="497">
        <v>17</v>
      </c>
      <c r="K1819" s="497">
        <f>I1819*J1819</f>
        <v>170</v>
      </c>
    </row>
    <row r="1820" s="457" customFormat="1" spans="1:26">
      <c r="A1820" s="494">
        <v>46022</v>
      </c>
      <c r="B1820" s="442" t="s">
        <v>219</v>
      </c>
      <c r="C1820" s="495">
        <v>46022</v>
      </c>
      <c r="D1820" s="463"/>
      <c r="E1820" s="463"/>
      <c r="F1820" s="496" t="s">
        <v>125</v>
      </c>
      <c r="G1820" s="463">
        <v>1</v>
      </c>
      <c r="H1820" s="432">
        <v>36.5</v>
      </c>
      <c r="I1820" s="463">
        <f>G1820*H1820</f>
        <v>36.5</v>
      </c>
      <c r="J1820" s="497">
        <v>5.1</v>
      </c>
      <c r="K1820" s="497">
        <f>I1820*J1820</f>
        <v>186.15</v>
      </c>
    </row>
    <row r="1821" s="457" customFormat="1" spans="1:26">
      <c r="A1821" s="494">
        <v>46022</v>
      </c>
      <c r="B1821" s="442" t="s">
        <v>219</v>
      </c>
      <c r="C1821" s="495">
        <v>46022</v>
      </c>
      <c r="D1821" s="463"/>
      <c r="E1821" s="463"/>
      <c r="F1821" s="496" t="s">
        <v>132</v>
      </c>
      <c r="G1821" s="463">
        <v>1</v>
      </c>
      <c r="H1821" s="432">
        <v>32</v>
      </c>
      <c r="I1821" s="463">
        <f>G1821*H1821</f>
        <v>32</v>
      </c>
      <c r="J1821" s="497">
        <v>3</v>
      </c>
      <c r="K1821" s="497">
        <f>I1821*J1821</f>
        <v>96</v>
      </c>
    </row>
    <row r="1822" s="457" customFormat="1" spans="1:26">
      <c r="A1822" s="494">
        <v>46022</v>
      </c>
      <c r="B1822" s="442" t="s">
        <v>219</v>
      </c>
      <c r="C1822" s="495">
        <v>46022</v>
      </c>
      <c r="D1822" s="463"/>
      <c r="E1822" s="463"/>
      <c r="F1822" s="496" t="s">
        <v>749</v>
      </c>
      <c r="G1822" s="463">
        <v>1</v>
      </c>
      <c r="H1822" s="432">
        <f>SUM(H1818:H1821)</f>
        <v>181.5</v>
      </c>
      <c r="I1822" s="463">
        <f t="shared" ref="I1822:I1839" si="258">G1822*H1822</f>
        <v>181.5</v>
      </c>
      <c r="J1822" s="497">
        <v>1</v>
      </c>
      <c r="K1822" s="497">
        <f t="shared" ref="K1822:K1832" si="259">I1822*J1822</f>
        <v>181.5</v>
      </c>
      <c r="L1822" s="457">
        <f>SUM(K1819:K1822)</f>
        <v>633.65</v>
      </c>
    </row>
    <row r="1823" s="458" customFormat="1" ht="26" customHeight="1" spans="1:26">
      <c r="A1823" s="589">
        <v>46023</v>
      </c>
      <c r="B1823" s="510"/>
      <c r="C1823" s="510"/>
      <c r="D1823" s="510"/>
      <c r="E1823" s="510"/>
      <c r="F1823" s="510"/>
      <c r="G1823" s="510"/>
      <c r="H1823" s="510"/>
      <c r="I1823" s="510"/>
      <c r="J1823" s="511" t="s">
        <v>28</v>
      </c>
      <c r="K1823" s="557">
        <f>SUM(K1826:K1961)</f>
        <v>25020.8</v>
      </c>
      <c r="L1823" s="458" t="s">
        <v>29</v>
      </c>
      <c r="M1823" s="509">
        <f>材料!L1</f>
        <v>1561.4</v>
      </c>
      <c r="N1823" s="513" t="s">
        <v>30</v>
      </c>
      <c r="O1823" s="509">
        <f>K1837+K1842+K1850+K1858+K1866+K1874+K1879</f>
        <v>5082.8</v>
      </c>
      <c r="P1823" s="510" t="s">
        <v>31</v>
      </c>
      <c r="Q1823" s="509">
        <f>K1827+K1828</f>
        <v>1550</v>
      </c>
      <c r="R1823" s="442"/>
      <c r="S1823" s="442"/>
      <c r="T1823" s="442"/>
      <c r="U1823" s="442"/>
      <c r="V1823" s="442"/>
      <c r="W1823" s="442"/>
      <c r="X1823" s="442"/>
      <c r="Y1823" s="442"/>
      <c r="Z1823" s="442"/>
    </row>
    <row r="1824" s="458" customFormat="1" ht="26" customHeight="1" spans="1:26">
      <c r="A1824" s="509"/>
      <c r="B1824" s="510"/>
      <c r="C1824" s="510"/>
      <c r="D1824" s="510"/>
      <c r="E1824" s="510"/>
      <c r="F1824" s="510"/>
      <c r="G1824" s="510"/>
      <c r="H1824" s="510"/>
      <c r="I1824" s="510"/>
      <c r="J1824" s="510" t="s">
        <v>32</v>
      </c>
      <c r="K1824" s="510"/>
      <c r="L1824" s="458" t="s">
        <v>33</v>
      </c>
      <c r="M1824" s="509">
        <f>K1826+K1829+K1875</f>
        <v>605</v>
      </c>
      <c r="N1824" s="514" t="s">
        <v>34</v>
      </c>
      <c r="O1824" s="557">
        <f>M1823+M1824+O1823+Q1823</f>
        <v>8799.2</v>
      </c>
      <c r="R1824" s="457"/>
      <c r="S1824" s="457"/>
      <c r="T1824" s="457"/>
      <c r="U1824" s="457"/>
      <c r="V1824" s="457"/>
      <c r="W1824" s="457"/>
      <c r="X1824" s="457"/>
      <c r="Y1824" s="457"/>
      <c r="Z1824" s="457"/>
    </row>
    <row r="1825" s="442" customFormat="1" ht="26" customHeight="1" spans="1:26">
      <c r="A1825" s="483" t="s">
        <v>35</v>
      </c>
      <c r="B1825" s="484" t="s">
        <v>36</v>
      </c>
      <c r="C1825" s="485" t="s">
        <v>37</v>
      </c>
      <c r="D1825" s="485"/>
      <c r="E1825" s="485"/>
      <c r="F1825" s="485" t="s">
        <v>38</v>
      </c>
      <c r="G1825" s="485" t="s">
        <v>4</v>
      </c>
      <c r="H1825" s="485" t="s">
        <v>5</v>
      </c>
      <c r="I1825" s="485" t="s">
        <v>6</v>
      </c>
      <c r="J1825" s="485" t="s">
        <v>7</v>
      </c>
      <c r="K1825" s="485" t="s">
        <v>8</v>
      </c>
      <c r="L1825" s="485" t="s">
        <v>39</v>
      </c>
      <c r="M1825" s="485" t="s">
        <v>40</v>
      </c>
      <c r="N1825" s="427"/>
      <c r="O1825" s="427"/>
      <c r="P1825" s="458"/>
      <c r="Q1825" s="458"/>
      <c r="R1825" s="457"/>
      <c r="S1825" s="457"/>
      <c r="T1825" s="457"/>
      <c r="U1825" s="457"/>
      <c r="V1825" s="457"/>
      <c r="W1825" s="457"/>
      <c r="X1825" s="457"/>
      <c r="Y1825" s="457"/>
      <c r="Z1825" s="457"/>
    </row>
    <row r="1826" s="323" customFormat="1" spans="1:26">
      <c r="A1826" s="494">
        <v>46024</v>
      </c>
      <c r="B1826" s="442" t="s">
        <v>792</v>
      </c>
      <c r="C1826" s="519">
        <v>46387</v>
      </c>
      <c r="D1826" s="520"/>
      <c r="E1826" s="520"/>
      <c r="F1826" s="498" t="s">
        <v>902</v>
      </c>
      <c r="G1826" s="520">
        <v>20</v>
      </c>
      <c r="H1826" s="521">
        <v>1</v>
      </c>
      <c r="I1826" s="520">
        <f t="shared" si="258"/>
        <v>20</v>
      </c>
      <c r="J1826" s="515">
        <v>12.5</v>
      </c>
      <c r="K1826" s="515">
        <f t="shared" si="259"/>
        <v>250</v>
      </c>
      <c r="T1826" s="457"/>
    </row>
    <row r="1827" s="457" customFormat="1" spans="1:26">
      <c r="A1827" s="494">
        <v>46024</v>
      </c>
      <c r="B1827" s="442" t="s">
        <v>792</v>
      </c>
      <c r="C1827" s="495">
        <v>46024</v>
      </c>
      <c r="D1827" s="463"/>
      <c r="E1827" s="463"/>
      <c r="F1827" s="550" t="s">
        <v>284</v>
      </c>
      <c r="G1827" s="463">
        <v>10</v>
      </c>
      <c r="H1827" s="432">
        <v>4</v>
      </c>
      <c r="I1827" s="463">
        <f t="shared" si="258"/>
        <v>40</v>
      </c>
      <c r="J1827" s="497">
        <v>15.5</v>
      </c>
      <c r="K1827" s="497">
        <f t="shared" si="259"/>
        <v>620</v>
      </c>
      <c r="L1827" s="457" t="s">
        <v>903</v>
      </c>
      <c r="M1827" s="442"/>
      <c r="O1827" s="442"/>
      <c r="S1827" s="442"/>
    </row>
    <row r="1828" s="457" customFormat="1" spans="1:26">
      <c r="A1828" s="494">
        <v>46024</v>
      </c>
      <c r="B1828" s="442" t="s">
        <v>792</v>
      </c>
      <c r="C1828" s="495">
        <v>46024</v>
      </c>
      <c r="D1828" s="463"/>
      <c r="E1828" s="463"/>
      <c r="F1828" s="550" t="s">
        <v>284</v>
      </c>
      <c r="G1828" s="463">
        <v>6</v>
      </c>
      <c r="H1828" s="432">
        <v>10</v>
      </c>
      <c r="I1828" s="463">
        <f t="shared" si="258"/>
        <v>60</v>
      </c>
      <c r="J1828" s="497">
        <v>15.5</v>
      </c>
      <c r="K1828" s="497">
        <f t="shared" si="259"/>
        <v>930</v>
      </c>
      <c r="L1828" s="457" t="s">
        <v>849</v>
      </c>
      <c r="M1828" s="442"/>
      <c r="O1828" s="442"/>
      <c r="S1828" s="442"/>
    </row>
    <row r="1829" s="457" customFormat="1" spans="1:26">
      <c r="A1829" s="494">
        <v>46024</v>
      </c>
      <c r="B1829" s="442" t="s">
        <v>792</v>
      </c>
      <c r="C1829" s="495">
        <v>46024</v>
      </c>
      <c r="D1829" s="463"/>
      <c r="E1829" s="463"/>
      <c r="F1829" s="550" t="s">
        <v>666</v>
      </c>
      <c r="G1829" s="463">
        <v>10</v>
      </c>
      <c r="H1829" s="432">
        <v>1</v>
      </c>
      <c r="I1829" s="463">
        <f t="shared" si="258"/>
        <v>10</v>
      </c>
      <c r="J1829" s="497">
        <v>5.5</v>
      </c>
      <c r="K1829" s="497">
        <f t="shared" si="259"/>
        <v>55</v>
      </c>
      <c r="L1829" s="496">
        <f>SUM(K1824:K1829)</f>
        <v>1855</v>
      </c>
    </row>
    <row r="1830" s="456" customFormat="1" spans="1:26">
      <c r="A1830" s="488">
        <v>46024</v>
      </c>
      <c r="B1830" s="489" t="s">
        <v>236</v>
      </c>
      <c r="C1830" s="490">
        <v>46024</v>
      </c>
      <c r="D1830" s="491"/>
      <c r="E1830" s="491"/>
      <c r="F1830" s="493">
        <v>808</v>
      </c>
      <c r="G1830" s="491">
        <v>1</v>
      </c>
      <c r="H1830" s="431">
        <v>50</v>
      </c>
      <c r="I1830" s="491">
        <f t="shared" si="258"/>
        <v>50</v>
      </c>
      <c r="J1830" s="492">
        <v>7.1</v>
      </c>
      <c r="K1830" s="492">
        <f t="shared" si="259"/>
        <v>355</v>
      </c>
    </row>
    <row r="1831" s="456" customFormat="1" spans="1:26">
      <c r="A1831" s="488">
        <v>46024</v>
      </c>
      <c r="B1831" s="489" t="s">
        <v>236</v>
      </c>
      <c r="C1831" s="490">
        <v>46024</v>
      </c>
      <c r="D1831" s="491"/>
      <c r="E1831" s="491"/>
      <c r="F1831" s="493" t="s">
        <v>152</v>
      </c>
      <c r="G1831" s="491">
        <v>1</v>
      </c>
      <c r="H1831" s="431">
        <v>124</v>
      </c>
      <c r="I1831" s="491">
        <f t="shared" si="258"/>
        <v>124</v>
      </c>
      <c r="J1831" s="492">
        <v>6.1</v>
      </c>
      <c r="K1831" s="492">
        <f t="shared" si="259"/>
        <v>756.4</v>
      </c>
    </row>
    <row r="1832" s="456" customFormat="1" spans="1:26">
      <c r="A1832" s="488">
        <v>46024</v>
      </c>
      <c r="B1832" s="489" t="s">
        <v>236</v>
      </c>
      <c r="C1832" s="490">
        <v>46024</v>
      </c>
      <c r="D1832" s="491"/>
      <c r="E1832" s="491"/>
      <c r="F1832" s="493" t="s">
        <v>12</v>
      </c>
      <c r="G1832" s="491">
        <v>1</v>
      </c>
      <c r="H1832" s="431">
        <v>75</v>
      </c>
      <c r="I1832" s="491">
        <f t="shared" si="258"/>
        <v>75</v>
      </c>
      <c r="J1832" s="492">
        <v>6</v>
      </c>
      <c r="K1832" s="492">
        <f t="shared" si="259"/>
        <v>450</v>
      </c>
    </row>
    <row r="1833" s="456" customFormat="1" spans="1:26">
      <c r="A1833" s="488">
        <v>46024</v>
      </c>
      <c r="B1833" s="489" t="s">
        <v>236</v>
      </c>
      <c r="C1833" s="490">
        <v>46024</v>
      </c>
      <c r="D1833" s="491"/>
      <c r="E1833" s="491"/>
      <c r="F1833" s="493" t="s">
        <v>709</v>
      </c>
      <c r="G1833" s="491">
        <v>1</v>
      </c>
      <c r="H1833" s="431">
        <v>150</v>
      </c>
      <c r="I1833" s="491">
        <f t="shared" si="258"/>
        <v>150</v>
      </c>
      <c r="J1833" s="492"/>
      <c r="K1833" s="492"/>
      <c r="L1833" s="456" t="s">
        <v>126</v>
      </c>
    </row>
    <row r="1834" s="456" customFormat="1" spans="1:26">
      <c r="A1834" s="488">
        <v>46024</v>
      </c>
      <c r="B1834" s="489" t="s">
        <v>236</v>
      </c>
      <c r="C1834" s="490">
        <v>46024</v>
      </c>
      <c r="D1834" s="491"/>
      <c r="E1834" s="491"/>
      <c r="F1834" s="493" t="s">
        <v>860</v>
      </c>
      <c r="G1834" s="491">
        <v>1</v>
      </c>
      <c r="H1834" s="431">
        <v>283</v>
      </c>
      <c r="I1834" s="491">
        <f t="shared" si="258"/>
        <v>283</v>
      </c>
      <c r="J1834" s="492"/>
      <c r="K1834" s="492"/>
    </row>
    <row r="1835" s="456" customFormat="1" spans="1:26">
      <c r="A1835" s="488">
        <v>46024</v>
      </c>
      <c r="B1835" s="489" t="s">
        <v>236</v>
      </c>
      <c r="C1835" s="490">
        <v>46024</v>
      </c>
      <c r="D1835" s="491"/>
      <c r="E1835" s="491"/>
      <c r="F1835" s="493" t="s">
        <v>782</v>
      </c>
      <c r="G1835" s="491">
        <v>1</v>
      </c>
      <c r="H1835" s="431">
        <v>168</v>
      </c>
      <c r="I1835" s="491">
        <f t="shared" si="258"/>
        <v>168</v>
      </c>
      <c r="J1835" s="492"/>
      <c r="K1835" s="492"/>
    </row>
    <row r="1836" s="456" customFormat="1" spans="1:26">
      <c r="A1836" s="488">
        <v>46024</v>
      </c>
      <c r="B1836" s="489" t="s">
        <v>236</v>
      </c>
      <c r="C1836" s="490">
        <v>46024</v>
      </c>
      <c r="D1836" s="491"/>
      <c r="E1836" s="491"/>
      <c r="F1836" s="493" t="s">
        <v>16</v>
      </c>
      <c r="G1836" s="491">
        <v>1</v>
      </c>
      <c r="H1836" s="431">
        <v>150</v>
      </c>
      <c r="I1836" s="491">
        <f t="shared" si="258"/>
        <v>150</v>
      </c>
      <c r="J1836" s="492"/>
      <c r="K1836" s="492"/>
    </row>
    <row r="1837" s="456" customFormat="1" spans="1:26">
      <c r="A1837" s="488">
        <v>46024</v>
      </c>
      <c r="B1837" s="489" t="s">
        <v>236</v>
      </c>
      <c r="C1837" s="490">
        <v>46024</v>
      </c>
      <c r="D1837" s="491"/>
      <c r="E1837" s="491"/>
      <c r="F1837" s="493" t="s">
        <v>783</v>
      </c>
      <c r="G1837" s="491">
        <v>1</v>
      </c>
      <c r="H1837" s="431">
        <f>SUM(H1830:H1836)</f>
        <v>1000</v>
      </c>
      <c r="I1837" s="491">
        <f t="shared" si="258"/>
        <v>1000</v>
      </c>
      <c r="J1837" s="492">
        <v>1</v>
      </c>
      <c r="K1837" s="492">
        <f>I1837*J1837</f>
        <v>1000</v>
      </c>
      <c r="M1837" s="456">
        <f>SUM(K1830:K1837)</f>
        <v>2561.4</v>
      </c>
    </row>
    <row r="1838" s="457" customFormat="1" spans="1:26">
      <c r="A1838" s="494">
        <v>46032</v>
      </c>
      <c r="B1838" s="442" t="s">
        <v>250</v>
      </c>
      <c r="C1838" s="495">
        <v>46032</v>
      </c>
      <c r="D1838" s="463"/>
      <c r="E1838" s="463"/>
      <c r="F1838" s="496" t="s">
        <v>16</v>
      </c>
      <c r="G1838" s="463">
        <v>1</v>
      </c>
      <c r="H1838" s="432">
        <v>64</v>
      </c>
      <c r="I1838" s="463">
        <f t="shared" si="258"/>
        <v>64</v>
      </c>
      <c r="J1838" s="497">
        <v>13.5</v>
      </c>
      <c r="K1838" s="497"/>
    </row>
    <row r="1839" s="457" customFormat="1" spans="1:26">
      <c r="A1839" s="494">
        <v>46032</v>
      </c>
      <c r="B1839" s="442" t="s">
        <v>250</v>
      </c>
      <c r="C1839" s="495">
        <v>46032</v>
      </c>
      <c r="D1839" s="463"/>
      <c r="E1839" s="463"/>
      <c r="F1839" s="496" t="s">
        <v>766</v>
      </c>
      <c r="G1839" s="463">
        <v>1</v>
      </c>
      <c r="H1839" s="432">
        <v>200</v>
      </c>
      <c r="I1839" s="463">
        <f t="shared" si="258"/>
        <v>200</v>
      </c>
      <c r="J1839" s="497"/>
      <c r="K1839" s="497"/>
    </row>
    <row r="1840" s="457" customFormat="1" spans="1:26">
      <c r="A1840" s="494">
        <v>46032</v>
      </c>
      <c r="B1840" s="442" t="s">
        <v>250</v>
      </c>
      <c r="C1840" s="495">
        <v>46032</v>
      </c>
      <c r="D1840" s="463"/>
      <c r="E1840" s="463"/>
      <c r="F1840" s="496">
        <v>808</v>
      </c>
      <c r="G1840" s="463">
        <v>1</v>
      </c>
      <c r="H1840" s="432">
        <v>40</v>
      </c>
      <c r="I1840" s="463">
        <f t="shared" ref="I1840:I1849" si="260">G1840*H1840</f>
        <v>40</v>
      </c>
      <c r="J1840" s="497">
        <v>7.1</v>
      </c>
      <c r="K1840" s="497">
        <f>I1840*J1840</f>
        <v>284</v>
      </c>
    </row>
    <row r="1841" s="457" customFormat="1" spans="1:13">
      <c r="A1841" s="494">
        <v>46032</v>
      </c>
      <c r="B1841" s="442" t="s">
        <v>250</v>
      </c>
      <c r="C1841" s="495">
        <v>46032</v>
      </c>
      <c r="D1841" s="463"/>
      <c r="E1841" s="463"/>
      <c r="F1841" s="496" t="s">
        <v>12</v>
      </c>
      <c r="G1841" s="463">
        <v>1</v>
      </c>
      <c r="H1841" s="432">
        <v>40</v>
      </c>
      <c r="I1841" s="463">
        <f t="shared" si="260"/>
        <v>40</v>
      </c>
      <c r="J1841" s="497">
        <v>6</v>
      </c>
      <c r="K1841" s="497">
        <f>I1841*J1841</f>
        <v>240</v>
      </c>
      <c r="M1841" s="554">
        <f>SUBTOTAL(9,K1841:K2027)</f>
        <v>20320.4</v>
      </c>
    </row>
    <row r="1842" s="457" customFormat="1" spans="1:13">
      <c r="A1842" s="494">
        <v>46032</v>
      </c>
      <c r="B1842" s="442" t="s">
        <v>250</v>
      </c>
      <c r="C1842" s="495">
        <v>46032</v>
      </c>
      <c r="D1842" s="463"/>
      <c r="E1842" s="463"/>
      <c r="F1842" s="496" t="s">
        <v>456</v>
      </c>
      <c r="G1842" s="463">
        <v>1</v>
      </c>
      <c r="H1842" s="432">
        <f>SUM(H1838:H1841)</f>
        <v>344</v>
      </c>
      <c r="I1842" s="463">
        <f t="shared" si="260"/>
        <v>344</v>
      </c>
      <c r="J1842" s="497">
        <v>3</v>
      </c>
      <c r="K1842" s="497">
        <f>I1842*J1842</f>
        <v>1032</v>
      </c>
      <c r="L1842" s="457">
        <f>SUM(K1838:K1842)</f>
        <v>1556</v>
      </c>
    </row>
    <row r="1843" s="456" customFormat="1" spans="1:13">
      <c r="A1843" s="488">
        <v>46032</v>
      </c>
      <c r="B1843" s="489" t="s">
        <v>457</v>
      </c>
      <c r="C1843" s="490">
        <v>46029</v>
      </c>
      <c r="D1843" s="491"/>
      <c r="E1843" s="491"/>
      <c r="F1843" s="493">
        <v>808</v>
      </c>
      <c r="G1843" s="491">
        <v>1</v>
      </c>
      <c r="H1843" s="491">
        <v>14</v>
      </c>
      <c r="I1843" s="491">
        <f t="shared" ref="I1843:I1858" si="261">G1843*H1843</f>
        <v>14</v>
      </c>
      <c r="J1843" s="492">
        <v>7.1</v>
      </c>
      <c r="K1843" s="492">
        <f>I1843*J1843</f>
        <v>99.4</v>
      </c>
    </row>
    <row r="1844" s="456" customFormat="1" spans="1:13">
      <c r="A1844" s="488">
        <v>46032</v>
      </c>
      <c r="B1844" s="489" t="s">
        <v>457</v>
      </c>
      <c r="C1844" s="490">
        <v>46029</v>
      </c>
      <c r="D1844" s="491"/>
      <c r="E1844" s="491"/>
      <c r="F1844" s="493" t="s">
        <v>125</v>
      </c>
      <c r="G1844" s="491">
        <v>1</v>
      </c>
      <c r="H1844" s="491">
        <v>8</v>
      </c>
      <c r="I1844" s="491">
        <f t="shared" si="261"/>
        <v>8</v>
      </c>
      <c r="J1844" s="492">
        <v>5.1</v>
      </c>
      <c r="K1844" s="492">
        <f>I1844*J1844</f>
        <v>40.8</v>
      </c>
    </row>
    <row r="1845" s="456" customFormat="1" spans="1:13">
      <c r="A1845" s="488">
        <v>46032</v>
      </c>
      <c r="B1845" s="489" t="s">
        <v>457</v>
      </c>
      <c r="C1845" s="490">
        <v>46029</v>
      </c>
      <c r="D1845" s="491"/>
      <c r="E1845" s="491"/>
      <c r="F1845" s="493" t="s">
        <v>904</v>
      </c>
      <c r="G1845" s="491">
        <v>1</v>
      </c>
      <c r="H1845" s="491">
        <v>13</v>
      </c>
      <c r="I1845" s="491">
        <f t="shared" si="261"/>
        <v>13</v>
      </c>
      <c r="J1845" s="492"/>
      <c r="K1845" s="492"/>
    </row>
    <row r="1846" s="456" customFormat="1" spans="1:13">
      <c r="A1846" s="488">
        <v>46032</v>
      </c>
      <c r="B1846" s="489" t="s">
        <v>457</v>
      </c>
      <c r="C1846" s="490">
        <v>46029</v>
      </c>
      <c r="D1846" s="491"/>
      <c r="E1846" s="491"/>
      <c r="F1846" s="493" t="s">
        <v>905</v>
      </c>
      <c r="G1846" s="491">
        <v>1</v>
      </c>
      <c r="H1846" s="491">
        <v>22</v>
      </c>
      <c r="I1846" s="491">
        <f t="shared" si="261"/>
        <v>22</v>
      </c>
      <c r="J1846" s="492"/>
      <c r="K1846" s="492"/>
    </row>
    <row r="1847" s="456" customFormat="1" spans="1:13">
      <c r="A1847" s="488">
        <v>46032</v>
      </c>
      <c r="B1847" s="489" t="s">
        <v>457</v>
      </c>
      <c r="C1847" s="490">
        <v>46029</v>
      </c>
      <c r="D1847" s="491"/>
      <c r="E1847" s="491"/>
      <c r="F1847" s="493" t="s">
        <v>730</v>
      </c>
      <c r="G1847" s="491">
        <v>1</v>
      </c>
      <c r="H1847" s="491">
        <v>28</v>
      </c>
      <c r="I1847" s="491">
        <f t="shared" si="261"/>
        <v>28</v>
      </c>
      <c r="J1847" s="492"/>
      <c r="K1847" s="492"/>
      <c r="L1847" s="456" t="s">
        <v>731</v>
      </c>
    </row>
    <row r="1848" s="456" customFormat="1" spans="1:13">
      <c r="A1848" s="488">
        <v>46032</v>
      </c>
      <c r="B1848" s="489" t="s">
        <v>457</v>
      </c>
      <c r="C1848" s="490">
        <v>46029</v>
      </c>
      <c r="D1848" s="491"/>
      <c r="E1848" s="491"/>
      <c r="F1848" s="493" t="s">
        <v>115</v>
      </c>
      <c r="G1848" s="491">
        <v>1</v>
      </c>
      <c r="H1848" s="491">
        <v>14</v>
      </c>
      <c r="I1848" s="491">
        <f t="shared" si="261"/>
        <v>14</v>
      </c>
      <c r="J1848" s="492"/>
      <c r="K1848" s="492"/>
    </row>
    <row r="1849" s="456" customFormat="1" spans="1:13">
      <c r="A1849" s="488">
        <v>46032</v>
      </c>
      <c r="B1849" s="489" t="s">
        <v>457</v>
      </c>
      <c r="C1849" s="490">
        <v>46029</v>
      </c>
      <c r="D1849" s="491"/>
      <c r="E1849" s="491"/>
      <c r="F1849" s="493" t="s">
        <v>811</v>
      </c>
      <c r="G1849" s="491">
        <v>1</v>
      </c>
      <c r="H1849" s="491">
        <v>11</v>
      </c>
      <c r="I1849" s="491">
        <f t="shared" si="261"/>
        <v>11</v>
      </c>
      <c r="J1849" s="492"/>
      <c r="K1849" s="492"/>
    </row>
    <row r="1850" s="456" customFormat="1" spans="1:13">
      <c r="A1850" s="488">
        <v>46032</v>
      </c>
      <c r="B1850" s="489" t="s">
        <v>457</v>
      </c>
      <c r="C1850" s="490">
        <v>46029</v>
      </c>
      <c r="D1850" s="491"/>
      <c r="E1850" s="491"/>
      <c r="F1850" s="493" t="s">
        <v>330</v>
      </c>
      <c r="G1850" s="491">
        <v>1</v>
      </c>
      <c r="H1850" s="431">
        <f>SUM(H1843:H1849)</f>
        <v>110</v>
      </c>
      <c r="I1850" s="491">
        <f t="shared" si="261"/>
        <v>110</v>
      </c>
      <c r="J1850" s="492">
        <v>1</v>
      </c>
      <c r="K1850" s="492">
        <f>I1850*J1850</f>
        <v>110</v>
      </c>
      <c r="L1850" s="456">
        <f>SUM(K1843:K1850)</f>
        <v>250.2</v>
      </c>
    </row>
    <row r="1851" s="457" customFormat="1" spans="1:13">
      <c r="A1851" s="494">
        <v>46032</v>
      </c>
      <c r="B1851" s="442" t="s">
        <v>459</v>
      </c>
      <c r="C1851" s="495">
        <v>46032</v>
      </c>
      <c r="D1851" s="463"/>
      <c r="E1851" s="463"/>
      <c r="F1851" s="496" t="s">
        <v>251</v>
      </c>
      <c r="G1851" s="463">
        <v>1</v>
      </c>
      <c r="H1851" s="432">
        <v>150</v>
      </c>
      <c r="I1851" s="463">
        <f t="shared" si="261"/>
        <v>150</v>
      </c>
      <c r="J1851" s="497"/>
      <c r="K1851" s="497"/>
    </row>
    <row r="1852" s="457" customFormat="1" spans="1:13">
      <c r="A1852" s="494">
        <v>46032</v>
      </c>
      <c r="B1852" s="442" t="s">
        <v>459</v>
      </c>
      <c r="C1852" s="495">
        <v>46032</v>
      </c>
      <c r="D1852" s="463"/>
      <c r="E1852" s="463"/>
      <c r="F1852" s="496">
        <v>808</v>
      </c>
      <c r="G1852" s="463">
        <v>1</v>
      </c>
      <c r="H1852" s="432">
        <v>105</v>
      </c>
      <c r="I1852" s="463">
        <f t="shared" si="261"/>
        <v>105</v>
      </c>
      <c r="J1852" s="497">
        <v>7.1</v>
      </c>
      <c r="K1852" s="497">
        <f>I1852*J1852</f>
        <v>745.5</v>
      </c>
    </row>
    <row r="1853" s="457" customFormat="1" spans="1:13">
      <c r="A1853" s="494">
        <v>46032</v>
      </c>
      <c r="B1853" s="442" t="s">
        <v>459</v>
      </c>
      <c r="C1853" s="495">
        <v>46032</v>
      </c>
      <c r="D1853" s="463"/>
      <c r="E1853" s="463"/>
      <c r="F1853" s="496" t="s">
        <v>862</v>
      </c>
      <c r="G1853" s="463">
        <v>1</v>
      </c>
      <c r="H1853" s="432">
        <v>70</v>
      </c>
      <c r="I1853" s="463">
        <f t="shared" si="261"/>
        <v>70</v>
      </c>
      <c r="J1853" s="497"/>
      <c r="K1853" s="497"/>
    </row>
    <row r="1854" s="457" customFormat="1" spans="1:13">
      <c r="A1854" s="494">
        <v>46032</v>
      </c>
      <c r="B1854" s="442" t="s">
        <v>459</v>
      </c>
      <c r="C1854" s="495">
        <v>46032</v>
      </c>
      <c r="D1854" s="463"/>
      <c r="E1854" s="463"/>
      <c r="F1854" s="496" t="s">
        <v>900</v>
      </c>
      <c r="G1854" s="463">
        <v>1</v>
      </c>
      <c r="H1854" s="432">
        <v>53</v>
      </c>
      <c r="I1854" s="463">
        <f t="shared" si="261"/>
        <v>53</v>
      </c>
      <c r="J1854" s="497"/>
      <c r="K1854" s="497"/>
      <c r="M1854" s="457" t="s">
        <v>51</v>
      </c>
    </row>
    <row r="1855" s="457" customFormat="1" spans="1:13">
      <c r="A1855" s="494">
        <v>46032</v>
      </c>
      <c r="B1855" s="442" t="s">
        <v>459</v>
      </c>
      <c r="C1855" s="495">
        <v>46032</v>
      </c>
      <c r="D1855" s="463"/>
      <c r="E1855" s="463"/>
      <c r="F1855" s="496" t="s">
        <v>863</v>
      </c>
      <c r="G1855" s="463">
        <v>1</v>
      </c>
      <c r="H1855" s="432">
        <v>59</v>
      </c>
      <c r="I1855" s="463">
        <f t="shared" si="261"/>
        <v>59</v>
      </c>
      <c r="J1855" s="497"/>
      <c r="K1855" s="497"/>
      <c r="M1855" s="457" t="s">
        <v>51</v>
      </c>
    </row>
    <row r="1856" s="457" customFormat="1" spans="1:13">
      <c r="A1856" s="494">
        <v>46032</v>
      </c>
      <c r="B1856" s="442" t="s">
        <v>459</v>
      </c>
      <c r="C1856" s="495">
        <v>46032</v>
      </c>
      <c r="D1856" s="463"/>
      <c r="E1856" s="463"/>
      <c r="F1856" s="496" t="s">
        <v>12</v>
      </c>
      <c r="G1856" s="463">
        <v>1</v>
      </c>
      <c r="H1856" s="432">
        <v>50</v>
      </c>
      <c r="I1856" s="463">
        <f t="shared" si="261"/>
        <v>50</v>
      </c>
      <c r="J1856" s="497">
        <v>6</v>
      </c>
      <c r="K1856" s="497">
        <f>I1856*J1856</f>
        <v>300</v>
      </c>
    </row>
    <row r="1857" s="457" customFormat="1" spans="1:13">
      <c r="A1857" s="494">
        <v>46032</v>
      </c>
      <c r="B1857" s="442" t="s">
        <v>459</v>
      </c>
      <c r="C1857" s="495">
        <v>46032</v>
      </c>
      <c r="D1857" s="463"/>
      <c r="E1857" s="463"/>
      <c r="F1857" s="496" t="s">
        <v>125</v>
      </c>
      <c r="G1857" s="463">
        <v>1</v>
      </c>
      <c r="H1857" s="432">
        <v>13</v>
      </c>
      <c r="I1857" s="463">
        <f t="shared" si="261"/>
        <v>13</v>
      </c>
      <c r="J1857" s="497">
        <v>5.1</v>
      </c>
      <c r="K1857" s="497">
        <f>I1857*J1857</f>
        <v>66.3</v>
      </c>
      <c r="L1857" s="457" t="s">
        <v>683</v>
      </c>
    </row>
    <row r="1858" s="457" customFormat="1" spans="1:13">
      <c r="A1858" s="494">
        <v>46032</v>
      </c>
      <c r="B1858" s="442" t="s">
        <v>459</v>
      </c>
      <c r="C1858" s="495">
        <v>46032</v>
      </c>
      <c r="D1858" s="463"/>
      <c r="E1858" s="463"/>
      <c r="F1858" s="496" t="s">
        <v>47</v>
      </c>
      <c r="G1858" s="463">
        <v>1</v>
      </c>
      <c r="H1858" s="432">
        <f>SUM(H1851:H1857)</f>
        <v>500</v>
      </c>
      <c r="I1858" s="463">
        <f t="shared" si="261"/>
        <v>500</v>
      </c>
      <c r="J1858" s="497">
        <v>1</v>
      </c>
      <c r="K1858" s="497">
        <f>I1858*J1858</f>
        <v>500</v>
      </c>
      <c r="L1858" s="457">
        <f>SUM(K1851:K1858)</f>
        <v>1611.8</v>
      </c>
    </row>
    <row r="1859" s="456" customFormat="1" spans="1:13">
      <c r="A1859" s="488">
        <v>46035</v>
      </c>
      <c r="B1859" s="489" t="s">
        <v>461</v>
      </c>
      <c r="C1859" s="490">
        <v>46035</v>
      </c>
      <c r="D1859" s="491"/>
      <c r="E1859" s="491"/>
      <c r="F1859" s="493">
        <v>808</v>
      </c>
      <c r="G1859" s="491">
        <v>1</v>
      </c>
      <c r="H1859" s="431">
        <v>120</v>
      </c>
      <c r="I1859" s="491">
        <f t="shared" ref="I1859:I1891" si="262">G1859*H1859</f>
        <v>120</v>
      </c>
      <c r="J1859" s="492">
        <v>7.1</v>
      </c>
      <c r="K1859" s="492">
        <f>I1859*J1859</f>
        <v>852</v>
      </c>
    </row>
    <row r="1860" s="456" customFormat="1" spans="1:13">
      <c r="A1860" s="488">
        <v>46035</v>
      </c>
      <c r="B1860" s="489" t="s">
        <v>461</v>
      </c>
      <c r="C1860" s="490">
        <v>46035</v>
      </c>
      <c r="D1860" s="491"/>
      <c r="E1860" s="491"/>
      <c r="F1860" s="493" t="s">
        <v>12</v>
      </c>
      <c r="G1860" s="491">
        <v>1</v>
      </c>
      <c r="H1860" s="431">
        <v>74</v>
      </c>
      <c r="I1860" s="491">
        <f t="shared" si="262"/>
        <v>74</v>
      </c>
      <c r="J1860" s="492">
        <v>6</v>
      </c>
      <c r="K1860" s="492">
        <f>I1860*J1860</f>
        <v>444</v>
      </c>
    </row>
    <row r="1861" s="456" customFormat="1" spans="1:13">
      <c r="A1861" s="488">
        <v>46035</v>
      </c>
      <c r="B1861" s="489" t="s">
        <v>461</v>
      </c>
      <c r="C1861" s="490">
        <v>46035</v>
      </c>
      <c r="D1861" s="491"/>
      <c r="E1861" s="491"/>
      <c r="F1861" s="493" t="s">
        <v>13</v>
      </c>
      <c r="G1861" s="491">
        <v>1</v>
      </c>
      <c r="H1861" s="431">
        <v>180</v>
      </c>
      <c r="I1861" s="491">
        <f t="shared" si="262"/>
        <v>180</v>
      </c>
      <c r="J1861" s="492"/>
      <c r="K1861" s="492"/>
    </row>
    <row r="1862" s="456" customFormat="1" spans="1:13">
      <c r="A1862" s="488">
        <v>46035</v>
      </c>
      <c r="B1862" s="489" t="s">
        <v>461</v>
      </c>
      <c r="C1862" s="490">
        <v>46035</v>
      </c>
      <c r="D1862" s="491"/>
      <c r="E1862" s="491"/>
      <c r="F1862" s="493" t="s">
        <v>14</v>
      </c>
      <c r="G1862" s="491">
        <v>1</v>
      </c>
      <c r="H1862" s="431">
        <v>112</v>
      </c>
      <c r="I1862" s="491">
        <f t="shared" si="262"/>
        <v>112</v>
      </c>
      <c r="J1862" s="492"/>
      <c r="K1862" s="492"/>
    </row>
    <row r="1863" s="456" customFormat="1" spans="1:13">
      <c r="A1863" s="488">
        <v>46035</v>
      </c>
      <c r="B1863" s="489" t="s">
        <v>461</v>
      </c>
      <c r="C1863" s="490">
        <v>46035</v>
      </c>
      <c r="D1863" s="491"/>
      <c r="E1863" s="491"/>
      <c r="F1863" s="493" t="s">
        <v>14</v>
      </c>
      <c r="G1863" s="491">
        <v>1</v>
      </c>
      <c r="H1863" s="431">
        <v>88</v>
      </c>
      <c r="I1863" s="491">
        <f t="shared" si="262"/>
        <v>88</v>
      </c>
      <c r="J1863" s="492"/>
      <c r="K1863" s="492"/>
    </row>
    <row r="1864" s="456" customFormat="1" spans="1:13">
      <c r="A1864" s="488">
        <v>46035</v>
      </c>
      <c r="B1864" s="489" t="s">
        <v>461</v>
      </c>
      <c r="C1864" s="490">
        <v>46035</v>
      </c>
      <c r="D1864" s="491"/>
      <c r="E1864" s="491"/>
      <c r="F1864" s="493" t="s">
        <v>906</v>
      </c>
      <c r="G1864" s="491">
        <v>1</v>
      </c>
      <c r="H1864" s="431">
        <v>196</v>
      </c>
      <c r="I1864" s="491">
        <f t="shared" si="262"/>
        <v>196</v>
      </c>
      <c r="J1864" s="492"/>
      <c r="K1864" s="492"/>
    </row>
    <row r="1865" s="456" customFormat="1" spans="1:13">
      <c r="A1865" s="488">
        <v>46035</v>
      </c>
      <c r="B1865" s="489" t="s">
        <v>461</v>
      </c>
      <c r="C1865" s="490">
        <v>46035</v>
      </c>
      <c r="D1865" s="491"/>
      <c r="E1865" s="491"/>
      <c r="F1865" s="493" t="s">
        <v>16</v>
      </c>
      <c r="G1865" s="491">
        <v>1</v>
      </c>
      <c r="H1865" s="431">
        <v>230</v>
      </c>
      <c r="I1865" s="491">
        <f t="shared" si="262"/>
        <v>230</v>
      </c>
      <c r="J1865" s="492"/>
      <c r="K1865" s="492"/>
    </row>
    <row r="1866" s="456" customFormat="1" spans="1:13">
      <c r="A1866" s="488">
        <v>46035</v>
      </c>
      <c r="B1866" s="489" t="s">
        <v>461</v>
      </c>
      <c r="C1866" s="490">
        <v>46035</v>
      </c>
      <c r="D1866" s="491"/>
      <c r="E1866" s="491"/>
      <c r="F1866" s="493" t="s">
        <v>17</v>
      </c>
      <c r="G1866" s="491">
        <v>1</v>
      </c>
      <c r="H1866" s="431">
        <f>SUM(H1859:H1865)</f>
        <v>1000</v>
      </c>
      <c r="I1866" s="491">
        <f t="shared" si="262"/>
        <v>1000</v>
      </c>
      <c r="J1866" s="492">
        <v>1</v>
      </c>
      <c r="K1866" s="492">
        <f t="shared" ref="K1866:K1869" si="263">I1866*J1866</f>
        <v>1000</v>
      </c>
      <c r="L1866" s="456">
        <f>SUM(K1859:K1866)</f>
        <v>2296</v>
      </c>
    </row>
    <row r="1867" s="457" customFormat="1" spans="1:13">
      <c r="A1867" s="494">
        <v>46038</v>
      </c>
      <c r="B1867" s="442" t="s">
        <v>263</v>
      </c>
      <c r="C1867" s="495">
        <v>46038</v>
      </c>
      <c r="D1867" s="463"/>
      <c r="E1867" s="463"/>
      <c r="F1867" s="496">
        <v>808</v>
      </c>
      <c r="G1867" s="463">
        <v>1</v>
      </c>
      <c r="H1867" s="432">
        <v>50</v>
      </c>
      <c r="I1867" s="463">
        <f t="shared" si="262"/>
        <v>50</v>
      </c>
      <c r="J1867" s="497">
        <v>7.1</v>
      </c>
      <c r="K1867" s="497">
        <f t="shared" si="263"/>
        <v>355</v>
      </c>
      <c r="L1867" s="457" t="s">
        <v>126</v>
      </c>
    </row>
    <row r="1868" s="457" customFormat="1" spans="1:13">
      <c r="A1868" s="494">
        <v>46038</v>
      </c>
      <c r="B1868" s="442" t="s">
        <v>263</v>
      </c>
      <c r="C1868" s="495">
        <v>46038</v>
      </c>
      <c r="D1868" s="463"/>
      <c r="E1868" s="463"/>
      <c r="F1868" s="496" t="s">
        <v>125</v>
      </c>
      <c r="G1868" s="463">
        <v>1</v>
      </c>
      <c r="H1868" s="432">
        <v>29</v>
      </c>
      <c r="I1868" s="463">
        <f t="shared" si="262"/>
        <v>29</v>
      </c>
      <c r="J1868" s="497">
        <v>5.1</v>
      </c>
      <c r="K1868" s="497">
        <f t="shared" si="263"/>
        <v>147.9</v>
      </c>
    </row>
    <row r="1869" s="457" customFormat="1" spans="1:13">
      <c r="A1869" s="494">
        <v>46038</v>
      </c>
      <c r="B1869" s="442" t="s">
        <v>263</v>
      </c>
      <c r="C1869" s="495">
        <v>46038</v>
      </c>
      <c r="D1869" s="463"/>
      <c r="E1869" s="463"/>
      <c r="F1869" s="496" t="s">
        <v>12</v>
      </c>
      <c r="G1869" s="463">
        <v>1</v>
      </c>
      <c r="H1869" s="432">
        <v>20</v>
      </c>
      <c r="I1869" s="463">
        <f t="shared" si="262"/>
        <v>20</v>
      </c>
      <c r="J1869" s="497">
        <v>6</v>
      </c>
      <c r="K1869" s="497">
        <f t="shared" si="263"/>
        <v>120</v>
      </c>
    </row>
    <row r="1870" s="457" customFormat="1" spans="1:13">
      <c r="A1870" s="494">
        <v>46038</v>
      </c>
      <c r="B1870" s="442" t="s">
        <v>263</v>
      </c>
      <c r="C1870" s="495">
        <v>46038</v>
      </c>
      <c r="D1870" s="463"/>
      <c r="E1870" s="463"/>
      <c r="F1870" s="496" t="s">
        <v>240</v>
      </c>
      <c r="G1870" s="463">
        <v>1</v>
      </c>
      <c r="H1870" s="432">
        <v>75</v>
      </c>
      <c r="I1870" s="463">
        <f t="shared" si="262"/>
        <v>75</v>
      </c>
      <c r="J1870" s="497"/>
      <c r="K1870" s="497"/>
      <c r="M1870" s="457" t="s">
        <v>678</v>
      </c>
    </row>
    <row r="1871" s="457" customFormat="1" spans="1:13">
      <c r="A1871" s="494">
        <v>46038</v>
      </c>
      <c r="B1871" s="442" t="s">
        <v>263</v>
      </c>
      <c r="C1871" s="495">
        <v>46038</v>
      </c>
      <c r="D1871" s="463"/>
      <c r="E1871" s="463"/>
      <c r="F1871" s="496" t="s">
        <v>16</v>
      </c>
      <c r="G1871" s="463">
        <v>1</v>
      </c>
      <c r="H1871" s="432">
        <v>75</v>
      </c>
      <c r="I1871" s="463">
        <f t="shared" si="262"/>
        <v>75</v>
      </c>
      <c r="J1871" s="497"/>
      <c r="K1871" s="497"/>
    </row>
    <row r="1872" s="457" customFormat="1" spans="1:13">
      <c r="A1872" s="494">
        <v>46038</v>
      </c>
      <c r="B1872" s="442" t="s">
        <v>263</v>
      </c>
      <c r="C1872" s="495">
        <v>46038</v>
      </c>
      <c r="D1872" s="463"/>
      <c r="E1872" s="463"/>
      <c r="F1872" s="496" t="s">
        <v>300</v>
      </c>
      <c r="G1872" s="463">
        <v>1</v>
      </c>
      <c r="H1872" s="432">
        <v>75</v>
      </c>
      <c r="I1872" s="463">
        <f t="shared" si="262"/>
        <v>75</v>
      </c>
      <c r="J1872" s="497"/>
      <c r="K1872" s="497"/>
    </row>
    <row r="1873" s="457" customFormat="1" spans="1:14">
      <c r="A1873" s="494">
        <v>46038</v>
      </c>
      <c r="B1873" s="442" t="s">
        <v>263</v>
      </c>
      <c r="C1873" s="495">
        <v>46038</v>
      </c>
      <c r="D1873" s="463"/>
      <c r="E1873" s="463"/>
      <c r="F1873" s="496" t="s">
        <v>870</v>
      </c>
      <c r="G1873" s="463">
        <v>1</v>
      </c>
      <c r="H1873" s="432">
        <v>176</v>
      </c>
      <c r="I1873" s="463">
        <f t="shared" si="262"/>
        <v>176</v>
      </c>
      <c r="J1873" s="497"/>
      <c r="K1873" s="497"/>
    </row>
    <row r="1874" s="457" customFormat="1" spans="1:14">
      <c r="A1874" s="494">
        <v>46038</v>
      </c>
      <c r="B1874" s="442" t="s">
        <v>263</v>
      </c>
      <c r="C1874" s="495">
        <v>46038</v>
      </c>
      <c r="D1874" s="463"/>
      <c r="E1874" s="463"/>
      <c r="F1874" s="499" t="s">
        <v>301</v>
      </c>
      <c r="G1874" s="501">
        <v>1</v>
      </c>
      <c r="H1874" s="500">
        <f>SUM(H1867:H1873)</f>
        <v>500</v>
      </c>
      <c r="I1874" s="501">
        <f t="shared" si="262"/>
        <v>500</v>
      </c>
      <c r="J1874" s="502">
        <v>1</v>
      </c>
      <c r="K1874" s="502">
        <f>I1874*J1874</f>
        <v>500</v>
      </c>
      <c r="L1874" s="457">
        <f>SUM(K1867:K1875)</f>
        <v>1422.9</v>
      </c>
    </row>
    <row r="1875" s="457" customFormat="1" spans="1:14">
      <c r="A1875" s="494">
        <v>46038</v>
      </c>
      <c r="B1875" s="442" t="s">
        <v>263</v>
      </c>
      <c r="C1875" s="495">
        <v>46038</v>
      </c>
      <c r="D1875" s="463"/>
      <c r="E1875" s="463"/>
      <c r="F1875" s="493" t="s">
        <v>888</v>
      </c>
      <c r="G1875" s="463">
        <v>24</v>
      </c>
      <c r="H1875" s="432">
        <v>1</v>
      </c>
      <c r="I1875" s="463">
        <f t="shared" si="262"/>
        <v>24</v>
      </c>
      <c r="J1875" s="497">
        <v>12.5</v>
      </c>
      <c r="K1875" s="497">
        <f>I1875*J1875</f>
        <v>300</v>
      </c>
    </row>
    <row r="1876" s="456" customFormat="1" spans="1:14">
      <c r="A1876" s="488">
        <v>46041</v>
      </c>
      <c r="B1876" s="489" t="s">
        <v>180</v>
      </c>
      <c r="C1876" s="490">
        <v>46039</v>
      </c>
      <c r="D1876" s="491"/>
      <c r="E1876" s="491"/>
      <c r="F1876" s="493" t="s">
        <v>896</v>
      </c>
      <c r="G1876" s="491">
        <v>1</v>
      </c>
      <c r="H1876" s="431">
        <v>200</v>
      </c>
      <c r="I1876" s="491">
        <f t="shared" si="262"/>
        <v>200</v>
      </c>
      <c r="J1876" s="492"/>
      <c r="K1876" s="492"/>
    </row>
    <row r="1877" s="456" customFormat="1" spans="1:14">
      <c r="A1877" s="488">
        <v>46041</v>
      </c>
      <c r="B1877" s="489" t="s">
        <v>180</v>
      </c>
      <c r="C1877" s="490">
        <v>46039</v>
      </c>
      <c r="D1877" s="491"/>
      <c r="E1877" s="491"/>
      <c r="F1877" s="493" t="s">
        <v>12</v>
      </c>
      <c r="G1877" s="491">
        <v>1</v>
      </c>
      <c r="H1877" s="431">
        <v>180</v>
      </c>
      <c r="I1877" s="491">
        <f t="shared" si="262"/>
        <v>180</v>
      </c>
      <c r="J1877" s="492">
        <v>6.1</v>
      </c>
      <c r="K1877" s="492">
        <f t="shared" ref="K1877:K1882" si="264">I1877*J1877</f>
        <v>1098</v>
      </c>
    </row>
    <row r="1878" s="456" customFormat="1" spans="1:14">
      <c r="A1878" s="488">
        <v>46041</v>
      </c>
      <c r="B1878" s="489" t="s">
        <v>180</v>
      </c>
      <c r="C1878" s="490">
        <v>46039</v>
      </c>
      <c r="D1878" s="491"/>
      <c r="E1878" s="491"/>
      <c r="F1878" s="493" t="s">
        <v>125</v>
      </c>
      <c r="G1878" s="491">
        <v>1</v>
      </c>
      <c r="H1878" s="431">
        <v>796</v>
      </c>
      <c r="I1878" s="491">
        <f t="shared" si="262"/>
        <v>796</v>
      </c>
      <c r="J1878" s="492">
        <v>5.2</v>
      </c>
      <c r="K1878" s="492">
        <f t="shared" si="264"/>
        <v>4139.2</v>
      </c>
    </row>
    <row r="1879" s="456" customFormat="1" spans="1:14">
      <c r="A1879" s="488">
        <v>46041</v>
      </c>
      <c r="B1879" s="489" t="s">
        <v>180</v>
      </c>
      <c r="C1879" s="490">
        <v>46039</v>
      </c>
      <c r="D1879" s="491"/>
      <c r="E1879" s="491"/>
      <c r="F1879" s="493" t="s">
        <v>897</v>
      </c>
      <c r="G1879" s="491">
        <v>1</v>
      </c>
      <c r="H1879" s="431">
        <f>SUM(H1876:H1878)</f>
        <v>1176</v>
      </c>
      <c r="I1879" s="491">
        <f t="shared" si="262"/>
        <v>1176</v>
      </c>
      <c r="J1879" s="492">
        <v>0.8</v>
      </c>
      <c r="K1879" s="492">
        <f t="shared" si="264"/>
        <v>940.8</v>
      </c>
      <c r="L1879" s="456">
        <f>SUM(K1876:K1879)</f>
        <v>6178</v>
      </c>
    </row>
    <row r="1880" s="457" customFormat="1" spans="1:14">
      <c r="A1880" s="494">
        <v>46043</v>
      </c>
      <c r="B1880" s="442" t="s">
        <v>187</v>
      </c>
      <c r="C1880" s="495">
        <v>46042</v>
      </c>
      <c r="D1880" s="463"/>
      <c r="E1880" s="463"/>
      <c r="F1880" s="496">
        <v>808</v>
      </c>
      <c r="G1880" s="463">
        <v>1</v>
      </c>
      <c r="H1880" s="432">
        <v>150</v>
      </c>
      <c r="I1880" s="463">
        <f t="shared" si="262"/>
        <v>150</v>
      </c>
      <c r="J1880" s="497">
        <v>7.2</v>
      </c>
      <c r="K1880" s="497">
        <f t="shared" si="264"/>
        <v>1080</v>
      </c>
    </row>
    <row r="1881" s="457" customFormat="1" spans="1:14">
      <c r="A1881" s="494">
        <v>46043</v>
      </c>
      <c r="B1881" s="442" t="s">
        <v>187</v>
      </c>
      <c r="C1881" s="495">
        <v>46042</v>
      </c>
      <c r="D1881" s="463"/>
      <c r="E1881" s="463"/>
      <c r="F1881" s="496" t="s">
        <v>12</v>
      </c>
      <c r="G1881" s="463">
        <v>1</v>
      </c>
      <c r="H1881" s="432">
        <v>81</v>
      </c>
      <c r="I1881" s="463">
        <f t="shared" si="262"/>
        <v>81</v>
      </c>
      <c r="J1881" s="497">
        <v>6.1</v>
      </c>
      <c r="K1881" s="497">
        <f t="shared" si="264"/>
        <v>494.1</v>
      </c>
    </row>
    <row r="1882" s="457" customFormat="1" spans="1:14">
      <c r="A1882" s="494">
        <v>46043</v>
      </c>
      <c r="B1882" s="442" t="s">
        <v>187</v>
      </c>
      <c r="C1882" s="495">
        <v>46042</v>
      </c>
      <c r="D1882" s="463"/>
      <c r="E1882" s="463"/>
      <c r="F1882" s="496" t="s">
        <v>152</v>
      </c>
      <c r="G1882" s="463">
        <v>1</v>
      </c>
      <c r="H1882" s="432">
        <v>40</v>
      </c>
      <c r="I1882" s="463">
        <f t="shared" si="262"/>
        <v>40</v>
      </c>
      <c r="J1882" s="497">
        <v>6.1</v>
      </c>
      <c r="K1882" s="497">
        <f t="shared" si="264"/>
        <v>244</v>
      </c>
    </row>
    <row r="1883" s="457" customFormat="1" spans="1:14">
      <c r="A1883" s="494">
        <v>46043</v>
      </c>
      <c r="B1883" s="442" t="s">
        <v>187</v>
      </c>
      <c r="C1883" s="495">
        <v>46042</v>
      </c>
      <c r="D1883" s="463"/>
      <c r="E1883" s="463"/>
      <c r="F1883" s="496" t="s">
        <v>709</v>
      </c>
      <c r="G1883" s="463">
        <v>1</v>
      </c>
      <c r="H1883" s="432">
        <v>120</v>
      </c>
      <c r="I1883" s="463">
        <f t="shared" si="262"/>
        <v>120</v>
      </c>
      <c r="J1883" s="497"/>
      <c r="K1883" s="497"/>
      <c r="L1883" s="457" t="s">
        <v>126</v>
      </c>
    </row>
    <row r="1884" s="457" customFormat="1" spans="1:14">
      <c r="A1884" s="494">
        <v>46043</v>
      </c>
      <c r="B1884" s="442" t="s">
        <v>187</v>
      </c>
      <c r="C1884" s="495">
        <v>46042</v>
      </c>
      <c r="D1884" s="463"/>
      <c r="E1884" s="463"/>
      <c r="F1884" s="496" t="s">
        <v>856</v>
      </c>
      <c r="G1884" s="463">
        <v>1</v>
      </c>
      <c r="H1884" s="432">
        <v>239</v>
      </c>
      <c r="I1884" s="463">
        <f t="shared" si="262"/>
        <v>239</v>
      </c>
      <c r="J1884" s="497"/>
      <c r="K1884" s="497"/>
    </row>
    <row r="1885" s="457" customFormat="1" spans="1:14">
      <c r="A1885" s="494">
        <v>46043</v>
      </c>
      <c r="B1885" s="442" t="s">
        <v>187</v>
      </c>
      <c r="C1885" s="495">
        <v>46042</v>
      </c>
      <c r="D1885" s="463"/>
      <c r="E1885" s="463"/>
      <c r="F1885" s="496" t="s">
        <v>857</v>
      </c>
      <c r="G1885" s="463">
        <v>1</v>
      </c>
      <c r="H1885" s="432">
        <v>118</v>
      </c>
      <c r="I1885" s="463">
        <f t="shared" si="262"/>
        <v>118</v>
      </c>
      <c r="J1885" s="497"/>
      <c r="K1885" s="497"/>
      <c r="N1885" s="457">
        <f>SUBTOTAL(9,K1610:K2152)</f>
        <v>168486.6</v>
      </c>
    </row>
    <row r="1886" s="457" customFormat="1" spans="1:14">
      <c r="A1886" s="494">
        <v>46043</v>
      </c>
      <c r="B1886" s="442" t="s">
        <v>187</v>
      </c>
      <c r="C1886" s="495">
        <v>46042</v>
      </c>
      <c r="D1886" s="463"/>
      <c r="E1886" s="463"/>
      <c r="F1886" s="496" t="s">
        <v>191</v>
      </c>
      <c r="G1886" s="463">
        <v>1</v>
      </c>
      <c r="H1886" s="432">
        <v>30</v>
      </c>
      <c r="I1886" s="463">
        <f t="shared" ref="I1886:I1910" si="265">G1886*H1886</f>
        <v>30</v>
      </c>
      <c r="J1886" s="497">
        <v>17</v>
      </c>
      <c r="K1886" s="497">
        <f t="shared" ref="K1886:K1893" si="266">I1886*J1886</f>
        <v>510</v>
      </c>
    </row>
    <row r="1887" s="457" customFormat="1" spans="1:14">
      <c r="A1887" s="494">
        <v>46043</v>
      </c>
      <c r="B1887" s="442" t="s">
        <v>187</v>
      </c>
      <c r="C1887" s="495">
        <v>46042</v>
      </c>
      <c r="D1887" s="463"/>
      <c r="E1887" s="463"/>
      <c r="F1887" s="496" t="s">
        <v>791</v>
      </c>
      <c r="G1887" s="463">
        <v>1</v>
      </c>
      <c r="H1887" s="432">
        <v>3</v>
      </c>
      <c r="I1887" s="463">
        <f t="shared" si="265"/>
        <v>3</v>
      </c>
      <c r="J1887" s="497">
        <v>25</v>
      </c>
      <c r="K1887" s="497">
        <f t="shared" si="266"/>
        <v>75</v>
      </c>
    </row>
    <row r="1888" s="457" customFormat="1" spans="1:14">
      <c r="A1888" s="494">
        <v>46043</v>
      </c>
      <c r="B1888" s="442" t="s">
        <v>187</v>
      </c>
      <c r="C1888" s="495">
        <v>46042</v>
      </c>
      <c r="D1888" s="463"/>
      <c r="E1888" s="463"/>
      <c r="F1888" s="496" t="s">
        <v>801</v>
      </c>
      <c r="G1888" s="463">
        <v>1</v>
      </c>
      <c r="H1888" s="432">
        <v>150</v>
      </c>
      <c r="I1888" s="463">
        <f t="shared" si="265"/>
        <v>150</v>
      </c>
      <c r="J1888" s="497"/>
      <c r="K1888" s="497"/>
    </row>
    <row r="1889" s="457" customFormat="1" spans="1:12">
      <c r="A1889" s="494">
        <v>46043</v>
      </c>
      <c r="B1889" s="442" t="s">
        <v>187</v>
      </c>
      <c r="C1889" s="495">
        <v>46042</v>
      </c>
      <c r="D1889" s="463"/>
      <c r="E1889" s="463"/>
      <c r="F1889" s="496" t="s">
        <v>132</v>
      </c>
      <c r="G1889" s="463">
        <v>1</v>
      </c>
      <c r="H1889" s="432">
        <v>75</v>
      </c>
      <c r="I1889" s="463">
        <f t="shared" si="265"/>
        <v>75</v>
      </c>
      <c r="J1889" s="497">
        <v>3</v>
      </c>
      <c r="K1889" s="497">
        <f t="shared" si="266"/>
        <v>225</v>
      </c>
      <c r="L1889" s="457" t="s">
        <v>802</v>
      </c>
    </row>
    <row r="1890" s="457" customFormat="1" spans="1:12">
      <c r="A1890" s="494">
        <v>46043</v>
      </c>
      <c r="B1890" s="442" t="s">
        <v>187</v>
      </c>
      <c r="C1890" s="495">
        <v>46042</v>
      </c>
      <c r="D1890" s="463"/>
      <c r="E1890" s="463"/>
      <c r="F1890" s="496" t="s">
        <v>304</v>
      </c>
      <c r="G1890" s="463">
        <v>1</v>
      </c>
      <c r="H1890" s="432">
        <f>SUM(H1880:H1889)</f>
        <v>1006</v>
      </c>
      <c r="I1890" s="463">
        <f t="shared" si="265"/>
        <v>1006</v>
      </c>
      <c r="J1890" s="497">
        <v>1</v>
      </c>
      <c r="K1890" s="497">
        <f t="shared" si="266"/>
        <v>1006</v>
      </c>
      <c r="L1890" s="457">
        <f>SUM(K1880:K1890)</f>
        <v>3634.1</v>
      </c>
    </row>
    <row r="1891" s="456" customFormat="1" spans="1:12">
      <c r="A1891" s="488">
        <v>46044</v>
      </c>
      <c r="B1891" s="489" t="s">
        <v>312</v>
      </c>
      <c r="C1891" s="490">
        <v>46043</v>
      </c>
      <c r="D1891" s="491"/>
      <c r="E1891" s="491"/>
      <c r="F1891" s="493">
        <v>808</v>
      </c>
      <c r="G1891" s="491">
        <v>1</v>
      </c>
      <c r="H1891" s="431">
        <v>54</v>
      </c>
      <c r="I1891" s="491">
        <f t="shared" si="265"/>
        <v>54</v>
      </c>
      <c r="J1891" s="492">
        <v>7.2</v>
      </c>
      <c r="K1891" s="492">
        <f t="shared" si="266"/>
        <v>388.8</v>
      </c>
    </row>
    <row r="1892" s="456" customFormat="1" spans="1:12">
      <c r="A1892" s="488">
        <v>46044</v>
      </c>
      <c r="B1892" s="489" t="s">
        <v>312</v>
      </c>
      <c r="C1892" s="490">
        <v>46043</v>
      </c>
      <c r="D1892" s="491"/>
      <c r="E1892" s="491"/>
      <c r="F1892" s="493" t="s">
        <v>12</v>
      </c>
      <c r="G1892" s="491">
        <v>1</v>
      </c>
      <c r="H1892" s="431">
        <v>20</v>
      </c>
      <c r="I1892" s="491">
        <f t="shared" si="265"/>
        <v>20</v>
      </c>
      <c r="J1892" s="492">
        <v>6.1</v>
      </c>
      <c r="K1892" s="492">
        <f t="shared" si="266"/>
        <v>122</v>
      </c>
    </row>
    <row r="1893" s="456" customFormat="1" spans="1:12">
      <c r="A1893" s="488">
        <v>46044</v>
      </c>
      <c r="B1893" s="489" t="s">
        <v>312</v>
      </c>
      <c r="C1893" s="490">
        <v>46043</v>
      </c>
      <c r="D1893" s="491"/>
      <c r="E1893" s="491"/>
      <c r="F1893" s="493" t="s">
        <v>152</v>
      </c>
      <c r="G1893" s="491">
        <v>1</v>
      </c>
      <c r="H1893" s="431">
        <v>36</v>
      </c>
      <c r="I1893" s="491">
        <f t="shared" si="265"/>
        <v>36</v>
      </c>
      <c r="J1893" s="492">
        <v>6.1</v>
      </c>
      <c r="K1893" s="492">
        <f t="shared" si="266"/>
        <v>219.6</v>
      </c>
    </row>
    <row r="1894" s="456" customFormat="1" spans="1:12">
      <c r="A1894" s="488">
        <v>46044</v>
      </c>
      <c r="B1894" s="489" t="s">
        <v>312</v>
      </c>
      <c r="C1894" s="490">
        <v>46043</v>
      </c>
      <c r="D1894" s="491"/>
      <c r="E1894" s="491"/>
      <c r="F1894" s="493" t="s">
        <v>709</v>
      </c>
      <c r="G1894" s="491">
        <v>1</v>
      </c>
      <c r="H1894" s="431">
        <v>43</v>
      </c>
      <c r="I1894" s="491">
        <f t="shared" si="265"/>
        <v>43</v>
      </c>
      <c r="J1894" s="492"/>
      <c r="K1894" s="492"/>
    </row>
    <row r="1895" s="456" customFormat="1" spans="1:12">
      <c r="A1895" s="488">
        <v>46044</v>
      </c>
      <c r="B1895" s="489" t="s">
        <v>312</v>
      </c>
      <c r="C1895" s="490">
        <v>46043</v>
      </c>
      <c r="D1895" s="491"/>
      <c r="E1895" s="491"/>
      <c r="F1895" s="493" t="s">
        <v>710</v>
      </c>
      <c r="G1895" s="491">
        <v>1</v>
      </c>
      <c r="H1895" s="431">
        <v>86</v>
      </c>
      <c r="I1895" s="491">
        <f t="shared" si="265"/>
        <v>86</v>
      </c>
      <c r="J1895" s="492"/>
      <c r="K1895" s="492"/>
    </row>
    <row r="1896" s="456" customFormat="1" spans="1:12">
      <c r="A1896" s="488">
        <v>46044</v>
      </c>
      <c r="B1896" s="489" t="s">
        <v>312</v>
      </c>
      <c r="C1896" s="490">
        <v>46043</v>
      </c>
      <c r="D1896" s="491"/>
      <c r="E1896" s="491"/>
      <c r="F1896" s="493" t="s">
        <v>782</v>
      </c>
      <c r="G1896" s="491">
        <v>1</v>
      </c>
      <c r="H1896" s="431">
        <v>42</v>
      </c>
      <c r="I1896" s="491">
        <f t="shared" si="265"/>
        <v>42</v>
      </c>
      <c r="J1896" s="492"/>
      <c r="K1896" s="492"/>
    </row>
    <row r="1897" s="456" customFormat="1" spans="1:12">
      <c r="A1897" s="488">
        <v>46044</v>
      </c>
      <c r="B1897" s="489" t="s">
        <v>312</v>
      </c>
      <c r="C1897" s="490">
        <v>46043</v>
      </c>
      <c r="D1897" s="491"/>
      <c r="E1897" s="491"/>
      <c r="F1897" s="493" t="s">
        <v>191</v>
      </c>
      <c r="G1897" s="491">
        <v>1</v>
      </c>
      <c r="H1897" s="431">
        <v>7</v>
      </c>
      <c r="I1897" s="491">
        <f t="shared" si="265"/>
        <v>7</v>
      </c>
      <c r="J1897" s="492">
        <v>17</v>
      </c>
      <c r="K1897" s="492">
        <f t="shared" ref="K1897:K1904" si="267">I1897*J1897</f>
        <v>119</v>
      </c>
    </row>
    <row r="1898" s="456" customFormat="1" spans="1:12">
      <c r="A1898" s="488">
        <v>46044</v>
      </c>
      <c r="B1898" s="489" t="s">
        <v>312</v>
      </c>
      <c r="C1898" s="490">
        <v>46043</v>
      </c>
      <c r="D1898" s="491"/>
      <c r="E1898" s="491"/>
      <c r="F1898" s="493" t="s">
        <v>791</v>
      </c>
      <c r="G1898" s="491">
        <v>1</v>
      </c>
      <c r="H1898" s="431">
        <v>1</v>
      </c>
      <c r="I1898" s="491">
        <f t="shared" si="265"/>
        <v>1</v>
      </c>
      <c r="J1898" s="492">
        <v>25</v>
      </c>
      <c r="K1898" s="492">
        <f t="shared" si="267"/>
        <v>25</v>
      </c>
    </row>
    <row r="1899" s="456" customFormat="1" spans="1:12">
      <c r="A1899" s="488">
        <v>46044</v>
      </c>
      <c r="B1899" s="489" t="s">
        <v>312</v>
      </c>
      <c r="C1899" s="490">
        <v>46043</v>
      </c>
      <c r="D1899" s="491"/>
      <c r="E1899" s="491"/>
      <c r="F1899" s="493" t="s">
        <v>801</v>
      </c>
      <c r="G1899" s="491">
        <v>1</v>
      </c>
      <c r="H1899" s="431">
        <v>54</v>
      </c>
      <c r="I1899" s="491">
        <f t="shared" si="265"/>
        <v>54</v>
      </c>
      <c r="J1899" s="492"/>
      <c r="K1899" s="492"/>
    </row>
    <row r="1900" s="456" customFormat="1" spans="1:12">
      <c r="A1900" s="488">
        <v>46044</v>
      </c>
      <c r="B1900" s="489" t="s">
        <v>312</v>
      </c>
      <c r="C1900" s="490">
        <v>46043</v>
      </c>
      <c r="D1900" s="491"/>
      <c r="E1900" s="491"/>
      <c r="F1900" s="493" t="s">
        <v>132</v>
      </c>
      <c r="G1900" s="491">
        <v>1</v>
      </c>
      <c r="H1900" s="431">
        <v>20</v>
      </c>
      <c r="I1900" s="491">
        <f t="shared" si="265"/>
        <v>20</v>
      </c>
      <c r="J1900" s="492">
        <v>3</v>
      </c>
      <c r="K1900" s="492">
        <f t="shared" si="267"/>
        <v>60</v>
      </c>
      <c r="L1900" s="456" t="s">
        <v>812</v>
      </c>
    </row>
    <row r="1901" s="456" customFormat="1" spans="1:12">
      <c r="A1901" s="488">
        <v>46044</v>
      </c>
      <c r="B1901" s="489" t="s">
        <v>312</v>
      </c>
      <c r="C1901" s="490">
        <v>46043</v>
      </c>
      <c r="D1901" s="491"/>
      <c r="E1901" s="491"/>
      <c r="F1901" s="493" t="s">
        <v>813</v>
      </c>
      <c r="G1901" s="491">
        <v>1</v>
      </c>
      <c r="H1901" s="431">
        <f>SUM(H1891:H1900)</f>
        <v>363</v>
      </c>
      <c r="I1901" s="491">
        <f t="shared" si="265"/>
        <v>363</v>
      </c>
      <c r="J1901" s="492">
        <v>1</v>
      </c>
      <c r="K1901" s="492">
        <f t="shared" si="267"/>
        <v>363</v>
      </c>
      <c r="L1901" s="579"/>
    </row>
    <row r="1902" s="457" customFormat="1" spans="1:12">
      <c r="A1902" s="488">
        <v>46044</v>
      </c>
      <c r="B1902" s="489" t="s">
        <v>312</v>
      </c>
      <c r="C1902" s="490">
        <v>46043</v>
      </c>
      <c r="D1902" s="491"/>
      <c r="E1902" s="491"/>
      <c r="F1902" s="493" t="s">
        <v>499</v>
      </c>
      <c r="G1902" s="491">
        <v>20</v>
      </c>
      <c r="H1902" s="431">
        <v>1</v>
      </c>
      <c r="I1902" s="491">
        <f t="shared" si="265"/>
        <v>20</v>
      </c>
      <c r="J1902" s="492">
        <v>12.5</v>
      </c>
      <c r="K1902" s="492">
        <f t="shared" si="267"/>
        <v>250</v>
      </c>
      <c r="L1902" s="457">
        <f>SUM(K1891:K1902)</f>
        <v>1547.4</v>
      </c>
    </row>
    <row r="1903" s="457" customFormat="1" spans="1:12">
      <c r="A1903" s="494">
        <v>46044</v>
      </c>
      <c r="B1903" s="442" t="s">
        <v>192</v>
      </c>
      <c r="C1903" s="495">
        <v>46043</v>
      </c>
      <c r="D1903" s="463"/>
      <c r="E1903" s="463"/>
      <c r="F1903" s="496">
        <v>808</v>
      </c>
      <c r="G1903" s="463">
        <v>1</v>
      </c>
      <c r="H1903" s="432">
        <v>120</v>
      </c>
      <c r="I1903" s="463">
        <f t="shared" si="265"/>
        <v>120</v>
      </c>
      <c r="J1903" s="497">
        <v>7.2</v>
      </c>
      <c r="K1903" s="497">
        <f t="shared" si="267"/>
        <v>864</v>
      </c>
    </row>
    <row r="1904" s="457" customFormat="1" spans="1:12">
      <c r="A1904" s="494">
        <v>46044</v>
      </c>
      <c r="B1904" s="442" t="s">
        <v>192</v>
      </c>
      <c r="C1904" s="495">
        <v>46043</v>
      </c>
      <c r="D1904" s="463"/>
      <c r="E1904" s="463"/>
      <c r="F1904" s="496" t="s">
        <v>12</v>
      </c>
      <c r="G1904" s="463">
        <v>1</v>
      </c>
      <c r="H1904" s="432">
        <v>40</v>
      </c>
      <c r="I1904" s="463">
        <f t="shared" si="265"/>
        <v>40</v>
      </c>
      <c r="J1904" s="497">
        <v>6.1</v>
      </c>
      <c r="K1904" s="497">
        <f t="shared" si="267"/>
        <v>244</v>
      </c>
    </row>
    <row r="1905" s="457" customFormat="1" spans="1:12">
      <c r="A1905" s="494">
        <v>46044</v>
      </c>
      <c r="B1905" s="442" t="s">
        <v>192</v>
      </c>
      <c r="C1905" s="495">
        <v>46043</v>
      </c>
      <c r="D1905" s="463"/>
      <c r="E1905" s="463"/>
      <c r="F1905" s="496" t="s">
        <v>13</v>
      </c>
      <c r="G1905" s="463">
        <v>1</v>
      </c>
      <c r="H1905" s="432">
        <v>180</v>
      </c>
      <c r="I1905" s="463">
        <f t="shared" si="265"/>
        <v>180</v>
      </c>
      <c r="J1905" s="497"/>
      <c r="K1905" s="497"/>
    </row>
    <row r="1906" s="457" customFormat="1" spans="1:12">
      <c r="A1906" s="494">
        <v>46044</v>
      </c>
      <c r="B1906" s="442" t="s">
        <v>192</v>
      </c>
      <c r="C1906" s="495">
        <v>46043</v>
      </c>
      <c r="D1906" s="463"/>
      <c r="E1906" s="463"/>
      <c r="F1906" s="496" t="s">
        <v>14</v>
      </c>
      <c r="G1906" s="463">
        <v>1</v>
      </c>
      <c r="H1906" s="432">
        <v>200</v>
      </c>
      <c r="I1906" s="463">
        <f t="shared" si="265"/>
        <v>200</v>
      </c>
      <c r="J1906" s="497"/>
      <c r="K1906" s="497"/>
    </row>
    <row r="1907" s="457" customFormat="1" spans="1:12">
      <c r="A1907" s="494">
        <v>46044</v>
      </c>
      <c r="B1907" s="442" t="s">
        <v>192</v>
      </c>
      <c r="C1907" s="495">
        <v>46043</v>
      </c>
      <c r="D1907" s="463"/>
      <c r="E1907" s="463"/>
      <c r="F1907" s="496" t="s">
        <v>15</v>
      </c>
      <c r="G1907" s="463">
        <v>1</v>
      </c>
      <c r="H1907" s="432">
        <v>230</v>
      </c>
      <c r="I1907" s="463">
        <f>G1907*H1907</f>
        <v>230</v>
      </c>
      <c r="J1907" s="497"/>
      <c r="K1907" s="497"/>
    </row>
    <row r="1908" s="457" customFormat="1" spans="1:12">
      <c r="A1908" s="494">
        <v>46044</v>
      </c>
      <c r="B1908" s="442" t="s">
        <v>192</v>
      </c>
      <c r="C1908" s="495">
        <v>46043</v>
      </c>
      <c r="D1908" s="463"/>
      <c r="E1908" s="463"/>
      <c r="F1908" s="496" t="s">
        <v>16</v>
      </c>
      <c r="G1908" s="463">
        <v>1</v>
      </c>
      <c r="H1908" s="432">
        <v>230</v>
      </c>
      <c r="I1908" s="463">
        <f>G1908*H1908</f>
        <v>230</v>
      </c>
      <c r="J1908" s="497"/>
      <c r="K1908" s="497"/>
    </row>
    <row r="1909" s="457" customFormat="1" spans="1:12">
      <c r="A1909" s="494">
        <v>46044</v>
      </c>
      <c r="B1909" s="442" t="s">
        <v>192</v>
      </c>
      <c r="C1909" s="495">
        <v>46043</v>
      </c>
      <c r="D1909" s="463"/>
      <c r="E1909" s="463"/>
      <c r="F1909" s="496" t="s">
        <v>17</v>
      </c>
      <c r="G1909" s="463">
        <v>1</v>
      </c>
      <c r="H1909" s="432">
        <f>SUM(H1903:H1908)</f>
        <v>1000</v>
      </c>
      <c r="I1909" s="463">
        <f>G1909*H1909</f>
        <v>1000</v>
      </c>
      <c r="J1909" s="497">
        <v>1</v>
      </c>
      <c r="K1909" s="497">
        <f>I1909*J1909</f>
        <v>1000</v>
      </c>
      <c r="L1909" s="457">
        <f>SUM(K1903:K1909)</f>
        <v>2108</v>
      </c>
    </row>
    <row r="1910" s="457" customFormat="1" spans="1:12">
      <c r="A1910" s="494"/>
      <c r="B1910" s="442"/>
      <c r="C1910" s="495"/>
      <c r="D1910" s="463"/>
      <c r="E1910" s="463"/>
      <c r="F1910" s="496"/>
      <c r="G1910" s="463"/>
      <c r="H1910" s="432"/>
      <c r="I1910" s="463"/>
      <c r="J1910" s="497"/>
      <c r="K1910" s="497"/>
    </row>
    <row r="1911" s="457" customFormat="1" spans="1:12">
      <c r="A1911" s="494"/>
      <c r="B1911" s="442"/>
      <c r="C1911" s="495"/>
      <c r="D1911" s="463"/>
      <c r="E1911" s="463"/>
      <c r="F1911" s="496"/>
      <c r="G1911" s="463"/>
      <c r="H1911" s="432"/>
      <c r="I1911" s="463"/>
      <c r="J1911" s="497"/>
      <c r="K1911" s="497"/>
    </row>
    <row r="1912" s="457" customFormat="1" spans="1:12">
      <c r="A1912" s="494"/>
      <c r="B1912" s="442"/>
      <c r="C1912" s="495"/>
      <c r="D1912" s="463"/>
      <c r="E1912" s="463"/>
      <c r="F1912" s="496"/>
      <c r="G1912" s="463"/>
      <c r="H1912" s="432"/>
      <c r="I1912" s="463"/>
      <c r="J1912" s="497"/>
      <c r="K1912" s="497"/>
    </row>
    <row r="1913" s="457" customFormat="1" spans="1:12">
      <c r="A1913" s="494"/>
      <c r="B1913" s="442"/>
      <c r="C1913" s="495"/>
      <c r="D1913" s="463"/>
      <c r="E1913" s="463"/>
      <c r="F1913" s="496"/>
      <c r="G1913" s="463"/>
      <c r="H1913" s="432"/>
      <c r="I1913" s="463"/>
      <c r="J1913" s="497"/>
      <c r="K1913" s="497"/>
    </row>
    <row r="1914" s="457" customFormat="1" spans="1:12">
      <c r="A1914" s="494"/>
      <c r="B1914" s="442"/>
      <c r="C1914" s="495"/>
      <c r="D1914" s="463"/>
      <c r="E1914" s="463"/>
      <c r="F1914" s="496"/>
      <c r="G1914" s="463"/>
      <c r="H1914" s="432"/>
      <c r="I1914" s="463"/>
      <c r="J1914" s="497"/>
      <c r="K1914" s="497"/>
    </row>
    <row r="1915" s="457" customFormat="1" spans="1:12">
      <c r="A1915" s="494"/>
      <c r="B1915" s="442"/>
      <c r="C1915" s="495"/>
      <c r="D1915" s="463"/>
      <c r="E1915" s="463"/>
      <c r="F1915" s="496"/>
      <c r="G1915" s="463"/>
      <c r="H1915" s="432"/>
      <c r="I1915" s="463"/>
      <c r="J1915" s="497"/>
      <c r="K1915" s="497"/>
    </row>
    <row r="1916" s="457" customFormat="1" spans="1:12">
      <c r="A1916" s="494"/>
      <c r="B1916" s="442"/>
      <c r="C1916" s="495"/>
      <c r="D1916" s="463"/>
      <c r="E1916" s="463"/>
      <c r="F1916" s="496"/>
      <c r="G1916" s="463"/>
      <c r="H1916" s="432"/>
      <c r="I1916" s="463"/>
      <c r="J1916" s="497"/>
      <c r="K1916" s="497"/>
    </row>
    <row r="1917" s="457" customFormat="1" spans="1:12">
      <c r="A1917" s="494"/>
      <c r="B1917" s="442"/>
      <c r="C1917" s="495"/>
      <c r="D1917" s="463"/>
      <c r="E1917" s="463"/>
      <c r="F1917" s="496"/>
      <c r="G1917" s="463"/>
      <c r="H1917" s="432"/>
      <c r="I1917" s="463"/>
      <c r="J1917" s="497"/>
      <c r="K1917" s="497"/>
    </row>
    <row r="1918" s="457" customFormat="1" spans="1:12">
      <c r="A1918" s="494"/>
      <c r="B1918" s="442"/>
      <c r="C1918" s="495"/>
      <c r="D1918" s="463"/>
      <c r="E1918" s="463"/>
      <c r="F1918" s="496"/>
      <c r="G1918" s="463"/>
      <c r="H1918" s="432"/>
      <c r="I1918" s="463"/>
      <c r="J1918" s="497"/>
      <c r="K1918" s="497"/>
    </row>
    <row r="1919" s="457" customFormat="1" spans="1:12">
      <c r="A1919" s="494"/>
      <c r="B1919" s="442"/>
      <c r="C1919" s="495"/>
      <c r="D1919" s="463"/>
      <c r="E1919" s="463"/>
      <c r="F1919" s="496"/>
      <c r="G1919" s="463"/>
      <c r="H1919" s="432"/>
      <c r="I1919" s="463"/>
      <c r="J1919" s="497"/>
      <c r="K1919" s="497"/>
    </row>
    <row r="1920" s="457" customFormat="1" spans="1:12">
      <c r="A1920" s="494"/>
      <c r="B1920" s="442"/>
      <c r="C1920" s="495"/>
      <c r="D1920" s="463"/>
      <c r="E1920" s="463"/>
      <c r="F1920" s="496"/>
      <c r="G1920" s="463"/>
      <c r="H1920" s="432"/>
      <c r="I1920" s="463"/>
      <c r="J1920" s="497"/>
      <c r="K1920" s="497"/>
    </row>
  </sheetData>
  <autoFilter xmlns:etc="http://www.wps.cn/officeDocument/2017/etCustomData" ref="A1686:Z1902" etc:filterBottomFollowUsedRange="0">
    <extLst/>
  </autoFilter>
  <mergeCells count="1918">
    <mergeCell ref="B1:D1"/>
    <mergeCell ref="G1:H1"/>
    <mergeCell ref="B2:I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A67:I67"/>
    <mergeCell ref="B68:I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A291:I291"/>
    <mergeCell ref="B292:I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1"/>
    <mergeCell ref="C332:E332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C433:E433"/>
    <mergeCell ref="C435:E435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C450:E450"/>
    <mergeCell ref="C451:E451"/>
    <mergeCell ref="C452:E452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C481:E481"/>
    <mergeCell ref="C482:E482"/>
    <mergeCell ref="C483:E483"/>
    <mergeCell ref="C484:E484"/>
    <mergeCell ref="C485:E485"/>
    <mergeCell ref="C486:E486"/>
    <mergeCell ref="C487:E487"/>
    <mergeCell ref="C488:E488"/>
    <mergeCell ref="C489:E489"/>
    <mergeCell ref="C490:E490"/>
    <mergeCell ref="C491:E491"/>
    <mergeCell ref="C492:E492"/>
    <mergeCell ref="C493:E493"/>
    <mergeCell ref="C494:E494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C503:E503"/>
    <mergeCell ref="C504:E504"/>
    <mergeCell ref="C505:E505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30:E530"/>
    <mergeCell ref="C531:E531"/>
    <mergeCell ref="C532:E532"/>
    <mergeCell ref="C533:E533"/>
    <mergeCell ref="C534:E534"/>
    <mergeCell ref="C535:E535"/>
    <mergeCell ref="C536:E536"/>
    <mergeCell ref="C537:E537"/>
    <mergeCell ref="C538:E538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C551:E551"/>
    <mergeCell ref="C552:E552"/>
    <mergeCell ref="C553:E553"/>
    <mergeCell ref="C554:E554"/>
    <mergeCell ref="C555:E555"/>
    <mergeCell ref="C556:E556"/>
    <mergeCell ref="C557:E557"/>
    <mergeCell ref="C558:E558"/>
    <mergeCell ref="C559:E559"/>
    <mergeCell ref="C560:E560"/>
    <mergeCell ref="C561:E561"/>
    <mergeCell ref="C562:E562"/>
    <mergeCell ref="A564:I564"/>
    <mergeCell ref="B565:I565"/>
    <mergeCell ref="C566:E566"/>
    <mergeCell ref="C567:E567"/>
    <mergeCell ref="C568:E568"/>
    <mergeCell ref="C569:E569"/>
    <mergeCell ref="C570:E570"/>
    <mergeCell ref="C571:E571"/>
    <mergeCell ref="C572:E572"/>
    <mergeCell ref="C573:E573"/>
    <mergeCell ref="C574:E574"/>
    <mergeCell ref="C575:E575"/>
    <mergeCell ref="C576:E576"/>
    <mergeCell ref="C577:E577"/>
    <mergeCell ref="C578:E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89:E589"/>
    <mergeCell ref="C590:E590"/>
    <mergeCell ref="C591:E591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C619:E619"/>
    <mergeCell ref="C620:E620"/>
    <mergeCell ref="C621:E621"/>
    <mergeCell ref="C622:E622"/>
    <mergeCell ref="C623:E623"/>
    <mergeCell ref="C624:E624"/>
    <mergeCell ref="C625:E625"/>
    <mergeCell ref="C626:E626"/>
    <mergeCell ref="C627:E627"/>
    <mergeCell ref="C628:E628"/>
    <mergeCell ref="C629:E629"/>
    <mergeCell ref="C630:E630"/>
    <mergeCell ref="C631:E631"/>
    <mergeCell ref="C632:E632"/>
    <mergeCell ref="C633:E633"/>
    <mergeCell ref="C634:E634"/>
    <mergeCell ref="C636:E636"/>
    <mergeCell ref="C637:E637"/>
    <mergeCell ref="C638:E638"/>
    <mergeCell ref="C639:E639"/>
    <mergeCell ref="C640:E640"/>
    <mergeCell ref="C641:E641"/>
    <mergeCell ref="C642:E642"/>
    <mergeCell ref="C643:E643"/>
    <mergeCell ref="C644:E644"/>
    <mergeCell ref="C645:E645"/>
    <mergeCell ref="C646:E646"/>
    <mergeCell ref="C647:E647"/>
    <mergeCell ref="C648:E648"/>
    <mergeCell ref="C649:E649"/>
    <mergeCell ref="C650:E650"/>
    <mergeCell ref="C651:E651"/>
    <mergeCell ref="C652:E652"/>
    <mergeCell ref="C653:E653"/>
    <mergeCell ref="C654:E654"/>
    <mergeCell ref="C655:E655"/>
    <mergeCell ref="C656:E656"/>
    <mergeCell ref="C657:E657"/>
    <mergeCell ref="C658:E658"/>
    <mergeCell ref="C659:E659"/>
    <mergeCell ref="C660:E660"/>
    <mergeCell ref="C661:E661"/>
    <mergeCell ref="C662:E662"/>
    <mergeCell ref="C663:E663"/>
    <mergeCell ref="C664:E664"/>
    <mergeCell ref="C665:E665"/>
    <mergeCell ref="C666:E666"/>
    <mergeCell ref="C667:E667"/>
    <mergeCell ref="C668:E668"/>
    <mergeCell ref="C669:E669"/>
    <mergeCell ref="C670:E670"/>
    <mergeCell ref="C671:E671"/>
    <mergeCell ref="C672:E672"/>
    <mergeCell ref="C673:E673"/>
    <mergeCell ref="C674:E674"/>
    <mergeCell ref="C675:E675"/>
    <mergeCell ref="C676:E676"/>
    <mergeCell ref="C677:E677"/>
    <mergeCell ref="C678:E678"/>
    <mergeCell ref="C679:E679"/>
    <mergeCell ref="C680:E680"/>
    <mergeCell ref="C681:E681"/>
    <mergeCell ref="C682:E682"/>
    <mergeCell ref="C683:E683"/>
    <mergeCell ref="C684:E684"/>
    <mergeCell ref="C685:E685"/>
    <mergeCell ref="C686:E686"/>
    <mergeCell ref="C687:E687"/>
    <mergeCell ref="C688:E688"/>
    <mergeCell ref="C689:E689"/>
    <mergeCell ref="C690:E690"/>
    <mergeCell ref="C691:E691"/>
    <mergeCell ref="C692:E692"/>
    <mergeCell ref="C693:E693"/>
    <mergeCell ref="C694:E694"/>
    <mergeCell ref="C695:E695"/>
    <mergeCell ref="C696:E696"/>
    <mergeCell ref="C697:E697"/>
    <mergeCell ref="C698:E698"/>
    <mergeCell ref="C699:E699"/>
    <mergeCell ref="C700:E700"/>
    <mergeCell ref="C701:E701"/>
    <mergeCell ref="C702:E702"/>
    <mergeCell ref="C703:E703"/>
    <mergeCell ref="C704:E704"/>
    <mergeCell ref="C705:E705"/>
    <mergeCell ref="C706:E706"/>
    <mergeCell ref="C707:E707"/>
    <mergeCell ref="C708:E708"/>
    <mergeCell ref="C709:E709"/>
    <mergeCell ref="C710:E710"/>
    <mergeCell ref="C711:E711"/>
    <mergeCell ref="A712:I712"/>
    <mergeCell ref="B713:I713"/>
    <mergeCell ref="C714:E714"/>
    <mergeCell ref="C715:E715"/>
    <mergeCell ref="C716:E716"/>
    <mergeCell ref="C717:E717"/>
    <mergeCell ref="C718:E718"/>
    <mergeCell ref="C719:E719"/>
    <mergeCell ref="C720:E720"/>
    <mergeCell ref="C721:E721"/>
    <mergeCell ref="C722:E722"/>
    <mergeCell ref="C723:E723"/>
    <mergeCell ref="C724:E724"/>
    <mergeCell ref="C725:E725"/>
    <mergeCell ref="C726:E726"/>
    <mergeCell ref="C727:E727"/>
    <mergeCell ref="C728:E728"/>
    <mergeCell ref="C729:E729"/>
    <mergeCell ref="C730:E730"/>
    <mergeCell ref="C731:E731"/>
    <mergeCell ref="C732:E732"/>
    <mergeCell ref="C733:E733"/>
    <mergeCell ref="C734:E734"/>
    <mergeCell ref="C735:E735"/>
    <mergeCell ref="C736:E736"/>
    <mergeCell ref="C737:E737"/>
    <mergeCell ref="C738:E738"/>
    <mergeCell ref="C739:E739"/>
    <mergeCell ref="C740:E740"/>
    <mergeCell ref="C741:E741"/>
    <mergeCell ref="C742:E742"/>
    <mergeCell ref="C743:E743"/>
    <mergeCell ref="C744:E744"/>
    <mergeCell ref="C745:E745"/>
    <mergeCell ref="C746:E746"/>
    <mergeCell ref="C747:E747"/>
    <mergeCell ref="C748:E748"/>
    <mergeCell ref="C749:E749"/>
    <mergeCell ref="C750:E750"/>
    <mergeCell ref="C751:E751"/>
    <mergeCell ref="C752:E752"/>
    <mergeCell ref="C753:E753"/>
    <mergeCell ref="C754:E754"/>
    <mergeCell ref="C755:E755"/>
    <mergeCell ref="C756:E756"/>
    <mergeCell ref="C757:E757"/>
    <mergeCell ref="C758:E758"/>
    <mergeCell ref="C759:E759"/>
    <mergeCell ref="C760:E760"/>
    <mergeCell ref="C761:E761"/>
    <mergeCell ref="C762:E762"/>
    <mergeCell ref="C763:E763"/>
    <mergeCell ref="C764:E764"/>
    <mergeCell ref="C765:E765"/>
    <mergeCell ref="C766:E766"/>
    <mergeCell ref="C767:E767"/>
    <mergeCell ref="C768:E768"/>
    <mergeCell ref="C769:E769"/>
    <mergeCell ref="C770:E770"/>
    <mergeCell ref="C771:E771"/>
    <mergeCell ref="C772:E772"/>
    <mergeCell ref="C773:E773"/>
    <mergeCell ref="C774:E774"/>
    <mergeCell ref="C775:E775"/>
    <mergeCell ref="C776:E776"/>
    <mergeCell ref="C777:E777"/>
    <mergeCell ref="C778:E778"/>
    <mergeCell ref="C779:E779"/>
    <mergeCell ref="C780:E780"/>
    <mergeCell ref="C781:E781"/>
    <mergeCell ref="C782:E782"/>
    <mergeCell ref="C783:E783"/>
    <mergeCell ref="C784:E784"/>
    <mergeCell ref="C785:E785"/>
    <mergeCell ref="C786:E786"/>
    <mergeCell ref="C787:E787"/>
    <mergeCell ref="C788:E788"/>
    <mergeCell ref="C789:E789"/>
    <mergeCell ref="C790:E790"/>
    <mergeCell ref="C791:E791"/>
    <mergeCell ref="C792:E792"/>
    <mergeCell ref="C793:E793"/>
    <mergeCell ref="C794:E794"/>
    <mergeCell ref="C795:E795"/>
    <mergeCell ref="C796:E796"/>
    <mergeCell ref="C797:E797"/>
    <mergeCell ref="C798:E798"/>
    <mergeCell ref="C799:E799"/>
    <mergeCell ref="C800:E800"/>
    <mergeCell ref="C801:E801"/>
    <mergeCell ref="C802:E802"/>
    <mergeCell ref="C803:E803"/>
    <mergeCell ref="C804:E804"/>
    <mergeCell ref="C805:E805"/>
    <mergeCell ref="C806:E806"/>
    <mergeCell ref="C807:E807"/>
    <mergeCell ref="C808:E808"/>
    <mergeCell ref="C809:E809"/>
    <mergeCell ref="C810:E810"/>
    <mergeCell ref="C811:E811"/>
    <mergeCell ref="C812:E812"/>
    <mergeCell ref="C813:E813"/>
    <mergeCell ref="C814:E814"/>
    <mergeCell ref="C815:E815"/>
    <mergeCell ref="C816:E816"/>
    <mergeCell ref="C817:E817"/>
    <mergeCell ref="C818:E818"/>
    <mergeCell ref="C819:E819"/>
    <mergeCell ref="C820:E820"/>
    <mergeCell ref="C821:E821"/>
    <mergeCell ref="C822:E822"/>
    <mergeCell ref="C823:E823"/>
    <mergeCell ref="C824:E824"/>
    <mergeCell ref="C825:E825"/>
    <mergeCell ref="C826:E826"/>
    <mergeCell ref="C827:E827"/>
    <mergeCell ref="C828:E828"/>
    <mergeCell ref="C829:E829"/>
    <mergeCell ref="C830:E830"/>
    <mergeCell ref="C831:E831"/>
    <mergeCell ref="C832:E832"/>
    <mergeCell ref="C833:E833"/>
    <mergeCell ref="C834:E834"/>
    <mergeCell ref="C835:E835"/>
    <mergeCell ref="C836:E836"/>
    <mergeCell ref="C837:E837"/>
    <mergeCell ref="C838:E838"/>
    <mergeCell ref="C839:E839"/>
    <mergeCell ref="C840:E840"/>
    <mergeCell ref="C841:E841"/>
    <mergeCell ref="C842:E842"/>
    <mergeCell ref="C843:E843"/>
    <mergeCell ref="C844:E844"/>
    <mergeCell ref="C845:E845"/>
    <mergeCell ref="C846:E846"/>
    <mergeCell ref="C847:E847"/>
    <mergeCell ref="C848:E848"/>
    <mergeCell ref="C849:E849"/>
    <mergeCell ref="C850:E850"/>
    <mergeCell ref="C851:E851"/>
    <mergeCell ref="C852:E852"/>
    <mergeCell ref="C853:E853"/>
    <mergeCell ref="C854:E854"/>
    <mergeCell ref="C855:E855"/>
    <mergeCell ref="C856:E856"/>
    <mergeCell ref="C857:E857"/>
    <mergeCell ref="C858:E858"/>
    <mergeCell ref="C859:E859"/>
    <mergeCell ref="C860:E860"/>
    <mergeCell ref="C861:E861"/>
    <mergeCell ref="C862:E862"/>
    <mergeCell ref="C863:E863"/>
    <mergeCell ref="C864:E864"/>
    <mergeCell ref="C865:E865"/>
    <mergeCell ref="C866:E866"/>
    <mergeCell ref="C867:E867"/>
    <mergeCell ref="C868:E868"/>
    <mergeCell ref="C869:E869"/>
    <mergeCell ref="C870:E870"/>
    <mergeCell ref="C871:E871"/>
    <mergeCell ref="C872:E872"/>
    <mergeCell ref="C873:E873"/>
    <mergeCell ref="C874:E874"/>
    <mergeCell ref="C875:E875"/>
    <mergeCell ref="C876:E876"/>
    <mergeCell ref="C877:E877"/>
    <mergeCell ref="C878:E878"/>
    <mergeCell ref="C879:E879"/>
    <mergeCell ref="C880:E880"/>
    <mergeCell ref="C881:E881"/>
    <mergeCell ref="C882:E882"/>
    <mergeCell ref="C883:E883"/>
    <mergeCell ref="C884:E884"/>
    <mergeCell ref="C885:E885"/>
    <mergeCell ref="C886:E886"/>
    <mergeCell ref="C887:E887"/>
    <mergeCell ref="C888:E888"/>
    <mergeCell ref="C889:E889"/>
    <mergeCell ref="C890:E890"/>
    <mergeCell ref="C891:E891"/>
    <mergeCell ref="C892:E892"/>
    <mergeCell ref="C893:E893"/>
    <mergeCell ref="C894:E894"/>
    <mergeCell ref="C895:E895"/>
    <mergeCell ref="C896:E896"/>
    <mergeCell ref="C897:E897"/>
    <mergeCell ref="C898:E898"/>
    <mergeCell ref="C899:E899"/>
    <mergeCell ref="C900:E900"/>
    <mergeCell ref="C901:E901"/>
    <mergeCell ref="C902:E902"/>
    <mergeCell ref="C903:E903"/>
    <mergeCell ref="C904:E904"/>
    <mergeCell ref="C905:E905"/>
    <mergeCell ref="C906:E906"/>
    <mergeCell ref="C907:E907"/>
    <mergeCell ref="C908:E908"/>
    <mergeCell ref="C909:E909"/>
    <mergeCell ref="C910:E910"/>
    <mergeCell ref="C911:E911"/>
    <mergeCell ref="C912:E912"/>
    <mergeCell ref="C913:E913"/>
    <mergeCell ref="C914:E914"/>
    <mergeCell ref="C915:E915"/>
    <mergeCell ref="C916:E916"/>
    <mergeCell ref="C917:E917"/>
    <mergeCell ref="C918:E918"/>
    <mergeCell ref="C919:E919"/>
    <mergeCell ref="C920:E920"/>
    <mergeCell ref="C921:E921"/>
    <mergeCell ref="C922:E922"/>
    <mergeCell ref="C923:E923"/>
    <mergeCell ref="C924:E924"/>
    <mergeCell ref="C925:E925"/>
    <mergeCell ref="C926:E926"/>
    <mergeCell ref="C927:E927"/>
    <mergeCell ref="C928:E928"/>
    <mergeCell ref="C929:E929"/>
    <mergeCell ref="C930:E930"/>
    <mergeCell ref="C931:E931"/>
    <mergeCell ref="C932:E932"/>
    <mergeCell ref="C933:E933"/>
    <mergeCell ref="C934:E934"/>
    <mergeCell ref="C935:E935"/>
    <mergeCell ref="C936:E936"/>
    <mergeCell ref="C937:E937"/>
    <mergeCell ref="C938:E938"/>
    <mergeCell ref="C939:E939"/>
    <mergeCell ref="C940:E940"/>
    <mergeCell ref="C941:E941"/>
    <mergeCell ref="C942:E942"/>
    <mergeCell ref="A943:I943"/>
    <mergeCell ref="B944:I944"/>
    <mergeCell ref="C945:E945"/>
    <mergeCell ref="C946:E946"/>
    <mergeCell ref="C947:E947"/>
    <mergeCell ref="C948:E948"/>
    <mergeCell ref="C949:E949"/>
    <mergeCell ref="C950:E950"/>
    <mergeCell ref="C951:E951"/>
    <mergeCell ref="C952:E952"/>
    <mergeCell ref="C953:E953"/>
    <mergeCell ref="C954:E954"/>
    <mergeCell ref="C955:E955"/>
    <mergeCell ref="C956:E956"/>
    <mergeCell ref="C957:E957"/>
    <mergeCell ref="C958:E958"/>
    <mergeCell ref="C959:E959"/>
    <mergeCell ref="C960:E960"/>
    <mergeCell ref="C961:E961"/>
    <mergeCell ref="C962:E962"/>
    <mergeCell ref="C963:E963"/>
    <mergeCell ref="C964:E964"/>
    <mergeCell ref="C965:E965"/>
    <mergeCell ref="C966:E966"/>
    <mergeCell ref="C967:E967"/>
    <mergeCell ref="C968:E968"/>
    <mergeCell ref="C969:E969"/>
    <mergeCell ref="C970:E970"/>
    <mergeCell ref="C971:E971"/>
    <mergeCell ref="C972:E972"/>
    <mergeCell ref="C973:E973"/>
    <mergeCell ref="C974:E974"/>
    <mergeCell ref="C975:E975"/>
    <mergeCell ref="C976:E976"/>
    <mergeCell ref="C977:E977"/>
    <mergeCell ref="C978:E978"/>
    <mergeCell ref="C979:E979"/>
    <mergeCell ref="C980:E980"/>
    <mergeCell ref="C981:E981"/>
    <mergeCell ref="C982:E982"/>
    <mergeCell ref="C983:E983"/>
    <mergeCell ref="C984:E984"/>
    <mergeCell ref="C985:E985"/>
    <mergeCell ref="C986:E986"/>
    <mergeCell ref="C987:E987"/>
    <mergeCell ref="C988:E988"/>
    <mergeCell ref="C989:E989"/>
    <mergeCell ref="C990:E990"/>
    <mergeCell ref="C991:E991"/>
    <mergeCell ref="C992:E992"/>
    <mergeCell ref="C993:E993"/>
    <mergeCell ref="C994:E994"/>
    <mergeCell ref="C995:E995"/>
    <mergeCell ref="C996:E996"/>
    <mergeCell ref="C997:E997"/>
    <mergeCell ref="C998:E998"/>
    <mergeCell ref="C999:E999"/>
    <mergeCell ref="C1000:E1000"/>
    <mergeCell ref="C1001:E1001"/>
    <mergeCell ref="C1002:E1002"/>
    <mergeCell ref="C1003:E1003"/>
    <mergeCell ref="C1004:E1004"/>
    <mergeCell ref="C1005:E1005"/>
    <mergeCell ref="C1006:E1006"/>
    <mergeCell ref="C1007:E1007"/>
    <mergeCell ref="C1008:E1008"/>
    <mergeCell ref="C1009:E1009"/>
    <mergeCell ref="C1010:E1010"/>
    <mergeCell ref="C1011:E1011"/>
    <mergeCell ref="C1012:E1012"/>
    <mergeCell ref="C1013:E1013"/>
    <mergeCell ref="C1014:E1014"/>
    <mergeCell ref="C1015:E1015"/>
    <mergeCell ref="C1016:E1016"/>
    <mergeCell ref="C1017:E1017"/>
    <mergeCell ref="C1018:E1018"/>
    <mergeCell ref="C1019:E1019"/>
    <mergeCell ref="C1020:E1020"/>
    <mergeCell ref="C1021:E1021"/>
    <mergeCell ref="C1022:E1022"/>
    <mergeCell ref="C1023:E1023"/>
    <mergeCell ref="C1024:E1024"/>
    <mergeCell ref="C1025:E1025"/>
    <mergeCell ref="C1026:E1026"/>
    <mergeCell ref="C1027:E1027"/>
    <mergeCell ref="C1028:E1028"/>
    <mergeCell ref="C1029:E1029"/>
    <mergeCell ref="C1030:E1030"/>
    <mergeCell ref="C1031:E1031"/>
    <mergeCell ref="C1032:E1032"/>
    <mergeCell ref="C1033:E1033"/>
    <mergeCell ref="C1034:E1034"/>
    <mergeCell ref="C1035:E1035"/>
    <mergeCell ref="C1036:E1036"/>
    <mergeCell ref="C1037:E1037"/>
    <mergeCell ref="C1038:E1038"/>
    <mergeCell ref="C1039:E1039"/>
    <mergeCell ref="C1041:E1041"/>
    <mergeCell ref="C1042:E1042"/>
    <mergeCell ref="C1043:E1043"/>
    <mergeCell ref="C1044:E1044"/>
    <mergeCell ref="C1045:E1045"/>
    <mergeCell ref="C1046:E1046"/>
    <mergeCell ref="C1047:E1047"/>
    <mergeCell ref="C1048:E1048"/>
    <mergeCell ref="C1049:E1049"/>
    <mergeCell ref="C1050:E1050"/>
    <mergeCell ref="C1051:E1051"/>
    <mergeCell ref="C1052:E1052"/>
    <mergeCell ref="C1053:E1053"/>
    <mergeCell ref="C1054:E1054"/>
    <mergeCell ref="C1055:E1055"/>
    <mergeCell ref="C1056:E1056"/>
    <mergeCell ref="C1057:E1057"/>
    <mergeCell ref="C1058:E1058"/>
    <mergeCell ref="C1059:E1059"/>
    <mergeCell ref="C1060:E1060"/>
    <mergeCell ref="C1061:E1061"/>
    <mergeCell ref="C1062:E1062"/>
    <mergeCell ref="C1063:E1063"/>
    <mergeCell ref="C1064:E1064"/>
    <mergeCell ref="C1065:E1065"/>
    <mergeCell ref="C1066:E1066"/>
    <mergeCell ref="C1067:E1067"/>
    <mergeCell ref="C1068:E1068"/>
    <mergeCell ref="C1069:E1069"/>
    <mergeCell ref="C1070:E1070"/>
    <mergeCell ref="C1071:E1071"/>
    <mergeCell ref="C1072:E1072"/>
    <mergeCell ref="C1073:E1073"/>
    <mergeCell ref="C1074:E1074"/>
    <mergeCell ref="C1075:E1075"/>
    <mergeCell ref="C1076:E1076"/>
    <mergeCell ref="C1077:E1077"/>
    <mergeCell ref="C1078:E1078"/>
    <mergeCell ref="C1079:E1079"/>
    <mergeCell ref="C1080:E1080"/>
    <mergeCell ref="C1081:E1081"/>
    <mergeCell ref="C1082:E1082"/>
    <mergeCell ref="C1083:E1083"/>
    <mergeCell ref="C1084:E1084"/>
    <mergeCell ref="C1085:E1085"/>
    <mergeCell ref="C1086:E1086"/>
    <mergeCell ref="C1087:E1087"/>
    <mergeCell ref="C1088:E1088"/>
    <mergeCell ref="C1089:E1089"/>
    <mergeCell ref="C1090:E1090"/>
    <mergeCell ref="C1091:E1091"/>
    <mergeCell ref="C1092:E1092"/>
    <mergeCell ref="C1093:E1093"/>
    <mergeCell ref="C1094:E1094"/>
    <mergeCell ref="C1095:E1095"/>
    <mergeCell ref="C1096:E1096"/>
    <mergeCell ref="C1097:E1097"/>
    <mergeCell ref="C1098:E1098"/>
    <mergeCell ref="C1099:E1099"/>
    <mergeCell ref="C1100:E1100"/>
    <mergeCell ref="C1101:E1101"/>
    <mergeCell ref="C1102:E1102"/>
    <mergeCell ref="C1103:E1103"/>
    <mergeCell ref="C1104:E1104"/>
    <mergeCell ref="C1105:E1105"/>
    <mergeCell ref="C1106:E1106"/>
    <mergeCell ref="C1107:E1107"/>
    <mergeCell ref="C1108:E1108"/>
    <mergeCell ref="A1109:I1109"/>
    <mergeCell ref="B1110:I1110"/>
    <mergeCell ref="C1111:E1111"/>
    <mergeCell ref="C1112:E1112"/>
    <mergeCell ref="C1113:E1113"/>
    <mergeCell ref="C1114:E1114"/>
    <mergeCell ref="C1115:E1115"/>
    <mergeCell ref="C1116:E1116"/>
    <mergeCell ref="C1117:E1117"/>
    <mergeCell ref="C1118:E1118"/>
    <mergeCell ref="C1119:E1119"/>
    <mergeCell ref="C1120:E1120"/>
    <mergeCell ref="C1121:E1121"/>
    <mergeCell ref="C1122:E1122"/>
    <mergeCell ref="C1123:E1123"/>
    <mergeCell ref="C1124:E1124"/>
    <mergeCell ref="C1125:E1125"/>
    <mergeCell ref="C1126:E1126"/>
    <mergeCell ref="C1127:E1127"/>
    <mergeCell ref="C1128:E1128"/>
    <mergeCell ref="C1129:E1129"/>
    <mergeCell ref="C1130:E1130"/>
    <mergeCell ref="C1131:E1131"/>
    <mergeCell ref="C1132:E1132"/>
    <mergeCell ref="C1133:E1133"/>
    <mergeCell ref="C1134:E1134"/>
    <mergeCell ref="C1135:E1135"/>
    <mergeCell ref="C1136:E1136"/>
    <mergeCell ref="C1137:E1137"/>
    <mergeCell ref="C1138:E1138"/>
    <mergeCell ref="C1139:E1139"/>
    <mergeCell ref="C1140:E1140"/>
    <mergeCell ref="C1141:E1141"/>
    <mergeCell ref="C1142:E1142"/>
    <mergeCell ref="C1143:E1143"/>
    <mergeCell ref="C1144:E1144"/>
    <mergeCell ref="C1145:E1145"/>
    <mergeCell ref="C1146:E1146"/>
    <mergeCell ref="C1147:E1147"/>
    <mergeCell ref="C1148:E1148"/>
    <mergeCell ref="C1149:E1149"/>
    <mergeCell ref="C1150:E1150"/>
    <mergeCell ref="C1151:E1151"/>
    <mergeCell ref="C1152:E1152"/>
    <mergeCell ref="C1153:E1153"/>
    <mergeCell ref="C1154:E1154"/>
    <mergeCell ref="C1155:E1155"/>
    <mergeCell ref="C1156:E1156"/>
    <mergeCell ref="C1157:E1157"/>
    <mergeCell ref="C1158:E1158"/>
    <mergeCell ref="C1159:E1159"/>
    <mergeCell ref="C1160:E1160"/>
    <mergeCell ref="C1161:E1161"/>
    <mergeCell ref="C1162:E1162"/>
    <mergeCell ref="C1163:E1163"/>
    <mergeCell ref="C1164:E1164"/>
    <mergeCell ref="C1165:E1165"/>
    <mergeCell ref="C1166:E1166"/>
    <mergeCell ref="C1167:E1167"/>
    <mergeCell ref="C1168:E1168"/>
    <mergeCell ref="C1169:E1169"/>
    <mergeCell ref="C1170:E1170"/>
    <mergeCell ref="C1171:E1171"/>
    <mergeCell ref="C1172:E1172"/>
    <mergeCell ref="C1173:E1173"/>
    <mergeCell ref="C1174:E1174"/>
    <mergeCell ref="C1175:E1175"/>
    <mergeCell ref="C1176:E1176"/>
    <mergeCell ref="C1177:E1177"/>
    <mergeCell ref="C1178:E1178"/>
    <mergeCell ref="C1179:E1179"/>
    <mergeCell ref="C1180:E1180"/>
    <mergeCell ref="C1181:E1181"/>
    <mergeCell ref="C1182:E1182"/>
    <mergeCell ref="C1183:E1183"/>
    <mergeCell ref="C1184:E1184"/>
    <mergeCell ref="C1185:E1185"/>
    <mergeCell ref="A1186:I1186"/>
    <mergeCell ref="B1187:I1187"/>
    <mergeCell ref="C1188:E1188"/>
    <mergeCell ref="C1189:E1189"/>
    <mergeCell ref="C1190:E1190"/>
    <mergeCell ref="C1191:E1191"/>
    <mergeCell ref="C1192:E1192"/>
    <mergeCell ref="C1193:E1193"/>
    <mergeCell ref="C1194:E1194"/>
    <mergeCell ref="C1195:E1195"/>
    <mergeCell ref="C1196:E1196"/>
    <mergeCell ref="C1197:E1197"/>
    <mergeCell ref="C1198:E1198"/>
    <mergeCell ref="C1199:E1199"/>
    <mergeCell ref="C1200:E1200"/>
    <mergeCell ref="C1201:E1201"/>
    <mergeCell ref="C1202:E1202"/>
    <mergeCell ref="C1203:E1203"/>
    <mergeCell ref="C1204:E1204"/>
    <mergeCell ref="C1205:E1205"/>
    <mergeCell ref="C1206:E1206"/>
    <mergeCell ref="C1207:E1207"/>
    <mergeCell ref="C1208:E1208"/>
    <mergeCell ref="C1209:E1209"/>
    <mergeCell ref="C1210:E1210"/>
    <mergeCell ref="C1211:E1211"/>
    <mergeCell ref="C1212:E1212"/>
    <mergeCell ref="C1213:E1213"/>
    <mergeCell ref="C1214:E1214"/>
    <mergeCell ref="C1215:E1215"/>
    <mergeCell ref="C1216:E1216"/>
    <mergeCell ref="C1217:E1217"/>
    <mergeCell ref="C1218:E1218"/>
    <mergeCell ref="C1219:E1219"/>
    <mergeCell ref="C1220:E1220"/>
    <mergeCell ref="C1221:E1221"/>
    <mergeCell ref="C1222:E1222"/>
    <mergeCell ref="C1223:E1223"/>
    <mergeCell ref="C1224:E1224"/>
    <mergeCell ref="C1225:E1225"/>
    <mergeCell ref="C1226:E1226"/>
    <mergeCell ref="C1227:E1227"/>
    <mergeCell ref="C1228:E1228"/>
    <mergeCell ref="C1229:E1229"/>
    <mergeCell ref="C1230:E1230"/>
    <mergeCell ref="C1231:E1231"/>
    <mergeCell ref="C1232:E1232"/>
    <mergeCell ref="C1233:E1233"/>
    <mergeCell ref="C1234:E1234"/>
    <mergeCell ref="C1235:E1235"/>
    <mergeCell ref="C1236:E1236"/>
    <mergeCell ref="C1237:E1237"/>
    <mergeCell ref="C1238:E1238"/>
    <mergeCell ref="C1239:E1239"/>
    <mergeCell ref="C1240:E1240"/>
    <mergeCell ref="C1241:E1241"/>
    <mergeCell ref="C1242:E1242"/>
    <mergeCell ref="C1243:E1243"/>
    <mergeCell ref="C1244:E1244"/>
    <mergeCell ref="C1245:E1245"/>
    <mergeCell ref="C1246:E1246"/>
    <mergeCell ref="C1247:E1247"/>
    <mergeCell ref="C1248:E1248"/>
    <mergeCell ref="C1249:E1249"/>
    <mergeCell ref="C1250:E1250"/>
    <mergeCell ref="C1251:E1251"/>
    <mergeCell ref="C1252:E1252"/>
    <mergeCell ref="C1253:E1253"/>
    <mergeCell ref="C1254:E1254"/>
    <mergeCell ref="C1255:E1255"/>
    <mergeCell ref="C1256:E1256"/>
    <mergeCell ref="C1257:E1257"/>
    <mergeCell ref="C1258:E1258"/>
    <mergeCell ref="C1259:E1259"/>
    <mergeCell ref="C1260:E1260"/>
    <mergeCell ref="C1261:E1261"/>
    <mergeCell ref="C1262:E1262"/>
    <mergeCell ref="C1263:E1263"/>
    <mergeCell ref="C1264:E1264"/>
    <mergeCell ref="C1265:E1265"/>
    <mergeCell ref="C1266:E1266"/>
    <mergeCell ref="C1267:E1267"/>
    <mergeCell ref="C1268:E1268"/>
    <mergeCell ref="C1269:E1269"/>
    <mergeCell ref="C1270:E1270"/>
    <mergeCell ref="C1271:E1271"/>
    <mergeCell ref="C1272:E1272"/>
    <mergeCell ref="C1273:E1273"/>
    <mergeCell ref="C1274:E1274"/>
    <mergeCell ref="C1275:E1275"/>
    <mergeCell ref="C1276:E1276"/>
    <mergeCell ref="C1277:E1277"/>
    <mergeCell ref="C1278:E1278"/>
    <mergeCell ref="C1279:E1279"/>
    <mergeCell ref="C1280:E1280"/>
    <mergeCell ref="C1281:E1281"/>
    <mergeCell ref="C1282:E1282"/>
    <mergeCell ref="C1283:E1283"/>
    <mergeCell ref="C1284:E1284"/>
    <mergeCell ref="C1285:E1285"/>
    <mergeCell ref="C1286:E1286"/>
    <mergeCell ref="C1287:E1287"/>
    <mergeCell ref="C1288:E1288"/>
    <mergeCell ref="C1289:E1289"/>
    <mergeCell ref="C1290:E1290"/>
    <mergeCell ref="C1291:E1291"/>
    <mergeCell ref="C1292:E1292"/>
    <mergeCell ref="C1293:E1293"/>
    <mergeCell ref="C1294:E1294"/>
    <mergeCell ref="C1295:E1295"/>
    <mergeCell ref="C1296:E1296"/>
    <mergeCell ref="C1297:E1297"/>
    <mergeCell ref="C1298:E1298"/>
    <mergeCell ref="C1299:E1299"/>
    <mergeCell ref="C1300:E1300"/>
    <mergeCell ref="C1301:E1301"/>
    <mergeCell ref="C1302:E1302"/>
    <mergeCell ref="C1303:E1303"/>
    <mergeCell ref="C1304:E1304"/>
    <mergeCell ref="C1305:E1305"/>
    <mergeCell ref="C1306:E1306"/>
    <mergeCell ref="C1307:E1307"/>
    <mergeCell ref="C1308:E1308"/>
    <mergeCell ref="C1309:E1309"/>
    <mergeCell ref="C1310:E1310"/>
    <mergeCell ref="C1311:E1311"/>
    <mergeCell ref="C1312:E1312"/>
    <mergeCell ref="C1313:E1313"/>
    <mergeCell ref="C1314:E1314"/>
    <mergeCell ref="C1315:E1315"/>
    <mergeCell ref="C1316:E1316"/>
    <mergeCell ref="C1317:E1317"/>
    <mergeCell ref="C1318:E1318"/>
    <mergeCell ref="C1319:E1319"/>
    <mergeCell ref="C1320:E1320"/>
    <mergeCell ref="C1321:E1321"/>
    <mergeCell ref="C1322:E1322"/>
    <mergeCell ref="C1323:E1323"/>
    <mergeCell ref="C1324:E1324"/>
    <mergeCell ref="C1325:E1325"/>
    <mergeCell ref="C1326:E1326"/>
    <mergeCell ref="C1327:E1327"/>
    <mergeCell ref="C1328:E1328"/>
    <mergeCell ref="C1329:E1329"/>
    <mergeCell ref="C1330:E1330"/>
    <mergeCell ref="C1331:E1331"/>
    <mergeCell ref="C1332:E1332"/>
    <mergeCell ref="C1333:E1333"/>
    <mergeCell ref="C1334:E1334"/>
    <mergeCell ref="C1335:E1335"/>
    <mergeCell ref="C1336:E1336"/>
    <mergeCell ref="C1337:E1337"/>
    <mergeCell ref="C1338:E1338"/>
    <mergeCell ref="C1339:E1339"/>
    <mergeCell ref="C1340:E1340"/>
    <mergeCell ref="C1341:E1341"/>
    <mergeCell ref="C1342:E1342"/>
    <mergeCell ref="C1343:E1343"/>
    <mergeCell ref="C1344:E1344"/>
    <mergeCell ref="C1345:E1345"/>
    <mergeCell ref="C1346:E1346"/>
    <mergeCell ref="C1347:E1347"/>
    <mergeCell ref="C1348:E1348"/>
    <mergeCell ref="C1349:E1349"/>
    <mergeCell ref="C1350:E1350"/>
    <mergeCell ref="C1351:E1351"/>
    <mergeCell ref="C1352:E1352"/>
    <mergeCell ref="C1353:E1353"/>
    <mergeCell ref="C1354:E1354"/>
    <mergeCell ref="C1355:E1355"/>
    <mergeCell ref="A1356:I1356"/>
    <mergeCell ref="B1357:I1357"/>
    <mergeCell ref="C1358:E1358"/>
    <mergeCell ref="C1359:E1359"/>
    <mergeCell ref="C1360:E1360"/>
    <mergeCell ref="C1361:E1361"/>
    <mergeCell ref="C1362:E1362"/>
    <mergeCell ref="C1363:E1363"/>
    <mergeCell ref="C1364:E1364"/>
    <mergeCell ref="C1365:E1365"/>
    <mergeCell ref="C1366:E1366"/>
    <mergeCell ref="C1367:E1367"/>
    <mergeCell ref="C1368:E1368"/>
    <mergeCell ref="C1369:E1369"/>
    <mergeCell ref="C1370:E1370"/>
    <mergeCell ref="C1371:E1371"/>
    <mergeCell ref="C1372:E1372"/>
    <mergeCell ref="C1373:E1373"/>
    <mergeCell ref="C1374:E1374"/>
    <mergeCell ref="C1375:E1375"/>
    <mergeCell ref="C1376:E1376"/>
    <mergeCell ref="C1377:E1377"/>
    <mergeCell ref="C1378:E1378"/>
    <mergeCell ref="C1379:E1379"/>
    <mergeCell ref="C1380:E1380"/>
    <mergeCell ref="C1381:E1381"/>
    <mergeCell ref="C1382:E1382"/>
    <mergeCell ref="C1383:E1383"/>
    <mergeCell ref="C1384:E1384"/>
    <mergeCell ref="C1385:E1385"/>
    <mergeCell ref="C1386:E1386"/>
    <mergeCell ref="C1387:E1387"/>
    <mergeCell ref="C1388:E1388"/>
    <mergeCell ref="C1389:E1389"/>
    <mergeCell ref="C1390:E1390"/>
    <mergeCell ref="C1391:E1391"/>
    <mergeCell ref="C1392:E1392"/>
    <mergeCell ref="C1393:E1393"/>
    <mergeCell ref="C1394:E1394"/>
    <mergeCell ref="C1395:E1395"/>
    <mergeCell ref="C1396:E1396"/>
    <mergeCell ref="C1397:E1397"/>
    <mergeCell ref="C1398:E1398"/>
    <mergeCell ref="C1399:E1399"/>
    <mergeCell ref="C1400:E1400"/>
    <mergeCell ref="C1401:E1401"/>
    <mergeCell ref="C1402:E1402"/>
    <mergeCell ref="C1403:E1403"/>
    <mergeCell ref="C1404:E1404"/>
    <mergeCell ref="C1405:E1405"/>
    <mergeCell ref="C1406:E1406"/>
    <mergeCell ref="C1407:E1407"/>
    <mergeCell ref="C1408:E1408"/>
    <mergeCell ref="C1409:E1409"/>
    <mergeCell ref="C1410:E1410"/>
    <mergeCell ref="C1411:E1411"/>
    <mergeCell ref="C1412:E1412"/>
    <mergeCell ref="C1413:E1413"/>
    <mergeCell ref="C1414:E1414"/>
    <mergeCell ref="C1415:E1415"/>
    <mergeCell ref="C1416:E1416"/>
    <mergeCell ref="C1417:E1417"/>
    <mergeCell ref="C1418:E1418"/>
    <mergeCell ref="C1419:E1419"/>
    <mergeCell ref="C1420:E1420"/>
    <mergeCell ref="C1421:E1421"/>
    <mergeCell ref="C1422:E1422"/>
    <mergeCell ref="C1423:E1423"/>
    <mergeCell ref="C1424:E1424"/>
    <mergeCell ref="C1425:E1425"/>
    <mergeCell ref="C1426:E1426"/>
    <mergeCell ref="C1427:E1427"/>
    <mergeCell ref="C1428:E1428"/>
    <mergeCell ref="C1429:E1429"/>
    <mergeCell ref="C1430:E1430"/>
    <mergeCell ref="C1431:E1431"/>
    <mergeCell ref="C1432:E1432"/>
    <mergeCell ref="C1433:E1433"/>
    <mergeCell ref="C1434:E1434"/>
    <mergeCell ref="C1435:E1435"/>
    <mergeCell ref="C1436:E1436"/>
    <mergeCell ref="C1437:E1437"/>
    <mergeCell ref="C1438:E1438"/>
    <mergeCell ref="C1439:E1439"/>
    <mergeCell ref="C1440:E1440"/>
    <mergeCell ref="C1441:E1441"/>
    <mergeCell ref="C1442:E1442"/>
    <mergeCell ref="C1443:E1443"/>
    <mergeCell ref="C1444:E1444"/>
    <mergeCell ref="C1445:E1445"/>
    <mergeCell ref="C1446:E1446"/>
    <mergeCell ref="C1447:E1447"/>
    <mergeCell ref="C1448:E1448"/>
    <mergeCell ref="C1449:E1449"/>
    <mergeCell ref="C1450:E1450"/>
    <mergeCell ref="C1451:E1451"/>
    <mergeCell ref="C1452:E1452"/>
    <mergeCell ref="C1453:E1453"/>
    <mergeCell ref="C1454:E1454"/>
    <mergeCell ref="C1455:E1455"/>
    <mergeCell ref="C1456:E1456"/>
    <mergeCell ref="C1457:E1457"/>
    <mergeCell ref="C1458:E1458"/>
    <mergeCell ref="C1459:E1459"/>
    <mergeCell ref="C1460:E1460"/>
    <mergeCell ref="C1461:E1461"/>
    <mergeCell ref="C1462:E1462"/>
    <mergeCell ref="C1463:E1463"/>
    <mergeCell ref="C1464:E1464"/>
    <mergeCell ref="C1465:E1465"/>
    <mergeCell ref="C1466:E1466"/>
    <mergeCell ref="C1467:E1467"/>
    <mergeCell ref="C1468:E1468"/>
    <mergeCell ref="C1469:E1469"/>
    <mergeCell ref="C1470:E1470"/>
    <mergeCell ref="C1471:E1471"/>
    <mergeCell ref="C1472:E1472"/>
    <mergeCell ref="C1473:E1473"/>
    <mergeCell ref="C1474:E1474"/>
    <mergeCell ref="C1475:E1475"/>
    <mergeCell ref="C1476:E1476"/>
    <mergeCell ref="C1477:E1477"/>
    <mergeCell ref="C1478:E1478"/>
    <mergeCell ref="C1479:E1479"/>
    <mergeCell ref="C1480:E1480"/>
    <mergeCell ref="C1481:E1481"/>
    <mergeCell ref="C1482:E1482"/>
    <mergeCell ref="C1483:E1483"/>
    <mergeCell ref="C1484:E1484"/>
    <mergeCell ref="C1485:E1485"/>
    <mergeCell ref="C1486:E1486"/>
    <mergeCell ref="C1487:E1487"/>
    <mergeCell ref="C1488:E1488"/>
    <mergeCell ref="C1489:E1489"/>
    <mergeCell ref="C1490:E1490"/>
    <mergeCell ref="C1491:E1491"/>
    <mergeCell ref="C1492:E1492"/>
    <mergeCell ref="C1493:E1493"/>
    <mergeCell ref="C1494:E1494"/>
    <mergeCell ref="C1495:E1495"/>
    <mergeCell ref="C1496:E1496"/>
    <mergeCell ref="C1497:E1497"/>
    <mergeCell ref="C1498:E1498"/>
    <mergeCell ref="C1499:E1499"/>
    <mergeCell ref="C1500:E1500"/>
    <mergeCell ref="C1501:E1501"/>
    <mergeCell ref="C1502:E1502"/>
    <mergeCell ref="C1503:E1503"/>
    <mergeCell ref="C1504:E1504"/>
    <mergeCell ref="C1505:E1505"/>
    <mergeCell ref="C1506:E1506"/>
    <mergeCell ref="C1507:E1507"/>
    <mergeCell ref="C1508:E1508"/>
    <mergeCell ref="C1509:E1509"/>
    <mergeCell ref="C1510:E1510"/>
    <mergeCell ref="C1511:E1511"/>
    <mergeCell ref="C1512:E1512"/>
    <mergeCell ref="C1513:E1513"/>
    <mergeCell ref="A1514:I1514"/>
    <mergeCell ref="B1515:I1515"/>
    <mergeCell ref="C1516:E1516"/>
    <mergeCell ref="C1517:E1517"/>
    <mergeCell ref="C1518:E1518"/>
    <mergeCell ref="C1519:E1519"/>
    <mergeCell ref="C1520:E1520"/>
    <mergeCell ref="C1521:E1521"/>
    <mergeCell ref="C1522:E1522"/>
    <mergeCell ref="C1523:E1523"/>
    <mergeCell ref="C1524:E1524"/>
    <mergeCell ref="C1525:E1525"/>
    <mergeCell ref="C1526:E1526"/>
    <mergeCell ref="C1527:E1527"/>
    <mergeCell ref="C1528:E1528"/>
    <mergeCell ref="C1529:E1529"/>
    <mergeCell ref="C1530:E1530"/>
    <mergeCell ref="C1531:E1531"/>
    <mergeCell ref="C1532:E1532"/>
    <mergeCell ref="C1533:E1533"/>
    <mergeCell ref="C1534:E1534"/>
    <mergeCell ref="C1535:E1535"/>
    <mergeCell ref="C1536:E1536"/>
    <mergeCell ref="C1537:E1537"/>
    <mergeCell ref="C1538:E1538"/>
    <mergeCell ref="C1539:E1539"/>
    <mergeCell ref="C1540:E1540"/>
    <mergeCell ref="C1541:E1541"/>
    <mergeCell ref="C1542:E1542"/>
    <mergeCell ref="C1543:E1543"/>
    <mergeCell ref="C1544:E1544"/>
    <mergeCell ref="C1545:E1545"/>
    <mergeCell ref="C1546:E1546"/>
    <mergeCell ref="C1547:E1547"/>
    <mergeCell ref="C1548:E1548"/>
    <mergeCell ref="C1549:E1549"/>
    <mergeCell ref="C1550:E1550"/>
    <mergeCell ref="C1551:E1551"/>
    <mergeCell ref="C1552:E1552"/>
    <mergeCell ref="C1553:E1553"/>
    <mergeCell ref="C1554:E1554"/>
    <mergeCell ref="C1555:E1555"/>
    <mergeCell ref="C1556:E1556"/>
    <mergeCell ref="C1557:E1557"/>
    <mergeCell ref="C1558:E1558"/>
    <mergeCell ref="C1559:E1559"/>
    <mergeCell ref="C1560:E1560"/>
    <mergeCell ref="C1561:E1561"/>
    <mergeCell ref="C1562:E1562"/>
    <mergeCell ref="C1563:E1563"/>
    <mergeCell ref="C1564:E1564"/>
    <mergeCell ref="C1565:E1565"/>
    <mergeCell ref="C1566:E1566"/>
    <mergeCell ref="C1567:E1567"/>
    <mergeCell ref="C1568:E1568"/>
    <mergeCell ref="C1569:E1569"/>
    <mergeCell ref="C1570:E1570"/>
    <mergeCell ref="C1571:E1571"/>
    <mergeCell ref="C1572:E1572"/>
    <mergeCell ref="C1573:E1573"/>
    <mergeCell ref="C1574:E1574"/>
    <mergeCell ref="C1575:E1575"/>
    <mergeCell ref="C1576:E1576"/>
    <mergeCell ref="C1577:E1577"/>
    <mergeCell ref="C1578:E1578"/>
    <mergeCell ref="C1579:E1579"/>
    <mergeCell ref="C1580:E1580"/>
    <mergeCell ref="C1581:E1581"/>
    <mergeCell ref="C1582:E1582"/>
    <mergeCell ref="C1583:E1583"/>
    <mergeCell ref="C1584:E1584"/>
    <mergeCell ref="C1585:E1585"/>
    <mergeCell ref="C1586:E1586"/>
    <mergeCell ref="C1587:E1587"/>
    <mergeCell ref="C1588:E1588"/>
    <mergeCell ref="C1589:E1589"/>
    <mergeCell ref="C1590:E1590"/>
    <mergeCell ref="C1591:E1591"/>
    <mergeCell ref="C1592:E1592"/>
    <mergeCell ref="C1593:E1593"/>
    <mergeCell ref="C1594:E1594"/>
    <mergeCell ref="C1595:E1595"/>
    <mergeCell ref="C1596:E1596"/>
    <mergeCell ref="C1597:E1597"/>
    <mergeCell ref="C1598:E1598"/>
    <mergeCell ref="C1599:E1599"/>
    <mergeCell ref="C1600:E1600"/>
    <mergeCell ref="C1601:E1601"/>
    <mergeCell ref="C1602:E1602"/>
    <mergeCell ref="C1603:E1603"/>
    <mergeCell ref="C1604:E1604"/>
    <mergeCell ref="C1605:E1605"/>
    <mergeCell ref="C1606:E1606"/>
    <mergeCell ref="C1607:E1607"/>
    <mergeCell ref="C1608:E1608"/>
    <mergeCell ref="C1609:E1609"/>
    <mergeCell ref="C1610:E1610"/>
    <mergeCell ref="C1611:E1611"/>
    <mergeCell ref="C1612:E1612"/>
    <mergeCell ref="C1613:E1613"/>
    <mergeCell ref="C1614:E1614"/>
    <mergeCell ref="C1615:E1615"/>
    <mergeCell ref="C1616:E1616"/>
    <mergeCell ref="C1617:E1617"/>
    <mergeCell ref="C1618:E1618"/>
    <mergeCell ref="C1619:E1619"/>
    <mergeCell ref="C1620:E1620"/>
    <mergeCell ref="C1621:E1621"/>
    <mergeCell ref="C1622:E1622"/>
    <mergeCell ref="C1623:E1623"/>
    <mergeCell ref="C1624:E1624"/>
    <mergeCell ref="C1625:E1625"/>
    <mergeCell ref="C1626:E1626"/>
    <mergeCell ref="C1627:E1627"/>
    <mergeCell ref="C1628:E1628"/>
    <mergeCell ref="C1629:E1629"/>
    <mergeCell ref="C1630:E1630"/>
    <mergeCell ref="C1631:E1631"/>
    <mergeCell ref="C1632:E1632"/>
    <mergeCell ref="C1633:E1633"/>
    <mergeCell ref="C1634:E1634"/>
    <mergeCell ref="C1635:E1635"/>
    <mergeCell ref="C1636:E1636"/>
    <mergeCell ref="C1637:E1637"/>
    <mergeCell ref="C1638:E1638"/>
    <mergeCell ref="C1639:E1639"/>
    <mergeCell ref="C1640:E1640"/>
    <mergeCell ref="C1641:E1641"/>
    <mergeCell ref="C1642:E1642"/>
    <mergeCell ref="C1643:E1643"/>
    <mergeCell ref="C1644:E1644"/>
    <mergeCell ref="C1645:E1645"/>
    <mergeCell ref="C1646:E1646"/>
    <mergeCell ref="C1647:E1647"/>
    <mergeCell ref="C1648:E1648"/>
    <mergeCell ref="C1649:E1649"/>
    <mergeCell ref="C1650:E1650"/>
    <mergeCell ref="C1651:E1651"/>
    <mergeCell ref="C1652:E1652"/>
    <mergeCell ref="C1653:E1653"/>
    <mergeCell ref="C1654:E1654"/>
    <mergeCell ref="C1655:E1655"/>
    <mergeCell ref="C1656:E1656"/>
    <mergeCell ref="C1657:E1657"/>
    <mergeCell ref="C1658:E1658"/>
    <mergeCell ref="C1659:E1659"/>
    <mergeCell ref="C1660:E1660"/>
    <mergeCell ref="C1661:E1661"/>
    <mergeCell ref="C1662:E1662"/>
    <mergeCell ref="C1663:E1663"/>
    <mergeCell ref="C1664:E1664"/>
    <mergeCell ref="C1665:E1665"/>
    <mergeCell ref="C1666:E1666"/>
    <mergeCell ref="C1667:E1667"/>
    <mergeCell ref="C1668:E1668"/>
    <mergeCell ref="C1669:E1669"/>
    <mergeCell ref="C1670:E1670"/>
    <mergeCell ref="C1671:E1671"/>
    <mergeCell ref="C1672:E1672"/>
    <mergeCell ref="C1673:E1673"/>
    <mergeCell ref="C1674:E1674"/>
    <mergeCell ref="C1675:E1675"/>
    <mergeCell ref="C1676:E1676"/>
    <mergeCell ref="C1677:E1677"/>
    <mergeCell ref="C1678:E1678"/>
    <mergeCell ref="C1679:E1679"/>
    <mergeCell ref="C1680:E1680"/>
    <mergeCell ref="C1681:E1681"/>
    <mergeCell ref="C1682:E1682"/>
    <mergeCell ref="C1683:E1683"/>
    <mergeCell ref="A1684:I1684"/>
    <mergeCell ref="B1685:I1685"/>
    <mergeCell ref="C1686:E1686"/>
    <mergeCell ref="C1687:E1687"/>
    <mergeCell ref="C1688:E1688"/>
    <mergeCell ref="C1689:E1689"/>
    <mergeCell ref="C1690:E1690"/>
    <mergeCell ref="C1691:E1691"/>
    <mergeCell ref="C1692:E1692"/>
    <mergeCell ref="C1693:E1693"/>
    <mergeCell ref="C1694:E1694"/>
    <mergeCell ref="C1695:E1695"/>
    <mergeCell ref="C1696:E1696"/>
    <mergeCell ref="C1697:E1697"/>
    <mergeCell ref="C1698:E1698"/>
    <mergeCell ref="C1699:E1699"/>
    <mergeCell ref="C1700:E1700"/>
    <mergeCell ref="C1701:E1701"/>
    <mergeCell ref="C1702:E1702"/>
    <mergeCell ref="C1703:E1703"/>
    <mergeCell ref="C1704:E1704"/>
    <mergeCell ref="C1705:E1705"/>
    <mergeCell ref="C1706:E1706"/>
    <mergeCell ref="C1707:E1707"/>
    <mergeCell ref="C1708:E1708"/>
    <mergeCell ref="C1709:E1709"/>
    <mergeCell ref="C1710:E1710"/>
    <mergeCell ref="C1711:E1711"/>
    <mergeCell ref="C1712:E1712"/>
    <mergeCell ref="C1713:E1713"/>
    <mergeCell ref="C1714:E1714"/>
    <mergeCell ref="C1715:E1715"/>
    <mergeCell ref="C1716:E1716"/>
    <mergeCell ref="C1717:E1717"/>
    <mergeCell ref="C1718:E1718"/>
    <mergeCell ref="C1719:E1719"/>
    <mergeCell ref="C1720:E1720"/>
    <mergeCell ref="C1721:E1721"/>
    <mergeCell ref="C1722:E1722"/>
    <mergeCell ref="C1723:E1723"/>
    <mergeCell ref="C1724:E1724"/>
    <mergeCell ref="C1725:E1725"/>
    <mergeCell ref="C1726:E1726"/>
    <mergeCell ref="C1727:E1727"/>
    <mergeCell ref="C1728:E1728"/>
    <mergeCell ref="C1729:E1729"/>
    <mergeCell ref="C1730:E1730"/>
    <mergeCell ref="C1731:E1731"/>
    <mergeCell ref="C1732:E1732"/>
    <mergeCell ref="C1733:E1733"/>
    <mergeCell ref="C1734:E1734"/>
    <mergeCell ref="C1735:E1735"/>
    <mergeCell ref="C1736:E1736"/>
    <mergeCell ref="C1737:E1737"/>
    <mergeCell ref="C1738:E1738"/>
    <mergeCell ref="C1739:E1739"/>
    <mergeCell ref="C1740:E1740"/>
    <mergeCell ref="C1741:E1741"/>
    <mergeCell ref="C1742:E1742"/>
    <mergeCell ref="C1743:E1743"/>
    <mergeCell ref="C1744:E1744"/>
    <mergeCell ref="C1745:E1745"/>
    <mergeCell ref="C1746:E1746"/>
    <mergeCell ref="C1747:E1747"/>
    <mergeCell ref="C1748:E1748"/>
    <mergeCell ref="C1749:E1749"/>
    <mergeCell ref="C1750:E1750"/>
    <mergeCell ref="C1751:E1751"/>
    <mergeCell ref="C1752:E1752"/>
    <mergeCell ref="C1753:E1753"/>
    <mergeCell ref="C1754:E1754"/>
    <mergeCell ref="C1755:E1755"/>
    <mergeCell ref="C1756:E1756"/>
    <mergeCell ref="C1757:E1757"/>
    <mergeCell ref="C1758:E1758"/>
    <mergeCell ref="C1759:E1759"/>
    <mergeCell ref="C1760:E1760"/>
    <mergeCell ref="C1761:E1761"/>
    <mergeCell ref="C1762:E1762"/>
    <mergeCell ref="C1763:E1763"/>
    <mergeCell ref="C1764:E1764"/>
    <mergeCell ref="C1765:E1765"/>
    <mergeCell ref="C1766:E1766"/>
    <mergeCell ref="C1767:E1767"/>
    <mergeCell ref="C1768:E1768"/>
    <mergeCell ref="C1769:E1769"/>
    <mergeCell ref="C1770:E1770"/>
    <mergeCell ref="C1771:E1771"/>
    <mergeCell ref="C1772:E1772"/>
    <mergeCell ref="C1773:E1773"/>
    <mergeCell ref="C1774:E1774"/>
    <mergeCell ref="C1775:E1775"/>
    <mergeCell ref="C1776:E1776"/>
    <mergeCell ref="C1777:E1777"/>
    <mergeCell ref="C1778:E1778"/>
    <mergeCell ref="C1779:E1779"/>
    <mergeCell ref="C1780:E1780"/>
    <mergeCell ref="C1781:E1781"/>
    <mergeCell ref="C1782:E1782"/>
    <mergeCell ref="C1783:E1783"/>
    <mergeCell ref="C1784:E1784"/>
    <mergeCell ref="C1785:E1785"/>
    <mergeCell ref="C1786:E1786"/>
    <mergeCell ref="C1787:E1787"/>
    <mergeCell ref="C1788:E1788"/>
    <mergeCell ref="C1789:E1789"/>
    <mergeCell ref="C1790:E1790"/>
    <mergeCell ref="C1791:E1791"/>
    <mergeCell ref="C1792:E1792"/>
    <mergeCell ref="C1793:E1793"/>
    <mergeCell ref="C1794:E1794"/>
    <mergeCell ref="C1795:E1795"/>
    <mergeCell ref="C1796:E1796"/>
    <mergeCell ref="C1797:E1797"/>
    <mergeCell ref="C1798:E1798"/>
    <mergeCell ref="C1799:E1799"/>
    <mergeCell ref="C1800:E1800"/>
    <mergeCell ref="C1801:E1801"/>
    <mergeCell ref="C1802:E1802"/>
    <mergeCell ref="C1803:E1803"/>
    <mergeCell ref="C1804:E1804"/>
    <mergeCell ref="C1805:E1805"/>
    <mergeCell ref="C1806:E1806"/>
    <mergeCell ref="C1807:E1807"/>
    <mergeCell ref="C1808:E1808"/>
    <mergeCell ref="C1809:E1809"/>
    <mergeCell ref="C1810:E1810"/>
    <mergeCell ref="C1811:E1811"/>
    <mergeCell ref="C1812:E1812"/>
    <mergeCell ref="C1813:E1813"/>
    <mergeCell ref="C1814:E1814"/>
    <mergeCell ref="C1815:E1815"/>
    <mergeCell ref="C1816:E1816"/>
    <mergeCell ref="C1817:E1817"/>
    <mergeCell ref="C1818:E1818"/>
    <mergeCell ref="C1819:E1819"/>
    <mergeCell ref="C1820:E1820"/>
    <mergeCell ref="C1821:E1821"/>
    <mergeCell ref="C1822:E1822"/>
    <mergeCell ref="A1823:I1823"/>
    <mergeCell ref="B1824:I1824"/>
    <mergeCell ref="C1825:E1825"/>
    <mergeCell ref="C1826:E1826"/>
    <mergeCell ref="C1827:E1827"/>
    <mergeCell ref="C1828:E1828"/>
    <mergeCell ref="C1829:E1829"/>
    <mergeCell ref="C1830:E1830"/>
    <mergeCell ref="C1831:E1831"/>
    <mergeCell ref="C1832:E1832"/>
    <mergeCell ref="C1833:E1833"/>
    <mergeCell ref="C1834:E1834"/>
    <mergeCell ref="C1835:E1835"/>
    <mergeCell ref="C1836:E1836"/>
    <mergeCell ref="C1837:E1837"/>
    <mergeCell ref="C1838:E1838"/>
    <mergeCell ref="C1839:E1839"/>
    <mergeCell ref="C1840:E1840"/>
    <mergeCell ref="C1841:E1841"/>
    <mergeCell ref="C1842:E1842"/>
    <mergeCell ref="C1843:E1843"/>
    <mergeCell ref="C1844:E1844"/>
    <mergeCell ref="C1845:E1845"/>
    <mergeCell ref="C1846:E1846"/>
    <mergeCell ref="C1847:E1847"/>
    <mergeCell ref="C1848:E1848"/>
    <mergeCell ref="C1849:E1849"/>
    <mergeCell ref="C1850:E1850"/>
    <mergeCell ref="C1851:E1851"/>
    <mergeCell ref="C1852:E1852"/>
    <mergeCell ref="C1853:E1853"/>
    <mergeCell ref="C1854:E1854"/>
    <mergeCell ref="C1855:E1855"/>
    <mergeCell ref="C1856:E1856"/>
    <mergeCell ref="C1857:E1857"/>
    <mergeCell ref="C1858:E1858"/>
    <mergeCell ref="C1859:E1859"/>
    <mergeCell ref="C1860:E1860"/>
    <mergeCell ref="C1861:E1861"/>
    <mergeCell ref="C1862:E1862"/>
    <mergeCell ref="C1863:E1863"/>
    <mergeCell ref="C1864:E1864"/>
    <mergeCell ref="C1865:E1865"/>
    <mergeCell ref="C1866:E1866"/>
    <mergeCell ref="C1867:E1867"/>
    <mergeCell ref="C1868:E1868"/>
    <mergeCell ref="C1869:E1869"/>
    <mergeCell ref="C1870:E1870"/>
    <mergeCell ref="C1871:E1871"/>
    <mergeCell ref="C1872:E1872"/>
    <mergeCell ref="C1873:E1873"/>
    <mergeCell ref="C1874:E1874"/>
    <mergeCell ref="C1875:E1875"/>
    <mergeCell ref="C1876:E1876"/>
    <mergeCell ref="C1877:E1877"/>
    <mergeCell ref="C1878:E1878"/>
    <mergeCell ref="C1879:E1879"/>
    <mergeCell ref="C1880:E1880"/>
    <mergeCell ref="C1881:E1881"/>
    <mergeCell ref="C1882:E1882"/>
    <mergeCell ref="C1883:E1883"/>
    <mergeCell ref="C1884:E1884"/>
    <mergeCell ref="C1885:E1885"/>
    <mergeCell ref="C1886:E1886"/>
    <mergeCell ref="C1887:E1887"/>
    <mergeCell ref="C1888:E1888"/>
    <mergeCell ref="C1889:E1889"/>
    <mergeCell ref="C1890:E1890"/>
    <mergeCell ref="C1891:E1891"/>
    <mergeCell ref="C1892:E1892"/>
    <mergeCell ref="C1893:E1893"/>
    <mergeCell ref="C1894:E1894"/>
    <mergeCell ref="C1895:E1895"/>
    <mergeCell ref="C1896:E1896"/>
    <mergeCell ref="C1897:E1897"/>
    <mergeCell ref="C1898:E1898"/>
    <mergeCell ref="C1899:E1899"/>
    <mergeCell ref="C1900:E1900"/>
    <mergeCell ref="C1901:E1901"/>
    <mergeCell ref="C1902:E1902"/>
    <mergeCell ref="C1903:E1903"/>
    <mergeCell ref="C1904:E1904"/>
    <mergeCell ref="C1905:E1905"/>
    <mergeCell ref="C1906:E1906"/>
    <mergeCell ref="C1907:E1907"/>
    <mergeCell ref="C1908:E1908"/>
    <mergeCell ref="C1909:E1909"/>
    <mergeCell ref="C1910:E1910"/>
    <mergeCell ref="C1911:E1911"/>
    <mergeCell ref="C1912:E1912"/>
    <mergeCell ref="C1913:E1913"/>
    <mergeCell ref="C1914:E1914"/>
    <mergeCell ref="C1915:E1915"/>
    <mergeCell ref="C1916:E1916"/>
    <mergeCell ref="C1917:E1917"/>
    <mergeCell ref="C1918:E1918"/>
    <mergeCell ref="C1919:E1919"/>
    <mergeCell ref="C1920:E1920"/>
    <mergeCell ref="O123:O127"/>
    <mergeCell ref="S98:S99"/>
    <mergeCell ref="S123:S127"/>
  </mergeCells>
  <pageMargins left="0.751388888888889" right="0.751388888888889" top="1" bottom="1" header="0.5" footer="0.5"/>
  <pageSetup paperSize="9" scale="10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37"/>
  <sheetViews>
    <sheetView zoomScale="83" zoomScaleNormal="83" workbookViewId="0">
      <selection activeCell="M16" sqref="M16"/>
    </sheetView>
  </sheetViews>
  <sheetFormatPr defaultColWidth="9" defaultRowHeight="14.25"/>
  <cols>
    <col min="1" max="1" width="13.125" customWidth="1"/>
    <col min="2" max="2" width="50.75" customWidth="1"/>
    <col min="3" max="3" width="14.875" style="11" customWidth="1"/>
    <col min="12" max="12" width="9.375"/>
    <col min="27" max="27" width="9.375"/>
    <col min="30" max="30" width="10.375"/>
    <col min="33" max="33" width="9.25"/>
    <col min="39" max="39" width="9.375"/>
  </cols>
  <sheetData>
    <row r="1" s="79" customFormat="1" ht="33" customHeight="1" spans="1:44">
      <c r="A1" s="420" t="s">
        <v>907</v>
      </c>
      <c r="B1" s="420"/>
      <c r="C1" s="420"/>
      <c r="D1" s="421"/>
      <c r="E1" s="421"/>
      <c r="F1" s="104"/>
      <c r="G1" s="81" t="s">
        <v>908</v>
      </c>
      <c r="H1" s="81"/>
      <c r="I1" s="81"/>
      <c r="J1" s="422"/>
      <c r="K1" s="422"/>
      <c r="L1" s="78">
        <f>F21+I21+L21+O21+R21+U21+X21+AA21+AD21+AG21+AJ21+AM21+AP21</f>
        <v>1561.4</v>
      </c>
      <c r="M1" s="78"/>
      <c r="N1" s="81"/>
      <c r="O1" s="81"/>
      <c r="P1" s="104"/>
      <c r="Q1" s="104"/>
      <c r="R1" s="104"/>
      <c r="S1" s="81"/>
      <c r="T1" s="81"/>
      <c r="U1" s="81"/>
      <c r="V1" s="78"/>
      <c r="W1" s="78"/>
      <c r="X1" s="78"/>
      <c r="Y1" s="81"/>
      <c r="Z1" s="81"/>
      <c r="AA1" s="81"/>
      <c r="AB1" s="104"/>
      <c r="AC1" s="104"/>
      <c r="AD1" s="104"/>
      <c r="AE1" s="81"/>
      <c r="AF1" s="81"/>
      <c r="AG1" s="81"/>
      <c r="AH1" s="78"/>
      <c r="AI1" s="78"/>
      <c r="AJ1" s="78"/>
    </row>
    <row r="2" s="81" customFormat="1" ht="27" customHeight="1" spans="1:44">
      <c r="A2" s="81" t="s">
        <v>35</v>
      </c>
      <c r="B2" s="217" t="s">
        <v>909</v>
      </c>
      <c r="C2" s="423"/>
      <c r="D2" s="147" t="s">
        <v>289</v>
      </c>
      <c r="E2" s="147"/>
      <c r="F2" s="104"/>
      <c r="G2" s="81" t="s">
        <v>466</v>
      </c>
      <c r="J2" s="78" t="s">
        <v>910</v>
      </c>
      <c r="K2" s="78"/>
      <c r="L2" s="78"/>
      <c r="M2" s="81" t="s">
        <v>911</v>
      </c>
      <c r="P2" s="104" t="s">
        <v>912</v>
      </c>
      <c r="Q2" s="104"/>
      <c r="R2" s="104"/>
      <c r="S2" s="81" t="s">
        <v>913</v>
      </c>
      <c r="V2" s="78" t="s">
        <v>522</v>
      </c>
      <c r="W2" s="78"/>
      <c r="X2" s="78"/>
      <c r="Y2" s="81">
        <v>808</v>
      </c>
      <c r="AB2" s="104" t="s">
        <v>125</v>
      </c>
      <c r="AC2" s="104"/>
      <c r="AD2" s="104"/>
      <c r="AE2" s="81" t="s">
        <v>132</v>
      </c>
      <c r="AH2" s="78">
        <v>816</v>
      </c>
      <c r="AI2" s="78"/>
      <c r="AJ2" s="78"/>
      <c r="AK2" s="81" t="s">
        <v>152</v>
      </c>
      <c r="AN2" s="146" t="s">
        <v>12</v>
      </c>
      <c r="AO2" s="146"/>
      <c r="AP2" s="146"/>
    </row>
    <row r="3" s="81" customFormat="1" ht="27" customHeight="1" spans="1:44">
      <c r="B3" s="217" t="s">
        <v>914</v>
      </c>
      <c r="C3" s="423" t="s">
        <v>915</v>
      </c>
      <c r="D3" s="118" t="s">
        <v>916</v>
      </c>
      <c r="E3" s="118" t="s">
        <v>917</v>
      </c>
      <c r="F3" s="81" t="s">
        <v>918</v>
      </c>
      <c r="G3" s="81" t="s">
        <v>916</v>
      </c>
      <c r="H3" s="81" t="s">
        <v>917</v>
      </c>
      <c r="I3" s="81" t="s">
        <v>918</v>
      </c>
      <c r="J3" s="78" t="s">
        <v>916</v>
      </c>
      <c r="K3" s="78" t="s">
        <v>917</v>
      </c>
      <c r="L3" s="78" t="s">
        <v>918</v>
      </c>
      <c r="M3" s="81" t="s">
        <v>916</v>
      </c>
      <c r="N3" s="81" t="s">
        <v>917</v>
      </c>
      <c r="O3" s="81" t="s">
        <v>918</v>
      </c>
      <c r="P3" s="104" t="s">
        <v>916</v>
      </c>
      <c r="Q3" s="104" t="s">
        <v>917</v>
      </c>
      <c r="R3" s="104" t="s">
        <v>918</v>
      </c>
      <c r="S3" s="81" t="s">
        <v>916</v>
      </c>
      <c r="T3" s="81" t="s">
        <v>917</v>
      </c>
      <c r="U3" s="81" t="s">
        <v>918</v>
      </c>
      <c r="V3" s="78" t="s">
        <v>916</v>
      </c>
      <c r="W3" s="78" t="s">
        <v>917</v>
      </c>
      <c r="X3" s="78" t="s">
        <v>918</v>
      </c>
      <c r="Y3" s="81" t="s">
        <v>916</v>
      </c>
      <c r="Z3" s="81" t="s">
        <v>917</v>
      </c>
      <c r="AA3" s="81" t="s">
        <v>918</v>
      </c>
      <c r="AB3" s="104" t="s">
        <v>916</v>
      </c>
      <c r="AC3" s="104" t="s">
        <v>917</v>
      </c>
      <c r="AD3" s="104" t="s">
        <v>918</v>
      </c>
      <c r="AE3" s="81" t="s">
        <v>916</v>
      </c>
      <c r="AF3" s="81" t="s">
        <v>917</v>
      </c>
      <c r="AG3" s="81" t="s">
        <v>918</v>
      </c>
      <c r="AH3" s="78" t="s">
        <v>916</v>
      </c>
      <c r="AI3" s="78" t="s">
        <v>917</v>
      </c>
      <c r="AJ3" s="78" t="s">
        <v>918</v>
      </c>
      <c r="AK3" s="81" t="s">
        <v>916</v>
      </c>
      <c r="AL3" s="81" t="s">
        <v>917</v>
      </c>
      <c r="AM3" s="81" t="s">
        <v>918</v>
      </c>
      <c r="AN3" s="104" t="s">
        <v>916</v>
      </c>
      <c r="AO3" s="104" t="s">
        <v>917</v>
      </c>
      <c r="AP3" s="104" t="s">
        <v>918</v>
      </c>
    </row>
    <row r="4" s="375" customFormat="1" ht="20.25" spans="1:44">
      <c r="A4" s="344">
        <v>46025</v>
      </c>
      <c r="B4" s="346" t="s">
        <v>919</v>
      </c>
      <c r="C4" s="424">
        <v>1000</v>
      </c>
      <c r="D4" s="147"/>
      <c r="E4" s="147"/>
      <c r="F4" s="104"/>
      <c r="G4" s="81"/>
      <c r="H4" s="81"/>
      <c r="I4" s="81"/>
      <c r="J4" s="78"/>
      <c r="K4" s="78"/>
      <c r="L4" s="78"/>
      <c r="M4" s="425"/>
      <c r="N4" s="81"/>
      <c r="O4" s="81"/>
      <c r="P4" s="104"/>
      <c r="Q4" s="104"/>
      <c r="R4" s="104"/>
      <c r="S4" s="81"/>
      <c r="T4" s="81"/>
      <c r="U4" s="81"/>
      <c r="V4" s="78"/>
      <c r="W4" s="78"/>
      <c r="X4" s="78"/>
      <c r="Y4" s="81">
        <v>50</v>
      </c>
      <c r="Z4" s="81">
        <v>7.1</v>
      </c>
      <c r="AA4" s="81">
        <f>Y4*Z4</f>
        <v>355</v>
      </c>
      <c r="AB4" s="104"/>
      <c r="AC4" s="104"/>
      <c r="AD4" s="104"/>
      <c r="AE4" s="81"/>
      <c r="AF4" s="81"/>
      <c r="AG4" s="81"/>
      <c r="AH4" s="78"/>
      <c r="AI4" s="78"/>
      <c r="AJ4" s="78"/>
      <c r="AK4" s="81">
        <v>124</v>
      </c>
      <c r="AL4" s="81">
        <v>6.1</v>
      </c>
      <c r="AM4" s="81">
        <f>AK4*AL4</f>
        <v>756.4</v>
      </c>
      <c r="AN4" s="146">
        <v>75</v>
      </c>
      <c r="AO4" s="146">
        <v>6</v>
      </c>
      <c r="AP4" s="146">
        <f>AN4*AO4</f>
        <v>450</v>
      </c>
      <c r="AQ4" s="81"/>
    </row>
    <row r="5" s="418" customFormat="1" ht="20.25" spans="1:44">
      <c r="A5" s="344"/>
      <c r="B5" s="346"/>
      <c r="C5" s="424"/>
      <c r="D5" s="147"/>
      <c r="E5" s="147"/>
      <c r="F5" s="104"/>
      <c r="G5" s="81"/>
      <c r="H5" s="81"/>
      <c r="I5" s="81"/>
      <c r="J5" s="78"/>
      <c r="K5" s="78"/>
      <c r="L5" s="78"/>
      <c r="M5" s="426"/>
      <c r="N5" s="81"/>
      <c r="O5" s="81"/>
      <c r="P5" s="104"/>
      <c r="Q5" s="104"/>
      <c r="R5" s="104"/>
      <c r="S5" s="81"/>
      <c r="T5" s="81"/>
      <c r="U5" s="81"/>
      <c r="V5" s="78"/>
      <c r="W5" s="78"/>
      <c r="X5" s="78"/>
      <c r="Y5" s="81"/>
      <c r="Z5" s="81"/>
      <c r="AA5" s="81"/>
      <c r="AB5" s="104"/>
      <c r="AC5" s="104"/>
      <c r="AD5" s="104"/>
      <c r="AE5" s="81"/>
      <c r="AF5" s="81"/>
      <c r="AG5" s="81"/>
      <c r="AH5" s="78"/>
      <c r="AI5" s="78"/>
      <c r="AJ5" s="78"/>
      <c r="AK5" s="81"/>
      <c r="AL5" s="81"/>
      <c r="AM5" s="81"/>
      <c r="AN5" s="104"/>
      <c r="AO5" s="146"/>
      <c r="AP5" s="146"/>
      <c r="AQ5" s="427"/>
      <c r="AR5" s="81"/>
    </row>
    <row r="6" s="418" customFormat="1" ht="20.25" spans="1:44">
      <c r="A6" s="344"/>
      <c r="B6" s="346"/>
      <c r="C6" s="424"/>
      <c r="D6" s="147"/>
      <c r="E6" s="147"/>
      <c r="F6" s="104"/>
      <c r="G6" s="81"/>
      <c r="H6" s="81"/>
      <c r="I6" s="81"/>
      <c r="J6" s="428"/>
      <c r="K6" s="428"/>
      <c r="L6" s="428"/>
      <c r="M6" s="426"/>
      <c r="N6" s="81"/>
      <c r="O6" s="81"/>
      <c r="P6" s="104"/>
      <c r="Q6" s="104"/>
      <c r="R6" s="104"/>
      <c r="S6" s="81"/>
      <c r="T6" s="81"/>
      <c r="U6" s="81"/>
      <c r="V6" s="78"/>
      <c r="W6" s="78"/>
      <c r="X6" s="78"/>
      <c r="Y6" s="81"/>
      <c r="Z6" s="81"/>
      <c r="AA6" s="81"/>
      <c r="AB6" s="104"/>
      <c r="AC6" s="104"/>
      <c r="AD6" s="104"/>
      <c r="AE6" s="81"/>
      <c r="AF6" s="81"/>
      <c r="AG6" s="81"/>
      <c r="AH6" s="78"/>
      <c r="AI6" s="78"/>
      <c r="AJ6" s="78"/>
      <c r="AK6" s="81"/>
      <c r="AL6" s="81"/>
      <c r="AM6" s="81"/>
      <c r="AN6" s="104"/>
      <c r="AO6" s="146"/>
      <c r="AP6" s="146"/>
      <c r="AQ6" s="427"/>
      <c r="AR6" s="81"/>
    </row>
    <row r="7" s="375" customFormat="1" ht="20.25" spans="1:44">
      <c r="A7" s="344"/>
      <c r="B7" s="346"/>
      <c r="C7" s="424"/>
      <c r="D7" s="147"/>
      <c r="E7" s="147"/>
      <c r="F7" s="104"/>
      <c r="G7" s="81"/>
      <c r="H7" s="81"/>
      <c r="I7" s="81"/>
      <c r="J7" s="78"/>
      <c r="K7" s="78"/>
      <c r="L7" s="78"/>
      <c r="M7" s="425"/>
      <c r="N7" s="81"/>
      <c r="O7" s="81"/>
      <c r="P7" s="104"/>
      <c r="Q7" s="104"/>
      <c r="R7" s="104"/>
      <c r="S7" s="81"/>
      <c r="T7" s="81"/>
      <c r="U7" s="81"/>
      <c r="V7" s="78"/>
      <c r="W7" s="78"/>
      <c r="X7" s="78"/>
      <c r="Y7" s="81"/>
      <c r="Z7" s="81"/>
      <c r="AA7" s="81"/>
      <c r="AB7" s="104"/>
      <c r="AC7" s="104"/>
      <c r="AD7" s="104"/>
      <c r="AE7" s="81"/>
      <c r="AF7" s="81"/>
      <c r="AG7" s="81"/>
      <c r="AH7" s="78"/>
      <c r="AI7" s="78"/>
      <c r="AJ7" s="78"/>
      <c r="AK7" s="81"/>
      <c r="AL7" s="81"/>
      <c r="AM7" s="81"/>
      <c r="AN7" s="146"/>
      <c r="AO7" s="146"/>
      <c r="AP7" s="146"/>
      <c r="AQ7" s="429"/>
    </row>
    <row r="8" s="375" customFormat="1" ht="20" customHeight="1" spans="1:44">
      <c r="A8" s="344"/>
      <c r="B8" s="346"/>
      <c r="C8" s="424"/>
      <c r="D8" s="147"/>
      <c r="E8" s="147"/>
      <c r="F8" s="104"/>
      <c r="G8" s="81"/>
      <c r="H8" s="81"/>
      <c r="I8" s="81"/>
      <c r="J8" s="78"/>
      <c r="K8" s="78"/>
      <c r="L8" s="78"/>
      <c r="M8" s="81"/>
      <c r="N8" s="81"/>
      <c r="O8" s="81"/>
      <c r="P8" s="104"/>
      <c r="Q8" s="104"/>
      <c r="R8" s="104"/>
      <c r="S8" s="81"/>
      <c r="T8" s="81"/>
      <c r="U8" s="81"/>
      <c r="V8" s="78"/>
      <c r="W8" s="78"/>
      <c r="X8" s="78"/>
      <c r="Y8" s="81"/>
      <c r="Z8" s="81"/>
      <c r="AA8" s="81"/>
      <c r="AB8" s="104"/>
      <c r="AC8" s="104"/>
      <c r="AD8" s="104"/>
      <c r="AE8" s="81"/>
      <c r="AF8" s="81"/>
      <c r="AG8" s="81"/>
      <c r="AH8" s="78"/>
      <c r="AI8" s="78"/>
      <c r="AJ8" s="78"/>
      <c r="AK8" s="81"/>
      <c r="AL8" s="81"/>
      <c r="AM8" s="81"/>
      <c r="AN8" s="146"/>
      <c r="AO8" s="146"/>
      <c r="AP8" s="146"/>
      <c r="AQ8" s="427"/>
    </row>
    <row r="9" s="418" customFormat="1" ht="20.25" spans="1:44">
      <c r="A9" s="344"/>
      <c r="B9" s="346"/>
      <c r="C9" s="424"/>
      <c r="D9" s="147"/>
      <c r="E9" s="147"/>
      <c r="F9" s="104"/>
      <c r="G9" s="81"/>
      <c r="H9" s="81"/>
      <c r="I9" s="81"/>
      <c r="J9" s="78"/>
      <c r="K9" s="78"/>
      <c r="L9" s="78"/>
      <c r="M9" s="426"/>
      <c r="N9" s="81"/>
      <c r="O9" s="81"/>
      <c r="P9" s="104"/>
      <c r="Q9" s="104"/>
      <c r="R9" s="104"/>
      <c r="S9" s="81"/>
      <c r="T9" s="81"/>
      <c r="U9" s="81"/>
      <c r="V9" s="78"/>
      <c r="W9" s="78"/>
      <c r="X9" s="78"/>
      <c r="Y9" s="81"/>
      <c r="Z9" s="81"/>
      <c r="AA9" s="81"/>
      <c r="AB9" s="104"/>
      <c r="AC9" s="104"/>
      <c r="AD9" s="104"/>
      <c r="AE9" s="81"/>
      <c r="AF9" s="81"/>
      <c r="AG9" s="81"/>
      <c r="AH9" s="78"/>
      <c r="AI9" s="78"/>
      <c r="AJ9" s="78"/>
      <c r="AK9" s="81"/>
      <c r="AL9" s="81"/>
      <c r="AM9" s="81"/>
      <c r="AN9" s="104"/>
      <c r="AO9" s="146"/>
      <c r="AP9" s="146"/>
      <c r="AQ9" s="429"/>
      <c r="AR9" s="81"/>
    </row>
    <row r="10" s="418" customFormat="1" ht="20.25" spans="1:44">
      <c r="A10" s="344"/>
      <c r="B10" s="346"/>
      <c r="C10" s="424"/>
      <c r="D10" s="147"/>
      <c r="E10" s="147"/>
      <c r="F10" s="104"/>
      <c r="G10" s="81"/>
      <c r="H10" s="81"/>
      <c r="I10" s="81"/>
      <c r="J10" s="78"/>
      <c r="K10" s="78"/>
      <c r="L10" s="78"/>
      <c r="M10" s="426"/>
      <c r="N10" s="81"/>
      <c r="O10" s="81"/>
      <c r="P10" s="104"/>
      <c r="Q10" s="104"/>
      <c r="R10" s="104"/>
      <c r="S10" s="81"/>
      <c r="T10" s="81"/>
      <c r="U10" s="81"/>
      <c r="V10" s="78"/>
      <c r="W10" s="78"/>
      <c r="X10" s="78"/>
      <c r="Y10" s="81"/>
      <c r="Z10" s="81"/>
      <c r="AA10" s="81"/>
      <c r="AB10" s="104"/>
      <c r="AC10" s="104"/>
      <c r="AD10" s="104"/>
      <c r="AE10" s="81"/>
      <c r="AF10" s="81"/>
      <c r="AG10" s="81"/>
      <c r="AH10" s="78"/>
      <c r="AI10" s="78"/>
      <c r="AJ10" s="78"/>
      <c r="AK10" s="81"/>
      <c r="AL10" s="81"/>
      <c r="AM10" s="81"/>
      <c r="AN10" s="104"/>
      <c r="AO10" s="146"/>
      <c r="AP10" s="146"/>
      <c r="AQ10" s="427"/>
      <c r="AR10" s="81"/>
    </row>
    <row r="11" s="81" customFormat="1" ht="20.25" spans="1:44">
      <c r="A11" s="344"/>
      <c r="B11" s="346"/>
      <c r="C11" s="424"/>
      <c r="D11" s="147"/>
      <c r="E11" s="147"/>
      <c r="F11" s="104"/>
      <c r="J11" s="78"/>
      <c r="K11" s="78"/>
      <c r="L11" s="78"/>
      <c r="M11" s="426"/>
      <c r="P11" s="104"/>
      <c r="Q11" s="104"/>
      <c r="R11" s="104"/>
      <c r="V11" s="78"/>
      <c r="W11" s="78"/>
      <c r="X11" s="78"/>
      <c r="AB11" s="104"/>
      <c r="AC11" s="104"/>
      <c r="AD11" s="104"/>
      <c r="AH11" s="78"/>
      <c r="AI11" s="78"/>
      <c r="AJ11" s="78"/>
      <c r="AN11" s="146"/>
      <c r="AO11" s="146"/>
      <c r="AP11" s="146"/>
      <c r="AQ11" s="429"/>
    </row>
    <row r="12" s="418" customFormat="1" ht="20.25" spans="1:44">
      <c r="A12" s="344"/>
      <c r="B12" s="346"/>
      <c r="C12" s="424"/>
      <c r="D12" s="147"/>
      <c r="E12" s="147"/>
      <c r="F12" s="104"/>
      <c r="G12" s="81"/>
      <c r="H12" s="81"/>
      <c r="I12" s="81"/>
      <c r="J12" s="78"/>
      <c r="K12" s="78"/>
      <c r="L12" s="78"/>
      <c r="M12" s="426"/>
      <c r="N12" s="81"/>
      <c r="O12" s="81"/>
      <c r="P12" s="104"/>
      <c r="Q12" s="104"/>
      <c r="R12" s="104"/>
      <c r="S12" s="81"/>
      <c r="T12" s="81"/>
      <c r="U12" s="81"/>
      <c r="V12" s="78"/>
      <c r="W12" s="78"/>
      <c r="X12" s="78"/>
      <c r="Y12" s="81"/>
      <c r="Z12" s="81"/>
      <c r="AA12" s="81"/>
      <c r="AB12" s="104"/>
      <c r="AC12" s="104"/>
      <c r="AD12" s="104"/>
      <c r="AE12" s="81"/>
      <c r="AF12" s="81"/>
      <c r="AG12" s="81"/>
      <c r="AH12" s="78"/>
      <c r="AI12" s="78"/>
      <c r="AJ12" s="78"/>
      <c r="AK12" s="81"/>
      <c r="AL12" s="81"/>
      <c r="AM12" s="81"/>
      <c r="AN12" s="104"/>
      <c r="AO12" s="146"/>
      <c r="AP12" s="146"/>
      <c r="AQ12" s="427"/>
      <c r="AR12" s="81"/>
    </row>
    <row r="13" s="418" customFormat="1" ht="20.25" spans="1:44">
      <c r="A13" s="344"/>
      <c r="B13" s="346"/>
      <c r="C13" s="424"/>
      <c r="D13" s="147"/>
      <c r="E13" s="147"/>
      <c r="F13" s="104"/>
      <c r="G13" s="81"/>
      <c r="H13" s="81"/>
      <c r="I13" s="81"/>
      <c r="J13" s="78"/>
      <c r="K13" s="78"/>
      <c r="L13" s="78"/>
      <c r="M13" s="426"/>
      <c r="N13" s="81"/>
      <c r="O13" s="81"/>
      <c r="P13" s="104"/>
      <c r="Q13" s="104"/>
      <c r="R13" s="104"/>
      <c r="S13" s="81"/>
      <c r="T13" s="81"/>
      <c r="U13" s="81"/>
      <c r="V13" s="78"/>
      <c r="W13" s="78"/>
      <c r="X13" s="78"/>
      <c r="Y13" s="81"/>
      <c r="Z13" s="81"/>
      <c r="AA13" s="81"/>
      <c r="AB13" s="104"/>
      <c r="AC13" s="104"/>
      <c r="AD13" s="104"/>
      <c r="AE13" s="81"/>
      <c r="AF13" s="81"/>
      <c r="AG13" s="81"/>
      <c r="AH13" s="78"/>
      <c r="AI13" s="78"/>
      <c r="AJ13" s="78"/>
      <c r="AK13" s="81"/>
      <c r="AL13" s="81"/>
      <c r="AM13" s="81"/>
      <c r="AN13" s="104"/>
      <c r="AO13" s="146"/>
      <c r="AP13" s="146"/>
      <c r="AQ13" s="429"/>
      <c r="AR13" s="81"/>
    </row>
    <row r="14" s="375" customFormat="1" ht="20.25" spans="1:44">
      <c r="A14" s="344"/>
      <c r="B14" s="346"/>
      <c r="C14" s="424"/>
      <c r="D14" s="147"/>
      <c r="E14" s="147"/>
      <c r="F14" s="104"/>
      <c r="G14" s="81"/>
      <c r="H14" s="81"/>
      <c r="I14" s="81"/>
      <c r="J14" s="78"/>
      <c r="K14" s="78"/>
      <c r="L14" s="78"/>
      <c r="M14" s="425"/>
      <c r="N14" s="81"/>
      <c r="O14" s="81"/>
      <c r="P14" s="104"/>
      <c r="Q14" s="104"/>
      <c r="R14" s="104"/>
      <c r="S14" s="81"/>
      <c r="T14" s="81"/>
      <c r="U14" s="81"/>
      <c r="V14" s="78"/>
      <c r="W14" s="78"/>
      <c r="X14" s="78"/>
      <c r="Y14" s="81"/>
      <c r="Z14" s="81"/>
      <c r="AA14" s="81"/>
      <c r="AB14" s="104"/>
      <c r="AC14" s="104"/>
      <c r="AD14" s="104"/>
      <c r="AE14" s="81"/>
      <c r="AF14" s="81"/>
      <c r="AG14" s="81"/>
      <c r="AH14" s="78"/>
      <c r="AI14" s="78"/>
      <c r="AJ14" s="78"/>
      <c r="AK14" s="81"/>
      <c r="AL14" s="81"/>
      <c r="AM14" s="81"/>
      <c r="AN14" s="146"/>
      <c r="AO14" s="146"/>
      <c r="AP14" s="146"/>
      <c r="AQ14" s="81"/>
    </row>
    <row r="15" s="418" customFormat="1" ht="20.25" spans="1:44">
      <c r="A15" s="344"/>
      <c r="B15" s="346"/>
      <c r="C15" s="424"/>
      <c r="D15" s="147"/>
      <c r="E15" s="147"/>
      <c r="F15" s="104"/>
      <c r="G15" s="81"/>
      <c r="H15" s="81"/>
      <c r="I15" s="81"/>
      <c r="J15" s="78"/>
      <c r="K15" s="78"/>
      <c r="L15" s="78"/>
      <c r="M15" s="426"/>
      <c r="N15" s="81"/>
      <c r="O15" s="81"/>
      <c r="P15" s="104"/>
      <c r="Q15" s="104"/>
      <c r="R15" s="104"/>
      <c r="S15" s="81"/>
      <c r="T15" s="81"/>
      <c r="U15" s="81"/>
      <c r="V15" s="78"/>
      <c r="W15" s="78"/>
      <c r="X15" s="78"/>
      <c r="Y15" s="81"/>
      <c r="Z15" s="81"/>
      <c r="AA15" s="81"/>
      <c r="AB15" s="104"/>
      <c r="AC15" s="104"/>
      <c r="AD15" s="104"/>
      <c r="AE15" s="81"/>
      <c r="AF15" s="81"/>
      <c r="AG15" s="81"/>
      <c r="AH15" s="78"/>
      <c r="AI15" s="78"/>
      <c r="AJ15" s="78"/>
      <c r="AK15" s="81"/>
      <c r="AL15" s="81"/>
      <c r="AM15" s="81"/>
      <c r="AN15" s="104"/>
      <c r="AO15" s="146"/>
      <c r="AP15" s="146"/>
      <c r="AQ15" s="81"/>
      <c r="AR15" s="81"/>
    </row>
    <row r="16" s="375" customFormat="1" ht="20.25" spans="1:44">
      <c r="A16" s="344"/>
      <c r="B16" s="346"/>
      <c r="C16" s="424"/>
      <c r="D16" s="147"/>
      <c r="E16" s="147"/>
      <c r="F16" s="104"/>
      <c r="G16" s="81"/>
      <c r="H16" s="81"/>
      <c r="I16" s="81"/>
      <c r="J16" s="78"/>
      <c r="K16" s="78"/>
      <c r="L16" s="78"/>
      <c r="M16" s="425"/>
      <c r="N16" s="81"/>
      <c r="O16" s="81"/>
      <c r="P16" s="104"/>
      <c r="Q16" s="104"/>
      <c r="R16" s="104"/>
      <c r="S16" s="81"/>
      <c r="T16" s="81"/>
      <c r="U16" s="81"/>
      <c r="V16" s="78"/>
      <c r="W16" s="78"/>
      <c r="X16" s="78"/>
      <c r="Y16" s="81"/>
      <c r="Z16" s="81"/>
      <c r="AA16" s="81"/>
      <c r="AB16" s="104"/>
      <c r="AC16" s="104"/>
      <c r="AD16" s="104"/>
      <c r="AE16" s="81"/>
      <c r="AF16" s="81"/>
      <c r="AG16" s="81"/>
      <c r="AH16" s="78"/>
      <c r="AI16" s="78"/>
      <c r="AJ16" s="78"/>
      <c r="AK16" s="81"/>
      <c r="AL16" s="81"/>
      <c r="AM16" s="81"/>
      <c r="AN16" s="146"/>
      <c r="AO16" s="146"/>
      <c r="AP16" s="146"/>
      <c r="AQ16" s="81"/>
    </row>
    <row r="17" s="418" customFormat="1" ht="20.25" spans="1:44">
      <c r="A17" s="344"/>
      <c r="B17" s="346"/>
      <c r="C17" s="424"/>
      <c r="D17" s="147"/>
      <c r="E17" s="147"/>
      <c r="F17" s="104"/>
      <c r="G17" s="81"/>
      <c r="H17" s="81"/>
      <c r="I17" s="81"/>
      <c r="J17" s="78"/>
      <c r="K17" s="78"/>
      <c r="L17" s="78"/>
      <c r="M17" s="426"/>
      <c r="N17" s="81"/>
      <c r="O17" s="81"/>
      <c r="P17" s="104"/>
      <c r="Q17" s="104"/>
      <c r="R17" s="104"/>
      <c r="S17" s="81"/>
      <c r="T17" s="81"/>
      <c r="U17" s="81"/>
      <c r="V17" s="78"/>
      <c r="W17" s="78"/>
      <c r="X17" s="78"/>
      <c r="Y17" s="81"/>
      <c r="Z17" s="81"/>
      <c r="AA17" s="81"/>
      <c r="AB17" s="104"/>
      <c r="AC17" s="104"/>
      <c r="AD17" s="104"/>
      <c r="AE17" s="81"/>
      <c r="AF17" s="81"/>
      <c r="AG17" s="81"/>
      <c r="AH17" s="78"/>
      <c r="AI17" s="78"/>
      <c r="AJ17" s="78"/>
      <c r="AK17" s="81"/>
      <c r="AL17" s="81"/>
      <c r="AM17" s="81"/>
      <c r="AN17" s="104"/>
      <c r="AO17" s="146"/>
      <c r="AP17" s="146"/>
      <c r="AQ17" s="81"/>
      <c r="AR17" s="81"/>
    </row>
    <row r="18" s="418" customFormat="1" ht="20.25" spans="1:44">
      <c r="A18" s="344"/>
      <c r="B18" s="346"/>
      <c r="C18" s="424"/>
      <c r="D18" s="147"/>
      <c r="E18" s="147"/>
      <c r="F18" s="104"/>
      <c r="G18" s="81"/>
      <c r="H18" s="81"/>
      <c r="I18" s="81"/>
      <c r="J18" s="78"/>
      <c r="K18" s="78"/>
      <c r="L18" s="78"/>
      <c r="M18" s="426"/>
      <c r="N18" s="81"/>
      <c r="O18" s="81"/>
      <c r="P18" s="104"/>
      <c r="Q18" s="104"/>
      <c r="R18" s="104"/>
      <c r="S18" s="81"/>
      <c r="T18" s="81"/>
      <c r="U18" s="81"/>
      <c r="V18" s="78"/>
      <c r="W18" s="78"/>
      <c r="X18" s="78"/>
      <c r="Y18" s="81"/>
      <c r="Z18" s="81"/>
      <c r="AA18" s="81"/>
      <c r="AB18" s="104"/>
      <c r="AC18" s="104"/>
      <c r="AD18" s="104"/>
      <c r="AE18" s="81"/>
      <c r="AF18" s="81"/>
      <c r="AG18" s="81"/>
      <c r="AH18" s="78"/>
      <c r="AI18" s="78"/>
      <c r="AJ18" s="78"/>
      <c r="AK18" s="81"/>
      <c r="AL18" s="81"/>
      <c r="AM18" s="81"/>
      <c r="AN18" s="104"/>
      <c r="AO18" s="146"/>
      <c r="AP18" s="146"/>
      <c r="AQ18" s="81"/>
      <c r="AR18" s="81"/>
    </row>
    <row r="19" s="375" customFormat="1" ht="20.25" spans="1:44">
      <c r="A19" s="344"/>
      <c r="B19" s="346"/>
      <c r="C19" s="424"/>
      <c r="D19" s="147"/>
      <c r="E19" s="147"/>
      <c r="F19" s="104"/>
      <c r="G19" s="81"/>
      <c r="H19" s="81"/>
      <c r="I19" s="81"/>
      <c r="J19" s="78"/>
      <c r="K19" s="78"/>
      <c r="L19" s="78"/>
      <c r="M19" s="425"/>
      <c r="N19" s="81"/>
      <c r="O19" s="81"/>
      <c r="P19" s="104"/>
      <c r="Q19" s="104"/>
      <c r="R19" s="104"/>
      <c r="S19" s="81"/>
      <c r="T19" s="81"/>
      <c r="U19" s="81"/>
      <c r="V19" s="78"/>
      <c r="W19" s="78"/>
      <c r="X19" s="78"/>
      <c r="Y19" s="81"/>
      <c r="Z19" s="81"/>
      <c r="AA19" s="81"/>
      <c r="AB19" s="104"/>
      <c r="AC19" s="104"/>
      <c r="AD19" s="104"/>
      <c r="AE19" s="81"/>
      <c r="AF19" s="81"/>
      <c r="AG19" s="81"/>
      <c r="AH19" s="78"/>
      <c r="AI19" s="78"/>
      <c r="AJ19" s="78"/>
      <c r="AK19" s="81"/>
      <c r="AL19" s="81"/>
      <c r="AM19" s="81"/>
      <c r="AN19" s="146"/>
      <c r="AO19" s="146"/>
      <c r="AP19" s="146"/>
      <c r="AQ19" s="81"/>
    </row>
    <row r="20" s="375" customFormat="1" ht="20.25" spans="1:44">
      <c r="A20" s="344"/>
      <c r="B20" s="346"/>
      <c r="C20" s="424"/>
      <c r="D20" s="147"/>
      <c r="E20" s="147"/>
      <c r="F20" s="104"/>
      <c r="G20" s="81"/>
      <c r="H20" s="81"/>
      <c r="I20" s="81"/>
      <c r="J20" s="78"/>
      <c r="K20" s="78"/>
      <c r="L20" s="78"/>
      <c r="M20" s="425"/>
      <c r="N20" s="81"/>
      <c r="O20" s="81"/>
      <c r="P20" s="104"/>
      <c r="Q20" s="104"/>
      <c r="R20" s="104"/>
      <c r="S20" s="81"/>
      <c r="T20" s="81"/>
      <c r="U20" s="81"/>
      <c r="V20" s="78"/>
      <c r="W20" s="78"/>
      <c r="X20" s="78"/>
      <c r="Y20" s="81"/>
      <c r="Z20" s="81"/>
      <c r="AA20" s="81"/>
      <c r="AB20" s="104"/>
      <c r="AC20" s="104"/>
      <c r="AD20" s="104"/>
      <c r="AE20" s="81"/>
      <c r="AF20" s="81"/>
      <c r="AG20" s="81"/>
      <c r="AH20" s="78"/>
      <c r="AI20" s="78"/>
      <c r="AJ20" s="78"/>
      <c r="AK20" s="81"/>
      <c r="AL20" s="81"/>
      <c r="AM20" s="81"/>
      <c r="AN20" s="146"/>
      <c r="AO20" s="146"/>
      <c r="AP20" s="146"/>
      <c r="AQ20" s="81"/>
    </row>
    <row r="21" s="375" customFormat="1" ht="20.25" spans="1:44">
      <c r="A21" s="344"/>
      <c r="B21" s="346"/>
      <c r="C21" s="424">
        <f t="shared" ref="C21:G21" si="0">SUM(C4:C20)</f>
        <v>1000</v>
      </c>
      <c r="D21" s="147">
        <f t="shared" si="0"/>
        <v>0</v>
      </c>
      <c r="E21" s="147"/>
      <c r="F21" s="104">
        <f t="shared" si="0"/>
        <v>0</v>
      </c>
      <c r="G21" s="81">
        <f t="shared" si="0"/>
        <v>0</v>
      </c>
      <c r="H21" s="81"/>
      <c r="I21" s="81">
        <f t="shared" ref="I21:M21" si="1">SUM(I4:I20)</f>
        <v>0</v>
      </c>
      <c r="J21" s="78">
        <f t="shared" si="1"/>
        <v>0</v>
      </c>
      <c r="K21" s="78"/>
      <c r="L21" s="78">
        <f t="shared" si="1"/>
        <v>0</v>
      </c>
      <c r="M21" s="425">
        <f t="shared" si="1"/>
        <v>0</v>
      </c>
      <c r="N21" s="81"/>
      <c r="O21" s="81">
        <f t="shared" ref="O21:S21" si="2">SUM(O4:O20)</f>
        <v>0</v>
      </c>
      <c r="P21" s="104">
        <f t="shared" si="2"/>
        <v>0</v>
      </c>
      <c r="Q21" s="104"/>
      <c r="R21" s="104">
        <f t="shared" si="2"/>
        <v>0</v>
      </c>
      <c r="S21" s="81">
        <f t="shared" si="2"/>
        <v>0</v>
      </c>
      <c r="T21" s="81"/>
      <c r="U21" s="81">
        <f t="shared" ref="U21:Y21" si="3">SUM(U4:U20)</f>
        <v>0</v>
      </c>
      <c r="V21" s="78">
        <f t="shared" si="3"/>
        <v>0</v>
      </c>
      <c r="W21" s="78"/>
      <c r="X21" s="78">
        <f t="shared" si="3"/>
        <v>0</v>
      </c>
      <c r="Y21" s="81">
        <f t="shared" si="3"/>
        <v>50</v>
      </c>
      <c r="Z21" s="81"/>
      <c r="AA21" s="81">
        <f t="shared" ref="AA21:AE21" si="4">SUM(AA4:AA20)</f>
        <v>355</v>
      </c>
      <c r="AB21" s="104">
        <f t="shared" si="4"/>
        <v>0</v>
      </c>
      <c r="AC21" s="104"/>
      <c r="AD21" s="104">
        <f t="shared" si="4"/>
        <v>0</v>
      </c>
      <c r="AE21" s="81">
        <f t="shared" si="4"/>
        <v>0</v>
      </c>
      <c r="AF21" s="81"/>
      <c r="AG21" s="81">
        <f t="shared" ref="AG21:AK21" si="5">SUM(AG4:AG20)</f>
        <v>0</v>
      </c>
      <c r="AH21" s="78">
        <f t="shared" si="5"/>
        <v>0</v>
      </c>
      <c r="AI21" s="78"/>
      <c r="AJ21" s="78">
        <f t="shared" si="5"/>
        <v>0</v>
      </c>
      <c r="AK21" s="81">
        <f t="shared" si="5"/>
        <v>124</v>
      </c>
      <c r="AL21" s="81"/>
      <c r="AM21" s="81">
        <f t="shared" ref="AM21:AP21" si="6">SUM(AM4:AM20)</f>
        <v>756.4</v>
      </c>
      <c r="AN21" s="146">
        <f t="shared" si="6"/>
        <v>75</v>
      </c>
      <c r="AO21" s="146"/>
      <c r="AP21" s="146">
        <f t="shared" si="6"/>
        <v>450</v>
      </c>
      <c r="AQ21" s="81"/>
    </row>
    <row r="22" s="375" customFormat="1" ht="44" customHeight="1" spans="1:44">
      <c r="A22" s="405"/>
      <c r="B22" s="406"/>
      <c r="C22" s="406"/>
      <c r="D22" s="406"/>
      <c r="E22" s="406"/>
      <c r="F22" s="406"/>
      <c r="G22" s="406"/>
      <c r="H22" s="406"/>
      <c r="I22" s="406"/>
      <c r="J22" s="406"/>
      <c r="K22" s="406"/>
      <c r="L22" s="406"/>
      <c r="M22" s="406"/>
      <c r="N22" s="406"/>
      <c r="O22" s="406"/>
      <c r="P22" s="406"/>
      <c r="Q22" s="406"/>
      <c r="R22" s="406"/>
      <c r="S22" s="406"/>
      <c r="T22" s="406"/>
      <c r="U22" s="406"/>
      <c r="V22" s="406"/>
      <c r="W22" s="406"/>
      <c r="X22" s="406"/>
      <c r="Y22" s="406"/>
      <c r="Z22" s="406"/>
      <c r="AA22" s="406"/>
      <c r="AB22" s="406"/>
      <c r="AC22" s="406"/>
      <c r="AD22" s="406"/>
      <c r="AE22" s="406"/>
      <c r="AF22" s="406"/>
      <c r="AG22" s="406"/>
      <c r="AH22" s="406"/>
      <c r="AI22" s="406"/>
      <c r="AJ22" s="406"/>
      <c r="AK22" s="406"/>
      <c r="AL22" s="406"/>
      <c r="AM22" s="406"/>
      <c r="AN22" s="406"/>
      <c r="AO22" s="406"/>
      <c r="AP22" s="406"/>
      <c r="AQ22" s="407"/>
    </row>
    <row r="23" s="79" customFormat="1" ht="33" customHeight="1" spans="1:44">
      <c r="A23" s="420" t="s">
        <v>920</v>
      </c>
      <c r="B23" s="420"/>
      <c r="C23" s="420"/>
      <c r="D23" s="421"/>
      <c r="E23" s="421"/>
      <c r="F23" s="104"/>
      <c r="G23" s="81" t="s">
        <v>908</v>
      </c>
      <c r="H23" s="81"/>
      <c r="I23" s="81"/>
      <c r="J23" s="422"/>
      <c r="K23" s="422"/>
      <c r="L23" s="78">
        <f>F43+I43+L43+O43+R43+U43+X43+AA43+AD43+AG43+AJ43+AM43+AP43</f>
        <v>25383.25</v>
      </c>
      <c r="M23" s="78"/>
      <c r="N23" s="81"/>
      <c r="O23" s="81"/>
      <c r="P23" s="104"/>
      <c r="Q23" s="104"/>
      <c r="R23" s="104"/>
      <c r="S23" s="81"/>
      <c r="T23" s="81"/>
      <c r="U23" s="81"/>
      <c r="V23" s="78"/>
      <c r="W23" s="78"/>
      <c r="X23" s="78"/>
      <c r="Y23" s="81"/>
      <c r="Z23" s="81"/>
      <c r="AA23" s="81"/>
      <c r="AB23" s="104"/>
      <c r="AC23" s="104"/>
      <c r="AD23" s="104"/>
      <c r="AE23" s="81"/>
      <c r="AF23" s="81"/>
      <c r="AG23" s="81"/>
      <c r="AH23" s="78"/>
      <c r="AI23" s="78"/>
      <c r="AJ23" s="78"/>
    </row>
    <row r="24" s="81" customFormat="1" ht="27" customHeight="1" spans="1:44">
      <c r="A24" s="81" t="s">
        <v>35</v>
      </c>
      <c r="B24" s="217" t="s">
        <v>909</v>
      </c>
      <c r="C24" s="423"/>
      <c r="D24" s="147" t="s">
        <v>289</v>
      </c>
      <c r="E24" s="147"/>
      <c r="F24" s="104"/>
      <c r="G24" s="81" t="s">
        <v>466</v>
      </c>
      <c r="J24" s="78" t="s">
        <v>910</v>
      </c>
      <c r="K24" s="78"/>
      <c r="L24" s="78"/>
      <c r="M24" s="81" t="s">
        <v>911</v>
      </c>
      <c r="P24" s="104" t="s">
        <v>912</v>
      </c>
      <c r="Q24" s="104"/>
      <c r="R24" s="104"/>
      <c r="S24" s="81" t="s">
        <v>913</v>
      </c>
      <c r="V24" s="78" t="s">
        <v>522</v>
      </c>
      <c r="W24" s="78"/>
      <c r="X24" s="78"/>
      <c r="Y24" s="81">
        <v>808</v>
      </c>
      <c r="AB24" s="104" t="s">
        <v>125</v>
      </c>
      <c r="AC24" s="104"/>
      <c r="AD24" s="104"/>
      <c r="AE24" s="81" t="s">
        <v>132</v>
      </c>
      <c r="AH24" s="78">
        <v>816</v>
      </c>
      <c r="AI24" s="78"/>
      <c r="AJ24" s="78"/>
      <c r="AK24" s="81" t="s">
        <v>152</v>
      </c>
      <c r="AN24" s="146" t="s">
        <v>12</v>
      </c>
      <c r="AO24" s="146"/>
      <c r="AP24" s="146"/>
    </row>
    <row r="25" s="81" customFormat="1" ht="27" customHeight="1" spans="1:44">
      <c r="B25" s="217" t="s">
        <v>914</v>
      </c>
      <c r="C25" s="423" t="s">
        <v>915</v>
      </c>
      <c r="D25" s="118" t="s">
        <v>916</v>
      </c>
      <c r="E25" s="118" t="s">
        <v>917</v>
      </c>
      <c r="F25" s="81" t="s">
        <v>918</v>
      </c>
      <c r="G25" s="81" t="s">
        <v>916</v>
      </c>
      <c r="H25" s="81" t="s">
        <v>917</v>
      </c>
      <c r="I25" s="81" t="s">
        <v>918</v>
      </c>
      <c r="J25" s="78" t="s">
        <v>916</v>
      </c>
      <c r="K25" s="78" t="s">
        <v>917</v>
      </c>
      <c r="L25" s="78" t="s">
        <v>918</v>
      </c>
      <c r="M25" s="81" t="s">
        <v>916</v>
      </c>
      <c r="N25" s="81" t="s">
        <v>917</v>
      </c>
      <c r="O25" s="81" t="s">
        <v>918</v>
      </c>
      <c r="P25" s="104" t="s">
        <v>916</v>
      </c>
      <c r="Q25" s="104" t="s">
        <v>917</v>
      </c>
      <c r="R25" s="104" t="s">
        <v>918</v>
      </c>
      <c r="S25" s="81" t="s">
        <v>916</v>
      </c>
      <c r="T25" s="81" t="s">
        <v>917</v>
      </c>
      <c r="U25" s="81" t="s">
        <v>918</v>
      </c>
      <c r="V25" s="78" t="s">
        <v>916</v>
      </c>
      <c r="W25" s="78" t="s">
        <v>917</v>
      </c>
      <c r="X25" s="78" t="s">
        <v>918</v>
      </c>
      <c r="Y25" s="81" t="s">
        <v>916</v>
      </c>
      <c r="Z25" s="81" t="s">
        <v>917</v>
      </c>
      <c r="AA25" s="81" t="s">
        <v>918</v>
      </c>
      <c r="AB25" s="104" t="s">
        <v>916</v>
      </c>
      <c r="AC25" s="104" t="s">
        <v>917</v>
      </c>
      <c r="AD25" s="104" t="s">
        <v>918</v>
      </c>
      <c r="AE25" s="81" t="s">
        <v>916</v>
      </c>
      <c r="AF25" s="81" t="s">
        <v>917</v>
      </c>
      <c r="AG25" s="81" t="s">
        <v>918</v>
      </c>
      <c r="AH25" s="78" t="s">
        <v>916</v>
      </c>
      <c r="AI25" s="78" t="s">
        <v>917</v>
      </c>
      <c r="AJ25" s="78" t="s">
        <v>918</v>
      </c>
      <c r="AK25" s="81" t="s">
        <v>916</v>
      </c>
      <c r="AL25" s="81" t="s">
        <v>917</v>
      </c>
      <c r="AM25" s="81" t="s">
        <v>918</v>
      </c>
      <c r="AN25" s="104" t="s">
        <v>916</v>
      </c>
      <c r="AO25" s="104" t="s">
        <v>917</v>
      </c>
      <c r="AP25" s="104" t="s">
        <v>918</v>
      </c>
    </row>
    <row r="26" s="375" customFormat="1" ht="20.25" spans="1:44">
      <c r="A26" s="344">
        <v>45993</v>
      </c>
      <c r="B26" s="346" t="s">
        <v>921</v>
      </c>
      <c r="C26" s="424">
        <v>200</v>
      </c>
      <c r="D26" s="147"/>
      <c r="E26" s="147"/>
      <c r="F26" s="104"/>
      <c r="G26" s="81"/>
      <c r="H26" s="81"/>
      <c r="I26" s="81"/>
      <c r="J26" s="78"/>
      <c r="K26" s="78"/>
      <c r="L26" s="78"/>
      <c r="M26" s="425"/>
      <c r="N26" s="81"/>
      <c r="O26" s="81"/>
      <c r="P26" s="104"/>
      <c r="Q26" s="104"/>
      <c r="R26" s="104"/>
      <c r="S26" s="81"/>
      <c r="T26" s="81"/>
      <c r="U26" s="81"/>
      <c r="V26" s="78"/>
      <c r="W26" s="78"/>
      <c r="X26" s="78"/>
      <c r="Y26" s="81">
        <v>40</v>
      </c>
      <c r="Z26" s="81">
        <v>7.5</v>
      </c>
      <c r="AA26" s="81">
        <f t="shared" ref="AA26:AA34" si="7">Y26*Z26</f>
        <v>300</v>
      </c>
      <c r="AB26" s="104"/>
      <c r="AC26" s="104"/>
      <c r="AD26" s="104"/>
      <c r="AE26" s="81"/>
      <c r="AF26" s="81"/>
      <c r="AG26" s="81"/>
      <c r="AH26" s="78"/>
      <c r="AI26" s="78"/>
      <c r="AJ26" s="78"/>
      <c r="AK26" s="81"/>
      <c r="AL26" s="81"/>
      <c r="AM26" s="81"/>
      <c r="AN26" s="146">
        <v>23</v>
      </c>
      <c r="AO26" s="146">
        <v>5.9</v>
      </c>
      <c r="AP26" s="146">
        <f t="shared" ref="AP26:AP29" si="8">AN26*AO26</f>
        <v>135.7</v>
      </c>
      <c r="AQ26" s="81"/>
    </row>
    <row r="27" s="418" customFormat="1" ht="20.25" spans="1:44">
      <c r="A27" s="344">
        <v>45997</v>
      </c>
      <c r="B27" s="346" t="s">
        <v>919</v>
      </c>
      <c r="C27" s="424">
        <v>1000</v>
      </c>
      <c r="D27" s="147"/>
      <c r="E27" s="147"/>
      <c r="F27" s="104"/>
      <c r="G27" s="81"/>
      <c r="H27" s="81"/>
      <c r="I27" s="81"/>
      <c r="J27" s="78"/>
      <c r="K27" s="78"/>
      <c r="L27" s="78"/>
      <c r="M27" s="426"/>
      <c r="N27" s="81"/>
      <c r="O27" s="81"/>
      <c r="P27" s="104"/>
      <c r="Q27" s="104"/>
      <c r="R27" s="104"/>
      <c r="S27" s="81"/>
      <c r="T27" s="81"/>
      <c r="U27" s="81"/>
      <c r="V27" s="78"/>
      <c r="W27" s="78"/>
      <c r="X27" s="78"/>
      <c r="Y27" s="81">
        <v>50</v>
      </c>
      <c r="Z27" s="81">
        <v>7.5</v>
      </c>
      <c r="AA27" s="81">
        <f t="shared" si="7"/>
        <v>375</v>
      </c>
      <c r="AB27" s="104"/>
      <c r="AC27" s="104"/>
      <c r="AD27" s="104"/>
      <c r="AE27" s="81"/>
      <c r="AF27" s="81"/>
      <c r="AG27" s="81"/>
      <c r="AH27" s="78"/>
      <c r="AI27" s="78"/>
      <c r="AJ27" s="78"/>
      <c r="AK27" s="81">
        <v>155</v>
      </c>
      <c r="AL27" s="81">
        <v>6.1</v>
      </c>
      <c r="AM27" s="81">
        <f>AK27*AL27</f>
        <v>945.5</v>
      </c>
      <c r="AN27" s="104">
        <v>95</v>
      </c>
      <c r="AO27" s="146">
        <v>5.9</v>
      </c>
      <c r="AP27" s="146">
        <f t="shared" si="8"/>
        <v>560.5</v>
      </c>
      <c r="AQ27" s="427">
        <v>125</v>
      </c>
      <c r="AR27" s="81"/>
    </row>
    <row r="28" s="418" customFormat="1" ht="20.25" spans="1:44">
      <c r="A28" s="344">
        <v>46000</v>
      </c>
      <c r="B28" s="346" t="s">
        <v>342</v>
      </c>
      <c r="C28" s="424">
        <v>225</v>
      </c>
      <c r="D28" s="147"/>
      <c r="E28" s="147"/>
      <c r="F28" s="104"/>
      <c r="G28" s="81"/>
      <c r="H28" s="81"/>
      <c r="I28" s="81"/>
      <c r="J28" s="428"/>
      <c r="K28" s="428"/>
      <c r="L28" s="428"/>
      <c r="M28" s="426"/>
      <c r="N28" s="81"/>
      <c r="O28" s="81"/>
      <c r="P28" s="104"/>
      <c r="Q28" s="104"/>
      <c r="R28" s="104"/>
      <c r="S28" s="81"/>
      <c r="T28" s="81"/>
      <c r="U28" s="81"/>
      <c r="V28" s="78"/>
      <c r="W28" s="78"/>
      <c r="X28" s="78"/>
      <c r="Y28" s="81">
        <v>25</v>
      </c>
      <c r="Z28" s="81">
        <v>7.5</v>
      </c>
      <c r="AA28" s="81">
        <f t="shared" si="7"/>
        <v>187.5</v>
      </c>
      <c r="AB28" s="104"/>
      <c r="AC28" s="104"/>
      <c r="AD28" s="104"/>
      <c r="AE28" s="81"/>
      <c r="AF28" s="81"/>
      <c r="AG28" s="81"/>
      <c r="AH28" s="78"/>
      <c r="AI28" s="78"/>
      <c r="AJ28" s="78"/>
      <c r="AK28" s="81"/>
      <c r="AL28" s="81"/>
      <c r="AM28" s="81"/>
      <c r="AN28" s="104">
        <v>25</v>
      </c>
      <c r="AO28" s="146">
        <v>5.9</v>
      </c>
      <c r="AP28" s="146">
        <f t="shared" si="8"/>
        <v>147.5</v>
      </c>
      <c r="AQ28" s="427">
        <v>98</v>
      </c>
      <c r="AR28" s="81"/>
    </row>
    <row r="29" s="375" customFormat="1" ht="20.25" spans="1:44">
      <c r="A29" s="344">
        <v>46000</v>
      </c>
      <c r="B29" s="346" t="s">
        <v>922</v>
      </c>
      <c r="C29" s="424">
        <v>502.5</v>
      </c>
      <c r="D29" s="147"/>
      <c r="E29" s="147"/>
      <c r="F29" s="104"/>
      <c r="G29" s="81"/>
      <c r="H29" s="81"/>
      <c r="I29" s="81"/>
      <c r="J29" s="78"/>
      <c r="K29" s="78"/>
      <c r="L29" s="78"/>
      <c r="M29" s="425"/>
      <c r="N29" s="81"/>
      <c r="O29" s="81"/>
      <c r="P29" s="104"/>
      <c r="Q29" s="104"/>
      <c r="R29" s="104"/>
      <c r="S29" s="81"/>
      <c r="T29" s="81"/>
      <c r="U29" s="81"/>
      <c r="V29" s="78"/>
      <c r="W29" s="78"/>
      <c r="X29" s="78"/>
      <c r="Y29" s="81">
        <v>26</v>
      </c>
      <c r="Z29" s="81">
        <v>7.5</v>
      </c>
      <c r="AA29" s="81">
        <f t="shared" si="7"/>
        <v>195</v>
      </c>
      <c r="AB29" s="104"/>
      <c r="AC29" s="104"/>
      <c r="AD29" s="104"/>
      <c r="AE29" s="81"/>
      <c r="AF29" s="81"/>
      <c r="AG29" s="81"/>
      <c r="AH29" s="78"/>
      <c r="AI29" s="78"/>
      <c r="AJ29" s="78"/>
      <c r="AK29" s="81"/>
      <c r="AL29" s="81"/>
      <c r="AM29" s="81"/>
      <c r="AN29" s="146">
        <v>61</v>
      </c>
      <c r="AO29" s="146">
        <v>5.9</v>
      </c>
      <c r="AP29" s="146">
        <f t="shared" si="8"/>
        <v>359.9</v>
      </c>
      <c r="AQ29" s="429">
        <v>25</v>
      </c>
    </row>
    <row r="30" s="375" customFormat="1" ht="20" customHeight="1" spans="1:44">
      <c r="A30" s="344">
        <v>46001</v>
      </c>
      <c r="B30" s="346" t="s">
        <v>923</v>
      </c>
      <c r="C30" s="424">
        <v>750</v>
      </c>
      <c r="D30" s="147"/>
      <c r="E30" s="147"/>
      <c r="F30" s="104"/>
      <c r="G30" s="81"/>
      <c r="H30" s="81"/>
      <c r="I30" s="81"/>
      <c r="J30" s="78"/>
      <c r="K30" s="78"/>
      <c r="L30" s="78"/>
      <c r="M30" s="81"/>
      <c r="N30" s="81"/>
      <c r="O30" s="81"/>
      <c r="P30" s="104">
        <v>25</v>
      </c>
      <c r="Q30" s="104">
        <v>82</v>
      </c>
      <c r="R30" s="104">
        <f>P30*Q30</f>
        <v>2050</v>
      </c>
      <c r="S30" s="81"/>
      <c r="T30" s="81"/>
      <c r="U30" s="81"/>
      <c r="V30" s="78"/>
      <c r="W30" s="78"/>
      <c r="X30" s="78"/>
      <c r="Y30" s="81">
        <v>300</v>
      </c>
      <c r="Z30" s="81">
        <v>7.5</v>
      </c>
      <c r="AA30" s="81">
        <f t="shared" si="7"/>
        <v>2250</v>
      </c>
      <c r="AB30" s="104">
        <v>125</v>
      </c>
      <c r="AC30" s="104">
        <v>5</v>
      </c>
      <c r="AD30" s="104">
        <f t="shared" ref="AD30:AD36" si="9">AB30*AC30</f>
        <v>625</v>
      </c>
      <c r="AE30" s="81"/>
      <c r="AF30" s="81"/>
      <c r="AG30" s="81"/>
      <c r="AH30" s="78"/>
      <c r="AI30" s="78"/>
      <c r="AJ30" s="78"/>
      <c r="AK30" s="81"/>
      <c r="AL30" s="81"/>
      <c r="AM30" s="81"/>
      <c r="AN30" s="146"/>
      <c r="AO30" s="146"/>
      <c r="AP30" s="146"/>
      <c r="AQ30" s="427">
        <v>50</v>
      </c>
    </row>
    <row r="31" s="418" customFormat="1" ht="20.25" spans="1:44">
      <c r="A31" s="344">
        <v>46002</v>
      </c>
      <c r="B31" s="346" t="s">
        <v>919</v>
      </c>
      <c r="C31" s="424">
        <v>1000</v>
      </c>
      <c r="D31" s="147"/>
      <c r="E31" s="147"/>
      <c r="F31" s="104"/>
      <c r="G31" s="81"/>
      <c r="H31" s="81"/>
      <c r="I31" s="81"/>
      <c r="J31" s="78"/>
      <c r="K31" s="78"/>
      <c r="L31" s="78"/>
      <c r="M31" s="426"/>
      <c r="N31" s="81"/>
      <c r="O31" s="81"/>
      <c r="P31" s="104"/>
      <c r="Q31" s="104"/>
      <c r="R31" s="104"/>
      <c r="S31" s="81"/>
      <c r="T31" s="81"/>
      <c r="U31" s="81"/>
      <c r="V31" s="78"/>
      <c r="W31" s="78"/>
      <c r="X31" s="78"/>
      <c r="Y31" s="81">
        <v>50</v>
      </c>
      <c r="Z31" s="81">
        <v>7.5</v>
      </c>
      <c r="AA31" s="81">
        <f t="shared" si="7"/>
        <v>375</v>
      </c>
      <c r="AB31" s="104"/>
      <c r="AC31" s="104"/>
      <c r="AD31" s="104"/>
      <c r="AE31" s="81"/>
      <c r="AF31" s="81"/>
      <c r="AG31" s="81"/>
      <c r="AH31" s="78">
        <v>5</v>
      </c>
      <c r="AI31" s="78">
        <v>2.9</v>
      </c>
      <c r="AJ31" s="78">
        <f>AH31*AI31</f>
        <v>14.5</v>
      </c>
      <c r="AK31" s="81">
        <v>155</v>
      </c>
      <c r="AL31" s="81">
        <v>6.1</v>
      </c>
      <c r="AM31" s="81">
        <f>AK31*AL31</f>
        <v>945.5</v>
      </c>
      <c r="AN31" s="104">
        <v>95</v>
      </c>
      <c r="AO31" s="146">
        <v>5.9</v>
      </c>
      <c r="AP31" s="146">
        <f>AN31*AO31</f>
        <v>560.5</v>
      </c>
      <c r="AQ31" s="429">
        <v>79</v>
      </c>
      <c r="AR31" s="81"/>
    </row>
    <row r="32" s="418" customFormat="1" ht="20.25" spans="1:44">
      <c r="A32" s="344">
        <v>46006</v>
      </c>
      <c r="B32" s="346" t="s">
        <v>924</v>
      </c>
      <c r="C32" s="424">
        <v>500</v>
      </c>
      <c r="D32" s="147"/>
      <c r="E32" s="147"/>
      <c r="F32" s="104"/>
      <c r="G32" s="81"/>
      <c r="H32" s="81"/>
      <c r="I32" s="81"/>
      <c r="J32" s="78"/>
      <c r="K32" s="78"/>
      <c r="L32" s="78"/>
      <c r="M32" s="426"/>
      <c r="N32" s="81"/>
      <c r="O32" s="81"/>
      <c r="P32" s="104"/>
      <c r="Q32" s="104"/>
      <c r="R32" s="104"/>
      <c r="S32" s="81"/>
      <c r="T32" s="81"/>
      <c r="U32" s="81"/>
      <c r="V32" s="78"/>
      <c r="W32" s="78"/>
      <c r="X32" s="78"/>
      <c r="Y32" s="81">
        <v>50</v>
      </c>
      <c r="Z32" s="81">
        <v>7.5</v>
      </c>
      <c r="AA32" s="81">
        <f t="shared" si="7"/>
        <v>375</v>
      </c>
      <c r="AB32" s="104">
        <v>98</v>
      </c>
      <c r="AC32" s="104">
        <v>5</v>
      </c>
      <c r="AD32" s="104">
        <f t="shared" si="9"/>
        <v>490</v>
      </c>
      <c r="AE32" s="81"/>
      <c r="AF32" s="81"/>
      <c r="AG32" s="81"/>
      <c r="AH32" s="78"/>
      <c r="AI32" s="78"/>
      <c r="AJ32" s="78"/>
      <c r="AK32" s="81"/>
      <c r="AL32" s="81"/>
      <c r="AM32" s="81"/>
      <c r="AN32" s="104">
        <v>20</v>
      </c>
      <c r="AO32" s="146">
        <v>5.9</v>
      </c>
      <c r="AP32" s="146">
        <f>AN32*AO32</f>
        <v>118</v>
      </c>
      <c r="AQ32" s="427">
        <v>1300</v>
      </c>
      <c r="AR32" s="81"/>
    </row>
    <row r="33" s="81" customFormat="1" ht="20.25" spans="1:44">
      <c r="A33" s="344">
        <v>46014</v>
      </c>
      <c r="B33" s="346" t="s">
        <v>925</v>
      </c>
      <c r="C33" s="424">
        <v>445</v>
      </c>
      <c r="D33" s="147"/>
      <c r="E33" s="147"/>
      <c r="F33" s="104"/>
      <c r="J33" s="78"/>
      <c r="K33" s="78"/>
      <c r="L33" s="78"/>
      <c r="M33" s="426"/>
      <c r="P33" s="104"/>
      <c r="Q33" s="104"/>
      <c r="R33" s="104"/>
      <c r="V33" s="78"/>
      <c r="W33" s="78"/>
      <c r="X33" s="78"/>
      <c r="Y33" s="81">
        <v>53</v>
      </c>
      <c r="Z33" s="81">
        <v>7.1</v>
      </c>
      <c r="AA33" s="81">
        <f t="shared" si="7"/>
        <v>376.3</v>
      </c>
      <c r="AB33" s="104">
        <v>25</v>
      </c>
      <c r="AC33" s="104">
        <v>5.1</v>
      </c>
      <c r="AD33" s="104">
        <f t="shared" si="9"/>
        <v>127.5</v>
      </c>
      <c r="AH33" s="78"/>
      <c r="AI33" s="78"/>
      <c r="AJ33" s="78"/>
      <c r="AN33" s="146">
        <v>32</v>
      </c>
      <c r="AO33" s="146">
        <v>5.9</v>
      </c>
      <c r="AP33" s="146">
        <f t="shared" ref="AP33:AP40" si="10">AN33*AO33</f>
        <v>188.8</v>
      </c>
      <c r="AQ33" s="429">
        <v>61</v>
      </c>
    </row>
    <row r="34" s="418" customFormat="1" ht="20.25" spans="1:44">
      <c r="A34" s="344">
        <v>46014</v>
      </c>
      <c r="B34" s="346" t="s">
        <v>926</v>
      </c>
      <c r="C34" s="424">
        <v>172</v>
      </c>
      <c r="D34" s="147"/>
      <c r="E34" s="147"/>
      <c r="F34" s="104"/>
      <c r="G34" s="81"/>
      <c r="H34" s="81"/>
      <c r="I34" s="81"/>
      <c r="J34" s="78"/>
      <c r="K34" s="78"/>
      <c r="L34" s="78"/>
      <c r="M34" s="426"/>
      <c r="N34" s="81"/>
      <c r="O34" s="81"/>
      <c r="P34" s="104"/>
      <c r="Q34" s="104"/>
      <c r="R34" s="104"/>
      <c r="S34" s="81"/>
      <c r="T34" s="81"/>
      <c r="U34" s="81"/>
      <c r="V34" s="78"/>
      <c r="W34" s="78"/>
      <c r="X34" s="78"/>
      <c r="Y34" s="81">
        <v>45</v>
      </c>
      <c r="Z34" s="81">
        <v>7.1</v>
      </c>
      <c r="AA34" s="81">
        <f t="shared" si="7"/>
        <v>319.5</v>
      </c>
      <c r="AB34" s="104">
        <v>50</v>
      </c>
      <c r="AC34" s="104">
        <v>5.1</v>
      </c>
      <c r="AD34" s="104">
        <f t="shared" si="9"/>
        <v>255</v>
      </c>
      <c r="AE34" s="81"/>
      <c r="AF34" s="81"/>
      <c r="AG34" s="81"/>
      <c r="AH34" s="78"/>
      <c r="AI34" s="78"/>
      <c r="AJ34" s="78"/>
      <c r="AK34" s="81"/>
      <c r="AL34" s="81"/>
      <c r="AM34" s="81"/>
      <c r="AN34" s="104"/>
      <c r="AO34" s="146"/>
      <c r="AP34" s="146"/>
      <c r="AQ34" s="427">
        <v>7</v>
      </c>
      <c r="AR34" s="81"/>
    </row>
    <row r="35" s="418" customFormat="1" ht="20.25" spans="1:44">
      <c r="A35" s="344">
        <v>46014</v>
      </c>
      <c r="B35" s="346" t="s">
        <v>927</v>
      </c>
      <c r="C35" s="424">
        <v>508</v>
      </c>
      <c r="D35" s="147"/>
      <c r="E35" s="147"/>
      <c r="F35" s="104"/>
      <c r="G35" s="81"/>
      <c r="H35" s="81"/>
      <c r="I35" s="81"/>
      <c r="J35" s="78">
        <v>12</v>
      </c>
      <c r="K35" s="78">
        <v>17</v>
      </c>
      <c r="L35" s="78">
        <f>J35*K35</f>
        <v>204</v>
      </c>
      <c r="M35" s="426"/>
      <c r="N35" s="81"/>
      <c r="O35" s="81"/>
      <c r="P35" s="104"/>
      <c r="Q35" s="104"/>
      <c r="R35" s="104"/>
      <c r="S35" s="81"/>
      <c r="T35" s="81"/>
      <c r="U35" s="81"/>
      <c r="V35" s="78">
        <v>2</v>
      </c>
      <c r="W35" s="78">
        <v>25</v>
      </c>
      <c r="X35" s="78">
        <f>V35*W35</f>
        <v>50</v>
      </c>
      <c r="Y35" s="81"/>
      <c r="Z35" s="81"/>
      <c r="AA35" s="81"/>
      <c r="AB35" s="104">
        <v>79</v>
      </c>
      <c r="AC35" s="104">
        <v>5.1</v>
      </c>
      <c r="AD35" s="104">
        <f t="shared" si="9"/>
        <v>402.9</v>
      </c>
      <c r="AE35" s="81">
        <v>55</v>
      </c>
      <c r="AF35" s="81">
        <v>3</v>
      </c>
      <c r="AG35" s="81">
        <f>AE35*AF35</f>
        <v>165</v>
      </c>
      <c r="AH35" s="78"/>
      <c r="AI35" s="78"/>
      <c r="AJ35" s="78"/>
      <c r="AK35" s="81"/>
      <c r="AL35" s="81"/>
      <c r="AM35" s="81"/>
      <c r="AN35" s="104"/>
      <c r="AO35" s="146"/>
      <c r="AP35" s="146"/>
      <c r="AQ35" s="429">
        <v>45</v>
      </c>
      <c r="AR35" s="81"/>
    </row>
    <row r="36" s="375" customFormat="1" ht="20.25" spans="1:44">
      <c r="A36" s="344">
        <v>46015</v>
      </c>
      <c r="B36" s="346" t="s">
        <v>928</v>
      </c>
      <c r="C36" s="424">
        <v>1918</v>
      </c>
      <c r="D36" s="147"/>
      <c r="E36" s="147"/>
      <c r="F36" s="104"/>
      <c r="G36" s="81"/>
      <c r="H36" s="81"/>
      <c r="I36" s="81"/>
      <c r="J36" s="78"/>
      <c r="K36" s="78"/>
      <c r="L36" s="78"/>
      <c r="M36" s="425"/>
      <c r="N36" s="81"/>
      <c r="O36" s="81"/>
      <c r="P36" s="104"/>
      <c r="Q36" s="104"/>
      <c r="R36" s="104"/>
      <c r="S36" s="81"/>
      <c r="T36" s="81"/>
      <c r="U36" s="81"/>
      <c r="V36" s="78"/>
      <c r="W36" s="78"/>
      <c r="X36" s="78"/>
      <c r="Y36" s="81"/>
      <c r="Z36" s="81"/>
      <c r="AA36" s="81"/>
      <c r="AB36" s="104">
        <v>1300</v>
      </c>
      <c r="AC36" s="104">
        <v>5.1</v>
      </c>
      <c r="AD36" s="104">
        <f t="shared" si="9"/>
        <v>6630</v>
      </c>
      <c r="AE36" s="81"/>
      <c r="AF36" s="81"/>
      <c r="AG36" s="81"/>
      <c r="AH36" s="78"/>
      <c r="AI36" s="78"/>
      <c r="AJ36" s="78"/>
      <c r="AK36" s="81"/>
      <c r="AL36" s="81"/>
      <c r="AM36" s="81"/>
      <c r="AN36" s="146">
        <v>293</v>
      </c>
      <c r="AO36" s="146">
        <v>5.9</v>
      </c>
      <c r="AP36" s="146">
        <f t="shared" si="10"/>
        <v>1728.7</v>
      </c>
      <c r="AQ36" s="81"/>
    </row>
    <row r="37" s="418" customFormat="1" ht="20.25" spans="1:44">
      <c r="A37" s="344">
        <v>46381</v>
      </c>
      <c r="B37" s="346" t="s">
        <v>929</v>
      </c>
      <c r="C37" s="424">
        <v>300</v>
      </c>
      <c r="D37" s="147"/>
      <c r="E37" s="147"/>
      <c r="F37" s="104"/>
      <c r="G37" s="81"/>
      <c r="H37" s="81"/>
      <c r="I37" s="81"/>
      <c r="J37" s="78"/>
      <c r="K37" s="78"/>
      <c r="L37" s="78"/>
      <c r="M37" s="426"/>
      <c r="N37" s="81"/>
      <c r="O37" s="81"/>
      <c r="P37" s="104"/>
      <c r="Q37" s="104"/>
      <c r="R37" s="104"/>
      <c r="S37" s="81"/>
      <c r="T37" s="81"/>
      <c r="U37" s="81"/>
      <c r="V37" s="78"/>
      <c r="W37" s="78"/>
      <c r="X37" s="78"/>
      <c r="Y37" s="81">
        <v>30</v>
      </c>
      <c r="Z37" s="81">
        <v>7.1</v>
      </c>
      <c r="AA37" s="81">
        <f t="shared" ref="AA37:AA39" si="11">Y37*Z37</f>
        <v>213</v>
      </c>
      <c r="AB37" s="104">
        <v>61</v>
      </c>
      <c r="AC37" s="104">
        <v>5.1</v>
      </c>
      <c r="AD37" s="104">
        <f t="shared" ref="AD37:AD39" si="12">AB37*AC37</f>
        <v>311.1</v>
      </c>
      <c r="AE37" s="81"/>
      <c r="AF37" s="81"/>
      <c r="AG37" s="81"/>
      <c r="AH37" s="78"/>
      <c r="AI37" s="78"/>
      <c r="AJ37" s="78"/>
      <c r="AK37" s="81">
        <v>10</v>
      </c>
      <c r="AL37" s="81">
        <v>6.1</v>
      </c>
      <c r="AM37" s="81">
        <f t="shared" ref="AM37:AM40" si="13">AK37*AL37</f>
        <v>61</v>
      </c>
      <c r="AN37" s="104"/>
      <c r="AO37" s="146"/>
      <c r="AP37" s="146"/>
      <c r="AQ37" s="81"/>
      <c r="AR37" s="81"/>
    </row>
    <row r="38" s="375" customFormat="1" ht="20.25" spans="1:44">
      <c r="A38" s="344">
        <v>46385</v>
      </c>
      <c r="B38" s="346" t="s">
        <v>845</v>
      </c>
      <c r="C38" s="424">
        <v>172</v>
      </c>
      <c r="D38" s="147"/>
      <c r="E38" s="147"/>
      <c r="F38" s="104"/>
      <c r="G38" s="81"/>
      <c r="H38" s="81"/>
      <c r="I38" s="81"/>
      <c r="J38" s="78"/>
      <c r="K38" s="78"/>
      <c r="L38" s="78"/>
      <c r="M38" s="425"/>
      <c r="N38" s="81"/>
      <c r="O38" s="81"/>
      <c r="P38" s="104"/>
      <c r="Q38" s="104"/>
      <c r="R38" s="104"/>
      <c r="S38" s="81"/>
      <c r="T38" s="81"/>
      <c r="U38" s="81"/>
      <c r="V38" s="78"/>
      <c r="W38" s="78"/>
      <c r="X38" s="78"/>
      <c r="Y38" s="81">
        <v>27</v>
      </c>
      <c r="Z38" s="81">
        <v>7.1</v>
      </c>
      <c r="AA38" s="81">
        <f t="shared" si="11"/>
        <v>191.7</v>
      </c>
      <c r="AB38" s="104">
        <v>7</v>
      </c>
      <c r="AC38" s="104">
        <v>5.1</v>
      </c>
      <c r="AD38" s="104">
        <f t="shared" si="12"/>
        <v>35.7</v>
      </c>
      <c r="AE38" s="81"/>
      <c r="AF38" s="81"/>
      <c r="AG38" s="81"/>
      <c r="AH38" s="78"/>
      <c r="AI38" s="78"/>
      <c r="AJ38" s="78"/>
      <c r="AK38" s="81">
        <v>8</v>
      </c>
      <c r="AL38" s="81">
        <v>6.1</v>
      </c>
      <c r="AM38" s="81">
        <f t="shared" si="13"/>
        <v>48.8</v>
      </c>
      <c r="AN38" s="146">
        <v>13</v>
      </c>
      <c r="AO38" s="146">
        <v>6</v>
      </c>
      <c r="AP38" s="146">
        <f t="shared" si="10"/>
        <v>78</v>
      </c>
      <c r="AQ38" s="81"/>
    </row>
    <row r="39" s="418" customFormat="1" ht="20.25" spans="1:44">
      <c r="A39" s="344">
        <v>46386</v>
      </c>
      <c r="B39" s="346" t="s">
        <v>704</v>
      </c>
      <c r="C39" s="424">
        <v>258</v>
      </c>
      <c r="D39" s="147"/>
      <c r="E39" s="147"/>
      <c r="F39" s="104"/>
      <c r="G39" s="81"/>
      <c r="H39" s="81"/>
      <c r="I39" s="81"/>
      <c r="J39" s="78"/>
      <c r="K39" s="78"/>
      <c r="L39" s="78"/>
      <c r="M39" s="426"/>
      <c r="N39" s="81"/>
      <c r="O39" s="81"/>
      <c r="P39" s="104"/>
      <c r="Q39" s="104"/>
      <c r="R39" s="104"/>
      <c r="S39" s="81"/>
      <c r="T39" s="81"/>
      <c r="U39" s="81"/>
      <c r="V39" s="78"/>
      <c r="W39" s="78"/>
      <c r="X39" s="78"/>
      <c r="Y39" s="81">
        <v>30</v>
      </c>
      <c r="Z39" s="81">
        <v>7.1</v>
      </c>
      <c r="AA39" s="81">
        <f t="shared" si="11"/>
        <v>213</v>
      </c>
      <c r="AB39" s="104"/>
      <c r="AC39" s="104"/>
      <c r="AD39" s="104"/>
      <c r="AE39" s="81"/>
      <c r="AF39" s="81"/>
      <c r="AG39" s="81"/>
      <c r="AH39" s="78"/>
      <c r="AI39" s="78"/>
      <c r="AJ39" s="78"/>
      <c r="AK39" s="81"/>
      <c r="AL39" s="81"/>
      <c r="AM39" s="81"/>
      <c r="AN39" s="104">
        <v>30</v>
      </c>
      <c r="AO39" s="146">
        <v>6</v>
      </c>
      <c r="AP39" s="146">
        <f t="shared" si="10"/>
        <v>180</v>
      </c>
      <c r="AQ39" s="81"/>
      <c r="AR39" s="81"/>
    </row>
    <row r="40" s="418" customFormat="1" ht="20.25" spans="1:44">
      <c r="A40" s="344">
        <v>46387</v>
      </c>
      <c r="B40" s="346" t="s">
        <v>930</v>
      </c>
      <c r="C40" s="424">
        <v>1002.5</v>
      </c>
      <c r="D40" s="147"/>
      <c r="E40" s="147"/>
      <c r="F40" s="104"/>
      <c r="G40" s="81"/>
      <c r="H40" s="81"/>
      <c r="I40" s="81"/>
      <c r="J40" s="78">
        <v>25</v>
      </c>
      <c r="K40" s="78">
        <v>17</v>
      </c>
      <c r="L40" s="78">
        <f>J40*K40</f>
        <v>425</v>
      </c>
      <c r="M40" s="426"/>
      <c r="N40" s="81"/>
      <c r="O40" s="81"/>
      <c r="P40" s="104"/>
      <c r="Q40" s="104"/>
      <c r="R40" s="104"/>
      <c r="S40" s="81"/>
      <c r="T40" s="81"/>
      <c r="U40" s="81"/>
      <c r="V40" s="78">
        <v>2.5</v>
      </c>
      <c r="W40" s="78">
        <v>25</v>
      </c>
      <c r="X40" s="78">
        <f>V40*W40</f>
        <v>62.5</v>
      </c>
      <c r="Y40" s="81"/>
      <c r="Z40" s="81"/>
      <c r="AA40" s="81"/>
      <c r="AB40" s="104">
        <v>45</v>
      </c>
      <c r="AC40" s="104">
        <v>5.1</v>
      </c>
      <c r="AD40" s="104">
        <f>AB40*AC40</f>
        <v>229.5</v>
      </c>
      <c r="AE40" s="81">
        <v>239</v>
      </c>
      <c r="AF40" s="81">
        <v>3</v>
      </c>
      <c r="AG40" s="81">
        <f>AE40*AF40</f>
        <v>717</v>
      </c>
      <c r="AH40" s="78"/>
      <c r="AI40" s="78"/>
      <c r="AJ40" s="78"/>
      <c r="AK40" s="81">
        <v>85</v>
      </c>
      <c r="AL40" s="81">
        <v>6.2</v>
      </c>
      <c r="AM40" s="81">
        <f t="shared" si="13"/>
        <v>527</v>
      </c>
      <c r="AN40" s="104">
        <v>30</v>
      </c>
      <c r="AO40" s="146">
        <v>6</v>
      </c>
      <c r="AP40" s="146">
        <f t="shared" si="10"/>
        <v>180</v>
      </c>
      <c r="AQ40" s="81"/>
      <c r="AR40" s="81"/>
    </row>
    <row r="41" s="375" customFormat="1" ht="20.25" spans="1:44">
      <c r="A41" s="344">
        <v>46387</v>
      </c>
      <c r="B41" s="346" t="s">
        <v>931</v>
      </c>
      <c r="C41" s="424">
        <v>181.5</v>
      </c>
      <c r="D41" s="147"/>
      <c r="E41" s="147"/>
      <c r="F41" s="104"/>
      <c r="G41" s="81"/>
      <c r="H41" s="81"/>
      <c r="I41" s="81"/>
      <c r="J41" s="78">
        <v>10</v>
      </c>
      <c r="K41" s="78">
        <v>17</v>
      </c>
      <c r="L41" s="78">
        <f>J41*K41</f>
        <v>170</v>
      </c>
      <c r="M41" s="425"/>
      <c r="N41" s="81"/>
      <c r="O41" s="81"/>
      <c r="P41" s="104"/>
      <c r="Q41" s="104"/>
      <c r="R41" s="104"/>
      <c r="S41" s="81"/>
      <c r="T41" s="81"/>
      <c r="U41" s="81"/>
      <c r="V41" s="78"/>
      <c r="W41" s="78"/>
      <c r="X41" s="78"/>
      <c r="Y41" s="81"/>
      <c r="Z41" s="81"/>
      <c r="AA41" s="81"/>
      <c r="AB41" s="104">
        <v>36.5</v>
      </c>
      <c r="AC41" s="104">
        <v>5.1</v>
      </c>
      <c r="AD41" s="104">
        <f>AB41*AC41</f>
        <v>186.15</v>
      </c>
      <c r="AE41" s="81">
        <v>32</v>
      </c>
      <c r="AF41" s="81">
        <v>3</v>
      </c>
      <c r="AG41" s="81">
        <f>AE41*AF41</f>
        <v>96</v>
      </c>
      <c r="AH41" s="78"/>
      <c r="AI41" s="78"/>
      <c r="AJ41" s="78"/>
      <c r="AK41" s="81"/>
      <c r="AL41" s="81"/>
      <c r="AM41" s="81"/>
      <c r="AN41" s="146"/>
      <c r="AO41" s="146"/>
      <c r="AP41" s="146"/>
      <c r="AQ41" s="81"/>
    </row>
    <row r="42" s="375" customFormat="1" ht="20.25" spans="1:44">
      <c r="A42" s="344"/>
      <c r="B42" s="346"/>
      <c r="C42" s="424"/>
      <c r="D42" s="147"/>
      <c r="E42" s="147"/>
      <c r="F42" s="104"/>
      <c r="G42" s="81"/>
      <c r="H42" s="81"/>
      <c r="I42" s="81"/>
      <c r="J42" s="78"/>
      <c r="K42" s="78"/>
      <c r="L42" s="78"/>
      <c r="M42" s="425"/>
      <c r="N42" s="81"/>
      <c r="O42" s="81"/>
      <c r="P42" s="104"/>
      <c r="Q42" s="104"/>
      <c r="R42" s="104"/>
      <c r="S42" s="81"/>
      <c r="T42" s="81"/>
      <c r="U42" s="81"/>
      <c r="V42" s="78"/>
      <c r="W42" s="78"/>
      <c r="X42" s="78"/>
      <c r="Y42" s="81"/>
      <c r="Z42" s="81"/>
      <c r="AA42" s="81"/>
      <c r="AB42" s="104"/>
      <c r="AC42" s="104"/>
      <c r="AD42" s="104"/>
      <c r="AE42" s="81"/>
      <c r="AF42" s="81"/>
      <c r="AG42" s="81"/>
      <c r="AH42" s="78"/>
      <c r="AI42" s="78"/>
      <c r="AJ42" s="78"/>
      <c r="AK42" s="81"/>
      <c r="AL42" s="81"/>
      <c r="AM42" s="81"/>
      <c r="AN42" s="146"/>
      <c r="AO42" s="146"/>
      <c r="AP42" s="146"/>
      <c r="AQ42" s="81"/>
    </row>
    <row r="43" s="375" customFormat="1" ht="20.25" spans="1:44">
      <c r="A43" s="344"/>
      <c r="B43" s="346"/>
      <c r="C43" s="424">
        <f>SUM(C26:C42)</f>
        <v>9134.5</v>
      </c>
      <c r="D43" s="147">
        <f>SUM(D26:D42)</f>
        <v>0</v>
      </c>
      <c r="E43" s="147"/>
      <c r="F43" s="104">
        <f>SUM(F26:F42)</f>
        <v>0</v>
      </c>
      <c r="G43" s="81">
        <f>SUM(G26:G42)</f>
        <v>0</v>
      </c>
      <c r="H43" s="81"/>
      <c r="I43" s="81">
        <f>SUM(I26:I42)</f>
        <v>0</v>
      </c>
      <c r="J43" s="78">
        <f>SUM(J26:J42)</f>
        <v>47</v>
      </c>
      <c r="K43" s="78"/>
      <c r="L43" s="78">
        <f>SUM(L26:L42)</f>
        <v>799</v>
      </c>
      <c r="M43" s="425">
        <f>SUM(M26:M42)</f>
        <v>0</v>
      </c>
      <c r="N43" s="81"/>
      <c r="O43" s="81">
        <f>SUM(O26:O42)</f>
        <v>0</v>
      </c>
      <c r="P43" s="104">
        <f>SUM(P26:P42)</f>
        <v>25</v>
      </c>
      <c r="Q43" s="104"/>
      <c r="R43" s="104">
        <f>SUM(R26:R42)</f>
        <v>2050</v>
      </c>
      <c r="S43" s="81">
        <f>SUM(S26:S42)</f>
        <v>0</v>
      </c>
      <c r="T43" s="81"/>
      <c r="U43" s="81">
        <f>SUM(U26:U42)</f>
        <v>0</v>
      </c>
      <c r="V43" s="78">
        <f>SUM(V26:V42)</f>
        <v>4.5</v>
      </c>
      <c r="W43" s="78"/>
      <c r="X43" s="78">
        <f>SUM(X26:X42)</f>
        <v>112.5</v>
      </c>
      <c r="Y43" s="81">
        <f>SUM(Y26:Y42)</f>
        <v>726</v>
      </c>
      <c r="Z43" s="81"/>
      <c r="AA43" s="81">
        <f>SUM(AA26:AA42)</f>
        <v>5371</v>
      </c>
      <c r="AB43" s="104">
        <f>SUM(AB26:AB42)</f>
        <v>1826.5</v>
      </c>
      <c r="AC43" s="104"/>
      <c r="AD43" s="104">
        <f>SUM(AD26:AD42)</f>
        <v>9292.85</v>
      </c>
      <c r="AE43" s="81">
        <f>SUM(AE26:AE42)</f>
        <v>326</v>
      </c>
      <c r="AF43" s="81"/>
      <c r="AG43" s="81">
        <f>SUM(AG26:AG42)</f>
        <v>978</v>
      </c>
      <c r="AH43" s="78">
        <f>SUM(AH26:AH42)</f>
        <v>5</v>
      </c>
      <c r="AI43" s="78"/>
      <c r="AJ43" s="78">
        <f>SUM(AJ26:AJ42)</f>
        <v>14.5</v>
      </c>
      <c r="AK43" s="81">
        <f>SUM(AK26:AK42)</f>
        <v>413</v>
      </c>
      <c r="AL43" s="81"/>
      <c r="AM43" s="81">
        <f>SUM(AM26:AM42)</f>
        <v>2527.8</v>
      </c>
      <c r="AN43" s="146">
        <f>SUM(AN26:AN42)</f>
        <v>717</v>
      </c>
      <c r="AO43" s="146"/>
      <c r="AP43" s="146">
        <f>SUM(AP26:AP42)</f>
        <v>4237.6</v>
      </c>
      <c r="AQ43" s="81"/>
    </row>
    <row r="46" s="11" customFormat="1" ht="33" customHeight="1" spans="1:44">
      <c r="A46" s="430" t="s">
        <v>932</v>
      </c>
      <c r="B46" s="66"/>
      <c r="C46" s="66"/>
      <c r="D46" s="68"/>
      <c r="E46" s="68"/>
      <c r="F46" s="75"/>
      <c r="G46" s="72" t="s">
        <v>908</v>
      </c>
      <c r="H46" s="72"/>
      <c r="I46" s="72"/>
      <c r="J46" s="76"/>
      <c r="K46" s="76"/>
      <c r="L46" s="77">
        <f>F68+I68+L68+O68+R68+U68+X68+AA68+AD68+AG68+AJ68+AM68+AP68</f>
        <v>38242.2</v>
      </c>
      <c r="M46" s="77"/>
      <c r="N46" s="72"/>
      <c r="O46" s="72"/>
      <c r="P46" s="75"/>
      <c r="Q46" s="75"/>
      <c r="R46" s="75"/>
      <c r="S46" s="72"/>
      <c r="T46" s="72"/>
      <c r="U46" s="72"/>
      <c r="V46" s="77"/>
      <c r="W46" s="77"/>
      <c r="X46" s="77"/>
      <c r="Y46" s="72"/>
      <c r="Z46" s="72"/>
      <c r="AA46" s="72"/>
      <c r="AB46" s="75"/>
      <c r="AC46" s="75"/>
      <c r="AD46" s="75"/>
      <c r="AE46" s="72"/>
      <c r="AF46" s="72"/>
      <c r="AG46" s="72"/>
      <c r="AH46" s="77"/>
      <c r="AI46" s="77"/>
      <c r="AJ46" s="78"/>
      <c r="AK46" s="79"/>
      <c r="AL46" s="79"/>
      <c r="AM46" s="80"/>
    </row>
    <row r="47" s="12" customFormat="1" ht="27" customHeight="1" spans="1:44">
      <c r="A47" s="81" t="s">
        <v>35</v>
      </c>
      <c r="B47" s="82" t="s">
        <v>909</v>
      </c>
      <c r="C47" s="83"/>
      <c r="D47" s="74" t="s">
        <v>289</v>
      </c>
      <c r="E47" s="74"/>
      <c r="F47" s="103"/>
      <c r="G47" s="81" t="s">
        <v>466</v>
      </c>
      <c r="H47" s="81"/>
      <c r="I47" s="81"/>
      <c r="J47" s="78" t="s">
        <v>910</v>
      </c>
      <c r="K47" s="78"/>
      <c r="L47" s="78"/>
      <c r="M47" s="81" t="s">
        <v>911</v>
      </c>
      <c r="N47" s="81"/>
      <c r="O47" s="81"/>
      <c r="P47" s="104" t="s">
        <v>912</v>
      </c>
      <c r="Q47" s="104"/>
      <c r="R47" s="104"/>
      <c r="S47" s="81" t="s">
        <v>913</v>
      </c>
      <c r="T47" s="81"/>
      <c r="U47" s="81"/>
      <c r="V47" s="78" t="s">
        <v>522</v>
      </c>
      <c r="W47" s="78"/>
      <c r="X47" s="78"/>
      <c r="Y47" s="81">
        <v>808</v>
      </c>
      <c r="Z47" s="81"/>
      <c r="AA47" s="81"/>
      <c r="AB47" s="104" t="s">
        <v>125</v>
      </c>
      <c r="AC47" s="104"/>
      <c r="AD47" s="104"/>
      <c r="AE47" s="81" t="s">
        <v>132</v>
      </c>
      <c r="AF47" s="81"/>
      <c r="AG47" s="81"/>
      <c r="AH47" s="78">
        <v>811</v>
      </c>
      <c r="AI47" s="78"/>
      <c r="AJ47" s="105"/>
      <c r="AK47" s="81" t="s">
        <v>152</v>
      </c>
      <c r="AL47" s="81"/>
      <c r="AM47" s="81"/>
      <c r="AN47" s="106" t="s">
        <v>12</v>
      </c>
      <c r="AO47" s="107"/>
      <c r="AP47" s="108"/>
    </row>
    <row r="48" s="12" customFormat="1" ht="27" customHeight="1" spans="1:44">
      <c r="A48" s="81"/>
      <c r="B48" s="82" t="s">
        <v>914</v>
      </c>
      <c r="C48" s="83" t="s">
        <v>915</v>
      </c>
      <c r="D48" s="117" t="s">
        <v>916</v>
      </c>
      <c r="E48" s="118" t="s">
        <v>917</v>
      </c>
      <c r="F48" s="81" t="s">
        <v>918</v>
      </c>
      <c r="G48" s="81" t="s">
        <v>916</v>
      </c>
      <c r="H48" s="81" t="s">
        <v>917</v>
      </c>
      <c r="I48" s="81" t="s">
        <v>918</v>
      </c>
      <c r="J48" s="78" t="s">
        <v>916</v>
      </c>
      <c r="K48" s="78" t="s">
        <v>917</v>
      </c>
      <c r="L48" s="78" t="s">
        <v>918</v>
      </c>
      <c r="M48" s="81" t="s">
        <v>916</v>
      </c>
      <c r="N48" s="81" t="s">
        <v>917</v>
      </c>
      <c r="O48" s="81" t="s">
        <v>918</v>
      </c>
      <c r="P48" s="104" t="s">
        <v>916</v>
      </c>
      <c r="Q48" s="104" t="s">
        <v>917</v>
      </c>
      <c r="R48" s="104" t="s">
        <v>918</v>
      </c>
      <c r="S48" s="81" t="s">
        <v>916</v>
      </c>
      <c r="T48" s="81" t="s">
        <v>917</v>
      </c>
      <c r="U48" s="81" t="s">
        <v>918</v>
      </c>
      <c r="V48" s="78" t="s">
        <v>916</v>
      </c>
      <c r="W48" s="78" t="s">
        <v>917</v>
      </c>
      <c r="X48" s="78" t="s">
        <v>918</v>
      </c>
      <c r="Y48" s="81" t="s">
        <v>916</v>
      </c>
      <c r="Z48" s="81" t="s">
        <v>917</v>
      </c>
      <c r="AA48" s="81" t="s">
        <v>918</v>
      </c>
      <c r="AB48" s="104" t="s">
        <v>916</v>
      </c>
      <c r="AC48" s="104" t="s">
        <v>917</v>
      </c>
      <c r="AD48" s="104" t="s">
        <v>918</v>
      </c>
      <c r="AE48" s="81" t="s">
        <v>916</v>
      </c>
      <c r="AF48" s="81" t="s">
        <v>917</v>
      </c>
      <c r="AG48" s="81" t="s">
        <v>918</v>
      </c>
      <c r="AH48" s="78" t="s">
        <v>916</v>
      </c>
      <c r="AI48" s="78" t="s">
        <v>917</v>
      </c>
      <c r="AJ48" s="105" t="s">
        <v>918</v>
      </c>
      <c r="AK48" s="81" t="s">
        <v>916</v>
      </c>
      <c r="AL48" s="81" t="s">
        <v>917</v>
      </c>
      <c r="AM48" s="81" t="s">
        <v>918</v>
      </c>
      <c r="AN48" s="104" t="s">
        <v>916</v>
      </c>
      <c r="AO48" s="104" t="s">
        <v>917</v>
      </c>
      <c r="AP48" s="104" t="s">
        <v>918</v>
      </c>
    </row>
    <row r="49" s="47" customFormat="1" ht="20.25" spans="1:44">
      <c r="A49" s="344">
        <v>45962</v>
      </c>
      <c r="B49" s="346" t="s">
        <v>922</v>
      </c>
      <c r="C49" s="424">
        <v>502.5</v>
      </c>
      <c r="D49" s="124"/>
      <c r="E49" s="124"/>
      <c r="F49" s="125"/>
      <c r="G49" s="126"/>
      <c r="H49" s="126"/>
      <c r="I49" s="126"/>
      <c r="J49" s="127"/>
      <c r="K49" s="127"/>
      <c r="L49" s="127"/>
      <c r="M49" s="431"/>
      <c r="N49" s="126"/>
      <c r="O49" s="126"/>
      <c r="P49" s="125"/>
      <c r="Q49" s="125"/>
      <c r="R49" s="125"/>
      <c r="S49" s="126"/>
      <c r="T49" s="126"/>
      <c r="U49" s="126"/>
      <c r="V49" s="127"/>
      <c r="W49" s="127"/>
      <c r="X49" s="127"/>
      <c r="Y49" s="126">
        <v>26</v>
      </c>
      <c r="Z49" s="126">
        <v>7.6</v>
      </c>
      <c r="AA49" s="126">
        <f>Y49*Z49</f>
        <v>197.6</v>
      </c>
      <c r="AB49" s="125"/>
      <c r="AC49" s="125"/>
      <c r="AD49" s="125"/>
      <c r="AE49" s="126"/>
      <c r="AF49" s="126"/>
      <c r="AG49" s="126"/>
      <c r="AH49" s="127"/>
      <c r="AI49" s="127"/>
      <c r="AJ49" s="127"/>
      <c r="AK49" s="126"/>
      <c r="AL49" s="126"/>
      <c r="AM49" s="126"/>
      <c r="AN49" s="128">
        <v>61</v>
      </c>
      <c r="AO49" s="128">
        <v>6.1</v>
      </c>
      <c r="AP49" s="128">
        <f t="shared" ref="AP49:AP53" si="14">AN49*AO49</f>
        <v>372.1</v>
      </c>
      <c r="AQ49" s="12"/>
    </row>
    <row r="50" s="48" customFormat="1" ht="20.25" spans="1:44">
      <c r="A50" s="344">
        <v>45962</v>
      </c>
      <c r="B50" s="346" t="s">
        <v>924</v>
      </c>
      <c r="C50" s="424">
        <v>500</v>
      </c>
      <c r="D50" s="124"/>
      <c r="E50" s="124"/>
      <c r="F50" s="125"/>
      <c r="G50" s="126"/>
      <c r="H50" s="126"/>
      <c r="I50" s="126"/>
      <c r="J50" s="127"/>
      <c r="K50" s="127"/>
      <c r="L50" s="127"/>
      <c r="M50" s="432"/>
      <c r="N50" s="126"/>
      <c r="O50" s="126"/>
      <c r="P50" s="125"/>
      <c r="Q50" s="125"/>
      <c r="R50" s="125"/>
      <c r="S50" s="126"/>
      <c r="T50" s="126"/>
      <c r="U50" s="126"/>
      <c r="V50" s="127"/>
      <c r="W50" s="127"/>
      <c r="X50" s="127"/>
      <c r="Y50" s="126">
        <v>50</v>
      </c>
      <c r="Z50" s="126">
        <v>7.6</v>
      </c>
      <c r="AA50" s="126">
        <f>Y50*Z50</f>
        <v>380</v>
      </c>
      <c r="AB50" s="125">
        <v>95</v>
      </c>
      <c r="AC50" s="125">
        <v>5.1</v>
      </c>
      <c r="AD50" s="125">
        <f t="shared" ref="AD50:AD54" si="15">AB50*AC50</f>
        <v>484.5</v>
      </c>
      <c r="AE50" s="126"/>
      <c r="AF50" s="126"/>
      <c r="AG50" s="126"/>
      <c r="AH50" s="127"/>
      <c r="AI50" s="127"/>
      <c r="AJ50" s="127"/>
      <c r="AK50" s="126"/>
      <c r="AL50" s="126"/>
      <c r="AM50" s="126"/>
      <c r="AN50" s="125">
        <v>10</v>
      </c>
      <c r="AO50" s="128">
        <v>6.1</v>
      </c>
      <c r="AP50" s="128">
        <f t="shared" si="14"/>
        <v>61</v>
      </c>
      <c r="AQ50" s="12"/>
      <c r="AR50" s="12"/>
    </row>
    <row r="51" s="48" customFormat="1" ht="20.25" spans="1:44">
      <c r="A51" s="344">
        <v>45966</v>
      </c>
      <c r="B51" s="346" t="s">
        <v>933</v>
      </c>
      <c r="C51" s="424">
        <v>320</v>
      </c>
      <c r="D51" s="124"/>
      <c r="E51" s="124"/>
      <c r="F51" s="125"/>
      <c r="G51" s="126"/>
      <c r="H51" s="126"/>
      <c r="I51" s="126"/>
      <c r="J51" s="141">
        <v>40</v>
      </c>
      <c r="K51" s="141">
        <v>15</v>
      </c>
      <c r="L51" s="141">
        <f>J51*K51</f>
        <v>600</v>
      </c>
      <c r="M51" s="432"/>
      <c r="N51" s="126"/>
      <c r="O51" s="126"/>
      <c r="P51" s="125"/>
      <c r="Q51" s="125"/>
      <c r="R51" s="125"/>
      <c r="S51" s="126"/>
      <c r="T51" s="126"/>
      <c r="U51" s="126"/>
      <c r="V51" s="127"/>
      <c r="W51" s="127"/>
      <c r="X51" s="127"/>
      <c r="Y51" s="126"/>
      <c r="Z51" s="126"/>
      <c r="AA51" s="126"/>
      <c r="AB51" s="125">
        <v>128</v>
      </c>
      <c r="AC51" s="125">
        <v>5.1</v>
      </c>
      <c r="AD51" s="125">
        <f t="shared" si="15"/>
        <v>652.8</v>
      </c>
      <c r="AE51" s="126"/>
      <c r="AF51" s="126"/>
      <c r="AG51" s="126"/>
      <c r="AH51" s="127"/>
      <c r="AI51" s="127"/>
      <c r="AJ51" s="127"/>
      <c r="AK51" s="126">
        <v>146</v>
      </c>
      <c r="AL51" s="126">
        <v>6.2</v>
      </c>
      <c r="AM51" s="126">
        <f>AK51*AL51</f>
        <v>905.2</v>
      </c>
      <c r="AN51" s="125"/>
      <c r="AO51" s="128"/>
      <c r="AP51" s="128"/>
      <c r="AQ51" s="12"/>
      <c r="AR51" s="12"/>
    </row>
    <row r="52" s="48" customFormat="1" ht="20.25" spans="1:44">
      <c r="A52" s="344">
        <v>45967</v>
      </c>
      <c r="B52" s="352" t="s">
        <v>934</v>
      </c>
      <c r="C52" s="424">
        <v>364.5</v>
      </c>
      <c r="D52" s="124"/>
      <c r="E52" s="124"/>
      <c r="F52" s="125"/>
      <c r="G52" s="126"/>
      <c r="H52" s="126"/>
      <c r="I52" s="126"/>
      <c r="J52" s="127">
        <v>8.6</v>
      </c>
      <c r="K52" s="127">
        <v>17</v>
      </c>
      <c r="L52" s="127">
        <f>J52*K52</f>
        <v>146.2</v>
      </c>
      <c r="M52" s="432"/>
      <c r="N52" s="126"/>
      <c r="O52" s="126"/>
      <c r="P52" s="125"/>
      <c r="Q52" s="125"/>
      <c r="R52" s="125"/>
      <c r="S52" s="126"/>
      <c r="T52" s="126"/>
      <c r="U52" s="126"/>
      <c r="V52" s="127">
        <v>1</v>
      </c>
      <c r="W52" s="127">
        <v>25</v>
      </c>
      <c r="X52" s="127">
        <f>V52*W52</f>
        <v>25</v>
      </c>
      <c r="Y52" s="126">
        <v>54</v>
      </c>
      <c r="Z52" s="126">
        <v>7.6</v>
      </c>
      <c r="AA52" s="126">
        <f t="shared" ref="AA52:AA58" si="16">Y52*Z52</f>
        <v>410.4</v>
      </c>
      <c r="AB52" s="125"/>
      <c r="AC52" s="125"/>
      <c r="AD52" s="125"/>
      <c r="AE52" s="126">
        <v>34</v>
      </c>
      <c r="AF52" s="126">
        <v>3</v>
      </c>
      <c r="AG52" s="126">
        <f>AE52*AF52</f>
        <v>102</v>
      </c>
      <c r="AH52" s="127"/>
      <c r="AI52" s="127"/>
      <c r="AJ52" s="127"/>
      <c r="AK52" s="126">
        <v>36</v>
      </c>
      <c r="AL52" s="126">
        <v>6.2</v>
      </c>
      <c r="AM52" s="126">
        <f>AK52*AL52</f>
        <v>223.2</v>
      </c>
      <c r="AN52" s="125">
        <v>45</v>
      </c>
      <c r="AO52" s="128">
        <v>6.1</v>
      </c>
      <c r="AP52" s="128">
        <f t="shared" si="14"/>
        <v>274.5</v>
      </c>
      <c r="AQ52" s="12"/>
      <c r="AR52" s="12"/>
    </row>
    <row r="53" s="47" customFormat="1" ht="20" customHeight="1" spans="1:44">
      <c r="A53" s="344">
        <v>45969</v>
      </c>
      <c r="B53" s="346" t="s">
        <v>935</v>
      </c>
      <c r="C53" s="424">
        <v>500</v>
      </c>
      <c r="D53" s="124"/>
      <c r="E53" s="124"/>
      <c r="F53" s="125"/>
      <c r="G53" s="126"/>
      <c r="H53" s="126"/>
      <c r="I53" s="126"/>
      <c r="J53" s="127">
        <v>15</v>
      </c>
      <c r="K53" s="127">
        <v>17</v>
      </c>
      <c r="L53" s="127">
        <f>J53*K53</f>
        <v>255</v>
      </c>
      <c r="M53" s="126"/>
      <c r="N53" s="126"/>
      <c r="O53" s="126"/>
      <c r="P53" s="125"/>
      <c r="Q53" s="125"/>
      <c r="R53" s="125"/>
      <c r="S53" s="126"/>
      <c r="T53" s="126"/>
      <c r="U53" s="126"/>
      <c r="V53" s="127">
        <v>2</v>
      </c>
      <c r="W53" s="127">
        <v>25</v>
      </c>
      <c r="X53" s="127">
        <f>V53*W53</f>
        <v>50</v>
      </c>
      <c r="Y53" s="126">
        <v>47</v>
      </c>
      <c r="Z53" s="126">
        <v>7.6</v>
      </c>
      <c r="AA53" s="126">
        <f t="shared" si="16"/>
        <v>357.2</v>
      </c>
      <c r="AB53" s="125">
        <v>51</v>
      </c>
      <c r="AC53" s="125">
        <v>5.1</v>
      </c>
      <c r="AD53" s="125">
        <f t="shared" si="15"/>
        <v>260.1</v>
      </c>
      <c r="AE53" s="126">
        <v>30</v>
      </c>
      <c r="AF53" s="126">
        <v>3</v>
      </c>
      <c r="AG53" s="126">
        <f>AE53*AF53</f>
        <v>90</v>
      </c>
      <c r="AH53" s="127"/>
      <c r="AI53" s="127"/>
      <c r="AJ53" s="127"/>
      <c r="AK53" s="126"/>
      <c r="AL53" s="126"/>
      <c r="AM53" s="126"/>
      <c r="AN53" s="128">
        <v>20</v>
      </c>
      <c r="AO53" s="128">
        <v>6.1</v>
      </c>
      <c r="AP53" s="128">
        <f t="shared" si="14"/>
        <v>122</v>
      </c>
      <c r="AQ53" s="12"/>
    </row>
    <row r="54" s="47" customFormat="1" ht="20" customHeight="1" spans="1:44">
      <c r="A54" s="344">
        <v>45973</v>
      </c>
      <c r="B54" s="346" t="s">
        <v>936</v>
      </c>
      <c r="C54" s="424">
        <v>750</v>
      </c>
      <c r="D54" s="124"/>
      <c r="E54" s="124"/>
      <c r="F54" s="125"/>
      <c r="G54" s="126"/>
      <c r="H54" s="126"/>
      <c r="I54" s="126"/>
      <c r="J54" s="127"/>
      <c r="K54" s="127"/>
      <c r="L54" s="127"/>
      <c r="M54" s="126"/>
      <c r="N54" s="126"/>
      <c r="O54" s="126"/>
      <c r="P54" s="125">
        <v>25</v>
      </c>
      <c r="Q54" s="125">
        <v>82</v>
      </c>
      <c r="R54" s="125">
        <f>P54*Q54</f>
        <v>2050</v>
      </c>
      <c r="S54" s="126"/>
      <c r="T54" s="126"/>
      <c r="U54" s="126"/>
      <c r="V54" s="127"/>
      <c r="W54" s="127"/>
      <c r="X54" s="127"/>
      <c r="Y54" s="126">
        <v>300</v>
      </c>
      <c r="Z54" s="126">
        <v>7.6</v>
      </c>
      <c r="AA54" s="126">
        <f t="shared" si="16"/>
        <v>2280</v>
      </c>
      <c r="AB54" s="125">
        <v>125</v>
      </c>
      <c r="AC54" s="125">
        <v>5.1</v>
      </c>
      <c r="AD54" s="125">
        <f t="shared" si="15"/>
        <v>637.5</v>
      </c>
      <c r="AE54" s="126"/>
      <c r="AF54" s="126"/>
      <c r="AG54" s="126"/>
      <c r="AH54" s="127"/>
      <c r="AI54" s="127"/>
      <c r="AJ54" s="127"/>
      <c r="AK54" s="126"/>
      <c r="AL54" s="126"/>
      <c r="AM54" s="126"/>
      <c r="AN54" s="128"/>
      <c r="AO54" s="128"/>
      <c r="AP54" s="128"/>
      <c r="AQ54" s="12"/>
    </row>
    <row r="55" s="46" customFormat="1" ht="20.25" spans="1:44">
      <c r="A55" s="344">
        <v>45974</v>
      </c>
      <c r="B55" s="346" t="s">
        <v>937</v>
      </c>
      <c r="C55" s="424">
        <v>1006</v>
      </c>
      <c r="D55" s="124"/>
      <c r="E55" s="124"/>
      <c r="F55" s="125"/>
      <c r="G55" s="126"/>
      <c r="H55" s="126"/>
      <c r="I55" s="126"/>
      <c r="J55" s="127">
        <v>30</v>
      </c>
      <c r="K55" s="127">
        <v>17</v>
      </c>
      <c r="L55" s="127">
        <f>J55*K55</f>
        <v>510</v>
      </c>
      <c r="M55" s="432"/>
      <c r="N55" s="126"/>
      <c r="O55" s="126"/>
      <c r="P55" s="125"/>
      <c r="Q55" s="125"/>
      <c r="R55" s="125"/>
      <c r="S55" s="126"/>
      <c r="T55" s="126"/>
      <c r="U55" s="126"/>
      <c r="V55" s="127">
        <v>3</v>
      </c>
      <c r="W55" s="127">
        <v>25</v>
      </c>
      <c r="X55" s="127">
        <f>V55*W55</f>
        <v>75</v>
      </c>
      <c r="Y55" s="126">
        <v>150</v>
      </c>
      <c r="Z55" s="126">
        <v>7.6</v>
      </c>
      <c r="AA55" s="126">
        <f t="shared" si="16"/>
        <v>1140</v>
      </c>
      <c r="AB55" s="125"/>
      <c r="AC55" s="125"/>
      <c r="AD55" s="125"/>
      <c r="AE55" s="126">
        <v>75</v>
      </c>
      <c r="AF55" s="126">
        <v>3</v>
      </c>
      <c r="AG55" s="126">
        <f>AE55*AF55</f>
        <v>225</v>
      </c>
      <c r="AH55" s="127"/>
      <c r="AI55" s="127"/>
      <c r="AJ55" s="127"/>
      <c r="AK55" s="126">
        <v>40</v>
      </c>
      <c r="AL55" s="126">
        <v>6.2</v>
      </c>
      <c r="AM55" s="126">
        <f>AK55*AL55</f>
        <v>248</v>
      </c>
      <c r="AN55" s="128">
        <v>117</v>
      </c>
      <c r="AO55" s="128">
        <v>6.1</v>
      </c>
      <c r="AP55" s="128">
        <f t="shared" ref="AP54:AP62" si="17">AN55*AO55</f>
        <v>713.7</v>
      </c>
      <c r="AQ55" s="12"/>
      <c r="AR55" s="12"/>
    </row>
    <row r="56" s="48" customFormat="1" ht="20.25" spans="1:44">
      <c r="A56" s="344">
        <v>45975</v>
      </c>
      <c r="B56" s="346" t="s">
        <v>938</v>
      </c>
      <c r="C56" s="424">
        <v>1000</v>
      </c>
      <c r="D56" s="124"/>
      <c r="E56" s="124"/>
      <c r="F56" s="125"/>
      <c r="G56" s="126"/>
      <c r="H56" s="126"/>
      <c r="I56" s="126"/>
      <c r="J56" s="127"/>
      <c r="K56" s="127"/>
      <c r="L56" s="127"/>
      <c r="M56" s="432"/>
      <c r="N56" s="126"/>
      <c r="O56" s="126"/>
      <c r="P56" s="125"/>
      <c r="Q56" s="125"/>
      <c r="R56" s="125"/>
      <c r="S56" s="126"/>
      <c r="T56" s="126"/>
      <c r="U56" s="126"/>
      <c r="V56" s="127"/>
      <c r="W56" s="127"/>
      <c r="X56" s="127"/>
      <c r="Y56" s="126">
        <v>102</v>
      </c>
      <c r="Z56" s="126">
        <v>7.6</v>
      </c>
      <c r="AA56" s="126">
        <f t="shared" si="16"/>
        <v>775.2</v>
      </c>
      <c r="AB56" s="125"/>
      <c r="AC56" s="125"/>
      <c r="AD56" s="125"/>
      <c r="AE56" s="126"/>
      <c r="AF56" s="126"/>
      <c r="AG56" s="126"/>
      <c r="AH56" s="127"/>
      <c r="AI56" s="127"/>
      <c r="AJ56" s="127"/>
      <c r="AK56" s="126"/>
      <c r="AL56" s="126"/>
      <c r="AM56" s="126"/>
      <c r="AN56" s="125">
        <v>58</v>
      </c>
      <c r="AO56" s="128">
        <v>6.1</v>
      </c>
      <c r="AP56" s="128">
        <f t="shared" si="17"/>
        <v>353.8</v>
      </c>
      <c r="AQ56" s="12"/>
      <c r="AR56" s="12"/>
    </row>
    <row r="57" s="48" customFormat="1" ht="20.25" spans="1:44">
      <c r="A57" s="344">
        <v>45975</v>
      </c>
      <c r="B57" s="346" t="s">
        <v>919</v>
      </c>
      <c r="C57" s="424">
        <v>1000</v>
      </c>
      <c r="D57" s="124"/>
      <c r="E57" s="124"/>
      <c r="F57" s="125"/>
      <c r="G57" s="126"/>
      <c r="H57" s="126"/>
      <c r="I57" s="126"/>
      <c r="J57" s="127"/>
      <c r="K57" s="127"/>
      <c r="L57" s="127"/>
      <c r="M57" s="432"/>
      <c r="N57" s="126"/>
      <c r="O57" s="126"/>
      <c r="P57" s="125"/>
      <c r="Q57" s="125"/>
      <c r="R57" s="125"/>
      <c r="S57" s="126"/>
      <c r="T57" s="126"/>
      <c r="U57" s="126"/>
      <c r="V57" s="127"/>
      <c r="W57" s="127"/>
      <c r="X57" s="127"/>
      <c r="Y57" s="126">
        <v>50</v>
      </c>
      <c r="Z57" s="126">
        <v>7.6</v>
      </c>
      <c r="AA57" s="126">
        <f t="shared" si="16"/>
        <v>380</v>
      </c>
      <c r="AB57" s="125"/>
      <c r="AC57" s="125"/>
      <c r="AD57" s="125"/>
      <c r="AE57" s="126"/>
      <c r="AF57" s="126"/>
      <c r="AG57" s="126"/>
      <c r="AH57" s="127"/>
      <c r="AI57" s="127"/>
      <c r="AJ57" s="127"/>
      <c r="AK57" s="126">
        <v>155</v>
      </c>
      <c r="AL57" s="126">
        <v>6.2</v>
      </c>
      <c r="AM57" s="126">
        <f t="shared" ref="AM57:AM61" si="18">AK57*AL57</f>
        <v>961</v>
      </c>
      <c r="AN57" s="125">
        <v>95</v>
      </c>
      <c r="AO57" s="128">
        <v>6.1</v>
      </c>
      <c r="AP57" s="128">
        <f t="shared" si="17"/>
        <v>579.5</v>
      </c>
      <c r="AQ57" s="12"/>
      <c r="AR57" s="12"/>
    </row>
    <row r="58" s="47" customFormat="1" ht="20.25" spans="1:44">
      <c r="A58" s="344">
        <v>45976</v>
      </c>
      <c r="B58" s="346" t="s">
        <v>704</v>
      </c>
      <c r="C58" s="424">
        <v>344</v>
      </c>
      <c r="D58" s="124"/>
      <c r="E58" s="124"/>
      <c r="F58" s="125"/>
      <c r="G58" s="126"/>
      <c r="H58" s="126"/>
      <c r="I58" s="126"/>
      <c r="J58" s="127"/>
      <c r="K58" s="127"/>
      <c r="L58" s="127"/>
      <c r="M58" s="431"/>
      <c r="N58" s="126"/>
      <c r="O58" s="126"/>
      <c r="P58" s="125"/>
      <c r="Q58" s="125"/>
      <c r="R58" s="125"/>
      <c r="S58" s="126"/>
      <c r="T58" s="126"/>
      <c r="U58" s="126"/>
      <c r="V58" s="127"/>
      <c r="W58" s="127"/>
      <c r="X58" s="127"/>
      <c r="Y58" s="126">
        <v>40</v>
      </c>
      <c r="Z58" s="126">
        <v>7.6</v>
      </c>
      <c r="AA58" s="126">
        <f t="shared" si="16"/>
        <v>304</v>
      </c>
      <c r="AB58" s="125"/>
      <c r="AC58" s="125"/>
      <c r="AD58" s="125"/>
      <c r="AE58" s="126"/>
      <c r="AF58" s="126"/>
      <c r="AG58" s="126"/>
      <c r="AH58" s="127"/>
      <c r="AI58" s="127"/>
      <c r="AJ58" s="127"/>
      <c r="AK58" s="126"/>
      <c r="AL58" s="126"/>
      <c r="AM58" s="126"/>
      <c r="AN58" s="128">
        <v>40</v>
      </c>
      <c r="AO58" s="128">
        <v>6.1</v>
      </c>
      <c r="AP58" s="128">
        <f t="shared" si="17"/>
        <v>244</v>
      </c>
      <c r="AQ58" s="12"/>
    </row>
    <row r="59" s="48" customFormat="1" ht="20.25" spans="1:44">
      <c r="A59" s="344">
        <v>45978</v>
      </c>
      <c r="B59" s="346" t="s">
        <v>930</v>
      </c>
      <c r="C59" s="424">
        <v>1002.5</v>
      </c>
      <c r="D59" s="124"/>
      <c r="E59" s="124"/>
      <c r="F59" s="125"/>
      <c r="G59" s="126"/>
      <c r="H59" s="126"/>
      <c r="I59" s="126"/>
      <c r="J59" s="127">
        <v>25</v>
      </c>
      <c r="K59" s="127">
        <v>17</v>
      </c>
      <c r="L59" s="127">
        <f>J59*K59</f>
        <v>425</v>
      </c>
      <c r="M59" s="432"/>
      <c r="N59" s="126"/>
      <c r="O59" s="126"/>
      <c r="P59" s="125"/>
      <c r="Q59" s="125"/>
      <c r="R59" s="125"/>
      <c r="S59" s="126"/>
      <c r="T59" s="126"/>
      <c r="U59" s="126"/>
      <c r="V59" s="127">
        <v>2.5</v>
      </c>
      <c r="W59" s="127">
        <v>25</v>
      </c>
      <c r="X59" s="127">
        <f>V59*W59</f>
        <v>62.5</v>
      </c>
      <c r="Y59" s="126"/>
      <c r="Z59" s="126"/>
      <c r="AA59" s="126"/>
      <c r="AB59" s="125">
        <v>59</v>
      </c>
      <c r="AC59" s="125">
        <v>5.1</v>
      </c>
      <c r="AD59" s="125">
        <f t="shared" ref="AD59:AD66" si="19">AB59*AC59</f>
        <v>300.9</v>
      </c>
      <c r="AE59" s="126">
        <v>239</v>
      </c>
      <c r="AF59" s="126">
        <v>3</v>
      </c>
      <c r="AG59" s="126">
        <f>AE59*AF59</f>
        <v>717</v>
      </c>
      <c r="AH59" s="127"/>
      <c r="AI59" s="127"/>
      <c r="AJ59" s="127"/>
      <c r="AK59" s="126">
        <v>30</v>
      </c>
      <c r="AL59" s="126">
        <v>6.2</v>
      </c>
      <c r="AM59" s="126">
        <f t="shared" si="18"/>
        <v>186</v>
      </c>
      <c r="AN59" s="125">
        <v>30</v>
      </c>
      <c r="AO59" s="128">
        <v>6.1</v>
      </c>
      <c r="AP59" s="128">
        <f t="shared" si="17"/>
        <v>183</v>
      </c>
      <c r="AQ59" s="12"/>
      <c r="AR59" s="12"/>
    </row>
    <row r="60" s="47" customFormat="1" ht="20.25" spans="1:44">
      <c r="A60" s="344">
        <v>45978</v>
      </c>
      <c r="B60" s="346" t="s">
        <v>939</v>
      </c>
      <c r="C60" s="424">
        <v>1200</v>
      </c>
      <c r="D60" s="124"/>
      <c r="E60" s="124"/>
      <c r="F60" s="125"/>
      <c r="G60" s="126"/>
      <c r="H60" s="126"/>
      <c r="I60" s="126"/>
      <c r="J60" s="127"/>
      <c r="K60" s="127"/>
      <c r="L60" s="127"/>
      <c r="M60" s="431"/>
      <c r="N60" s="126"/>
      <c r="O60" s="126"/>
      <c r="P60" s="125"/>
      <c r="Q60" s="125"/>
      <c r="R60" s="125"/>
      <c r="S60" s="126"/>
      <c r="T60" s="126"/>
      <c r="U60" s="126"/>
      <c r="V60" s="127"/>
      <c r="W60" s="127"/>
      <c r="X60" s="127"/>
      <c r="Y60" s="126">
        <v>144</v>
      </c>
      <c r="Z60" s="126">
        <v>7.6</v>
      </c>
      <c r="AA60" s="126">
        <f t="shared" ref="AA60:AA65" si="20">Y60*Z60</f>
        <v>1094.4</v>
      </c>
      <c r="AB60" s="125"/>
      <c r="AC60" s="125"/>
      <c r="AD60" s="125"/>
      <c r="AE60" s="126"/>
      <c r="AF60" s="126"/>
      <c r="AG60" s="126"/>
      <c r="AH60" s="127"/>
      <c r="AI60" s="127"/>
      <c r="AJ60" s="127"/>
      <c r="AK60" s="126"/>
      <c r="AL60" s="126"/>
      <c r="AM60" s="126"/>
      <c r="AN60" s="128">
        <v>186</v>
      </c>
      <c r="AO60" s="128">
        <v>6.1</v>
      </c>
      <c r="AP60" s="128">
        <f t="shared" si="17"/>
        <v>1134.6</v>
      </c>
      <c r="AQ60" s="12"/>
    </row>
    <row r="61" s="48" customFormat="1" ht="20.25" spans="1:44">
      <c r="A61" s="344">
        <v>45981</v>
      </c>
      <c r="B61" s="346" t="s">
        <v>919</v>
      </c>
      <c r="C61" s="424">
        <v>1000</v>
      </c>
      <c r="D61" s="124"/>
      <c r="E61" s="124"/>
      <c r="F61" s="125"/>
      <c r="G61" s="126"/>
      <c r="H61" s="126"/>
      <c r="I61" s="126"/>
      <c r="J61" s="127"/>
      <c r="K61" s="127"/>
      <c r="L61" s="127"/>
      <c r="M61" s="432"/>
      <c r="N61" s="126"/>
      <c r="O61" s="126"/>
      <c r="P61" s="125"/>
      <c r="Q61" s="125"/>
      <c r="R61" s="125"/>
      <c r="S61" s="126"/>
      <c r="T61" s="126"/>
      <c r="U61" s="126"/>
      <c r="V61" s="127"/>
      <c r="W61" s="127"/>
      <c r="X61" s="127"/>
      <c r="Y61" s="126">
        <v>50</v>
      </c>
      <c r="Z61" s="126">
        <v>7.6</v>
      </c>
      <c r="AA61" s="126">
        <f t="shared" si="20"/>
        <v>380</v>
      </c>
      <c r="AB61" s="125"/>
      <c r="AC61" s="125"/>
      <c r="AD61" s="125"/>
      <c r="AE61" s="126"/>
      <c r="AF61" s="126"/>
      <c r="AG61" s="126"/>
      <c r="AH61" s="127"/>
      <c r="AI61" s="127"/>
      <c r="AJ61" s="127"/>
      <c r="AK61" s="126">
        <v>155</v>
      </c>
      <c r="AL61" s="126">
        <v>6.2</v>
      </c>
      <c r="AM61" s="126">
        <f t="shared" si="18"/>
        <v>961</v>
      </c>
      <c r="AN61" s="125">
        <v>95</v>
      </c>
      <c r="AO61" s="128">
        <v>6.1</v>
      </c>
      <c r="AP61" s="128">
        <f t="shared" si="17"/>
        <v>579.5</v>
      </c>
      <c r="AQ61" s="12"/>
      <c r="AR61" s="12"/>
    </row>
    <row r="62" s="48" customFormat="1" ht="20.25" spans="1:44">
      <c r="A62" s="344" t="s">
        <v>940</v>
      </c>
      <c r="B62" s="346" t="s">
        <v>938</v>
      </c>
      <c r="C62" s="424">
        <v>1000</v>
      </c>
      <c r="D62" s="124"/>
      <c r="E62" s="124"/>
      <c r="F62" s="125"/>
      <c r="G62" s="126"/>
      <c r="H62" s="126"/>
      <c r="I62" s="126"/>
      <c r="J62" s="127"/>
      <c r="K62" s="127"/>
      <c r="L62" s="127"/>
      <c r="M62" s="432"/>
      <c r="N62" s="126"/>
      <c r="O62" s="126"/>
      <c r="P62" s="125"/>
      <c r="Q62" s="125"/>
      <c r="R62" s="125"/>
      <c r="S62" s="126"/>
      <c r="T62" s="126"/>
      <c r="U62" s="126"/>
      <c r="V62" s="127"/>
      <c r="W62" s="127"/>
      <c r="X62" s="127"/>
      <c r="Y62" s="126">
        <v>102</v>
      </c>
      <c r="Z62" s="126">
        <v>7.6</v>
      </c>
      <c r="AA62" s="126">
        <f t="shared" si="20"/>
        <v>775.2</v>
      </c>
      <c r="AB62" s="125"/>
      <c r="AC62" s="125"/>
      <c r="AD62" s="125"/>
      <c r="AE62" s="126"/>
      <c r="AF62" s="126"/>
      <c r="AG62" s="126"/>
      <c r="AH62" s="127"/>
      <c r="AI62" s="127"/>
      <c r="AJ62" s="127"/>
      <c r="AK62" s="126"/>
      <c r="AL62" s="126"/>
      <c r="AM62" s="126"/>
      <c r="AN62" s="125">
        <v>150</v>
      </c>
      <c r="AO62" s="128">
        <v>6.1</v>
      </c>
      <c r="AP62" s="128">
        <f t="shared" si="17"/>
        <v>915</v>
      </c>
      <c r="AQ62" s="12"/>
      <c r="AR62" s="12"/>
    </row>
    <row r="63" s="47" customFormat="1" ht="20.25" spans="1:44">
      <c r="A63" s="344" t="s">
        <v>941</v>
      </c>
      <c r="B63" s="346" t="s">
        <v>345</v>
      </c>
      <c r="C63" s="424">
        <v>344</v>
      </c>
      <c r="D63" s="124"/>
      <c r="E63" s="124"/>
      <c r="F63" s="125"/>
      <c r="G63" s="126"/>
      <c r="H63" s="126"/>
      <c r="I63" s="126"/>
      <c r="J63" s="127"/>
      <c r="K63" s="127"/>
      <c r="L63" s="127"/>
      <c r="M63" s="431"/>
      <c r="N63" s="126"/>
      <c r="O63" s="126"/>
      <c r="P63" s="125"/>
      <c r="Q63" s="125"/>
      <c r="R63" s="125"/>
      <c r="S63" s="126"/>
      <c r="T63" s="126"/>
      <c r="U63" s="126"/>
      <c r="V63" s="127"/>
      <c r="W63" s="127"/>
      <c r="X63" s="127"/>
      <c r="Y63" s="126">
        <v>90</v>
      </c>
      <c r="Z63" s="126">
        <v>7.6</v>
      </c>
      <c r="AA63" s="126">
        <f t="shared" si="20"/>
        <v>684</v>
      </c>
      <c r="AB63" s="125">
        <v>100</v>
      </c>
      <c r="AC63" s="125">
        <v>5.1</v>
      </c>
      <c r="AD63" s="125">
        <f t="shared" si="19"/>
        <v>510</v>
      </c>
      <c r="AE63" s="126"/>
      <c r="AF63" s="126"/>
      <c r="AG63" s="126"/>
      <c r="AH63" s="127"/>
      <c r="AI63" s="127"/>
      <c r="AJ63" s="127"/>
      <c r="AK63" s="126"/>
      <c r="AL63" s="126"/>
      <c r="AM63" s="126"/>
      <c r="AN63" s="128"/>
      <c r="AO63" s="128"/>
      <c r="AP63" s="128"/>
      <c r="AQ63" s="12"/>
    </row>
    <row r="64" s="48" customFormat="1" ht="20.25" spans="1:44">
      <c r="A64" s="344">
        <v>45982</v>
      </c>
      <c r="B64" s="346" t="s">
        <v>924</v>
      </c>
      <c r="C64" s="424">
        <v>500</v>
      </c>
      <c r="D64" s="124"/>
      <c r="E64" s="124"/>
      <c r="F64" s="125"/>
      <c r="G64" s="126"/>
      <c r="H64" s="126"/>
      <c r="I64" s="126"/>
      <c r="J64" s="127"/>
      <c r="K64" s="127"/>
      <c r="L64" s="127"/>
      <c r="M64" s="432"/>
      <c r="N64" s="126"/>
      <c r="O64" s="126"/>
      <c r="P64" s="125"/>
      <c r="Q64" s="125"/>
      <c r="R64" s="125"/>
      <c r="S64" s="126"/>
      <c r="T64" s="126"/>
      <c r="U64" s="126"/>
      <c r="V64" s="127"/>
      <c r="W64" s="127"/>
      <c r="X64" s="127"/>
      <c r="Y64" s="126">
        <v>50</v>
      </c>
      <c r="Z64" s="126">
        <v>7.6</v>
      </c>
      <c r="AA64" s="126">
        <f t="shared" si="20"/>
        <v>380</v>
      </c>
      <c r="AB64" s="125">
        <v>98</v>
      </c>
      <c r="AC64" s="125">
        <v>5.1</v>
      </c>
      <c r="AD64" s="125">
        <f t="shared" si="19"/>
        <v>499.8</v>
      </c>
      <c r="AE64" s="126"/>
      <c r="AF64" s="126"/>
      <c r="AG64" s="126"/>
      <c r="AH64" s="127"/>
      <c r="AI64" s="127"/>
      <c r="AJ64" s="127"/>
      <c r="AK64" s="126"/>
      <c r="AL64" s="126"/>
      <c r="AM64" s="126"/>
      <c r="AN64" s="125">
        <v>20</v>
      </c>
      <c r="AO64" s="128">
        <v>6.1</v>
      </c>
      <c r="AP64" s="128">
        <f t="shared" ref="AP64:AP66" si="21">AN64*AO64</f>
        <v>122</v>
      </c>
      <c r="AQ64" s="12"/>
      <c r="AR64" s="12"/>
    </row>
    <row r="65" s="48" customFormat="1" ht="20.25" spans="1:44">
      <c r="A65" s="344">
        <v>45986</v>
      </c>
      <c r="B65" s="346" t="s">
        <v>924</v>
      </c>
      <c r="C65" s="424">
        <v>500</v>
      </c>
      <c r="D65" s="124"/>
      <c r="E65" s="124"/>
      <c r="F65" s="125"/>
      <c r="G65" s="126"/>
      <c r="H65" s="126"/>
      <c r="I65" s="126"/>
      <c r="J65" s="127"/>
      <c r="K65" s="127"/>
      <c r="L65" s="127"/>
      <c r="M65" s="432"/>
      <c r="N65" s="126"/>
      <c r="O65" s="126"/>
      <c r="P65" s="125"/>
      <c r="Q65" s="125"/>
      <c r="R65" s="125"/>
      <c r="S65" s="126"/>
      <c r="T65" s="126"/>
      <c r="U65" s="126"/>
      <c r="V65" s="127"/>
      <c r="W65" s="127"/>
      <c r="X65" s="127"/>
      <c r="Y65" s="126">
        <v>50</v>
      </c>
      <c r="Z65" s="126">
        <v>7.6</v>
      </c>
      <c r="AA65" s="126">
        <f t="shared" si="20"/>
        <v>380</v>
      </c>
      <c r="AB65" s="125">
        <v>98</v>
      </c>
      <c r="AC65" s="125">
        <v>5.1</v>
      </c>
      <c r="AD65" s="125">
        <f t="shared" si="19"/>
        <v>499.8</v>
      </c>
      <c r="AE65" s="126"/>
      <c r="AF65" s="126"/>
      <c r="AG65" s="126"/>
      <c r="AH65" s="127"/>
      <c r="AI65" s="127"/>
      <c r="AJ65" s="127"/>
      <c r="AK65" s="126"/>
      <c r="AL65" s="126"/>
      <c r="AM65" s="126"/>
      <c r="AN65" s="125">
        <v>20</v>
      </c>
      <c r="AO65" s="128">
        <v>6.1</v>
      </c>
      <c r="AP65" s="128">
        <f t="shared" si="21"/>
        <v>122</v>
      </c>
      <c r="AQ65" s="12"/>
      <c r="AR65" s="12"/>
    </row>
    <row r="66" s="47" customFormat="1" ht="20.25" spans="1:44">
      <c r="A66" s="344">
        <v>45989</v>
      </c>
      <c r="B66" s="346" t="s">
        <v>942</v>
      </c>
      <c r="C66" s="424">
        <v>2850</v>
      </c>
      <c r="D66" s="124"/>
      <c r="E66" s="124"/>
      <c r="F66" s="125"/>
      <c r="G66" s="126"/>
      <c r="H66" s="126"/>
      <c r="I66" s="126"/>
      <c r="J66" s="127"/>
      <c r="K66" s="127"/>
      <c r="L66" s="127"/>
      <c r="M66" s="431"/>
      <c r="N66" s="126"/>
      <c r="O66" s="126"/>
      <c r="P66" s="125"/>
      <c r="Q66" s="125"/>
      <c r="R66" s="125"/>
      <c r="S66" s="126"/>
      <c r="T66" s="126"/>
      <c r="U66" s="126"/>
      <c r="V66" s="127"/>
      <c r="W66" s="127"/>
      <c r="X66" s="127"/>
      <c r="Y66" s="126"/>
      <c r="Z66" s="126"/>
      <c r="AA66" s="126"/>
      <c r="AB66" s="125">
        <v>1400</v>
      </c>
      <c r="AC66" s="125">
        <v>5.1</v>
      </c>
      <c r="AD66" s="125">
        <f t="shared" si="19"/>
        <v>7140</v>
      </c>
      <c r="AE66" s="126"/>
      <c r="AF66" s="126"/>
      <c r="AG66" s="126"/>
      <c r="AH66" s="127"/>
      <c r="AI66" s="127"/>
      <c r="AJ66" s="127"/>
      <c r="AK66" s="126"/>
      <c r="AL66" s="126"/>
      <c r="AM66" s="126"/>
      <c r="AN66" s="128">
        <v>450</v>
      </c>
      <c r="AO66" s="128">
        <v>6.1</v>
      </c>
      <c r="AP66" s="128">
        <f t="shared" si="21"/>
        <v>2745</v>
      </c>
      <c r="AQ66" s="12"/>
    </row>
    <row r="67" s="47" customFormat="1" ht="20.25" spans="1:44">
      <c r="A67" s="344"/>
      <c r="B67" s="346"/>
      <c r="C67" s="424"/>
      <c r="D67" s="124"/>
      <c r="E67" s="124"/>
      <c r="F67" s="125"/>
      <c r="G67" s="126"/>
      <c r="H67" s="126"/>
      <c r="I67" s="126"/>
      <c r="J67" s="127"/>
      <c r="K67" s="127"/>
      <c r="L67" s="127"/>
      <c r="M67" s="431"/>
      <c r="N67" s="126"/>
      <c r="O67" s="126"/>
      <c r="P67" s="125"/>
      <c r="Q67" s="125"/>
      <c r="R67" s="125"/>
      <c r="S67" s="126"/>
      <c r="T67" s="126"/>
      <c r="U67" s="126"/>
      <c r="V67" s="127"/>
      <c r="W67" s="127"/>
      <c r="X67" s="127"/>
      <c r="Y67" s="126"/>
      <c r="Z67" s="126"/>
      <c r="AA67" s="126"/>
      <c r="AB67" s="125"/>
      <c r="AC67" s="125"/>
      <c r="AD67" s="125"/>
      <c r="AE67" s="126"/>
      <c r="AF67" s="126"/>
      <c r="AG67" s="126"/>
      <c r="AH67" s="127"/>
      <c r="AI67" s="127"/>
      <c r="AJ67" s="127"/>
      <c r="AK67" s="126"/>
      <c r="AL67" s="126"/>
      <c r="AM67" s="126"/>
      <c r="AN67" s="128"/>
      <c r="AO67" s="128"/>
      <c r="AP67" s="128"/>
      <c r="AQ67" s="12"/>
    </row>
    <row r="68" s="47" customFormat="1" ht="20.25" spans="1:44">
      <c r="A68" s="433"/>
      <c r="B68" s="434"/>
      <c r="C68" s="435">
        <f>SUM(C49:C67)</f>
        <v>14683.5</v>
      </c>
      <c r="D68" s="124">
        <f>SUM(D49:D67)</f>
        <v>0</v>
      </c>
      <c r="E68" s="124"/>
      <c r="F68" s="125">
        <f>SUM(F49:F67)</f>
        <v>0</v>
      </c>
      <c r="G68" s="126">
        <f>SUM(G49:G67)</f>
        <v>0</v>
      </c>
      <c r="H68" s="126"/>
      <c r="I68" s="126">
        <f>SUM(I49:I67)</f>
        <v>0</v>
      </c>
      <c r="J68" s="127">
        <f>SUM(J49:J67)</f>
        <v>118.6</v>
      </c>
      <c r="K68" s="127"/>
      <c r="L68" s="127">
        <f>SUM(L49:L67)</f>
        <v>1936.2</v>
      </c>
      <c r="M68" s="431">
        <f>SUM(M49:M67)</f>
        <v>0</v>
      </c>
      <c r="N68" s="126"/>
      <c r="O68" s="126">
        <f>SUM(O49:O67)</f>
        <v>0</v>
      </c>
      <c r="P68" s="125">
        <f>SUM(P49:P67)</f>
        <v>25</v>
      </c>
      <c r="Q68" s="125"/>
      <c r="R68" s="125">
        <f>SUM(R49:R67)</f>
        <v>2050</v>
      </c>
      <c r="S68" s="126">
        <f>SUM(S49:S67)</f>
        <v>0</v>
      </c>
      <c r="T68" s="126"/>
      <c r="U68" s="126">
        <f>SUM(U49:U67)</f>
        <v>0</v>
      </c>
      <c r="V68" s="127">
        <f>SUM(V49:V67)</f>
        <v>8.5</v>
      </c>
      <c r="W68" s="127"/>
      <c r="X68" s="127">
        <f>SUM(X49:X67)</f>
        <v>212.5</v>
      </c>
      <c r="Y68" s="126">
        <f>SUM(Y49:Y67)</f>
        <v>1305</v>
      </c>
      <c r="Z68" s="126"/>
      <c r="AA68" s="126">
        <f>SUM(AA49:AA67)</f>
        <v>9918</v>
      </c>
      <c r="AB68" s="125">
        <f>SUM(AB49:AB67)</f>
        <v>2154</v>
      </c>
      <c r="AC68" s="125"/>
      <c r="AD68" s="125">
        <f>SUM(AD49:AD67)</f>
        <v>10985.4</v>
      </c>
      <c r="AE68" s="126">
        <f>SUM(AE49:AE67)</f>
        <v>378</v>
      </c>
      <c r="AF68" s="126"/>
      <c r="AG68" s="126">
        <f>SUM(AG49:AG67)</f>
        <v>1134</v>
      </c>
      <c r="AH68" s="127">
        <f>SUM(AH49:AH67)</f>
        <v>0</v>
      </c>
      <c r="AI68" s="127"/>
      <c r="AJ68" s="127">
        <f>SUM(AJ49:AJ67)</f>
        <v>0</v>
      </c>
      <c r="AK68" s="126">
        <f>SUM(AK49:AK67)</f>
        <v>562</v>
      </c>
      <c r="AL68" s="126"/>
      <c r="AM68" s="126">
        <f>SUM(AM49:AM67)</f>
        <v>3484.4</v>
      </c>
      <c r="AN68" s="128">
        <f>SUM(AN49:AN67)</f>
        <v>1397</v>
      </c>
      <c r="AO68" s="128"/>
      <c r="AP68" s="128">
        <f>SUM(AP49:AP67)</f>
        <v>8521.7</v>
      </c>
      <c r="AQ68" s="12"/>
    </row>
    <row r="70" s="11" customFormat="1" ht="33" customHeight="1" spans="1:44">
      <c r="A70" s="430" t="s">
        <v>943</v>
      </c>
      <c r="B70" s="66"/>
      <c r="C70" s="66"/>
      <c r="D70" s="68"/>
      <c r="E70" s="68"/>
      <c r="F70" s="75"/>
      <c r="G70" s="72" t="s">
        <v>908</v>
      </c>
      <c r="H70" s="72"/>
      <c r="I70" s="72"/>
      <c r="J70" s="76"/>
      <c r="K70" s="76"/>
      <c r="L70" s="77">
        <f>F95+I95+L95+O95+R95+U95+X95+AA95+AD95+AG95+AJ95+AM95+AP95</f>
        <v>31359.07</v>
      </c>
      <c r="M70" s="77"/>
      <c r="N70" s="72"/>
      <c r="O70" s="72"/>
      <c r="P70" s="75"/>
      <c r="Q70" s="75"/>
      <c r="R70" s="75"/>
      <c r="S70" s="72"/>
      <c r="T70" s="72"/>
      <c r="U70" s="72"/>
      <c r="V70" s="77"/>
      <c r="W70" s="77"/>
      <c r="X70" s="77"/>
      <c r="Y70" s="72"/>
      <c r="Z70" s="72"/>
      <c r="AA70" s="72"/>
      <c r="AB70" s="75"/>
      <c r="AC70" s="75"/>
      <c r="AD70" s="75"/>
      <c r="AE70" s="72"/>
      <c r="AF70" s="72"/>
      <c r="AG70" s="72"/>
      <c r="AH70" s="77"/>
      <c r="AI70" s="77"/>
      <c r="AJ70" s="78"/>
      <c r="AK70" s="79"/>
      <c r="AL70" s="79"/>
      <c r="AM70" s="80"/>
    </row>
    <row r="71" s="12" customFormat="1" ht="27" customHeight="1" spans="1:44">
      <c r="A71" s="81" t="s">
        <v>35</v>
      </c>
      <c r="B71" s="82" t="s">
        <v>909</v>
      </c>
      <c r="C71" s="83"/>
      <c r="D71" s="74" t="s">
        <v>289</v>
      </c>
      <c r="E71" s="74"/>
      <c r="F71" s="103"/>
      <c r="G71" s="81" t="s">
        <v>466</v>
      </c>
      <c r="H71" s="81"/>
      <c r="I71" s="81"/>
      <c r="J71" s="78" t="s">
        <v>910</v>
      </c>
      <c r="K71" s="78"/>
      <c r="L71" s="78"/>
      <c r="M71" s="81" t="s">
        <v>911</v>
      </c>
      <c r="N71" s="81"/>
      <c r="O71" s="81"/>
      <c r="P71" s="104" t="s">
        <v>912</v>
      </c>
      <c r="Q71" s="104"/>
      <c r="R71" s="104"/>
      <c r="S71" s="81" t="s">
        <v>913</v>
      </c>
      <c r="T71" s="81"/>
      <c r="U71" s="81"/>
      <c r="V71" s="78" t="s">
        <v>522</v>
      </c>
      <c r="W71" s="78"/>
      <c r="X71" s="78"/>
      <c r="Y71" s="81">
        <v>808</v>
      </c>
      <c r="Z71" s="81"/>
      <c r="AA71" s="81"/>
      <c r="AB71" s="104" t="s">
        <v>125</v>
      </c>
      <c r="AC71" s="104"/>
      <c r="AD71" s="104"/>
      <c r="AE71" s="81" t="s">
        <v>132</v>
      </c>
      <c r="AF71" s="81"/>
      <c r="AG71" s="81"/>
      <c r="AH71" s="78">
        <v>811</v>
      </c>
      <c r="AI71" s="78"/>
      <c r="AJ71" s="105"/>
      <c r="AK71" s="81" t="s">
        <v>152</v>
      </c>
      <c r="AL71" s="81"/>
      <c r="AM71" s="81"/>
      <c r="AN71" s="106" t="s">
        <v>12</v>
      </c>
      <c r="AO71" s="107"/>
      <c r="AP71" s="108"/>
    </row>
    <row r="72" s="12" customFormat="1" ht="27" customHeight="1" spans="1:44">
      <c r="A72" s="81"/>
      <c r="B72" s="82" t="s">
        <v>914</v>
      </c>
      <c r="C72" s="83" t="s">
        <v>915</v>
      </c>
      <c r="D72" s="117" t="s">
        <v>916</v>
      </c>
      <c r="E72" s="118" t="s">
        <v>917</v>
      </c>
      <c r="F72" s="81" t="s">
        <v>918</v>
      </c>
      <c r="G72" s="81" t="s">
        <v>916</v>
      </c>
      <c r="H72" s="81" t="s">
        <v>917</v>
      </c>
      <c r="I72" s="81" t="s">
        <v>918</v>
      </c>
      <c r="J72" s="78" t="s">
        <v>916</v>
      </c>
      <c r="K72" s="78" t="s">
        <v>917</v>
      </c>
      <c r="L72" s="78" t="s">
        <v>918</v>
      </c>
      <c r="M72" s="81" t="s">
        <v>916</v>
      </c>
      <c r="N72" s="81" t="s">
        <v>917</v>
      </c>
      <c r="O72" s="81" t="s">
        <v>918</v>
      </c>
      <c r="P72" s="104" t="s">
        <v>916</v>
      </c>
      <c r="Q72" s="104" t="s">
        <v>917</v>
      </c>
      <c r="R72" s="104" t="s">
        <v>918</v>
      </c>
      <c r="S72" s="81" t="s">
        <v>916</v>
      </c>
      <c r="T72" s="81" t="s">
        <v>917</v>
      </c>
      <c r="U72" s="81" t="s">
        <v>918</v>
      </c>
      <c r="V72" s="78" t="s">
        <v>916</v>
      </c>
      <c r="W72" s="78" t="s">
        <v>917</v>
      </c>
      <c r="X72" s="78" t="s">
        <v>918</v>
      </c>
      <c r="Y72" s="81" t="s">
        <v>916</v>
      </c>
      <c r="Z72" s="81" t="s">
        <v>917</v>
      </c>
      <c r="AA72" s="81" t="s">
        <v>918</v>
      </c>
      <c r="AB72" s="104" t="s">
        <v>916</v>
      </c>
      <c r="AC72" s="104" t="s">
        <v>917</v>
      </c>
      <c r="AD72" s="104" t="s">
        <v>918</v>
      </c>
      <c r="AE72" s="81" t="s">
        <v>916</v>
      </c>
      <c r="AF72" s="81" t="s">
        <v>917</v>
      </c>
      <c r="AG72" s="81" t="s">
        <v>918</v>
      </c>
      <c r="AH72" s="78" t="s">
        <v>916</v>
      </c>
      <c r="AI72" s="78" t="s">
        <v>917</v>
      </c>
      <c r="AJ72" s="105" t="s">
        <v>918</v>
      </c>
      <c r="AK72" s="81" t="s">
        <v>916</v>
      </c>
      <c r="AL72" s="81" t="s">
        <v>917</v>
      </c>
      <c r="AM72" s="81" t="s">
        <v>918</v>
      </c>
      <c r="AN72" s="104" t="s">
        <v>916</v>
      </c>
      <c r="AO72" s="104" t="s">
        <v>917</v>
      </c>
      <c r="AP72" s="104" t="s">
        <v>918</v>
      </c>
    </row>
    <row r="73" s="48" customFormat="1" ht="20.25" spans="1:44">
      <c r="A73" s="344">
        <v>45938</v>
      </c>
      <c r="B73" s="346" t="s">
        <v>933</v>
      </c>
      <c r="C73" s="424">
        <v>160</v>
      </c>
      <c r="D73" s="124"/>
      <c r="E73" s="124"/>
      <c r="F73" s="125"/>
      <c r="G73" s="126"/>
      <c r="H73" s="126"/>
      <c r="I73" s="126"/>
      <c r="J73" s="141">
        <v>20</v>
      </c>
      <c r="K73" s="141">
        <v>15</v>
      </c>
      <c r="L73" s="141">
        <f>J73*K73</f>
        <v>300</v>
      </c>
      <c r="M73" s="432"/>
      <c r="N73" s="126"/>
      <c r="O73" s="126"/>
      <c r="P73" s="125"/>
      <c r="Q73" s="125"/>
      <c r="R73" s="125"/>
      <c r="S73" s="126"/>
      <c r="T73" s="126"/>
      <c r="U73" s="126"/>
      <c r="V73" s="127"/>
      <c r="W73" s="127"/>
      <c r="X73" s="127"/>
      <c r="Y73" s="126"/>
      <c r="Z73" s="126"/>
      <c r="AA73" s="126"/>
      <c r="AB73" s="125">
        <v>64</v>
      </c>
      <c r="AC73" s="125">
        <v>5.5</v>
      </c>
      <c r="AD73" s="125">
        <f t="shared" ref="AD73:AD78" si="22">AB73*AC73</f>
        <v>352</v>
      </c>
      <c r="AE73" s="126"/>
      <c r="AF73" s="126"/>
      <c r="AG73" s="126"/>
      <c r="AH73" s="127"/>
      <c r="AI73" s="127"/>
      <c r="AJ73" s="127"/>
      <c r="AK73" s="126">
        <v>73</v>
      </c>
      <c r="AL73" s="126">
        <v>6.5</v>
      </c>
      <c r="AM73" s="126">
        <f>AK73*AL73</f>
        <v>474.5</v>
      </c>
      <c r="AN73" s="125"/>
      <c r="AO73" s="128"/>
      <c r="AP73" s="128"/>
      <c r="AQ73" s="12"/>
      <c r="AR73" s="12"/>
    </row>
    <row r="74" s="47" customFormat="1" ht="20.25" spans="1:44">
      <c r="A74" s="344">
        <v>45938</v>
      </c>
      <c r="B74" s="346" t="s">
        <v>704</v>
      </c>
      <c r="C74" s="424">
        <v>258</v>
      </c>
      <c r="D74" s="124"/>
      <c r="E74" s="124"/>
      <c r="F74" s="125"/>
      <c r="G74" s="126"/>
      <c r="H74" s="126"/>
      <c r="I74" s="126"/>
      <c r="J74" s="127"/>
      <c r="K74" s="127"/>
      <c r="L74" s="127"/>
      <c r="M74" s="431"/>
      <c r="N74" s="126"/>
      <c r="O74" s="126"/>
      <c r="P74" s="125"/>
      <c r="Q74" s="125"/>
      <c r="R74" s="125"/>
      <c r="S74" s="126"/>
      <c r="T74" s="126"/>
      <c r="U74" s="126"/>
      <c r="V74" s="127"/>
      <c r="W74" s="127"/>
      <c r="X74" s="127"/>
      <c r="Y74" s="126">
        <v>30</v>
      </c>
      <c r="Z74" s="126">
        <v>7.6</v>
      </c>
      <c r="AA74" s="126">
        <f t="shared" ref="AA74:AA82" si="23">Y74*Z74</f>
        <v>228</v>
      </c>
      <c r="AB74" s="125"/>
      <c r="AC74" s="125"/>
      <c r="AD74" s="125"/>
      <c r="AE74" s="126"/>
      <c r="AF74" s="126"/>
      <c r="AG74" s="126"/>
      <c r="AH74" s="127"/>
      <c r="AI74" s="127"/>
      <c r="AJ74" s="127"/>
      <c r="AK74" s="126"/>
      <c r="AL74" s="126"/>
      <c r="AM74" s="126"/>
      <c r="AN74" s="128">
        <v>30</v>
      </c>
      <c r="AO74" s="128">
        <v>6.4</v>
      </c>
      <c r="AP74" s="128">
        <f t="shared" ref="AP74:AP77" si="24">AN74*AO74</f>
        <v>192</v>
      </c>
      <c r="AQ74" s="12"/>
    </row>
    <row r="75" s="48" customFormat="1" ht="20.25" spans="1:44">
      <c r="A75" s="344">
        <v>45940</v>
      </c>
      <c r="B75" s="346" t="s">
        <v>944</v>
      </c>
      <c r="C75" s="424">
        <v>500</v>
      </c>
      <c r="D75" s="124"/>
      <c r="E75" s="124"/>
      <c r="F75" s="125"/>
      <c r="G75" s="126"/>
      <c r="H75" s="126"/>
      <c r="I75" s="126"/>
      <c r="J75" s="127"/>
      <c r="K75" s="127"/>
      <c r="L75" s="127"/>
      <c r="M75" s="432"/>
      <c r="N75" s="126"/>
      <c r="O75" s="126"/>
      <c r="P75" s="125"/>
      <c r="Q75" s="125"/>
      <c r="R75" s="125"/>
      <c r="S75" s="126"/>
      <c r="T75" s="126"/>
      <c r="U75" s="126"/>
      <c r="V75" s="127"/>
      <c r="W75" s="127"/>
      <c r="X75" s="127"/>
      <c r="Y75" s="126">
        <v>105</v>
      </c>
      <c r="Z75" s="126">
        <v>7.6</v>
      </c>
      <c r="AA75" s="126">
        <f t="shared" si="23"/>
        <v>798</v>
      </c>
      <c r="AB75" s="125">
        <v>44</v>
      </c>
      <c r="AC75" s="125">
        <v>5.4</v>
      </c>
      <c r="AD75" s="125">
        <f t="shared" si="22"/>
        <v>237.6</v>
      </c>
      <c r="AE75" s="126"/>
      <c r="AF75" s="126"/>
      <c r="AG75" s="126"/>
      <c r="AH75" s="127"/>
      <c r="AI75" s="127"/>
      <c r="AJ75" s="127"/>
      <c r="AK75" s="126"/>
      <c r="AL75" s="126"/>
      <c r="AM75" s="126"/>
      <c r="AN75" s="125">
        <v>50</v>
      </c>
      <c r="AO75" s="128">
        <v>6.4</v>
      </c>
      <c r="AP75" s="128">
        <f t="shared" si="24"/>
        <v>320</v>
      </c>
      <c r="AQ75" s="12"/>
      <c r="AR75" s="12"/>
    </row>
    <row r="76" s="48" customFormat="1" ht="20.25" spans="1:44">
      <c r="A76" s="344">
        <v>45943</v>
      </c>
      <c r="B76" s="352" t="s">
        <v>934</v>
      </c>
      <c r="C76" s="424">
        <v>361</v>
      </c>
      <c r="D76" s="124"/>
      <c r="E76" s="124"/>
      <c r="F76" s="125"/>
      <c r="G76" s="126"/>
      <c r="H76" s="126"/>
      <c r="I76" s="126"/>
      <c r="J76" s="127">
        <v>10</v>
      </c>
      <c r="K76" s="127">
        <v>17</v>
      </c>
      <c r="L76" s="127">
        <f>J76*K76</f>
        <v>170</v>
      </c>
      <c r="M76" s="432"/>
      <c r="N76" s="126"/>
      <c r="O76" s="126"/>
      <c r="P76" s="125"/>
      <c r="Q76" s="125"/>
      <c r="R76" s="125"/>
      <c r="S76" s="126"/>
      <c r="T76" s="126"/>
      <c r="U76" s="126"/>
      <c r="V76" s="127">
        <v>1</v>
      </c>
      <c r="W76" s="127">
        <v>25</v>
      </c>
      <c r="X76" s="127">
        <f>V76*W76</f>
        <v>25</v>
      </c>
      <c r="Y76" s="126">
        <v>54</v>
      </c>
      <c r="Z76" s="126">
        <v>7.6</v>
      </c>
      <c r="AA76" s="126">
        <f t="shared" si="23"/>
        <v>410.4</v>
      </c>
      <c r="AB76" s="125"/>
      <c r="AC76" s="125"/>
      <c r="AD76" s="125"/>
      <c r="AE76" s="126">
        <v>27</v>
      </c>
      <c r="AF76" s="126">
        <v>3.3</v>
      </c>
      <c r="AG76" s="126">
        <f>AE76*AF76</f>
        <v>89.1</v>
      </c>
      <c r="AH76" s="127"/>
      <c r="AI76" s="127"/>
      <c r="AJ76" s="127"/>
      <c r="AK76" s="126">
        <v>36</v>
      </c>
      <c r="AL76" s="126">
        <v>6.3</v>
      </c>
      <c r="AM76" s="126">
        <f>AK76*AL76</f>
        <v>226.8</v>
      </c>
      <c r="AN76" s="125">
        <v>47</v>
      </c>
      <c r="AO76" s="128">
        <v>6.3</v>
      </c>
      <c r="AP76" s="128">
        <f t="shared" si="24"/>
        <v>296.1</v>
      </c>
      <c r="AQ76" s="12"/>
      <c r="AR76" s="12"/>
    </row>
    <row r="77" s="48" customFormat="1" ht="20.25" spans="1:44">
      <c r="A77" s="344">
        <v>45944</v>
      </c>
      <c r="B77" s="346" t="s">
        <v>924</v>
      </c>
      <c r="C77" s="424">
        <v>470</v>
      </c>
      <c r="D77" s="124"/>
      <c r="E77" s="124"/>
      <c r="F77" s="125"/>
      <c r="G77" s="126"/>
      <c r="H77" s="126"/>
      <c r="I77" s="126"/>
      <c r="J77" s="127"/>
      <c r="K77" s="127"/>
      <c r="L77" s="127"/>
      <c r="M77" s="432"/>
      <c r="N77" s="126"/>
      <c r="O77" s="126"/>
      <c r="P77" s="125"/>
      <c r="Q77" s="125"/>
      <c r="R77" s="125"/>
      <c r="S77" s="126"/>
      <c r="T77" s="126"/>
      <c r="U77" s="126"/>
      <c r="V77" s="127"/>
      <c r="W77" s="127"/>
      <c r="X77" s="127"/>
      <c r="Y77" s="126">
        <v>47</v>
      </c>
      <c r="Z77" s="126">
        <v>7.6</v>
      </c>
      <c r="AA77" s="126">
        <f t="shared" si="23"/>
        <v>357.2</v>
      </c>
      <c r="AB77" s="125">
        <v>101</v>
      </c>
      <c r="AC77" s="125">
        <v>5.4</v>
      </c>
      <c r="AD77" s="125">
        <f t="shared" si="22"/>
        <v>545.4</v>
      </c>
      <c r="AE77" s="126"/>
      <c r="AF77" s="126"/>
      <c r="AG77" s="126"/>
      <c r="AH77" s="127"/>
      <c r="AI77" s="127"/>
      <c r="AJ77" s="127"/>
      <c r="AK77" s="126"/>
      <c r="AL77" s="126"/>
      <c r="AM77" s="126"/>
      <c r="AN77" s="125">
        <v>9.4</v>
      </c>
      <c r="AO77" s="128">
        <v>6.3</v>
      </c>
      <c r="AP77" s="128">
        <f t="shared" si="24"/>
        <v>59.22</v>
      </c>
      <c r="AQ77" s="12"/>
      <c r="AR77" s="12"/>
    </row>
    <row r="78" s="47" customFormat="1" ht="20" customHeight="1" spans="1:44">
      <c r="A78" s="344" t="s">
        <v>945</v>
      </c>
      <c r="B78" s="346" t="s">
        <v>936</v>
      </c>
      <c r="C78" s="424">
        <v>750</v>
      </c>
      <c r="D78" s="124"/>
      <c r="E78" s="124"/>
      <c r="F78" s="125"/>
      <c r="G78" s="126"/>
      <c r="H78" s="126"/>
      <c r="I78" s="126"/>
      <c r="J78" s="127"/>
      <c r="K78" s="127"/>
      <c r="L78" s="127"/>
      <c r="M78" s="126"/>
      <c r="N78" s="126"/>
      <c r="O78" s="126"/>
      <c r="P78" s="125">
        <v>25</v>
      </c>
      <c r="Q78" s="125">
        <v>82</v>
      </c>
      <c r="R78" s="125">
        <f>P78*Q78</f>
        <v>2050</v>
      </c>
      <c r="S78" s="126"/>
      <c r="T78" s="126"/>
      <c r="U78" s="126"/>
      <c r="V78" s="127"/>
      <c r="W78" s="127"/>
      <c r="X78" s="127"/>
      <c r="Y78" s="126">
        <v>300</v>
      </c>
      <c r="Z78" s="126">
        <v>7.6</v>
      </c>
      <c r="AA78" s="126">
        <f t="shared" si="23"/>
        <v>2280</v>
      </c>
      <c r="AB78" s="125">
        <v>125</v>
      </c>
      <c r="AC78" s="125">
        <v>5.4</v>
      </c>
      <c r="AD78" s="125">
        <f t="shared" si="22"/>
        <v>675</v>
      </c>
      <c r="AE78" s="126"/>
      <c r="AF78" s="126"/>
      <c r="AG78" s="126"/>
      <c r="AH78" s="127"/>
      <c r="AI78" s="127"/>
      <c r="AJ78" s="127"/>
      <c r="AK78" s="126"/>
      <c r="AL78" s="126"/>
      <c r="AM78" s="126"/>
      <c r="AN78" s="128"/>
      <c r="AO78" s="128"/>
      <c r="AP78" s="128"/>
    </row>
    <row r="79" s="48" customFormat="1" ht="20.25" spans="1:44">
      <c r="A79" s="344" t="s">
        <v>946</v>
      </c>
      <c r="B79" s="346" t="s">
        <v>342</v>
      </c>
      <c r="C79" s="424">
        <v>225</v>
      </c>
      <c r="D79" s="124"/>
      <c r="E79" s="124"/>
      <c r="F79" s="125"/>
      <c r="G79" s="126"/>
      <c r="H79" s="126"/>
      <c r="I79" s="126"/>
      <c r="J79" s="127"/>
      <c r="K79" s="127"/>
      <c r="L79" s="127"/>
      <c r="M79" s="432"/>
      <c r="N79" s="126"/>
      <c r="O79" s="126"/>
      <c r="P79" s="125"/>
      <c r="Q79" s="125"/>
      <c r="R79" s="125"/>
      <c r="S79" s="126"/>
      <c r="T79" s="126"/>
      <c r="U79" s="126"/>
      <c r="V79" s="127"/>
      <c r="W79" s="127"/>
      <c r="X79" s="127"/>
      <c r="Y79" s="126">
        <v>25</v>
      </c>
      <c r="Z79" s="126">
        <v>7.6</v>
      </c>
      <c r="AA79" s="126">
        <f t="shared" si="23"/>
        <v>190</v>
      </c>
      <c r="AB79" s="125"/>
      <c r="AC79" s="125"/>
      <c r="AD79" s="125"/>
      <c r="AE79" s="126"/>
      <c r="AF79" s="126"/>
      <c r="AG79" s="126"/>
      <c r="AH79" s="127"/>
      <c r="AI79" s="127"/>
      <c r="AJ79" s="127"/>
      <c r="AK79" s="126"/>
      <c r="AL79" s="126"/>
      <c r="AM79" s="126"/>
      <c r="AN79" s="125">
        <v>25</v>
      </c>
      <c r="AO79" s="128">
        <v>6.3</v>
      </c>
      <c r="AP79" s="128">
        <f t="shared" ref="AP79:AP82" si="25">AN79*AO79</f>
        <v>157.5</v>
      </c>
      <c r="AQ79" s="12"/>
      <c r="AR79" s="12"/>
    </row>
    <row r="80" s="48" customFormat="1" ht="20.25" spans="1:44">
      <c r="A80" s="344">
        <v>45946</v>
      </c>
      <c r="B80" s="346" t="s">
        <v>919</v>
      </c>
      <c r="C80" s="424">
        <v>1000</v>
      </c>
      <c r="D80" s="124"/>
      <c r="E80" s="124"/>
      <c r="F80" s="125"/>
      <c r="G80" s="126"/>
      <c r="H80" s="126"/>
      <c r="I80" s="126"/>
      <c r="J80" s="127"/>
      <c r="K80" s="127"/>
      <c r="L80" s="127"/>
      <c r="M80" s="432"/>
      <c r="N80" s="126"/>
      <c r="O80" s="126"/>
      <c r="P80" s="125"/>
      <c r="Q80" s="125"/>
      <c r="R80" s="125"/>
      <c r="S80" s="126"/>
      <c r="T80" s="126"/>
      <c r="U80" s="126"/>
      <c r="V80" s="127"/>
      <c r="W80" s="127"/>
      <c r="X80" s="127"/>
      <c r="Y80" s="126">
        <v>50</v>
      </c>
      <c r="Z80" s="126">
        <v>7.6</v>
      </c>
      <c r="AA80" s="126">
        <f t="shared" si="23"/>
        <v>380</v>
      </c>
      <c r="AB80" s="125"/>
      <c r="AC80" s="125"/>
      <c r="AD80" s="125"/>
      <c r="AE80" s="126"/>
      <c r="AF80" s="126"/>
      <c r="AG80" s="126"/>
      <c r="AH80" s="127"/>
      <c r="AI80" s="127"/>
      <c r="AJ80" s="127"/>
      <c r="AK80" s="126">
        <v>155</v>
      </c>
      <c r="AL80" s="126">
        <v>6.3</v>
      </c>
      <c r="AM80" s="126">
        <f>AK80*AL80</f>
        <v>976.5</v>
      </c>
      <c r="AN80" s="125">
        <v>95</v>
      </c>
      <c r="AO80" s="128">
        <v>6.3</v>
      </c>
      <c r="AP80" s="128">
        <f t="shared" si="25"/>
        <v>598.5</v>
      </c>
      <c r="AQ80" s="12"/>
      <c r="AR80" s="12"/>
    </row>
    <row r="81" s="47" customFormat="1" ht="20.25" spans="1:44">
      <c r="A81" s="344" t="s">
        <v>947</v>
      </c>
      <c r="B81" s="346" t="s">
        <v>542</v>
      </c>
      <c r="C81" s="424">
        <v>215</v>
      </c>
      <c r="D81" s="124"/>
      <c r="E81" s="124"/>
      <c r="F81" s="125"/>
      <c r="G81" s="126"/>
      <c r="H81" s="126"/>
      <c r="I81" s="126"/>
      <c r="J81" s="127"/>
      <c r="K81" s="127"/>
      <c r="L81" s="127"/>
      <c r="M81" s="431"/>
      <c r="N81" s="126"/>
      <c r="O81" s="126"/>
      <c r="P81" s="125"/>
      <c r="Q81" s="125"/>
      <c r="R81" s="125"/>
      <c r="S81" s="126"/>
      <c r="T81" s="126"/>
      <c r="U81" s="126"/>
      <c r="V81" s="127"/>
      <c r="W81" s="127"/>
      <c r="X81" s="127"/>
      <c r="Y81" s="126">
        <v>20</v>
      </c>
      <c r="Z81" s="126">
        <v>7.6</v>
      </c>
      <c r="AA81" s="126">
        <f t="shared" si="23"/>
        <v>152</v>
      </c>
      <c r="AB81" s="125"/>
      <c r="AC81" s="125"/>
      <c r="AD81" s="125"/>
      <c r="AE81" s="126"/>
      <c r="AF81" s="126"/>
      <c r="AG81" s="126"/>
      <c r="AH81" s="127"/>
      <c r="AI81" s="127"/>
      <c r="AJ81" s="127"/>
      <c r="AK81" s="126"/>
      <c r="AL81" s="126"/>
      <c r="AM81" s="126"/>
      <c r="AN81" s="128">
        <v>25</v>
      </c>
      <c r="AO81" s="128">
        <v>6.3</v>
      </c>
      <c r="AP81" s="128">
        <f t="shared" si="25"/>
        <v>157.5</v>
      </c>
      <c r="AQ81" s="12"/>
    </row>
    <row r="82" s="47" customFormat="1" ht="20.25" spans="1:44">
      <c r="A82" s="344">
        <v>45947</v>
      </c>
      <c r="B82" s="346" t="s">
        <v>922</v>
      </c>
      <c r="C82" s="424">
        <v>502</v>
      </c>
      <c r="D82" s="124"/>
      <c r="E82" s="124"/>
      <c r="F82" s="125"/>
      <c r="G82" s="126"/>
      <c r="H82" s="126"/>
      <c r="I82" s="126"/>
      <c r="J82" s="127"/>
      <c r="K82" s="127"/>
      <c r="L82" s="127"/>
      <c r="M82" s="431"/>
      <c r="N82" s="126"/>
      <c r="O82" s="126"/>
      <c r="P82" s="125"/>
      <c r="Q82" s="125"/>
      <c r="R82" s="125"/>
      <c r="S82" s="126"/>
      <c r="T82" s="126"/>
      <c r="U82" s="126"/>
      <c r="V82" s="127"/>
      <c r="W82" s="127"/>
      <c r="X82" s="127"/>
      <c r="Y82" s="126">
        <v>26</v>
      </c>
      <c r="Z82" s="126">
        <v>7.6</v>
      </c>
      <c r="AA82" s="126">
        <f t="shared" si="23"/>
        <v>197.6</v>
      </c>
      <c r="AB82" s="125"/>
      <c r="AC82" s="125"/>
      <c r="AD82" s="125"/>
      <c r="AE82" s="126"/>
      <c r="AF82" s="126"/>
      <c r="AG82" s="126"/>
      <c r="AH82" s="127"/>
      <c r="AI82" s="127"/>
      <c r="AJ82" s="127"/>
      <c r="AK82" s="126"/>
      <c r="AL82" s="126"/>
      <c r="AM82" s="126"/>
      <c r="AN82" s="128">
        <v>64.5</v>
      </c>
      <c r="AO82" s="128">
        <v>6.3</v>
      </c>
      <c r="AP82" s="128">
        <f t="shared" si="25"/>
        <v>406.35</v>
      </c>
      <c r="AQ82" s="12"/>
    </row>
    <row r="83" s="48" customFormat="1" ht="20.25" spans="1:44">
      <c r="A83" s="344">
        <v>45950</v>
      </c>
      <c r="B83" s="346" t="s">
        <v>930</v>
      </c>
      <c r="C83" s="424">
        <v>1002.5</v>
      </c>
      <c r="D83" s="124"/>
      <c r="E83" s="124"/>
      <c r="F83" s="125"/>
      <c r="G83" s="126"/>
      <c r="H83" s="126"/>
      <c r="I83" s="126"/>
      <c r="J83" s="127">
        <v>25</v>
      </c>
      <c r="K83" s="127">
        <v>17</v>
      </c>
      <c r="L83" s="127">
        <f>J83*K83</f>
        <v>425</v>
      </c>
      <c r="M83" s="432"/>
      <c r="N83" s="126"/>
      <c r="O83" s="126"/>
      <c r="P83" s="125"/>
      <c r="Q83" s="125"/>
      <c r="R83" s="125"/>
      <c r="S83" s="126"/>
      <c r="T83" s="126"/>
      <c r="U83" s="126"/>
      <c r="V83" s="127">
        <v>2.5</v>
      </c>
      <c r="W83" s="127">
        <v>25</v>
      </c>
      <c r="X83" s="127">
        <f>V83*W83</f>
        <v>62.5</v>
      </c>
      <c r="Y83" s="126"/>
      <c r="Z83" s="126"/>
      <c r="AA83" s="126"/>
      <c r="AB83" s="125">
        <v>59</v>
      </c>
      <c r="AC83" s="125">
        <v>5.4</v>
      </c>
      <c r="AD83" s="125">
        <f>AB83*AC83</f>
        <v>318.6</v>
      </c>
      <c r="AE83" s="126">
        <v>279</v>
      </c>
      <c r="AF83" s="126">
        <v>3.3</v>
      </c>
      <c r="AG83" s="126">
        <f>AE83*AF83</f>
        <v>920.7</v>
      </c>
      <c r="AH83" s="127"/>
      <c r="AI83" s="127"/>
      <c r="AJ83" s="127"/>
      <c r="AK83" s="126">
        <v>92</v>
      </c>
      <c r="AL83" s="126">
        <v>6.3</v>
      </c>
      <c r="AM83" s="126">
        <f>AK83*AL83</f>
        <v>579.6</v>
      </c>
      <c r="AN83" s="125"/>
      <c r="AO83" s="128"/>
      <c r="AP83" s="128"/>
      <c r="AQ83" s="12"/>
      <c r="AR83" s="12"/>
    </row>
    <row r="84" s="48" customFormat="1" ht="20.25" spans="1:44">
      <c r="A84" s="344">
        <v>45951</v>
      </c>
      <c r="B84" s="346" t="s">
        <v>938</v>
      </c>
      <c r="C84" s="424">
        <v>1000</v>
      </c>
      <c r="D84" s="124"/>
      <c r="E84" s="124"/>
      <c r="F84" s="125"/>
      <c r="G84" s="126"/>
      <c r="H84" s="126"/>
      <c r="I84" s="126"/>
      <c r="J84" s="127"/>
      <c r="K84" s="127"/>
      <c r="L84" s="127"/>
      <c r="M84" s="432"/>
      <c r="N84" s="126"/>
      <c r="O84" s="126"/>
      <c r="P84" s="125"/>
      <c r="Q84" s="125"/>
      <c r="R84" s="125"/>
      <c r="S84" s="126"/>
      <c r="T84" s="126"/>
      <c r="U84" s="126"/>
      <c r="V84" s="127"/>
      <c r="W84" s="127"/>
      <c r="X84" s="127"/>
      <c r="Y84" s="126">
        <v>102</v>
      </c>
      <c r="Z84" s="126">
        <v>7.6</v>
      </c>
      <c r="AA84" s="126">
        <f t="shared" ref="AA84:AA92" si="26">Y84*Z84</f>
        <v>775.2</v>
      </c>
      <c r="AB84" s="125"/>
      <c r="AC84" s="125"/>
      <c r="AD84" s="125"/>
      <c r="AE84" s="126"/>
      <c r="AF84" s="126"/>
      <c r="AG84" s="126"/>
      <c r="AH84" s="127"/>
      <c r="AI84" s="127"/>
      <c r="AJ84" s="127"/>
      <c r="AK84" s="126"/>
      <c r="AL84" s="126"/>
      <c r="AM84" s="126"/>
      <c r="AN84" s="125">
        <v>150</v>
      </c>
      <c r="AO84" s="128">
        <v>6.3</v>
      </c>
      <c r="AP84" s="128">
        <f t="shared" ref="AP84:AP87" si="27">AN84*AO84</f>
        <v>945</v>
      </c>
      <c r="AQ84" s="12"/>
      <c r="AR84" s="12"/>
    </row>
    <row r="85" s="47" customFormat="1" ht="20.25" spans="1:44">
      <c r="A85" s="344" t="s">
        <v>836</v>
      </c>
      <c r="B85" s="346" t="s">
        <v>345</v>
      </c>
      <c r="C85" s="424">
        <v>172.2</v>
      </c>
      <c r="D85" s="124"/>
      <c r="E85" s="124"/>
      <c r="F85" s="125"/>
      <c r="G85" s="126"/>
      <c r="H85" s="126"/>
      <c r="I85" s="126"/>
      <c r="J85" s="127"/>
      <c r="K85" s="127"/>
      <c r="L85" s="127"/>
      <c r="M85" s="431"/>
      <c r="N85" s="126"/>
      <c r="O85" s="126"/>
      <c r="P85" s="125"/>
      <c r="Q85" s="125"/>
      <c r="R85" s="125"/>
      <c r="S85" s="126"/>
      <c r="T85" s="126"/>
      <c r="U85" s="126"/>
      <c r="V85" s="127"/>
      <c r="W85" s="127"/>
      <c r="X85" s="127"/>
      <c r="Y85" s="126">
        <v>72</v>
      </c>
      <c r="Z85" s="126">
        <v>7.6</v>
      </c>
      <c r="AA85" s="126">
        <f t="shared" si="26"/>
        <v>547.2</v>
      </c>
      <c r="AB85" s="125">
        <v>80</v>
      </c>
      <c r="AC85" s="125">
        <v>5.4</v>
      </c>
      <c r="AD85" s="125">
        <f>AB85*AC85</f>
        <v>432</v>
      </c>
      <c r="AE85" s="126"/>
      <c r="AF85" s="126"/>
      <c r="AG85" s="126"/>
      <c r="AH85" s="127"/>
      <c r="AI85" s="127"/>
      <c r="AJ85" s="127"/>
      <c r="AK85" s="126"/>
      <c r="AL85" s="126"/>
      <c r="AM85" s="126"/>
      <c r="AN85" s="128"/>
      <c r="AO85" s="128"/>
      <c r="AP85" s="128"/>
      <c r="AQ85" s="12"/>
    </row>
    <row r="86" s="46" customFormat="1" ht="20.25" spans="1:44">
      <c r="A86" s="344">
        <v>45954</v>
      </c>
      <c r="B86" s="346" t="s">
        <v>925</v>
      </c>
      <c r="C86" s="424">
        <v>184</v>
      </c>
      <c r="D86" s="124"/>
      <c r="E86" s="124"/>
      <c r="F86" s="125"/>
      <c r="G86" s="126"/>
      <c r="H86" s="126"/>
      <c r="I86" s="126"/>
      <c r="J86" s="127"/>
      <c r="K86" s="127"/>
      <c r="L86" s="127"/>
      <c r="M86" s="432"/>
      <c r="N86" s="126"/>
      <c r="O86" s="126"/>
      <c r="P86" s="125"/>
      <c r="Q86" s="125"/>
      <c r="R86" s="125"/>
      <c r="S86" s="126"/>
      <c r="T86" s="126"/>
      <c r="U86" s="126"/>
      <c r="V86" s="127"/>
      <c r="W86" s="127"/>
      <c r="X86" s="127"/>
      <c r="Y86" s="126">
        <v>22</v>
      </c>
      <c r="Z86" s="126">
        <v>7.6</v>
      </c>
      <c r="AA86" s="126">
        <f t="shared" si="26"/>
        <v>167.2</v>
      </c>
      <c r="AB86" s="125">
        <v>13</v>
      </c>
      <c r="AC86" s="125">
        <v>5.4</v>
      </c>
      <c r="AD86" s="125">
        <f t="shared" ref="AD85:AD89" si="28">AB86*AC86</f>
        <v>70.2</v>
      </c>
      <c r="AE86" s="126"/>
      <c r="AF86" s="126"/>
      <c r="AG86" s="126"/>
      <c r="AH86" s="127"/>
      <c r="AI86" s="127"/>
      <c r="AJ86" s="127"/>
      <c r="AK86" s="126"/>
      <c r="AL86" s="126"/>
      <c r="AM86" s="126"/>
      <c r="AN86" s="128">
        <v>13</v>
      </c>
      <c r="AO86" s="128">
        <v>6.3</v>
      </c>
      <c r="AP86" s="128">
        <f t="shared" si="27"/>
        <v>81.9</v>
      </c>
      <c r="AQ86" s="12"/>
    </row>
    <row r="87" s="48" customFormat="1" ht="20.25" spans="1:44">
      <c r="A87" s="344">
        <v>45954</v>
      </c>
      <c r="B87" s="346" t="s">
        <v>924</v>
      </c>
      <c r="C87" s="424">
        <v>500</v>
      </c>
      <c r="D87" s="124"/>
      <c r="E87" s="124"/>
      <c r="F87" s="125"/>
      <c r="G87" s="126"/>
      <c r="H87" s="126"/>
      <c r="I87" s="126"/>
      <c r="J87" s="127"/>
      <c r="K87" s="127"/>
      <c r="L87" s="127"/>
      <c r="M87" s="432"/>
      <c r="N87" s="126"/>
      <c r="O87" s="126"/>
      <c r="P87" s="125"/>
      <c r="Q87" s="125"/>
      <c r="R87" s="125"/>
      <c r="S87" s="126"/>
      <c r="T87" s="126"/>
      <c r="U87" s="126"/>
      <c r="V87" s="127"/>
      <c r="W87" s="127"/>
      <c r="X87" s="127"/>
      <c r="Y87" s="126">
        <v>50</v>
      </c>
      <c r="Z87" s="126">
        <v>7.6</v>
      </c>
      <c r="AA87" s="126">
        <f t="shared" si="26"/>
        <v>380</v>
      </c>
      <c r="AB87" s="125">
        <v>108</v>
      </c>
      <c r="AC87" s="125">
        <v>5.4</v>
      </c>
      <c r="AD87" s="125">
        <f t="shared" si="28"/>
        <v>583.2</v>
      </c>
      <c r="AE87" s="126"/>
      <c r="AF87" s="126"/>
      <c r="AG87" s="126"/>
      <c r="AH87" s="127"/>
      <c r="AI87" s="127"/>
      <c r="AJ87" s="127"/>
      <c r="AK87" s="126"/>
      <c r="AL87" s="126"/>
      <c r="AM87" s="126"/>
      <c r="AN87" s="125">
        <v>10</v>
      </c>
      <c r="AO87" s="128">
        <v>6.3</v>
      </c>
      <c r="AP87" s="128">
        <f t="shared" si="27"/>
        <v>63</v>
      </c>
      <c r="AQ87" s="12"/>
      <c r="AR87" s="12"/>
    </row>
    <row r="88" s="48" customFormat="1" ht="20.25" spans="1:44">
      <c r="A88" s="344">
        <v>45955</v>
      </c>
      <c r="B88" s="346" t="s">
        <v>240</v>
      </c>
      <c r="C88" s="424">
        <v>750</v>
      </c>
      <c r="D88" s="124"/>
      <c r="E88" s="124"/>
      <c r="F88" s="125"/>
      <c r="G88" s="126"/>
      <c r="H88" s="126"/>
      <c r="I88" s="126"/>
      <c r="J88" s="127"/>
      <c r="K88" s="127"/>
      <c r="L88" s="127"/>
      <c r="M88" s="432"/>
      <c r="N88" s="126"/>
      <c r="O88" s="126"/>
      <c r="P88" s="125"/>
      <c r="Q88" s="125"/>
      <c r="R88" s="125"/>
      <c r="S88" s="126"/>
      <c r="T88" s="126"/>
      <c r="U88" s="126"/>
      <c r="V88" s="127"/>
      <c r="W88" s="127"/>
      <c r="X88" s="127"/>
      <c r="Y88" s="126">
        <v>450</v>
      </c>
      <c r="Z88" s="126">
        <v>7.6</v>
      </c>
      <c r="AA88" s="126">
        <f t="shared" si="26"/>
        <v>3420</v>
      </c>
      <c r="AB88" s="125"/>
      <c r="AC88" s="125"/>
      <c r="AD88" s="125"/>
      <c r="AE88" s="126"/>
      <c r="AF88" s="126"/>
      <c r="AG88" s="126"/>
      <c r="AH88" s="127"/>
      <c r="AI88" s="127"/>
      <c r="AJ88" s="127"/>
      <c r="AK88" s="126"/>
      <c r="AL88" s="126"/>
      <c r="AM88" s="126"/>
      <c r="AN88" s="125"/>
      <c r="AO88" s="128"/>
      <c r="AP88" s="128"/>
      <c r="AQ88" s="12"/>
      <c r="AR88" s="12"/>
    </row>
    <row r="89" s="46" customFormat="1" ht="20.25" spans="1:44">
      <c r="A89" s="344">
        <v>45955</v>
      </c>
      <c r="B89" s="346" t="s">
        <v>937</v>
      </c>
      <c r="C89" s="424">
        <v>1000</v>
      </c>
      <c r="D89" s="124"/>
      <c r="E89" s="124"/>
      <c r="F89" s="125"/>
      <c r="G89" s="126"/>
      <c r="H89" s="126"/>
      <c r="I89" s="126"/>
      <c r="J89" s="127">
        <v>30</v>
      </c>
      <c r="K89" s="127">
        <v>17</v>
      </c>
      <c r="L89" s="127">
        <f>J89*K89</f>
        <v>510</v>
      </c>
      <c r="M89" s="432"/>
      <c r="N89" s="126"/>
      <c r="O89" s="126"/>
      <c r="P89" s="125"/>
      <c r="Q89" s="125"/>
      <c r="R89" s="125"/>
      <c r="S89" s="126"/>
      <c r="T89" s="126"/>
      <c r="U89" s="126"/>
      <c r="V89" s="127">
        <v>3</v>
      </c>
      <c r="W89" s="127">
        <v>25</v>
      </c>
      <c r="X89" s="127">
        <f>V89*W89</f>
        <v>75</v>
      </c>
      <c r="Y89" s="126">
        <v>150</v>
      </c>
      <c r="Z89" s="126">
        <v>7.6</v>
      </c>
      <c r="AA89" s="126">
        <f t="shared" si="26"/>
        <v>1140</v>
      </c>
      <c r="AB89" s="125"/>
      <c r="AC89" s="125"/>
      <c r="AD89" s="125"/>
      <c r="AE89" s="126">
        <v>75</v>
      </c>
      <c r="AF89" s="126">
        <v>3.3</v>
      </c>
      <c r="AG89" s="126">
        <f>AE89*AF89</f>
        <v>247.5</v>
      </c>
      <c r="AH89" s="127"/>
      <c r="AI89" s="127"/>
      <c r="AJ89" s="127"/>
      <c r="AK89" s="126">
        <v>100</v>
      </c>
      <c r="AL89" s="126">
        <v>6.3</v>
      </c>
      <c r="AM89" s="126">
        <f>AK89*AL89</f>
        <v>630</v>
      </c>
      <c r="AN89" s="128">
        <v>130</v>
      </c>
      <c r="AO89" s="128">
        <v>6.3</v>
      </c>
      <c r="AP89" s="128">
        <f t="shared" ref="AP89:AP92" si="29">AN89*AO89</f>
        <v>819</v>
      </c>
      <c r="AQ89" s="12"/>
      <c r="AR89" s="12"/>
    </row>
    <row r="90" s="47" customFormat="1" ht="20.25" spans="1:44">
      <c r="A90" s="344">
        <v>45957</v>
      </c>
      <c r="B90" s="346" t="s">
        <v>704</v>
      </c>
      <c r="C90" s="424">
        <v>258</v>
      </c>
      <c r="D90" s="124"/>
      <c r="E90" s="124"/>
      <c r="F90" s="125"/>
      <c r="G90" s="126"/>
      <c r="H90" s="126"/>
      <c r="I90" s="126"/>
      <c r="J90" s="127"/>
      <c r="K90" s="127"/>
      <c r="L90" s="127"/>
      <c r="M90" s="431"/>
      <c r="N90" s="126"/>
      <c r="O90" s="126"/>
      <c r="P90" s="125"/>
      <c r="Q90" s="125"/>
      <c r="R90" s="125"/>
      <c r="S90" s="126"/>
      <c r="T90" s="126"/>
      <c r="U90" s="126"/>
      <c r="V90" s="127"/>
      <c r="W90" s="127"/>
      <c r="X90" s="127"/>
      <c r="Y90" s="126">
        <v>30</v>
      </c>
      <c r="Z90" s="126">
        <v>7.6</v>
      </c>
      <c r="AA90" s="126">
        <f t="shared" si="26"/>
        <v>228</v>
      </c>
      <c r="AB90" s="125"/>
      <c r="AC90" s="125"/>
      <c r="AD90" s="125"/>
      <c r="AE90" s="126"/>
      <c r="AF90" s="126"/>
      <c r="AG90" s="126"/>
      <c r="AH90" s="127"/>
      <c r="AI90" s="127"/>
      <c r="AJ90" s="127"/>
      <c r="AK90" s="126"/>
      <c r="AL90" s="126"/>
      <c r="AM90" s="126"/>
      <c r="AN90" s="128">
        <v>30</v>
      </c>
      <c r="AO90" s="128">
        <v>6.3</v>
      </c>
      <c r="AP90" s="128">
        <f t="shared" si="29"/>
        <v>189</v>
      </c>
      <c r="AQ90" s="12"/>
    </row>
    <row r="91" s="47" customFormat="1" ht="20.25" spans="1:44">
      <c r="A91" s="344">
        <v>45961</v>
      </c>
      <c r="B91" s="346" t="s">
        <v>724</v>
      </c>
      <c r="C91" s="424">
        <v>597</v>
      </c>
      <c r="D91" s="124"/>
      <c r="E91" s="124"/>
      <c r="F91" s="125"/>
      <c r="G91" s="126"/>
      <c r="H91" s="126"/>
      <c r="I91" s="126"/>
      <c r="J91" s="127">
        <v>18</v>
      </c>
      <c r="K91" s="127">
        <v>17</v>
      </c>
      <c r="L91" s="127">
        <f>J91*K91</f>
        <v>306</v>
      </c>
      <c r="M91" s="431"/>
      <c r="N91" s="126"/>
      <c r="O91" s="126"/>
      <c r="P91" s="125"/>
      <c r="Q91" s="125"/>
      <c r="R91" s="125"/>
      <c r="S91" s="126"/>
      <c r="T91" s="126"/>
      <c r="U91" s="126"/>
      <c r="V91" s="127"/>
      <c r="W91" s="127"/>
      <c r="X91" s="127"/>
      <c r="Y91" s="126">
        <v>66</v>
      </c>
      <c r="Z91" s="126">
        <v>7.6</v>
      </c>
      <c r="AA91" s="126">
        <f t="shared" si="26"/>
        <v>501.6</v>
      </c>
      <c r="AB91" s="125">
        <v>175</v>
      </c>
      <c r="AC91" s="125">
        <v>5.1</v>
      </c>
      <c r="AD91" s="125">
        <f>AB91*AC91</f>
        <v>892.5</v>
      </c>
      <c r="AE91" s="126">
        <v>144</v>
      </c>
      <c r="AF91" s="126">
        <v>3</v>
      </c>
      <c r="AG91" s="126">
        <f>AE91*AF91</f>
        <v>432</v>
      </c>
      <c r="AH91" s="127"/>
      <c r="AI91" s="127"/>
      <c r="AJ91" s="127"/>
      <c r="AK91" s="126">
        <v>33</v>
      </c>
      <c r="AL91" s="126">
        <v>6.3</v>
      </c>
      <c r="AM91" s="126">
        <f>AK91*AL91</f>
        <v>207.9</v>
      </c>
      <c r="AN91" s="128"/>
      <c r="AO91" s="128"/>
      <c r="AP91" s="128"/>
      <c r="AQ91" s="12"/>
    </row>
    <row r="92" s="47" customFormat="1" ht="20.25" spans="1:44">
      <c r="A92" s="344">
        <v>45961</v>
      </c>
      <c r="B92" s="346" t="s">
        <v>939</v>
      </c>
      <c r="C92" s="424">
        <v>1200</v>
      </c>
      <c r="D92" s="124"/>
      <c r="E92" s="124"/>
      <c r="F92" s="125"/>
      <c r="G92" s="126"/>
      <c r="H92" s="126"/>
      <c r="I92" s="126"/>
      <c r="J92" s="127"/>
      <c r="K92" s="127"/>
      <c r="L92" s="127"/>
      <c r="M92" s="431"/>
      <c r="N92" s="126"/>
      <c r="O92" s="126"/>
      <c r="P92" s="125"/>
      <c r="Q92" s="125"/>
      <c r="R92" s="125"/>
      <c r="S92" s="126"/>
      <c r="T92" s="126"/>
      <c r="U92" s="126"/>
      <c r="V92" s="127"/>
      <c r="W92" s="127"/>
      <c r="X92" s="127"/>
      <c r="Y92" s="126">
        <v>144</v>
      </c>
      <c r="Z92" s="126">
        <v>7.6</v>
      </c>
      <c r="AA92" s="126">
        <f t="shared" si="26"/>
        <v>1094.4</v>
      </c>
      <c r="AB92" s="125"/>
      <c r="AC92" s="125"/>
      <c r="AD92" s="125"/>
      <c r="AE92" s="126"/>
      <c r="AF92" s="126"/>
      <c r="AG92" s="126"/>
      <c r="AH92" s="127"/>
      <c r="AI92" s="127"/>
      <c r="AJ92" s="127"/>
      <c r="AK92" s="126"/>
      <c r="AL92" s="126"/>
      <c r="AM92" s="126"/>
      <c r="AN92" s="128">
        <v>166</v>
      </c>
      <c r="AO92" s="128">
        <v>6.1</v>
      </c>
      <c r="AP92" s="128">
        <f t="shared" si="29"/>
        <v>1012.6</v>
      </c>
      <c r="AQ92" s="12"/>
    </row>
    <row r="93" s="47" customFormat="1" ht="20.25" spans="1:44">
      <c r="A93" s="344"/>
      <c r="B93" s="346"/>
      <c r="C93" s="424"/>
      <c r="D93" s="124"/>
      <c r="E93" s="124"/>
      <c r="F93" s="125"/>
      <c r="G93" s="126"/>
      <c r="H93" s="126"/>
      <c r="I93" s="126"/>
      <c r="J93" s="127"/>
      <c r="K93" s="127"/>
      <c r="L93" s="127"/>
      <c r="M93" s="431"/>
      <c r="N93" s="126"/>
      <c r="O93" s="126"/>
      <c r="P93" s="125"/>
      <c r="Q93" s="125"/>
      <c r="R93" s="125"/>
      <c r="S93" s="126"/>
      <c r="T93" s="126"/>
      <c r="U93" s="126"/>
      <c r="V93" s="127"/>
      <c r="W93" s="127"/>
      <c r="X93" s="127"/>
      <c r="Y93" s="126"/>
      <c r="Z93" s="126"/>
      <c r="AA93" s="126"/>
      <c r="AB93" s="125"/>
      <c r="AC93" s="125"/>
      <c r="AD93" s="125"/>
      <c r="AE93" s="126"/>
      <c r="AF93" s="126"/>
      <c r="AG93" s="126"/>
      <c r="AH93" s="127"/>
      <c r="AI93" s="127"/>
      <c r="AJ93" s="127"/>
      <c r="AK93" s="126"/>
      <c r="AL93" s="126"/>
      <c r="AM93" s="126"/>
      <c r="AN93" s="128"/>
      <c r="AO93" s="128"/>
      <c r="AP93" s="128"/>
      <c r="AQ93" s="12"/>
    </row>
    <row r="94" s="47" customFormat="1" ht="20.25" spans="1:44">
      <c r="A94" s="344"/>
      <c r="B94" s="346"/>
      <c r="C94" s="424"/>
      <c r="D94" s="124"/>
      <c r="E94" s="124"/>
      <c r="F94" s="125"/>
      <c r="G94" s="126"/>
      <c r="H94" s="126"/>
      <c r="I94" s="126"/>
      <c r="J94" s="127"/>
      <c r="K94" s="127"/>
      <c r="L94" s="127"/>
      <c r="M94" s="431"/>
      <c r="N94" s="126"/>
      <c r="O94" s="126"/>
      <c r="P94" s="125"/>
      <c r="Q94" s="125"/>
      <c r="R94" s="125"/>
      <c r="S94" s="126"/>
      <c r="T94" s="126"/>
      <c r="U94" s="126"/>
      <c r="V94" s="127"/>
      <c r="W94" s="127"/>
      <c r="X94" s="127"/>
      <c r="Y94" s="126"/>
      <c r="Z94" s="126"/>
      <c r="AA94" s="126"/>
      <c r="AB94" s="125"/>
      <c r="AC94" s="125"/>
      <c r="AD94" s="125"/>
      <c r="AE94" s="126"/>
      <c r="AF94" s="126"/>
      <c r="AG94" s="126"/>
      <c r="AH94" s="127"/>
      <c r="AI94" s="127"/>
      <c r="AJ94" s="127"/>
      <c r="AK94" s="126"/>
      <c r="AL94" s="126"/>
      <c r="AM94" s="126"/>
      <c r="AN94" s="128"/>
      <c r="AO94" s="128"/>
      <c r="AP94" s="128"/>
      <c r="AQ94" s="12"/>
    </row>
    <row r="95" s="47" customFormat="1" ht="20.25" spans="1:44">
      <c r="A95" s="433"/>
      <c r="B95" s="434"/>
      <c r="C95" s="435">
        <f>SUM(C73:C94)</f>
        <v>11104.7</v>
      </c>
      <c r="D95" s="124">
        <f>SUM(D73:D94)</f>
        <v>0</v>
      </c>
      <c r="E95" s="124"/>
      <c r="F95" s="125">
        <f>SUM(F73:F94)</f>
        <v>0</v>
      </c>
      <c r="G95" s="126">
        <f>SUM(G73:G94)</f>
        <v>0</v>
      </c>
      <c r="H95" s="126"/>
      <c r="I95" s="126">
        <f>SUM(I73:I94)</f>
        <v>0</v>
      </c>
      <c r="J95" s="127">
        <f>SUM(J73:J94)</f>
        <v>103</v>
      </c>
      <c r="K95" s="127"/>
      <c r="L95" s="127">
        <f>SUM(L73:L94)</f>
        <v>1711</v>
      </c>
      <c r="M95" s="431">
        <f>SUM(M73:M94)</f>
        <v>0</v>
      </c>
      <c r="N95" s="126"/>
      <c r="O95" s="126">
        <f>SUM(O73:O94)</f>
        <v>0</v>
      </c>
      <c r="P95" s="125">
        <f>SUM(P73:P94)</f>
        <v>25</v>
      </c>
      <c r="Q95" s="125"/>
      <c r="R95" s="125">
        <f>SUM(R73:R94)</f>
        <v>2050</v>
      </c>
      <c r="S95" s="126">
        <f>SUM(S73:S94)</f>
        <v>0</v>
      </c>
      <c r="T95" s="126"/>
      <c r="U95" s="126">
        <f>SUM(U73:U94)</f>
        <v>0</v>
      </c>
      <c r="V95" s="127">
        <f>SUM(V73:V94)</f>
        <v>6.5</v>
      </c>
      <c r="W95" s="127"/>
      <c r="X95" s="127">
        <f>SUM(X73:X94)</f>
        <v>162.5</v>
      </c>
      <c r="Y95" s="126">
        <f>SUM(Y73:Y94)</f>
        <v>1743</v>
      </c>
      <c r="Z95" s="126"/>
      <c r="AA95" s="126">
        <f>SUM(AA73:AA94)</f>
        <v>13246.8</v>
      </c>
      <c r="AB95" s="125">
        <f>SUM(AB73:AB94)</f>
        <v>769</v>
      </c>
      <c r="AC95" s="125"/>
      <c r="AD95" s="125">
        <f>SUM(AD73:AD94)</f>
        <v>4106.5</v>
      </c>
      <c r="AE95" s="126">
        <f>SUM(AE73:AE94)</f>
        <v>525</v>
      </c>
      <c r="AF95" s="126"/>
      <c r="AG95" s="126">
        <f>SUM(AG73:AG94)</f>
        <v>1689.3</v>
      </c>
      <c r="AH95" s="127">
        <f>SUM(AH73:AH94)</f>
        <v>0</v>
      </c>
      <c r="AI95" s="127"/>
      <c r="AJ95" s="127">
        <f>SUM(AJ73:AJ94)</f>
        <v>0</v>
      </c>
      <c r="AK95" s="126">
        <f>SUM(AK73:AK94)</f>
        <v>489</v>
      </c>
      <c r="AL95" s="126"/>
      <c r="AM95" s="126">
        <f>SUM(AM73:AM94)</f>
        <v>3095.3</v>
      </c>
      <c r="AN95" s="128">
        <f>SUM(AN73:AN94)</f>
        <v>844.9</v>
      </c>
      <c r="AO95" s="128"/>
      <c r="AP95" s="128">
        <f>SUM(AP73:AP94)</f>
        <v>5297.67</v>
      </c>
      <c r="AQ95" s="12"/>
    </row>
    <row r="96" customFormat="1" spans="1:44">
      <c r="A96" s="436"/>
      <c r="B96" s="437"/>
      <c r="C96" s="437"/>
      <c r="D96" s="437"/>
      <c r="E96" s="437"/>
      <c r="F96" s="437"/>
      <c r="G96" s="437"/>
      <c r="H96" s="437"/>
      <c r="I96" s="437"/>
      <c r="J96" s="437"/>
      <c r="K96" s="437"/>
      <c r="L96" s="437"/>
      <c r="M96" s="437"/>
      <c r="N96" s="437"/>
      <c r="O96" s="437"/>
      <c r="P96" s="437"/>
      <c r="Q96" s="437"/>
      <c r="R96" s="437"/>
      <c r="S96" s="437"/>
      <c r="T96" s="437"/>
      <c r="U96" s="437"/>
      <c r="V96" s="437"/>
      <c r="W96" s="437"/>
      <c r="X96" s="437"/>
      <c r="Y96" s="437"/>
      <c r="Z96" s="437"/>
      <c r="AA96" s="437"/>
      <c r="AB96" s="437"/>
      <c r="AC96" s="437"/>
      <c r="AD96" s="437"/>
      <c r="AE96" s="437"/>
      <c r="AF96" s="437"/>
      <c r="AG96" s="437"/>
      <c r="AH96" s="437"/>
      <c r="AI96" s="437"/>
      <c r="AJ96" s="437"/>
      <c r="AK96" s="437"/>
      <c r="AL96" s="437"/>
      <c r="AM96" s="437"/>
      <c r="AN96" s="437"/>
      <c r="AO96" s="437"/>
      <c r="AP96" s="437"/>
      <c r="AQ96" s="12"/>
    </row>
    <row r="97" s="11" customFormat="1" ht="33" customHeight="1" spans="1:44">
      <c r="A97" s="438" t="s">
        <v>948</v>
      </c>
      <c r="B97" s="439"/>
      <c r="C97" s="439"/>
      <c r="D97" s="440"/>
      <c r="E97" s="440"/>
      <c r="F97" s="177"/>
      <c r="G97" s="168" t="s">
        <v>908</v>
      </c>
      <c r="H97" s="168"/>
      <c r="I97" s="168"/>
      <c r="J97" s="170"/>
      <c r="K97" s="170"/>
      <c r="L97" s="178">
        <f>F121+I121+L121+O121+R121+U121+X121+AA121+AD121+AG121+AJ121+AM121+AP121</f>
        <v>27063.74</v>
      </c>
      <c r="M97" s="178"/>
      <c r="N97" s="168"/>
      <c r="O97" s="168"/>
      <c r="P97" s="177"/>
      <c r="Q97" s="177"/>
      <c r="R97" s="177"/>
      <c r="S97" s="168"/>
      <c r="T97" s="168"/>
      <c r="U97" s="168"/>
      <c r="V97" s="178"/>
      <c r="W97" s="178"/>
      <c r="X97" s="178"/>
      <c r="Y97" s="168"/>
      <c r="Z97" s="168"/>
      <c r="AA97" s="168"/>
      <c r="AB97" s="177"/>
      <c r="AC97" s="177"/>
      <c r="AD97" s="177"/>
      <c r="AE97" s="168"/>
      <c r="AF97" s="168"/>
      <c r="AG97" s="168"/>
      <c r="AH97" s="178"/>
      <c r="AI97" s="178"/>
      <c r="AJ97" s="179"/>
      <c r="AK97" s="180"/>
      <c r="AL97" s="180"/>
      <c r="AM97" s="181"/>
    </row>
    <row r="98" s="12" customFormat="1" ht="27" customHeight="1" spans="1:44">
      <c r="A98" s="81" t="s">
        <v>35</v>
      </c>
      <c r="B98" s="82" t="s">
        <v>909</v>
      </c>
      <c r="C98" s="83"/>
      <c r="D98" s="74" t="s">
        <v>289</v>
      </c>
      <c r="E98" s="74"/>
      <c r="F98" s="103"/>
      <c r="G98" s="81" t="s">
        <v>466</v>
      </c>
      <c r="H98" s="81"/>
      <c r="I98" s="81"/>
      <c r="J98" s="78" t="s">
        <v>910</v>
      </c>
      <c r="K98" s="78"/>
      <c r="L98" s="78"/>
      <c r="M98" s="81" t="s">
        <v>911</v>
      </c>
      <c r="N98" s="81"/>
      <c r="O98" s="81"/>
      <c r="P98" s="104" t="s">
        <v>912</v>
      </c>
      <c r="Q98" s="104"/>
      <c r="R98" s="104"/>
      <c r="S98" s="81" t="s">
        <v>913</v>
      </c>
      <c r="T98" s="81"/>
      <c r="U98" s="81"/>
      <c r="V98" s="78" t="s">
        <v>522</v>
      </c>
      <c r="W98" s="78"/>
      <c r="X98" s="78"/>
      <c r="Y98" s="81">
        <v>808</v>
      </c>
      <c r="Z98" s="81"/>
      <c r="AA98" s="81"/>
      <c r="AB98" s="104" t="s">
        <v>125</v>
      </c>
      <c r="AC98" s="104"/>
      <c r="AD98" s="104"/>
      <c r="AE98" s="81" t="s">
        <v>132</v>
      </c>
      <c r="AF98" s="81"/>
      <c r="AG98" s="81"/>
      <c r="AH98" s="78">
        <v>811</v>
      </c>
      <c r="AI98" s="78"/>
      <c r="AJ98" s="105"/>
      <c r="AK98" s="81" t="s">
        <v>152</v>
      </c>
      <c r="AL98" s="81"/>
      <c r="AM98" s="81"/>
      <c r="AN98" s="106" t="s">
        <v>12</v>
      </c>
      <c r="AO98" s="107"/>
      <c r="AP98" s="108"/>
    </row>
    <row r="99" s="12" customFormat="1" ht="27" customHeight="1" spans="1:44">
      <c r="A99" s="81"/>
      <c r="B99" s="82" t="s">
        <v>914</v>
      </c>
      <c r="C99" s="83" t="s">
        <v>915</v>
      </c>
      <c r="D99" s="117" t="s">
        <v>916</v>
      </c>
      <c r="E99" s="118" t="s">
        <v>917</v>
      </c>
      <c r="F99" s="81" t="s">
        <v>918</v>
      </c>
      <c r="G99" s="81" t="s">
        <v>916</v>
      </c>
      <c r="H99" s="81" t="s">
        <v>917</v>
      </c>
      <c r="I99" s="81" t="s">
        <v>918</v>
      </c>
      <c r="J99" s="78" t="s">
        <v>916</v>
      </c>
      <c r="K99" s="78" t="s">
        <v>917</v>
      </c>
      <c r="L99" s="78" t="s">
        <v>918</v>
      </c>
      <c r="M99" s="81" t="s">
        <v>916</v>
      </c>
      <c r="N99" s="81" t="s">
        <v>917</v>
      </c>
      <c r="O99" s="81" t="s">
        <v>918</v>
      </c>
      <c r="P99" s="104" t="s">
        <v>916</v>
      </c>
      <c r="Q99" s="104" t="s">
        <v>917</v>
      </c>
      <c r="R99" s="104" t="s">
        <v>918</v>
      </c>
      <c r="S99" s="81" t="s">
        <v>916</v>
      </c>
      <c r="T99" s="81" t="s">
        <v>917</v>
      </c>
      <c r="U99" s="81" t="s">
        <v>918</v>
      </c>
      <c r="V99" s="78" t="s">
        <v>916</v>
      </c>
      <c r="W99" s="78" t="s">
        <v>917</v>
      </c>
      <c r="X99" s="78" t="s">
        <v>918</v>
      </c>
      <c r="Y99" s="81" t="s">
        <v>916</v>
      </c>
      <c r="Z99" s="81" t="s">
        <v>917</v>
      </c>
      <c r="AA99" s="81" t="s">
        <v>918</v>
      </c>
      <c r="AB99" s="104" t="s">
        <v>916</v>
      </c>
      <c r="AC99" s="104" t="s">
        <v>917</v>
      </c>
      <c r="AD99" s="104" t="s">
        <v>918</v>
      </c>
      <c r="AE99" s="81" t="s">
        <v>916</v>
      </c>
      <c r="AF99" s="81" t="s">
        <v>917</v>
      </c>
      <c r="AG99" s="81" t="s">
        <v>918</v>
      </c>
      <c r="AH99" s="78" t="s">
        <v>916</v>
      </c>
      <c r="AI99" s="78" t="s">
        <v>917</v>
      </c>
      <c r="AJ99" s="105" t="s">
        <v>918</v>
      </c>
      <c r="AK99" s="81" t="s">
        <v>916</v>
      </c>
      <c r="AL99" s="81" t="s">
        <v>917</v>
      </c>
      <c r="AM99" s="81" t="s">
        <v>918</v>
      </c>
      <c r="AN99" s="104" t="s">
        <v>916</v>
      </c>
      <c r="AO99" s="104" t="s">
        <v>917</v>
      </c>
      <c r="AP99" s="104" t="s">
        <v>918</v>
      </c>
    </row>
    <row r="100" s="46" customFormat="1" ht="20.25" spans="1:44">
      <c r="A100" s="344">
        <v>45901</v>
      </c>
      <c r="B100" s="346" t="s">
        <v>937</v>
      </c>
      <c r="C100" s="424">
        <v>1000</v>
      </c>
      <c r="D100" s="124"/>
      <c r="E100" s="124"/>
      <c r="F100" s="125"/>
      <c r="G100" s="126"/>
      <c r="H100" s="126"/>
      <c r="I100" s="126"/>
      <c r="J100" s="127">
        <v>30</v>
      </c>
      <c r="K100" s="127">
        <v>17</v>
      </c>
      <c r="L100" s="127">
        <f t="shared" ref="L100:L105" si="30">J100*K100</f>
        <v>510</v>
      </c>
      <c r="M100" s="432"/>
      <c r="N100" s="126"/>
      <c r="O100" s="126"/>
      <c r="P100" s="125"/>
      <c r="Q100" s="125"/>
      <c r="R100" s="125"/>
      <c r="S100" s="126"/>
      <c r="T100" s="126"/>
      <c r="U100" s="126"/>
      <c r="V100" s="127">
        <v>3</v>
      </c>
      <c r="W100" s="127">
        <v>25</v>
      </c>
      <c r="X100" s="127">
        <f t="shared" ref="X100:X105" si="31">V100*W100</f>
        <v>75</v>
      </c>
      <c r="Y100" s="126">
        <v>150</v>
      </c>
      <c r="Z100" s="126">
        <v>7.6</v>
      </c>
      <c r="AA100" s="126">
        <f>Y100*Z100</f>
        <v>1140</v>
      </c>
      <c r="AB100" s="125"/>
      <c r="AC100" s="125"/>
      <c r="AD100" s="125"/>
      <c r="AE100" s="126">
        <v>75</v>
      </c>
      <c r="AF100" s="126">
        <v>3.2</v>
      </c>
      <c r="AG100" s="126">
        <f t="shared" ref="AG100:AG103" si="32">AE100*AF100</f>
        <v>240</v>
      </c>
      <c r="AH100" s="127"/>
      <c r="AI100" s="127"/>
      <c r="AJ100" s="127"/>
      <c r="AK100" s="126">
        <v>100</v>
      </c>
      <c r="AL100" s="126">
        <v>6.5</v>
      </c>
      <c r="AM100" s="126">
        <f t="shared" ref="AM100:AM105" si="33">AK100*AL100</f>
        <v>650</v>
      </c>
      <c r="AN100" s="128">
        <v>130</v>
      </c>
      <c r="AO100" s="128">
        <v>6.4</v>
      </c>
      <c r="AP100" s="128">
        <f t="shared" ref="AP100:AP103" si="34">AN100*AO100</f>
        <v>832</v>
      </c>
      <c r="AQ100" s="12"/>
      <c r="AR100" s="12"/>
    </row>
    <row r="101" s="47" customFormat="1" ht="20.25" spans="1:44">
      <c r="A101" s="344">
        <v>45901</v>
      </c>
      <c r="B101" s="346" t="s">
        <v>927</v>
      </c>
      <c r="C101" s="424">
        <v>550</v>
      </c>
      <c r="D101" s="124"/>
      <c r="E101" s="124"/>
      <c r="F101" s="125"/>
      <c r="G101" s="126">
        <v>50</v>
      </c>
      <c r="H101" s="126">
        <v>0.9</v>
      </c>
      <c r="I101" s="126">
        <f>G101*H101</f>
        <v>45</v>
      </c>
      <c r="J101" s="127">
        <v>15</v>
      </c>
      <c r="K101" s="127">
        <v>17</v>
      </c>
      <c r="L101" s="127">
        <f t="shared" si="30"/>
        <v>255</v>
      </c>
      <c r="M101" s="431"/>
      <c r="N101" s="126"/>
      <c r="O101" s="126"/>
      <c r="P101" s="125"/>
      <c r="Q101" s="125"/>
      <c r="R101" s="125"/>
      <c r="S101" s="126"/>
      <c r="T101" s="126"/>
      <c r="U101" s="126"/>
      <c r="V101" s="127">
        <v>2.5</v>
      </c>
      <c r="W101" s="127">
        <v>25</v>
      </c>
      <c r="X101" s="127">
        <f t="shared" si="31"/>
        <v>62.5</v>
      </c>
      <c r="Y101" s="126"/>
      <c r="Z101" s="126"/>
      <c r="AA101" s="126"/>
      <c r="AB101" s="125">
        <v>107.5</v>
      </c>
      <c r="AC101" s="125">
        <v>5.5</v>
      </c>
      <c r="AD101" s="125">
        <f>AB101*AC101</f>
        <v>591.25</v>
      </c>
      <c r="AE101" s="126">
        <v>70</v>
      </c>
      <c r="AF101" s="126">
        <v>3.2</v>
      </c>
      <c r="AG101" s="126">
        <f t="shared" si="32"/>
        <v>224</v>
      </c>
      <c r="AH101" s="127"/>
      <c r="AI101" s="127"/>
      <c r="AJ101" s="127"/>
      <c r="AK101" s="126"/>
      <c r="AL101" s="126"/>
      <c r="AM101" s="126"/>
      <c r="AN101" s="441"/>
      <c r="AO101" s="128"/>
      <c r="AP101" s="128"/>
      <c r="AQ101" s="12"/>
      <c r="AR101" s="12"/>
    </row>
    <row r="102" s="48" customFormat="1" ht="20.25" spans="1:44">
      <c r="A102" s="344">
        <v>45905</v>
      </c>
      <c r="B102" s="346" t="s">
        <v>938</v>
      </c>
      <c r="C102" s="424">
        <v>1000</v>
      </c>
      <c r="D102" s="124"/>
      <c r="E102" s="124"/>
      <c r="F102" s="125"/>
      <c r="G102" s="126"/>
      <c r="H102" s="126"/>
      <c r="I102" s="126"/>
      <c r="J102" s="127"/>
      <c r="K102" s="127"/>
      <c r="L102" s="127"/>
      <c r="M102" s="432"/>
      <c r="N102" s="126"/>
      <c r="O102" s="126"/>
      <c r="P102" s="125"/>
      <c r="Q102" s="125"/>
      <c r="R102" s="125"/>
      <c r="S102" s="126"/>
      <c r="T102" s="126"/>
      <c r="U102" s="126"/>
      <c r="V102" s="127"/>
      <c r="W102" s="127"/>
      <c r="X102" s="127"/>
      <c r="Y102" s="126">
        <v>102</v>
      </c>
      <c r="Z102" s="126">
        <v>7.6</v>
      </c>
      <c r="AA102" s="126">
        <f>Y102*Z102</f>
        <v>775.2</v>
      </c>
      <c r="AB102" s="125"/>
      <c r="AC102" s="125"/>
      <c r="AD102" s="125"/>
      <c r="AE102" s="126"/>
      <c r="AF102" s="126"/>
      <c r="AG102" s="126"/>
      <c r="AH102" s="127"/>
      <c r="AI102" s="127"/>
      <c r="AJ102" s="127"/>
      <c r="AK102" s="126"/>
      <c r="AL102" s="126"/>
      <c r="AM102" s="126"/>
      <c r="AN102" s="125">
        <v>150</v>
      </c>
      <c r="AO102" s="128">
        <v>6.4</v>
      </c>
      <c r="AP102" s="128">
        <f t="shared" si="34"/>
        <v>960</v>
      </c>
      <c r="AQ102" s="12"/>
      <c r="AR102" s="12"/>
    </row>
    <row r="103" s="48" customFormat="1" ht="20.25" spans="1:44">
      <c r="A103" s="344">
        <v>45910</v>
      </c>
      <c r="B103" s="352" t="s">
        <v>949</v>
      </c>
      <c r="C103" s="424">
        <v>4</v>
      </c>
      <c r="D103" s="124"/>
      <c r="E103" s="124"/>
      <c r="F103" s="125"/>
      <c r="G103" s="126"/>
      <c r="H103" s="126"/>
      <c r="I103" s="126"/>
      <c r="J103" s="127"/>
      <c r="K103" s="127"/>
      <c r="L103" s="127"/>
      <c r="M103" s="432"/>
      <c r="N103" s="126"/>
      <c r="O103" s="126"/>
      <c r="P103" s="125"/>
      <c r="Q103" s="125"/>
      <c r="R103" s="125"/>
      <c r="S103" s="126"/>
      <c r="T103" s="126"/>
      <c r="U103" s="126"/>
      <c r="V103" s="127"/>
      <c r="W103" s="127"/>
      <c r="X103" s="127"/>
      <c r="Y103" s="126">
        <v>0.7</v>
      </c>
      <c r="Z103" s="126">
        <v>7.6</v>
      </c>
      <c r="AA103" s="126">
        <f>Y103*Z103</f>
        <v>5.32</v>
      </c>
      <c r="AB103" s="125">
        <v>1.3</v>
      </c>
      <c r="AC103" s="125">
        <v>5.5</v>
      </c>
      <c r="AD103" s="125">
        <f t="shared" ref="AD101:AD109" si="35">AB103*AC103</f>
        <v>7.15</v>
      </c>
      <c r="AE103" s="126">
        <v>1.6</v>
      </c>
      <c r="AF103" s="126">
        <v>3.3</v>
      </c>
      <c r="AG103" s="126">
        <f t="shared" si="32"/>
        <v>5.28</v>
      </c>
      <c r="AH103" s="127"/>
      <c r="AI103" s="127"/>
      <c r="AJ103" s="127"/>
      <c r="AK103" s="126"/>
      <c r="AL103" s="126"/>
      <c r="AM103" s="126"/>
      <c r="AN103" s="125">
        <v>0.4</v>
      </c>
      <c r="AO103" s="128">
        <v>6.4</v>
      </c>
      <c r="AP103" s="128">
        <f t="shared" si="34"/>
        <v>2.56</v>
      </c>
      <c r="AQ103" s="12"/>
      <c r="AR103" s="12"/>
    </row>
    <row r="104" s="48" customFormat="1" ht="20.25" spans="1:44">
      <c r="A104" s="344">
        <v>45910</v>
      </c>
      <c r="B104" s="346" t="s">
        <v>933</v>
      </c>
      <c r="C104" s="424">
        <v>160</v>
      </c>
      <c r="D104" s="124"/>
      <c r="E104" s="124"/>
      <c r="F104" s="125"/>
      <c r="G104" s="126"/>
      <c r="H104" s="126"/>
      <c r="I104" s="126"/>
      <c r="J104" s="141">
        <v>20</v>
      </c>
      <c r="K104" s="141">
        <v>15</v>
      </c>
      <c r="L104" s="141">
        <f t="shared" si="30"/>
        <v>300</v>
      </c>
      <c r="M104" s="432"/>
      <c r="N104" s="126"/>
      <c r="O104" s="126"/>
      <c r="P104" s="125"/>
      <c r="Q104" s="125"/>
      <c r="R104" s="125"/>
      <c r="S104" s="126"/>
      <c r="T104" s="126"/>
      <c r="U104" s="126"/>
      <c r="V104" s="127"/>
      <c r="W104" s="127"/>
      <c r="X104" s="127"/>
      <c r="Y104" s="126"/>
      <c r="Z104" s="126"/>
      <c r="AA104" s="126"/>
      <c r="AB104" s="125">
        <v>64</v>
      </c>
      <c r="AC104" s="125">
        <v>5.5</v>
      </c>
      <c r="AD104" s="125">
        <f t="shared" si="35"/>
        <v>352</v>
      </c>
      <c r="AE104" s="126"/>
      <c r="AF104" s="126"/>
      <c r="AG104" s="126"/>
      <c r="AH104" s="127"/>
      <c r="AI104" s="127"/>
      <c r="AJ104" s="127"/>
      <c r="AK104" s="126">
        <v>73</v>
      </c>
      <c r="AL104" s="126">
        <v>6.5</v>
      </c>
      <c r="AM104" s="126">
        <f t="shared" si="33"/>
        <v>474.5</v>
      </c>
      <c r="AN104" s="125"/>
      <c r="AO104" s="128"/>
      <c r="AP104" s="128"/>
      <c r="AQ104" s="12"/>
      <c r="AR104" s="12"/>
    </row>
    <row r="105" s="48" customFormat="1" ht="20.25" spans="1:44">
      <c r="A105" s="344">
        <v>45912</v>
      </c>
      <c r="B105" s="346" t="s">
        <v>930</v>
      </c>
      <c r="C105" s="424">
        <v>1002.5</v>
      </c>
      <c r="D105" s="124"/>
      <c r="E105" s="124"/>
      <c r="F105" s="125"/>
      <c r="G105" s="126"/>
      <c r="H105" s="126"/>
      <c r="I105" s="126"/>
      <c r="J105" s="127">
        <v>25</v>
      </c>
      <c r="K105" s="127">
        <v>17</v>
      </c>
      <c r="L105" s="127">
        <f t="shared" si="30"/>
        <v>425</v>
      </c>
      <c r="M105" s="432"/>
      <c r="N105" s="126"/>
      <c r="O105" s="126"/>
      <c r="P105" s="125"/>
      <c r="Q105" s="125"/>
      <c r="R105" s="125"/>
      <c r="S105" s="126"/>
      <c r="T105" s="126"/>
      <c r="U105" s="126"/>
      <c r="V105" s="127">
        <v>2.5</v>
      </c>
      <c r="W105" s="127">
        <v>25</v>
      </c>
      <c r="X105" s="127">
        <f t="shared" si="31"/>
        <v>62.5</v>
      </c>
      <c r="Y105" s="126"/>
      <c r="Z105" s="126"/>
      <c r="AA105" s="126"/>
      <c r="AB105" s="125">
        <v>59</v>
      </c>
      <c r="AC105" s="125">
        <v>5.5</v>
      </c>
      <c r="AD105" s="125">
        <f t="shared" si="35"/>
        <v>324.5</v>
      </c>
      <c r="AE105" s="126">
        <v>279</v>
      </c>
      <c r="AF105" s="126">
        <v>3.3</v>
      </c>
      <c r="AG105" s="126">
        <f>AE105*AF105</f>
        <v>920.7</v>
      </c>
      <c r="AH105" s="127"/>
      <c r="AI105" s="127"/>
      <c r="AJ105" s="127"/>
      <c r="AK105" s="126">
        <v>92</v>
      </c>
      <c r="AL105" s="126">
        <v>6.5</v>
      </c>
      <c r="AM105" s="126">
        <f t="shared" si="33"/>
        <v>598</v>
      </c>
      <c r="AN105" s="125"/>
      <c r="AO105" s="128"/>
      <c r="AP105" s="128"/>
      <c r="AQ105" s="12"/>
      <c r="AR105" s="12"/>
    </row>
    <row r="106" s="48" customFormat="1" ht="20.25" spans="1:44">
      <c r="A106" s="344">
        <v>45912</v>
      </c>
      <c r="B106" s="346" t="s">
        <v>924</v>
      </c>
      <c r="C106" s="424">
        <v>500</v>
      </c>
      <c r="D106" s="124"/>
      <c r="E106" s="124"/>
      <c r="F106" s="125"/>
      <c r="G106" s="126"/>
      <c r="H106" s="126"/>
      <c r="I106" s="126"/>
      <c r="J106" s="127"/>
      <c r="K106" s="127"/>
      <c r="L106" s="127"/>
      <c r="M106" s="432"/>
      <c r="N106" s="126"/>
      <c r="O106" s="126"/>
      <c r="P106" s="125"/>
      <c r="Q106" s="125"/>
      <c r="R106" s="125"/>
      <c r="S106" s="126"/>
      <c r="T106" s="126"/>
      <c r="U106" s="126"/>
      <c r="V106" s="127"/>
      <c r="W106" s="127"/>
      <c r="X106" s="127"/>
      <c r="Y106" s="126">
        <v>50</v>
      </c>
      <c r="Z106" s="126">
        <v>7.6</v>
      </c>
      <c r="AA106" s="126">
        <f t="shared" ref="AA106:AA111" si="36">Y106*Z106</f>
        <v>380</v>
      </c>
      <c r="AB106" s="125">
        <v>108</v>
      </c>
      <c r="AC106" s="125">
        <v>5.5</v>
      </c>
      <c r="AD106" s="125">
        <f t="shared" si="35"/>
        <v>594</v>
      </c>
      <c r="AE106" s="126"/>
      <c r="AF106" s="126"/>
      <c r="AG106" s="126"/>
      <c r="AH106" s="127"/>
      <c r="AI106" s="127"/>
      <c r="AJ106" s="127"/>
      <c r="AK106" s="126"/>
      <c r="AL106" s="126"/>
      <c r="AM106" s="126"/>
      <c r="AN106" s="125">
        <v>10</v>
      </c>
      <c r="AO106" s="128">
        <v>6.4</v>
      </c>
      <c r="AP106" s="128">
        <f>AN106*AO106</f>
        <v>64</v>
      </c>
      <c r="AQ106" s="12"/>
      <c r="AR106" s="12"/>
    </row>
    <row r="107" s="48" customFormat="1" ht="20.25" spans="1:44">
      <c r="A107" s="344">
        <v>45913</v>
      </c>
      <c r="B107" s="346" t="s">
        <v>950</v>
      </c>
      <c r="C107" s="424">
        <v>553</v>
      </c>
      <c r="D107" s="124"/>
      <c r="E107" s="124"/>
      <c r="F107" s="125"/>
      <c r="G107" s="126">
        <v>50</v>
      </c>
      <c r="H107" s="126">
        <v>0.9</v>
      </c>
      <c r="I107" s="126">
        <f>G107*H107</f>
        <v>45</v>
      </c>
      <c r="J107" s="127">
        <v>15</v>
      </c>
      <c r="K107" s="127">
        <v>17</v>
      </c>
      <c r="L107" s="127">
        <f t="shared" ref="L107:L113" si="37">J107*K107</f>
        <v>255</v>
      </c>
      <c r="M107" s="432"/>
      <c r="N107" s="126"/>
      <c r="O107" s="126"/>
      <c r="P107" s="125"/>
      <c r="Q107" s="125"/>
      <c r="R107" s="125"/>
      <c r="S107" s="126"/>
      <c r="T107" s="126"/>
      <c r="U107" s="126"/>
      <c r="V107" s="127">
        <v>2</v>
      </c>
      <c r="W107" s="127">
        <v>25</v>
      </c>
      <c r="X107" s="127">
        <f>V107*W107</f>
        <v>50</v>
      </c>
      <c r="Y107" s="126"/>
      <c r="Z107" s="126"/>
      <c r="AA107" s="126"/>
      <c r="AB107" s="125">
        <v>106</v>
      </c>
      <c r="AC107" s="125">
        <v>5.5</v>
      </c>
      <c r="AD107" s="125">
        <f t="shared" si="35"/>
        <v>583</v>
      </c>
      <c r="AE107" s="126">
        <v>130</v>
      </c>
      <c r="AF107" s="126">
        <v>3.3</v>
      </c>
      <c r="AG107" s="126">
        <f>AE107*AF107</f>
        <v>429</v>
      </c>
      <c r="AH107" s="127"/>
      <c r="AI107" s="127"/>
      <c r="AJ107" s="127"/>
      <c r="AK107" s="126"/>
      <c r="AL107" s="126"/>
      <c r="AM107" s="126"/>
      <c r="AN107" s="125"/>
      <c r="AO107" s="128"/>
      <c r="AP107" s="128"/>
      <c r="AQ107" s="12"/>
    </row>
    <row r="108" s="47" customFormat="1" ht="20.25" spans="1:44">
      <c r="A108" s="344">
        <v>45913</v>
      </c>
      <c r="B108" s="346" t="s">
        <v>929</v>
      </c>
      <c r="C108" s="424">
        <v>300</v>
      </c>
      <c r="D108" s="124"/>
      <c r="E108" s="124"/>
      <c r="F108" s="125"/>
      <c r="G108" s="126"/>
      <c r="H108" s="126"/>
      <c r="I108" s="126"/>
      <c r="J108" s="127"/>
      <c r="K108" s="127"/>
      <c r="L108" s="127"/>
      <c r="M108" s="431"/>
      <c r="N108" s="126"/>
      <c r="O108" s="126"/>
      <c r="P108" s="125"/>
      <c r="Q108" s="125"/>
      <c r="R108" s="125"/>
      <c r="S108" s="126"/>
      <c r="T108" s="126"/>
      <c r="U108" s="126"/>
      <c r="V108" s="127"/>
      <c r="W108" s="127"/>
      <c r="X108" s="127"/>
      <c r="Y108" s="126">
        <v>30</v>
      </c>
      <c r="Z108" s="126">
        <v>7.6</v>
      </c>
      <c r="AA108" s="126">
        <f t="shared" si="36"/>
        <v>228</v>
      </c>
      <c r="AB108" s="125">
        <v>61</v>
      </c>
      <c r="AC108" s="125">
        <v>5.5</v>
      </c>
      <c r="AD108" s="125">
        <f t="shared" si="35"/>
        <v>335.5</v>
      </c>
      <c r="AE108" s="126"/>
      <c r="AF108" s="126"/>
      <c r="AG108" s="126"/>
      <c r="AH108" s="127"/>
      <c r="AI108" s="127"/>
      <c r="AJ108" s="127"/>
      <c r="AK108" s="126">
        <v>10</v>
      </c>
      <c r="AL108" s="126">
        <v>6.5</v>
      </c>
      <c r="AM108" s="126">
        <f t="shared" ref="AM108:AM113" si="38">AK108*AL108</f>
        <v>65</v>
      </c>
      <c r="AN108" s="128"/>
      <c r="AO108" s="128"/>
      <c r="AP108" s="128"/>
      <c r="AQ108" s="12"/>
    </row>
    <row r="109" s="47" customFormat="1" ht="20.25" spans="1:44">
      <c r="A109" s="344">
        <v>45914</v>
      </c>
      <c r="B109" s="346" t="s">
        <v>951</v>
      </c>
      <c r="C109" s="424">
        <v>160</v>
      </c>
      <c r="D109" s="124"/>
      <c r="E109" s="124"/>
      <c r="F109" s="125"/>
      <c r="G109" s="126"/>
      <c r="H109" s="126"/>
      <c r="I109" s="126"/>
      <c r="J109" s="141">
        <v>20</v>
      </c>
      <c r="K109" s="141">
        <v>15</v>
      </c>
      <c r="L109" s="141">
        <f t="shared" si="37"/>
        <v>300</v>
      </c>
      <c r="M109" s="432"/>
      <c r="N109" s="126"/>
      <c r="O109" s="126"/>
      <c r="P109" s="125"/>
      <c r="Q109" s="125"/>
      <c r="R109" s="125"/>
      <c r="S109" s="126"/>
      <c r="T109" s="126"/>
      <c r="U109" s="126"/>
      <c r="V109" s="127"/>
      <c r="W109" s="127"/>
      <c r="X109" s="127"/>
      <c r="Y109" s="126"/>
      <c r="Z109" s="126"/>
      <c r="AA109" s="126"/>
      <c r="AB109" s="125">
        <v>64</v>
      </c>
      <c r="AC109" s="125">
        <v>5.5</v>
      </c>
      <c r="AD109" s="125">
        <f t="shared" si="35"/>
        <v>352</v>
      </c>
      <c r="AE109" s="126"/>
      <c r="AF109" s="126"/>
      <c r="AG109" s="126"/>
      <c r="AH109" s="127"/>
      <c r="AI109" s="127"/>
      <c r="AJ109" s="127"/>
      <c r="AK109" s="126">
        <v>73</v>
      </c>
      <c r="AL109" s="126">
        <v>6.5</v>
      </c>
      <c r="AM109" s="126">
        <f t="shared" si="38"/>
        <v>474.5</v>
      </c>
      <c r="AN109" s="128"/>
      <c r="AO109" s="128"/>
      <c r="AP109" s="128"/>
      <c r="AQ109" s="12"/>
    </row>
    <row r="110" s="47" customFormat="1" ht="20.25" spans="1:44">
      <c r="A110" s="344">
        <v>45922</v>
      </c>
      <c r="B110" s="346" t="s">
        <v>952</v>
      </c>
      <c r="C110" s="424">
        <v>258</v>
      </c>
      <c r="D110" s="124"/>
      <c r="E110" s="124"/>
      <c r="F110" s="125"/>
      <c r="G110" s="126"/>
      <c r="H110" s="126"/>
      <c r="I110" s="126"/>
      <c r="J110" s="127"/>
      <c r="K110" s="127"/>
      <c r="L110" s="127"/>
      <c r="M110" s="431"/>
      <c r="N110" s="126"/>
      <c r="O110" s="126"/>
      <c r="P110" s="125"/>
      <c r="Q110" s="125"/>
      <c r="R110" s="125"/>
      <c r="S110" s="126"/>
      <c r="T110" s="126"/>
      <c r="U110" s="126"/>
      <c r="V110" s="127"/>
      <c r="W110" s="127"/>
      <c r="X110" s="127"/>
      <c r="Y110" s="126">
        <v>30</v>
      </c>
      <c r="Z110" s="126">
        <v>7.6</v>
      </c>
      <c r="AA110" s="126">
        <f t="shared" si="36"/>
        <v>228</v>
      </c>
      <c r="AB110" s="125"/>
      <c r="AC110" s="125"/>
      <c r="AD110" s="125"/>
      <c r="AE110" s="126"/>
      <c r="AF110" s="126"/>
      <c r="AG110" s="126"/>
      <c r="AH110" s="127"/>
      <c r="AI110" s="127"/>
      <c r="AJ110" s="127"/>
      <c r="AK110" s="126"/>
      <c r="AL110" s="126"/>
      <c r="AM110" s="126"/>
      <c r="AN110" s="128">
        <v>30</v>
      </c>
      <c r="AO110" s="128">
        <v>6.4</v>
      </c>
      <c r="AP110" s="128">
        <f t="shared" ref="AP110:AP119" si="39">AN110*AO110</f>
        <v>192</v>
      </c>
      <c r="AQ110" s="12"/>
    </row>
    <row r="111" s="46" customFormat="1" ht="20.25" spans="1:44">
      <c r="A111" s="344">
        <v>45923</v>
      </c>
      <c r="B111" s="346" t="s">
        <v>953</v>
      </c>
      <c r="C111" s="424">
        <v>200</v>
      </c>
      <c r="D111" s="124"/>
      <c r="E111" s="124"/>
      <c r="F111" s="125"/>
      <c r="G111" s="126"/>
      <c r="H111" s="126"/>
      <c r="I111" s="126"/>
      <c r="J111" s="127"/>
      <c r="K111" s="127"/>
      <c r="L111" s="127"/>
      <c r="M111" s="432"/>
      <c r="N111" s="126"/>
      <c r="O111" s="126"/>
      <c r="P111" s="125"/>
      <c r="Q111" s="125"/>
      <c r="R111" s="125"/>
      <c r="S111" s="126"/>
      <c r="T111" s="126"/>
      <c r="U111" s="126"/>
      <c r="V111" s="127"/>
      <c r="W111" s="127"/>
      <c r="X111" s="127"/>
      <c r="Y111" s="126">
        <v>28</v>
      </c>
      <c r="Z111" s="126">
        <v>7.6</v>
      </c>
      <c r="AA111" s="126">
        <f t="shared" si="36"/>
        <v>212.8</v>
      </c>
      <c r="AB111" s="125">
        <v>16</v>
      </c>
      <c r="AC111" s="125">
        <v>5.5</v>
      </c>
      <c r="AD111" s="125">
        <f t="shared" ref="AD111:AD115" si="40">AB111*AC111</f>
        <v>88</v>
      </c>
      <c r="AE111" s="126"/>
      <c r="AF111" s="126"/>
      <c r="AG111" s="126"/>
      <c r="AH111" s="127"/>
      <c r="AI111" s="127"/>
      <c r="AJ111" s="127"/>
      <c r="AK111" s="126"/>
      <c r="AL111" s="126"/>
      <c r="AM111" s="126"/>
      <c r="AN111" s="128"/>
      <c r="AO111" s="128"/>
      <c r="AP111" s="128"/>
      <c r="AQ111" s="12"/>
    </row>
    <row r="112" s="46" customFormat="1" ht="20.25" spans="1:44">
      <c r="A112" s="344">
        <v>45923</v>
      </c>
      <c r="B112" s="346" t="s">
        <v>954</v>
      </c>
      <c r="C112" s="424">
        <v>200</v>
      </c>
      <c r="D112" s="124"/>
      <c r="E112" s="124"/>
      <c r="F112" s="125"/>
      <c r="G112" s="126"/>
      <c r="H112" s="126"/>
      <c r="I112" s="126"/>
      <c r="J112" s="127">
        <v>6</v>
      </c>
      <c r="K112" s="127">
        <v>17</v>
      </c>
      <c r="L112" s="127">
        <f t="shared" si="37"/>
        <v>102</v>
      </c>
      <c r="M112" s="432"/>
      <c r="N112" s="126"/>
      <c r="O112" s="126"/>
      <c r="P112" s="125"/>
      <c r="Q112" s="125"/>
      <c r="R112" s="125"/>
      <c r="S112" s="126"/>
      <c r="T112" s="126"/>
      <c r="U112" s="126"/>
      <c r="V112" s="127">
        <v>0.4</v>
      </c>
      <c r="W112" s="127">
        <v>25</v>
      </c>
      <c r="X112" s="127">
        <f>V112*W112</f>
        <v>10</v>
      </c>
      <c r="Y112" s="126"/>
      <c r="Z112" s="126"/>
      <c r="AA112" s="126"/>
      <c r="AB112" s="125">
        <v>40</v>
      </c>
      <c r="AC112" s="125">
        <v>5.5</v>
      </c>
      <c r="AD112" s="125">
        <f t="shared" si="40"/>
        <v>220</v>
      </c>
      <c r="AE112" s="126">
        <v>31.6</v>
      </c>
      <c r="AF112" s="126">
        <v>3.3</v>
      </c>
      <c r="AG112" s="126">
        <f>AE112*AF112</f>
        <v>104.28</v>
      </c>
      <c r="AH112" s="127"/>
      <c r="AI112" s="127"/>
      <c r="AJ112" s="127"/>
      <c r="AK112" s="126"/>
      <c r="AL112" s="126"/>
      <c r="AM112" s="126"/>
      <c r="AN112" s="128"/>
      <c r="AO112" s="128"/>
      <c r="AP112" s="128"/>
      <c r="AQ112" s="12"/>
    </row>
    <row r="113" s="47" customFormat="1" spans="1:43">
      <c r="A113" s="344">
        <v>45925</v>
      </c>
      <c r="B113" s="346" t="s">
        <v>955</v>
      </c>
      <c r="C113" s="424">
        <v>1006</v>
      </c>
      <c r="D113" s="124"/>
      <c r="E113" s="124"/>
      <c r="F113" s="125"/>
      <c r="G113" s="126"/>
      <c r="H113" s="126"/>
      <c r="I113" s="126"/>
      <c r="J113" s="127">
        <v>30</v>
      </c>
      <c r="K113" s="127">
        <v>17</v>
      </c>
      <c r="L113" s="127">
        <f t="shared" si="37"/>
        <v>510</v>
      </c>
      <c r="M113" s="126"/>
      <c r="N113" s="126"/>
      <c r="O113" s="126"/>
      <c r="P113" s="125"/>
      <c r="Q113" s="125"/>
      <c r="R113" s="125"/>
      <c r="S113" s="126"/>
      <c r="T113" s="126"/>
      <c r="U113" s="126"/>
      <c r="V113" s="127">
        <v>3</v>
      </c>
      <c r="W113" s="127">
        <v>25</v>
      </c>
      <c r="X113" s="127">
        <f>V113*W113</f>
        <v>75</v>
      </c>
      <c r="Y113" s="126">
        <v>150</v>
      </c>
      <c r="Z113" s="126">
        <v>7.6</v>
      </c>
      <c r="AA113" s="126">
        <f t="shared" ref="AA113:AA119" si="41">Y113*Z113</f>
        <v>1140</v>
      </c>
      <c r="AB113" s="125"/>
      <c r="AC113" s="125"/>
      <c r="AD113" s="125"/>
      <c r="AE113" s="126">
        <v>75</v>
      </c>
      <c r="AF113" s="126">
        <v>3.3</v>
      </c>
      <c r="AG113" s="126">
        <f>AE113*AF113</f>
        <v>247.5</v>
      </c>
      <c r="AH113" s="127"/>
      <c r="AI113" s="127"/>
      <c r="AJ113" s="127"/>
      <c r="AK113" s="126">
        <v>100</v>
      </c>
      <c r="AL113" s="126">
        <v>6.5</v>
      </c>
      <c r="AM113" s="126">
        <f t="shared" si="38"/>
        <v>650</v>
      </c>
      <c r="AN113" s="128">
        <v>130</v>
      </c>
      <c r="AO113" s="128">
        <v>6.4</v>
      </c>
      <c r="AP113" s="128">
        <f t="shared" si="39"/>
        <v>832</v>
      </c>
      <c r="AQ113" s="12"/>
    </row>
    <row r="114" s="47" customFormat="1" ht="20.25" spans="1:43">
      <c r="A114" s="344">
        <v>45925</v>
      </c>
      <c r="B114" s="346" t="s">
        <v>345</v>
      </c>
      <c r="C114" s="424">
        <v>172</v>
      </c>
      <c r="D114" s="124"/>
      <c r="E114" s="124"/>
      <c r="F114" s="125"/>
      <c r="G114" s="126"/>
      <c r="H114" s="126"/>
      <c r="I114" s="126"/>
      <c r="J114" s="127"/>
      <c r="K114" s="127"/>
      <c r="L114" s="127"/>
      <c r="M114" s="431"/>
      <c r="N114" s="126"/>
      <c r="O114" s="126"/>
      <c r="P114" s="125"/>
      <c r="Q114" s="125"/>
      <c r="R114" s="125"/>
      <c r="S114" s="126"/>
      <c r="T114" s="126"/>
      <c r="U114" s="126"/>
      <c r="V114" s="127"/>
      <c r="W114" s="127"/>
      <c r="X114" s="127"/>
      <c r="Y114" s="126">
        <v>45</v>
      </c>
      <c r="Z114" s="126">
        <v>7.6</v>
      </c>
      <c r="AA114" s="126">
        <f t="shared" si="41"/>
        <v>342</v>
      </c>
      <c r="AB114" s="125">
        <v>50</v>
      </c>
      <c r="AC114" s="125">
        <v>5.5</v>
      </c>
      <c r="AD114" s="125">
        <f t="shared" si="40"/>
        <v>275</v>
      </c>
      <c r="AE114" s="126"/>
      <c r="AF114" s="126"/>
      <c r="AG114" s="126"/>
      <c r="AH114" s="127"/>
      <c r="AI114" s="127"/>
      <c r="AJ114" s="127"/>
      <c r="AK114" s="126"/>
      <c r="AL114" s="126"/>
      <c r="AM114" s="126"/>
      <c r="AN114" s="128"/>
      <c r="AO114" s="128"/>
      <c r="AP114" s="128"/>
      <c r="AQ114" s="12"/>
    </row>
    <row r="115" s="47" customFormat="1" spans="1:43">
      <c r="A115" s="344">
        <v>45926</v>
      </c>
      <c r="B115" s="346" t="s">
        <v>924</v>
      </c>
      <c r="C115" s="424">
        <v>500</v>
      </c>
      <c r="D115" s="124"/>
      <c r="E115" s="124"/>
      <c r="F115" s="125"/>
      <c r="G115" s="126"/>
      <c r="H115" s="126"/>
      <c r="I115" s="126"/>
      <c r="J115" s="127"/>
      <c r="K115" s="127"/>
      <c r="L115" s="127"/>
      <c r="M115" s="126"/>
      <c r="N115" s="126"/>
      <c r="O115" s="126"/>
      <c r="P115" s="125"/>
      <c r="Q115" s="125"/>
      <c r="R115" s="125"/>
      <c r="S115" s="126"/>
      <c r="T115" s="126"/>
      <c r="U115" s="126"/>
      <c r="V115" s="127"/>
      <c r="W115" s="127"/>
      <c r="X115" s="127"/>
      <c r="Y115" s="126">
        <v>50</v>
      </c>
      <c r="Z115" s="126">
        <v>7.6</v>
      </c>
      <c r="AA115" s="126">
        <f t="shared" si="41"/>
        <v>380</v>
      </c>
      <c r="AB115" s="125">
        <v>108</v>
      </c>
      <c r="AC115" s="125">
        <v>5.5</v>
      </c>
      <c r="AD115" s="125">
        <f t="shared" si="40"/>
        <v>594</v>
      </c>
      <c r="AE115" s="126"/>
      <c r="AF115" s="126"/>
      <c r="AG115" s="126"/>
      <c r="AH115" s="127"/>
      <c r="AI115" s="127"/>
      <c r="AJ115" s="127"/>
      <c r="AK115" s="126"/>
      <c r="AL115" s="126"/>
      <c r="AM115" s="126"/>
      <c r="AN115" s="128">
        <v>10</v>
      </c>
      <c r="AO115" s="128">
        <v>6.4</v>
      </c>
      <c r="AP115" s="128">
        <f t="shared" si="39"/>
        <v>64</v>
      </c>
      <c r="AQ115" s="12"/>
    </row>
    <row r="116" s="47" customFormat="1" spans="1:43">
      <c r="A116" s="344">
        <v>45926</v>
      </c>
      <c r="B116" s="346" t="s">
        <v>956</v>
      </c>
      <c r="C116" s="424">
        <v>2000</v>
      </c>
      <c r="D116" s="124"/>
      <c r="E116" s="124"/>
      <c r="F116" s="125"/>
      <c r="G116" s="126"/>
      <c r="H116" s="126"/>
      <c r="I116" s="126"/>
      <c r="J116" s="127"/>
      <c r="K116" s="127"/>
      <c r="L116" s="127"/>
      <c r="M116" s="126"/>
      <c r="N116" s="126"/>
      <c r="O116" s="126"/>
      <c r="P116" s="125"/>
      <c r="Q116" s="125"/>
      <c r="R116" s="125"/>
      <c r="S116" s="126"/>
      <c r="T116" s="126"/>
      <c r="U116" s="126"/>
      <c r="V116" s="127"/>
      <c r="W116" s="127"/>
      <c r="X116" s="127"/>
      <c r="Y116" s="126">
        <v>204</v>
      </c>
      <c r="Z116" s="126">
        <v>7.6</v>
      </c>
      <c r="AA116" s="126">
        <f t="shared" si="41"/>
        <v>1550.4</v>
      </c>
      <c r="AB116" s="125"/>
      <c r="AC116" s="125"/>
      <c r="AD116" s="125"/>
      <c r="AE116" s="126"/>
      <c r="AF116" s="126"/>
      <c r="AG116" s="126"/>
      <c r="AH116" s="127"/>
      <c r="AI116" s="127"/>
      <c r="AJ116" s="127"/>
      <c r="AK116" s="126"/>
      <c r="AL116" s="126"/>
      <c r="AM116" s="126"/>
      <c r="AN116" s="128">
        <v>300</v>
      </c>
      <c r="AO116" s="128">
        <v>6.4</v>
      </c>
      <c r="AP116" s="128">
        <f t="shared" si="39"/>
        <v>1920</v>
      </c>
      <c r="AQ116" s="12"/>
    </row>
    <row r="117" s="47" customFormat="1" spans="1:43">
      <c r="A117" s="344">
        <v>45927</v>
      </c>
      <c r="B117" s="346" t="s">
        <v>939</v>
      </c>
      <c r="C117" s="424">
        <v>1000</v>
      </c>
      <c r="D117" s="124"/>
      <c r="E117" s="124"/>
      <c r="F117" s="125"/>
      <c r="G117" s="126"/>
      <c r="H117" s="126"/>
      <c r="I117" s="126"/>
      <c r="J117" s="127"/>
      <c r="K117" s="127"/>
      <c r="L117" s="127"/>
      <c r="M117" s="126"/>
      <c r="N117" s="126"/>
      <c r="O117" s="126"/>
      <c r="P117" s="125"/>
      <c r="Q117" s="125"/>
      <c r="R117" s="125"/>
      <c r="S117" s="126"/>
      <c r="T117" s="126"/>
      <c r="U117" s="126"/>
      <c r="V117" s="127"/>
      <c r="W117" s="127"/>
      <c r="X117" s="127"/>
      <c r="Y117" s="126">
        <v>120</v>
      </c>
      <c r="Z117" s="126">
        <v>7.6</v>
      </c>
      <c r="AA117" s="126">
        <f t="shared" si="41"/>
        <v>912</v>
      </c>
      <c r="AB117" s="125"/>
      <c r="AC117" s="125"/>
      <c r="AD117" s="125"/>
      <c r="AE117" s="126"/>
      <c r="AF117" s="126"/>
      <c r="AG117" s="126"/>
      <c r="AH117" s="127"/>
      <c r="AI117" s="127"/>
      <c r="AJ117" s="127"/>
      <c r="AK117" s="126"/>
      <c r="AL117" s="126"/>
      <c r="AM117" s="126"/>
      <c r="AN117" s="128">
        <v>155</v>
      </c>
      <c r="AO117" s="128">
        <v>6.4</v>
      </c>
      <c r="AP117" s="128">
        <f t="shared" si="39"/>
        <v>992</v>
      </c>
      <c r="AQ117" s="12"/>
    </row>
    <row r="118" s="47" customFormat="1" spans="1:43">
      <c r="A118" s="344">
        <v>45928</v>
      </c>
      <c r="B118" s="346" t="s">
        <v>957</v>
      </c>
      <c r="C118" s="424">
        <v>179</v>
      </c>
      <c r="D118" s="124"/>
      <c r="E118" s="124"/>
      <c r="F118" s="125"/>
      <c r="G118" s="126"/>
      <c r="H118" s="126"/>
      <c r="I118" s="126"/>
      <c r="J118" s="127"/>
      <c r="K118" s="127"/>
      <c r="L118" s="127"/>
      <c r="M118" s="126"/>
      <c r="N118" s="126"/>
      <c r="O118" s="126"/>
      <c r="P118" s="125"/>
      <c r="Q118" s="125"/>
      <c r="R118" s="125"/>
      <c r="S118" s="126"/>
      <c r="T118" s="126"/>
      <c r="U118" s="126"/>
      <c r="V118" s="127"/>
      <c r="W118" s="127"/>
      <c r="X118" s="127"/>
      <c r="Y118" s="126">
        <v>36</v>
      </c>
      <c r="Z118" s="126">
        <v>7.6</v>
      </c>
      <c r="AA118" s="126">
        <f t="shared" si="41"/>
        <v>273.6</v>
      </c>
      <c r="AB118" s="125">
        <v>40</v>
      </c>
      <c r="AC118" s="125">
        <v>5.5</v>
      </c>
      <c r="AD118" s="125">
        <f>AB118*AC118</f>
        <v>220</v>
      </c>
      <c r="AE118" s="126"/>
      <c r="AF118" s="126"/>
      <c r="AG118" s="126"/>
      <c r="AH118" s="127"/>
      <c r="AI118" s="127"/>
      <c r="AJ118" s="127"/>
      <c r="AK118" s="126"/>
      <c r="AL118" s="126"/>
      <c r="AM118" s="126"/>
      <c r="AN118" s="128">
        <v>10</v>
      </c>
      <c r="AO118" s="128">
        <v>6.4</v>
      </c>
      <c r="AP118" s="128">
        <f t="shared" si="39"/>
        <v>64</v>
      </c>
      <c r="AQ118" s="12"/>
    </row>
    <row r="119" s="47" customFormat="1" spans="1:43">
      <c r="A119" s="344">
        <v>45929</v>
      </c>
      <c r="B119" s="346" t="s">
        <v>958</v>
      </c>
      <c r="C119" s="424">
        <v>500</v>
      </c>
      <c r="D119" s="124"/>
      <c r="E119" s="124"/>
      <c r="F119" s="125"/>
      <c r="G119" s="126"/>
      <c r="H119" s="126"/>
      <c r="I119" s="126"/>
      <c r="J119" s="127"/>
      <c r="K119" s="127"/>
      <c r="L119" s="127"/>
      <c r="M119" s="126"/>
      <c r="N119" s="126"/>
      <c r="O119" s="126"/>
      <c r="P119" s="125"/>
      <c r="Q119" s="125"/>
      <c r="R119" s="125"/>
      <c r="S119" s="126"/>
      <c r="T119" s="126"/>
      <c r="U119" s="126"/>
      <c r="V119" s="127"/>
      <c r="W119" s="127"/>
      <c r="X119" s="127"/>
      <c r="Y119" s="126">
        <v>62</v>
      </c>
      <c r="Z119" s="126">
        <v>7.6</v>
      </c>
      <c r="AA119" s="126">
        <f t="shared" si="41"/>
        <v>471.2</v>
      </c>
      <c r="AB119" s="125">
        <v>73</v>
      </c>
      <c r="AC119" s="125">
        <v>5.5</v>
      </c>
      <c r="AD119" s="125">
        <f>AB119*AC119</f>
        <v>401.5</v>
      </c>
      <c r="AE119" s="126"/>
      <c r="AF119" s="126"/>
      <c r="AG119" s="126"/>
      <c r="AH119" s="127"/>
      <c r="AI119" s="127"/>
      <c r="AJ119" s="127"/>
      <c r="AK119" s="126"/>
      <c r="AL119" s="126"/>
      <c r="AM119" s="126"/>
      <c r="AN119" s="128"/>
      <c r="AO119" s="128"/>
      <c r="AP119" s="128"/>
      <c r="AQ119" s="12"/>
    </row>
    <row r="120" s="47" customFormat="1" spans="1:43">
      <c r="A120" s="344"/>
      <c r="B120" s="346"/>
      <c r="C120" s="424"/>
      <c r="D120" s="124"/>
      <c r="E120" s="124"/>
      <c r="F120" s="125"/>
      <c r="G120" s="126"/>
      <c r="H120" s="126"/>
      <c r="I120" s="126"/>
      <c r="J120" s="127"/>
      <c r="K120" s="127"/>
      <c r="L120" s="127"/>
      <c r="M120" s="126"/>
      <c r="N120" s="126"/>
      <c r="O120" s="126"/>
      <c r="P120" s="125"/>
      <c r="Q120" s="125"/>
      <c r="R120" s="125"/>
      <c r="S120" s="126"/>
      <c r="T120" s="126"/>
      <c r="U120" s="126"/>
      <c r="V120" s="127"/>
      <c r="W120" s="127"/>
      <c r="X120" s="127"/>
      <c r="Y120" s="126"/>
      <c r="Z120" s="126"/>
      <c r="AA120" s="126"/>
      <c r="AB120" s="125"/>
      <c r="AC120" s="125"/>
      <c r="AD120" s="125"/>
      <c r="AE120" s="126"/>
      <c r="AF120" s="126"/>
      <c r="AG120" s="126"/>
      <c r="AH120" s="127"/>
      <c r="AI120" s="127"/>
      <c r="AJ120" s="127"/>
      <c r="AK120" s="126"/>
      <c r="AL120" s="126"/>
      <c r="AM120" s="126"/>
      <c r="AN120" s="128"/>
      <c r="AO120" s="128"/>
      <c r="AP120" s="128"/>
      <c r="AQ120" s="12"/>
    </row>
    <row r="121" s="47" customFormat="1" spans="1:43">
      <c r="A121" s="129"/>
      <c r="B121" s="137"/>
      <c r="C121" s="131">
        <f>SUM(C100:C120)</f>
        <v>11244.5</v>
      </c>
      <c r="D121" s="146">
        <f>SUM(D100:D120)</f>
        <v>0</v>
      </c>
      <c r="E121" s="147"/>
      <c r="F121" s="146">
        <f>SUM(F100:F120)</f>
        <v>0</v>
      </c>
      <c r="G121" s="146">
        <f>SUM(G100:G120)</f>
        <v>100</v>
      </c>
      <c r="H121" s="147"/>
      <c r="I121" s="146">
        <f>SUM(I100:I120)</f>
        <v>90</v>
      </c>
      <c r="J121" s="146">
        <f>SUM(J100:J120)</f>
        <v>161</v>
      </c>
      <c r="K121" s="147"/>
      <c r="L121" s="146">
        <f>SUM(L100:L120)</f>
        <v>2657</v>
      </c>
      <c r="M121" s="146">
        <f>SUM(M100:M120)</f>
        <v>0</v>
      </c>
      <c r="N121" s="147"/>
      <c r="O121" s="146">
        <f>SUM(O100:O120)</f>
        <v>0</v>
      </c>
      <c r="P121" s="146">
        <f>SUM(P100:P120)</f>
        <v>0</v>
      </c>
      <c r="Q121" s="147"/>
      <c r="R121" s="146">
        <f>SUM(R100:R120)</f>
        <v>0</v>
      </c>
      <c r="S121" s="146">
        <f>SUM(S100:S120)</f>
        <v>0</v>
      </c>
      <c r="T121" s="147"/>
      <c r="U121" s="146">
        <f>SUM(U100:U120)</f>
        <v>0</v>
      </c>
      <c r="V121" s="146">
        <f>SUM(V100:V120)</f>
        <v>13.4</v>
      </c>
      <c r="W121" s="147"/>
      <c r="X121" s="146">
        <f>SUM(X100:X120)</f>
        <v>335</v>
      </c>
      <c r="Y121" s="146">
        <f>SUM(Y100:Y120)</f>
        <v>1057.7</v>
      </c>
      <c r="Z121" s="81"/>
      <c r="AA121" s="146">
        <f>SUM(AA100:AA120)</f>
        <v>8038.52</v>
      </c>
      <c r="AB121" s="146">
        <f>SUM(AB100:AB120)</f>
        <v>897.8</v>
      </c>
      <c r="AC121" s="81"/>
      <c r="AD121" s="146">
        <f>SUM(AD100:AD120)</f>
        <v>4937.9</v>
      </c>
      <c r="AE121" s="146">
        <f>SUM(AE100:AE120)</f>
        <v>662.2</v>
      </c>
      <c r="AF121" s="81"/>
      <c r="AG121" s="146">
        <f>SUM(AG100:AG120)</f>
        <v>2170.76</v>
      </c>
      <c r="AH121" s="146">
        <f>SUM(AH100:AH120)</f>
        <v>0</v>
      </c>
      <c r="AI121" s="81"/>
      <c r="AJ121" s="146">
        <f>SUM(AJ100:AJ120)</f>
        <v>0</v>
      </c>
      <c r="AK121" s="146">
        <f>SUM(AK100:AK120)</f>
        <v>448</v>
      </c>
      <c r="AL121" s="81"/>
      <c r="AM121" s="146">
        <f>SUM(AM100:AM120)</f>
        <v>2912</v>
      </c>
      <c r="AN121" s="146">
        <f>SUM(AN100:AN120)</f>
        <v>925.4</v>
      </c>
      <c r="AO121" s="81"/>
      <c r="AP121" s="146">
        <f>SUM(AP100:AP120)</f>
        <v>5922.56</v>
      </c>
    </row>
    <row r="123" s="11" customFormat="1" ht="33" customHeight="1" spans="1:43">
      <c r="A123" s="430" t="s">
        <v>959</v>
      </c>
      <c r="B123" s="66"/>
      <c r="C123" s="66"/>
      <c r="D123" s="68"/>
      <c r="E123" s="68"/>
      <c r="F123" s="75"/>
      <c r="G123" s="72" t="s">
        <v>908</v>
      </c>
      <c r="H123" s="72"/>
      <c r="I123" s="72"/>
      <c r="J123" s="76"/>
      <c r="K123" s="76"/>
      <c r="L123" s="77">
        <f>F138+I138+L138+O138+R138+U138+X138+AA138+AD138+AG138+AJ138+AM138+AP138</f>
        <v>17676.55</v>
      </c>
      <c r="M123" s="77"/>
      <c r="N123" s="72"/>
      <c r="O123" s="72"/>
      <c r="P123" s="75"/>
      <c r="Q123" s="75"/>
      <c r="R123" s="75"/>
      <c r="S123" s="72"/>
      <c r="T123" s="72"/>
      <c r="U123" s="72"/>
      <c r="V123" s="77"/>
      <c r="W123" s="77"/>
      <c r="X123" s="77"/>
      <c r="Y123" s="72"/>
      <c r="Z123" s="72"/>
      <c r="AA123" s="72"/>
      <c r="AB123" s="75"/>
      <c r="AC123" s="75"/>
      <c r="AD123" s="75"/>
      <c r="AE123" s="72"/>
      <c r="AF123" s="72"/>
      <c r="AG123" s="72"/>
      <c r="AH123" s="77"/>
      <c r="AI123" s="77"/>
      <c r="AJ123" s="78"/>
      <c r="AK123" s="79"/>
      <c r="AL123" s="79"/>
      <c r="AM123" s="80"/>
    </row>
    <row r="124" s="12" customFormat="1" ht="27" customHeight="1" spans="1:43">
      <c r="A124" s="81" t="s">
        <v>35</v>
      </c>
      <c r="B124" s="82" t="s">
        <v>909</v>
      </c>
      <c r="C124" s="83"/>
      <c r="D124" s="74" t="s">
        <v>289</v>
      </c>
      <c r="E124" s="74"/>
      <c r="F124" s="103"/>
      <c r="G124" s="81" t="s">
        <v>466</v>
      </c>
      <c r="H124" s="81"/>
      <c r="I124" s="81"/>
      <c r="J124" s="78" t="s">
        <v>910</v>
      </c>
      <c r="K124" s="78"/>
      <c r="L124" s="78"/>
      <c r="M124" s="81" t="s">
        <v>911</v>
      </c>
      <c r="N124" s="81"/>
      <c r="O124" s="81"/>
      <c r="P124" s="104" t="s">
        <v>912</v>
      </c>
      <c r="Q124" s="104"/>
      <c r="R124" s="104"/>
      <c r="S124" s="81" t="s">
        <v>913</v>
      </c>
      <c r="T124" s="81"/>
      <c r="U124" s="81"/>
      <c r="V124" s="78" t="s">
        <v>960</v>
      </c>
      <c r="W124" s="78"/>
      <c r="X124" s="78"/>
      <c r="Y124" s="81">
        <v>808</v>
      </c>
      <c r="Z124" s="81"/>
      <c r="AA124" s="81"/>
      <c r="AB124" s="104" t="s">
        <v>125</v>
      </c>
      <c r="AC124" s="104"/>
      <c r="AD124" s="104"/>
      <c r="AE124" s="81" t="s">
        <v>132</v>
      </c>
      <c r="AF124" s="81"/>
      <c r="AG124" s="81"/>
      <c r="AH124" s="78">
        <v>811</v>
      </c>
      <c r="AI124" s="78"/>
      <c r="AJ124" s="105"/>
      <c r="AK124" s="81" t="s">
        <v>152</v>
      </c>
      <c r="AL124" s="81"/>
      <c r="AM124" s="81"/>
      <c r="AN124" s="106" t="s">
        <v>12</v>
      </c>
      <c r="AO124" s="107"/>
      <c r="AP124" s="108"/>
    </row>
    <row r="125" s="12" customFormat="1" ht="27" customHeight="1" spans="1:43">
      <c r="A125" s="81"/>
      <c r="B125" s="82" t="s">
        <v>914</v>
      </c>
      <c r="C125" s="83" t="s">
        <v>915</v>
      </c>
      <c r="D125" s="117" t="s">
        <v>916</v>
      </c>
      <c r="E125" s="118" t="s">
        <v>917</v>
      </c>
      <c r="F125" s="81" t="s">
        <v>918</v>
      </c>
      <c r="G125" s="81" t="s">
        <v>916</v>
      </c>
      <c r="H125" s="81" t="s">
        <v>917</v>
      </c>
      <c r="I125" s="81" t="s">
        <v>918</v>
      </c>
      <c r="J125" s="78" t="s">
        <v>916</v>
      </c>
      <c r="K125" s="78" t="s">
        <v>917</v>
      </c>
      <c r="L125" s="78" t="s">
        <v>918</v>
      </c>
      <c r="M125" s="81" t="s">
        <v>916</v>
      </c>
      <c r="N125" s="81" t="s">
        <v>917</v>
      </c>
      <c r="O125" s="81" t="s">
        <v>918</v>
      </c>
      <c r="P125" s="104" t="s">
        <v>916</v>
      </c>
      <c r="Q125" s="104" t="s">
        <v>917</v>
      </c>
      <c r="R125" s="104" t="s">
        <v>918</v>
      </c>
      <c r="S125" s="81" t="s">
        <v>916</v>
      </c>
      <c r="T125" s="81" t="s">
        <v>917</v>
      </c>
      <c r="U125" s="81" t="s">
        <v>918</v>
      </c>
      <c r="V125" s="78" t="s">
        <v>916</v>
      </c>
      <c r="W125" s="78" t="s">
        <v>917</v>
      </c>
      <c r="X125" s="78" t="s">
        <v>918</v>
      </c>
      <c r="Y125" s="81" t="s">
        <v>916</v>
      </c>
      <c r="Z125" s="81" t="s">
        <v>917</v>
      </c>
      <c r="AA125" s="81" t="s">
        <v>918</v>
      </c>
      <c r="AB125" s="104" t="s">
        <v>916</v>
      </c>
      <c r="AC125" s="104" t="s">
        <v>917</v>
      </c>
      <c r="AD125" s="104" t="s">
        <v>918</v>
      </c>
      <c r="AE125" s="81" t="s">
        <v>916</v>
      </c>
      <c r="AF125" s="81" t="s">
        <v>917</v>
      </c>
      <c r="AG125" s="81" t="s">
        <v>918</v>
      </c>
      <c r="AH125" s="78" t="s">
        <v>916</v>
      </c>
      <c r="AI125" s="78" t="s">
        <v>917</v>
      </c>
      <c r="AJ125" s="105" t="s">
        <v>918</v>
      </c>
      <c r="AK125" s="81" t="s">
        <v>916</v>
      </c>
      <c r="AL125" s="81" t="s">
        <v>917</v>
      </c>
      <c r="AM125" s="81" t="s">
        <v>918</v>
      </c>
      <c r="AN125" s="104" t="s">
        <v>916</v>
      </c>
      <c r="AO125" s="104" t="s">
        <v>917</v>
      </c>
      <c r="AP125" s="104" t="s">
        <v>918</v>
      </c>
    </row>
    <row r="126" s="46" customFormat="1" ht="20.25" spans="1:43">
      <c r="A126" s="344">
        <v>45876</v>
      </c>
      <c r="B126" s="346" t="s">
        <v>938</v>
      </c>
      <c r="C126" s="424">
        <v>1000</v>
      </c>
      <c r="D126" s="124"/>
      <c r="E126" s="124"/>
      <c r="F126" s="125"/>
      <c r="G126" s="126"/>
      <c r="H126" s="126"/>
      <c r="I126" s="126"/>
      <c r="J126" s="127"/>
      <c r="K126" s="127"/>
      <c r="L126" s="127"/>
      <c r="M126" s="432"/>
      <c r="N126" s="126"/>
      <c r="O126" s="126"/>
      <c r="P126" s="125"/>
      <c r="Q126" s="125"/>
      <c r="R126" s="125"/>
      <c r="S126" s="126"/>
      <c r="T126" s="126"/>
      <c r="U126" s="126"/>
      <c r="V126" s="127"/>
      <c r="W126" s="127"/>
      <c r="X126" s="127"/>
      <c r="Y126" s="126">
        <v>102</v>
      </c>
      <c r="Z126" s="126">
        <v>7.9</v>
      </c>
      <c r="AA126" s="126">
        <f t="shared" ref="AA126:AA135" si="42">Y126*Z126</f>
        <v>805.8</v>
      </c>
      <c r="AB126" s="125"/>
      <c r="AC126" s="125"/>
      <c r="AD126" s="125"/>
      <c r="AE126" s="126"/>
      <c r="AF126" s="126"/>
      <c r="AG126" s="126"/>
      <c r="AH126" s="127"/>
      <c r="AI126" s="127"/>
      <c r="AJ126" s="127"/>
      <c r="AK126" s="126"/>
      <c r="AL126" s="126"/>
      <c r="AM126" s="126"/>
      <c r="AN126" s="128">
        <v>150</v>
      </c>
      <c r="AO126" s="128">
        <v>6.3</v>
      </c>
      <c r="AP126" s="128">
        <f t="shared" ref="AP126:AP128" si="43">AN126*AO126</f>
        <v>945</v>
      </c>
      <c r="AQ126" s="12"/>
    </row>
    <row r="127" s="47" customFormat="1" ht="20.25" spans="1:43">
      <c r="A127" s="344">
        <v>45876</v>
      </c>
      <c r="B127" s="346" t="s">
        <v>961</v>
      </c>
      <c r="C127" s="424">
        <v>225</v>
      </c>
      <c r="D127" s="124"/>
      <c r="E127" s="124"/>
      <c r="F127" s="125"/>
      <c r="G127" s="126"/>
      <c r="H127" s="126"/>
      <c r="I127" s="126"/>
      <c r="J127" s="127">
        <v>20</v>
      </c>
      <c r="K127" s="127">
        <v>17</v>
      </c>
      <c r="L127" s="127">
        <f>J127*K127</f>
        <v>340</v>
      </c>
      <c r="M127" s="431"/>
      <c r="N127" s="126"/>
      <c r="O127" s="126"/>
      <c r="P127" s="125"/>
      <c r="Q127" s="125"/>
      <c r="R127" s="125"/>
      <c r="S127" s="126"/>
      <c r="T127" s="126"/>
      <c r="U127" s="126"/>
      <c r="V127" s="127"/>
      <c r="W127" s="127"/>
      <c r="X127" s="127"/>
      <c r="Y127" s="126">
        <v>25</v>
      </c>
      <c r="Z127" s="126">
        <v>7.9</v>
      </c>
      <c r="AA127" s="126">
        <f t="shared" si="42"/>
        <v>197.5</v>
      </c>
      <c r="AB127" s="125"/>
      <c r="AC127" s="125"/>
      <c r="AD127" s="125"/>
      <c r="AE127" s="126"/>
      <c r="AF127" s="126"/>
      <c r="AG127" s="126"/>
      <c r="AH127" s="127"/>
      <c r="AI127" s="127"/>
      <c r="AJ127" s="127"/>
      <c r="AK127" s="126"/>
      <c r="AL127" s="126"/>
      <c r="AM127" s="126"/>
      <c r="AN127" s="441">
        <v>25</v>
      </c>
      <c r="AO127" s="128">
        <v>6.3</v>
      </c>
      <c r="AP127" s="128">
        <f t="shared" si="43"/>
        <v>157.5</v>
      </c>
      <c r="AQ127" s="12"/>
    </row>
    <row r="128" s="48" customFormat="1" ht="20.25" spans="1:43">
      <c r="A128" s="344">
        <v>45877</v>
      </c>
      <c r="B128" s="346" t="s">
        <v>919</v>
      </c>
      <c r="C128" s="424">
        <v>1000</v>
      </c>
      <c r="D128" s="124"/>
      <c r="E128" s="124"/>
      <c r="F128" s="125"/>
      <c r="G128" s="126"/>
      <c r="H128" s="126"/>
      <c r="I128" s="126"/>
      <c r="J128" s="127"/>
      <c r="K128" s="127"/>
      <c r="L128" s="127"/>
      <c r="M128" s="432"/>
      <c r="N128" s="126"/>
      <c r="O128" s="126"/>
      <c r="P128" s="125"/>
      <c r="Q128" s="125"/>
      <c r="R128" s="125"/>
      <c r="S128" s="126"/>
      <c r="T128" s="126"/>
      <c r="U128" s="126"/>
      <c r="V128" s="127"/>
      <c r="W128" s="127"/>
      <c r="X128" s="127"/>
      <c r="Y128" s="126">
        <v>50</v>
      </c>
      <c r="Z128" s="126">
        <v>7.9</v>
      </c>
      <c r="AA128" s="126">
        <f t="shared" si="42"/>
        <v>395</v>
      </c>
      <c r="AB128" s="125"/>
      <c r="AC128" s="125"/>
      <c r="AD128" s="125"/>
      <c r="AE128" s="126"/>
      <c r="AF128" s="126"/>
      <c r="AG128" s="126"/>
      <c r="AH128" s="127"/>
      <c r="AI128" s="127"/>
      <c r="AJ128" s="127"/>
      <c r="AK128" s="126">
        <v>155</v>
      </c>
      <c r="AL128" s="126">
        <v>6.5</v>
      </c>
      <c r="AM128" s="126">
        <f>AK128*AL128</f>
        <v>1007.5</v>
      </c>
      <c r="AN128" s="125">
        <v>95</v>
      </c>
      <c r="AO128" s="128">
        <v>6.3</v>
      </c>
      <c r="AP128" s="128">
        <f t="shared" si="43"/>
        <v>598.5</v>
      </c>
      <c r="AQ128" s="12"/>
    </row>
    <row r="129" s="47" customFormat="1" ht="20.25" spans="1:43">
      <c r="A129" s="344">
        <v>45880</v>
      </c>
      <c r="B129" s="346" t="s">
        <v>345</v>
      </c>
      <c r="C129" s="424">
        <v>172</v>
      </c>
      <c r="D129" s="124"/>
      <c r="E129" s="124"/>
      <c r="F129" s="125"/>
      <c r="G129" s="126"/>
      <c r="H129" s="126"/>
      <c r="I129" s="126"/>
      <c r="J129" s="127"/>
      <c r="K129" s="127"/>
      <c r="L129" s="127"/>
      <c r="M129" s="431"/>
      <c r="N129" s="126"/>
      <c r="O129" s="126"/>
      <c r="P129" s="125"/>
      <c r="Q129" s="125"/>
      <c r="R129" s="125"/>
      <c r="S129" s="126"/>
      <c r="T129" s="126"/>
      <c r="U129" s="126"/>
      <c r="V129" s="127"/>
      <c r="W129" s="127"/>
      <c r="X129" s="127"/>
      <c r="Y129" s="126">
        <v>45</v>
      </c>
      <c r="Z129" s="126">
        <v>7.9</v>
      </c>
      <c r="AA129" s="126">
        <f t="shared" si="42"/>
        <v>355.5</v>
      </c>
      <c r="AB129" s="125">
        <v>50</v>
      </c>
      <c r="AC129" s="125">
        <v>5.5</v>
      </c>
      <c r="AD129" s="125">
        <f t="shared" ref="AD129:AD133" si="44">AB129*AC129</f>
        <v>275</v>
      </c>
      <c r="AE129" s="126"/>
      <c r="AF129" s="126"/>
      <c r="AG129" s="126"/>
      <c r="AH129" s="127"/>
      <c r="AI129" s="127"/>
      <c r="AJ129" s="127"/>
      <c r="AK129" s="126"/>
      <c r="AL129" s="126"/>
      <c r="AM129" s="126"/>
      <c r="AN129" s="128"/>
      <c r="AO129" s="128"/>
      <c r="AP129" s="128"/>
      <c r="AQ129" s="12"/>
    </row>
    <row r="130" s="47" customFormat="1" ht="20.25" spans="1:43">
      <c r="A130" s="344">
        <v>45881</v>
      </c>
      <c r="B130" s="346" t="s">
        <v>962</v>
      </c>
      <c r="C130" s="424">
        <v>500</v>
      </c>
      <c r="D130" s="124"/>
      <c r="E130" s="124"/>
      <c r="F130" s="125"/>
      <c r="G130" s="126"/>
      <c r="H130" s="126"/>
      <c r="I130" s="126"/>
      <c r="J130" s="141"/>
      <c r="K130" s="141"/>
      <c r="L130" s="141"/>
      <c r="M130" s="432"/>
      <c r="N130" s="126"/>
      <c r="O130" s="126"/>
      <c r="P130" s="125"/>
      <c r="Q130" s="125"/>
      <c r="R130" s="125"/>
      <c r="S130" s="126"/>
      <c r="T130" s="126"/>
      <c r="U130" s="126"/>
      <c r="V130" s="127"/>
      <c r="W130" s="127"/>
      <c r="X130" s="127"/>
      <c r="Y130" s="126">
        <v>50</v>
      </c>
      <c r="Z130" s="126">
        <v>7.9</v>
      </c>
      <c r="AA130" s="126">
        <f t="shared" si="42"/>
        <v>395</v>
      </c>
      <c r="AB130" s="125">
        <v>108</v>
      </c>
      <c r="AC130" s="125">
        <v>5.5</v>
      </c>
      <c r="AD130" s="125">
        <f t="shared" si="44"/>
        <v>594</v>
      </c>
      <c r="AE130" s="126"/>
      <c r="AF130" s="126"/>
      <c r="AG130" s="126"/>
      <c r="AH130" s="127"/>
      <c r="AI130" s="127"/>
      <c r="AJ130" s="127"/>
      <c r="AK130" s="126"/>
      <c r="AL130" s="126"/>
      <c r="AM130" s="126"/>
      <c r="AN130" s="128">
        <v>10</v>
      </c>
      <c r="AO130" s="128">
        <v>6.3</v>
      </c>
      <c r="AP130" s="128">
        <f t="shared" ref="AP130:AP132" si="45">AN130*AO130</f>
        <v>63</v>
      </c>
      <c r="AQ130" s="12"/>
    </row>
    <row r="131" s="47" customFormat="1" ht="20.25" spans="1:43">
      <c r="A131" s="344">
        <v>45881</v>
      </c>
      <c r="B131" s="346" t="s">
        <v>922</v>
      </c>
      <c r="C131" s="424">
        <v>502</v>
      </c>
      <c r="D131" s="124"/>
      <c r="E131" s="124"/>
      <c r="F131" s="125"/>
      <c r="G131" s="126"/>
      <c r="H131" s="126"/>
      <c r="I131" s="126"/>
      <c r="J131" s="127"/>
      <c r="K131" s="127"/>
      <c r="L131" s="127"/>
      <c r="M131" s="431"/>
      <c r="N131" s="126"/>
      <c r="O131" s="126"/>
      <c r="P131" s="125"/>
      <c r="Q131" s="125"/>
      <c r="R131" s="125"/>
      <c r="S131" s="126"/>
      <c r="T131" s="126"/>
      <c r="U131" s="126"/>
      <c r="V131" s="127"/>
      <c r="W131" s="127"/>
      <c r="X131" s="127"/>
      <c r="Y131" s="126">
        <v>26</v>
      </c>
      <c r="Z131" s="126">
        <v>7.9</v>
      </c>
      <c r="AA131" s="126">
        <f t="shared" si="42"/>
        <v>205.4</v>
      </c>
      <c r="AB131" s="125"/>
      <c r="AC131" s="125"/>
      <c r="AD131" s="125"/>
      <c r="AE131" s="126"/>
      <c r="AF131" s="126"/>
      <c r="AG131" s="126"/>
      <c r="AH131" s="127"/>
      <c r="AI131" s="127"/>
      <c r="AJ131" s="127"/>
      <c r="AK131" s="126"/>
      <c r="AL131" s="126"/>
      <c r="AM131" s="126"/>
      <c r="AN131" s="128">
        <v>64.5</v>
      </c>
      <c r="AO131" s="128">
        <v>6.3</v>
      </c>
      <c r="AP131" s="128">
        <f t="shared" si="45"/>
        <v>406.35</v>
      </c>
      <c r="AQ131" s="12"/>
    </row>
    <row r="132" s="46" customFormat="1" ht="20.25" spans="1:43">
      <c r="A132" s="344">
        <v>45890</v>
      </c>
      <c r="B132" s="346" t="s">
        <v>938</v>
      </c>
      <c r="C132" s="424">
        <v>1000</v>
      </c>
      <c r="D132" s="124"/>
      <c r="E132" s="124"/>
      <c r="F132" s="125"/>
      <c r="G132" s="126"/>
      <c r="H132" s="126"/>
      <c r="I132" s="126"/>
      <c r="J132" s="127"/>
      <c r="K132" s="127"/>
      <c r="L132" s="127"/>
      <c r="M132" s="432"/>
      <c r="N132" s="126"/>
      <c r="O132" s="126"/>
      <c r="P132" s="125"/>
      <c r="Q132" s="125"/>
      <c r="R132" s="125"/>
      <c r="S132" s="126"/>
      <c r="T132" s="126"/>
      <c r="U132" s="126"/>
      <c r="V132" s="127"/>
      <c r="W132" s="127"/>
      <c r="X132" s="127"/>
      <c r="Y132" s="126">
        <v>102</v>
      </c>
      <c r="Z132" s="126">
        <v>7.9</v>
      </c>
      <c r="AA132" s="126">
        <f t="shared" si="42"/>
        <v>805.8</v>
      </c>
      <c r="AB132" s="125"/>
      <c r="AC132" s="125"/>
      <c r="AD132" s="125"/>
      <c r="AE132" s="126"/>
      <c r="AF132" s="126"/>
      <c r="AG132" s="126"/>
      <c r="AH132" s="127"/>
      <c r="AI132" s="127"/>
      <c r="AJ132" s="127"/>
      <c r="AK132" s="126"/>
      <c r="AL132" s="126"/>
      <c r="AM132" s="126"/>
      <c r="AN132" s="128">
        <v>150</v>
      </c>
      <c r="AO132" s="128">
        <v>6.3</v>
      </c>
      <c r="AP132" s="128">
        <f t="shared" si="45"/>
        <v>945</v>
      </c>
      <c r="AQ132" s="12"/>
    </row>
    <row r="133" s="47" customFormat="1" spans="1:43">
      <c r="A133" s="344" t="s">
        <v>786</v>
      </c>
      <c r="B133" s="346" t="s">
        <v>923</v>
      </c>
      <c r="C133" s="424">
        <v>750</v>
      </c>
      <c r="D133" s="124"/>
      <c r="E133" s="124"/>
      <c r="F133" s="125"/>
      <c r="G133" s="126"/>
      <c r="H133" s="126"/>
      <c r="I133" s="126"/>
      <c r="J133" s="127"/>
      <c r="K133" s="127"/>
      <c r="L133" s="127"/>
      <c r="M133" s="126"/>
      <c r="N133" s="126"/>
      <c r="O133" s="126"/>
      <c r="P133" s="125">
        <v>25</v>
      </c>
      <c r="Q133" s="125">
        <v>82</v>
      </c>
      <c r="R133" s="125">
        <f>P133*Q133</f>
        <v>2050</v>
      </c>
      <c r="S133" s="126"/>
      <c r="T133" s="126"/>
      <c r="U133" s="126"/>
      <c r="V133" s="127"/>
      <c r="W133" s="127"/>
      <c r="X133" s="127"/>
      <c r="Y133" s="126">
        <v>300</v>
      </c>
      <c r="Z133" s="126">
        <v>7.9</v>
      </c>
      <c r="AA133" s="126">
        <f t="shared" si="42"/>
        <v>2370</v>
      </c>
      <c r="AB133" s="125">
        <v>125</v>
      </c>
      <c r="AC133" s="125">
        <v>5.5</v>
      </c>
      <c r="AD133" s="125">
        <f t="shared" si="44"/>
        <v>687.5</v>
      </c>
      <c r="AE133" s="126"/>
      <c r="AF133" s="126"/>
      <c r="AG133" s="126"/>
      <c r="AH133" s="127"/>
      <c r="AI133" s="127"/>
      <c r="AJ133" s="127"/>
      <c r="AK133" s="126"/>
      <c r="AL133" s="126"/>
      <c r="AM133" s="126"/>
      <c r="AN133" s="128"/>
      <c r="AO133" s="128"/>
      <c r="AP133" s="128"/>
    </row>
    <row r="134" s="47" customFormat="1" spans="1:43">
      <c r="A134" s="344">
        <v>45898</v>
      </c>
      <c r="B134" s="346" t="s">
        <v>963</v>
      </c>
      <c r="C134" s="424">
        <v>500</v>
      </c>
      <c r="D134" s="124"/>
      <c r="E134" s="124"/>
      <c r="F134" s="125"/>
      <c r="G134" s="126"/>
      <c r="H134" s="126"/>
      <c r="I134" s="126"/>
      <c r="J134" s="127">
        <v>20</v>
      </c>
      <c r="K134" s="127">
        <v>17</v>
      </c>
      <c r="L134" s="127">
        <f>J134*K134</f>
        <v>340</v>
      </c>
      <c r="M134" s="126"/>
      <c r="N134" s="126"/>
      <c r="O134" s="126"/>
      <c r="P134" s="125"/>
      <c r="Q134" s="125"/>
      <c r="R134" s="125"/>
      <c r="S134" s="126">
        <v>4</v>
      </c>
      <c r="T134" s="126">
        <v>170</v>
      </c>
      <c r="U134" s="126">
        <f>S134*T134</f>
        <v>680</v>
      </c>
      <c r="V134" s="127"/>
      <c r="W134" s="127"/>
      <c r="X134" s="127"/>
      <c r="Y134" s="126">
        <v>300</v>
      </c>
      <c r="Z134" s="126">
        <v>7.9</v>
      </c>
      <c r="AA134" s="126">
        <f t="shared" si="42"/>
        <v>2370</v>
      </c>
      <c r="AB134" s="125"/>
      <c r="AC134" s="125"/>
      <c r="AD134" s="125"/>
      <c r="AE134" s="126"/>
      <c r="AF134" s="126"/>
      <c r="AG134" s="126"/>
      <c r="AH134" s="127"/>
      <c r="AI134" s="127"/>
      <c r="AJ134" s="127"/>
      <c r="AK134" s="126"/>
      <c r="AL134" s="126"/>
      <c r="AM134" s="126"/>
      <c r="AN134" s="128">
        <v>12</v>
      </c>
      <c r="AO134" s="128">
        <v>6.4</v>
      </c>
      <c r="AP134" s="128">
        <f>AN134*AO134</f>
        <v>76.8</v>
      </c>
      <c r="AQ134" s="12"/>
    </row>
    <row r="135" s="47" customFormat="1" ht="20.25" spans="1:43">
      <c r="A135" s="344">
        <v>45899</v>
      </c>
      <c r="B135" s="346" t="s">
        <v>922</v>
      </c>
      <c r="C135" s="424">
        <v>502</v>
      </c>
      <c r="D135" s="124"/>
      <c r="E135" s="124"/>
      <c r="F135" s="125"/>
      <c r="G135" s="126"/>
      <c r="H135" s="126"/>
      <c r="I135" s="126"/>
      <c r="J135" s="127"/>
      <c r="K135" s="127"/>
      <c r="L135" s="127"/>
      <c r="M135" s="431"/>
      <c r="N135" s="126"/>
      <c r="O135" s="126"/>
      <c r="P135" s="125"/>
      <c r="Q135" s="125"/>
      <c r="R135" s="125"/>
      <c r="S135" s="126"/>
      <c r="T135" s="126"/>
      <c r="U135" s="126"/>
      <c r="V135" s="127"/>
      <c r="W135" s="127"/>
      <c r="X135" s="127"/>
      <c r="Y135" s="126">
        <v>26</v>
      </c>
      <c r="Z135" s="126">
        <v>7.6</v>
      </c>
      <c r="AA135" s="126">
        <f t="shared" si="42"/>
        <v>197.6</v>
      </c>
      <c r="AB135" s="125"/>
      <c r="AC135" s="125"/>
      <c r="AD135" s="125"/>
      <c r="AE135" s="126"/>
      <c r="AF135" s="126"/>
      <c r="AG135" s="126"/>
      <c r="AH135" s="127"/>
      <c r="AI135" s="127"/>
      <c r="AJ135" s="127"/>
      <c r="AK135" s="126"/>
      <c r="AL135" s="126"/>
      <c r="AM135" s="126"/>
      <c r="AN135" s="128">
        <v>64.5</v>
      </c>
      <c r="AO135" s="128">
        <v>6.4</v>
      </c>
      <c r="AP135" s="128">
        <f>AN135*AO135</f>
        <v>412.8</v>
      </c>
      <c r="AQ135" s="12"/>
    </row>
    <row r="136" s="47" customFormat="1" spans="1:43">
      <c r="A136" s="344"/>
      <c r="B136" s="346"/>
      <c r="C136" s="424"/>
      <c r="D136" s="124"/>
      <c r="E136" s="124"/>
      <c r="F136" s="125"/>
      <c r="G136" s="126"/>
      <c r="H136" s="126"/>
      <c r="I136" s="126"/>
      <c r="J136" s="127"/>
      <c r="K136" s="127"/>
      <c r="L136" s="127"/>
      <c r="M136" s="126"/>
      <c r="N136" s="126"/>
      <c r="O136" s="126"/>
      <c r="P136" s="125"/>
      <c r="Q136" s="125"/>
      <c r="R136" s="125"/>
      <c r="S136" s="126"/>
      <c r="T136" s="126"/>
      <c r="U136" s="126"/>
      <c r="V136" s="127"/>
      <c r="W136" s="127"/>
      <c r="X136" s="127"/>
      <c r="Y136" s="126"/>
      <c r="Z136" s="126"/>
      <c r="AA136" s="126"/>
      <c r="AB136" s="125"/>
      <c r="AC136" s="125"/>
      <c r="AD136" s="125"/>
      <c r="AE136" s="126"/>
      <c r="AF136" s="126"/>
      <c r="AG136" s="126"/>
      <c r="AH136" s="127"/>
      <c r="AI136" s="127"/>
      <c r="AJ136" s="127"/>
      <c r="AK136" s="126"/>
      <c r="AL136" s="126"/>
      <c r="AM136" s="126"/>
      <c r="AN136" s="128"/>
      <c r="AO136" s="128"/>
      <c r="AP136" s="128"/>
      <c r="AQ136" s="12"/>
    </row>
    <row r="137" s="47" customFormat="1" spans="1:43">
      <c r="A137" s="344"/>
      <c r="B137" s="346"/>
      <c r="C137" s="345"/>
      <c r="D137" s="124"/>
      <c r="E137" s="124"/>
      <c r="F137" s="125"/>
      <c r="G137" s="126"/>
      <c r="H137" s="126"/>
      <c r="I137" s="126"/>
      <c r="J137" s="127"/>
      <c r="K137" s="127"/>
      <c r="L137" s="127"/>
      <c r="M137" s="126"/>
      <c r="N137" s="126"/>
      <c r="O137" s="126"/>
      <c r="P137" s="125"/>
      <c r="Q137" s="125"/>
      <c r="R137" s="125"/>
      <c r="S137" s="126"/>
      <c r="T137" s="126"/>
      <c r="U137" s="126"/>
      <c r="V137" s="127"/>
      <c r="W137" s="127"/>
      <c r="X137" s="127"/>
      <c r="Y137" s="126"/>
      <c r="Z137" s="126"/>
      <c r="AA137" s="126"/>
      <c r="AB137" s="125"/>
      <c r="AC137" s="125"/>
      <c r="AD137" s="125"/>
      <c r="AE137" s="126"/>
      <c r="AF137" s="126"/>
      <c r="AG137" s="126"/>
      <c r="AH137" s="127"/>
      <c r="AI137" s="127"/>
      <c r="AJ137" s="127"/>
      <c r="AK137" s="126"/>
      <c r="AL137" s="126"/>
      <c r="AM137" s="126"/>
      <c r="AN137" s="128"/>
      <c r="AO137" s="128"/>
      <c r="AP137" s="128"/>
    </row>
    <row r="138" s="47" customFormat="1" spans="1:43">
      <c r="A138" s="129"/>
      <c r="B138" s="137"/>
      <c r="C138" s="131">
        <f>SUM(C126:C137)</f>
        <v>6151</v>
      </c>
      <c r="D138" s="146">
        <f>SUM(D126:D137)</f>
        <v>0</v>
      </c>
      <c r="E138" s="147"/>
      <c r="F138" s="146">
        <f>SUM(F126:F137)</f>
        <v>0</v>
      </c>
      <c r="G138" s="146">
        <f>SUM(G126:G137)</f>
        <v>0</v>
      </c>
      <c r="H138" s="147"/>
      <c r="I138" s="146">
        <f>SUM(I126:I137)</f>
        <v>0</v>
      </c>
      <c r="J138" s="146">
        <f>SUM(J126:J137)</f>
        <v>40</v>
      </c>
      <c r="K138" s="147"/>
      <c r="L138" s="146">
        <f>SUM(L126:L137)</f>
        <v>680</v>
      </c>
      <c r="M138" s="146">
        <f>SUM(M126:M137)</f>
        <v>0</v>
      </c>
      <c r="N138" s="147"/>
      <c r="O138" s="146">
        <f>SUM(O126:O137)</f>
        <v>0</v>
      </c>
      <c r="P138" s="146">
        <f>SUM(P126:P137)</f>
        <v>25</v>
      </c>
      <c r="Q138" s="147"/>
      <c r="R138" s="146">
        <f>SUM(R126:R137)</f>
        <v>2050</v>
      </c>
      <c r="S138" s="146">
        <f>SUM(S126:S137)</f>
        <v>4</v>
      </c>
      <c r="T138" s="147"/>
      <c r="U138" s="146">
        <f>SUM(U126:U137)</f>
        <v>680</v>
      </c>
      <c r="V138" s="146">
        <f>SUM(V126:V137)</f>
        <v>0</v>
      </c>
      <c r="W138" s="147"/>
      <c r="X138" s="146">
        <f>SUM(X126:X137)</f>
        <v>0</v>
      </c>
      <c r="Y138" s="146">
        <f>SUM(Y126:Y137)</f>
        <v>1026</v>
      </c>
      <c r="Z138" s="81"/>
      <c r="AA138" s="146">
        <f>SUM(AA126:AA137)</f>
        <v>8097.6</v>
      </c>
      <c r="AB138" s="146">
        <f>SUM(AB126:AB137)</f>
        <v>283</v>
      </c>
      <c r="AC138" s="81"/>
      <c r="AD138" s="146">
        <f>SUM(AD126:AD137)</f>
        <v>1556.5</v>
      </c>
      <c r="AE138" s="146">
        <f>SUM(AE126:AE137)</f>
        <v>0</v>
      </c>
      <c r="AF138" s="81"/>
      <c r="AG138" s="146">
        <f>SUM(AG126:AG137)</f>
        <v>0</v>
      </c>
      <c r="AH138" s="146">
        <f>SUM(AH126:AH137)</f>
        <v>0</v>
      </c>
      <c r="AI138" s="81"/>
      <c r="AJ138" s="146">
        <f>SUM(AJ126:AJ137)</f>
        <v>0</v>
      </c>
      <c r="AK138" s="146">
        <f>SUM(AK126:AK137)</f>
        <v>155</v>
      </c>
      <c r="AL138" s="81"/>
      <c r="AM138" s="146">
        <f>SUM(AM126:AM137)</f>
        <v>1007.5</v>
      </c>
      <c r="AN138" s="146">
        <f>SUM(AN126:AN137)</f>
        <v>571</v>
      </c>
      <c r="AO138" s="81"/>
      <c r="AP138" s="146">
        <f>SUM(AP126:AP137)</f>
        <v>3604.95</v>
      </c>
    </row>
    <row r="139" s="11" customFormat="1" ht="33" customHeight="1" spans="1:43">
      <c r="A139" s="430" t="s">
        <v>964</v>
      </c>
      <c r="B139" s="66"/>
      <c r="C139" s="66"/>
      <c r="D139" s="68"/>
      <c r="E139" s="68"/>
      <c r="F139" s="75"/>
      <c r="G139" s="72" t="s">
        <v>908</v>
      </c>
      <c r="H139" s="72"/>
      <c r="I139" s="72"/>
      <c r="J139" s="76"/>
      <c r="K139" s="76"/>
      <c r="L139" s="77">
        <f>F162+I162+L162+O162+R162+U162+X162+AA162+AD162+AG162+AJ162+AM162+AP162</f>
        <v>21159.775</v>
      </c>
      <c r="M139" s="77"/>
      <c r="N139" s="72"/>
      <c r="O139" s="72"/>
      <c r="P139" s="75"/>
      <c r="Q139" s="75"/>
      <c r="R139" s="75"/>
      <c r="S139" s="72"/>
      <c r="T139" s="72"/>
      <c r="U139" s="72"/>
      <c r="V139" s="77"/>
      <c r="W139" s="77"/>
      <c r="X139" s="77"/>
      <c r="Y139" s="72"/>
      <c r="Z139" s="72"/>
      <c r="AA139" s="72"/>
      <c r="AB139" s="75"/>
      <c r="AC139" s="75"/>
      <c r="AD139" s="75"/>
      <c r="AE139" s="72"/>
      <c r="AF139" s="72"/>
      <c r="AG139" s="72"/>
      <c r="AH139" s="77"/>
      <c r="AI139" s="77"/>
      <c r="AJ139" s="78"/>
      <c r="AK139" s="79"/>
      <c r="AL139" s="79"/>
      <c r="AM139" s="80"/>
    </row>
    <row r="140" s="12" customFormat="1" ht="27" customHeight="1" spans="1:43">
      <c r="A140" s="81" t="s">
        <v>35</v>
      </c>
      <c r="B140" s="82" t="s">
        <v>909</v>
      </c>
      <c r="C140" s="83"/>
      <c r="D140" s="74" t="s">
        <v>289</v>
      </c>
      <c r="E140" s="74"/>
      <c r="F140" s="103"/>
      <c r="G140" s="81" t="s">
        <v>466</v>
      </c>
      <c r="H140" s="81"/>
      <c r="I140" s="81"/>
      <c r="J140" s="78" t="s">
        <v>910</v>
      </c>
      <c r="K140" s="78"/>
      <c r="L140" s="78"/>
      <c r="M140" s="81" t="s">
        <v>911</v>
      </c>
      <c r="N140" s="81"/>
      <c r="O140" s="81"/>
      <c r="P140" s="104" t="s">
        <v>912</v>
      </c>
      <c r="Q140" s="104"/>
      <c r="R140" s="104"/>
      <c r="S140" s="81" t="s">
        <v>913</v>
      </c>
      <c r="T140" s="81"/>
      <c r="U140" s="81"/>
      <c r="V140" s="78" t="s">
        <v>960</v>
      </c>
      <c r="W140" s="78"/>
      <c r="X140" s="78"/>
      <c r="Y140" s="81">
        <v>808</v>
      </c>
      <c r="Z140" s="81"/>
      <c r="AA140" s="81"/>
      <c r="AB140" s="104" t="s">
        <v>125</v>
      </c>
      <c r="AC140" s="104"/>
      <c r="AD140" s="104"/>
      <c r="AE140" s="81" t="s">
        <v>132</v>
      </c>
      <c r="AF140" s="81"/>
      <c r="AG140" s="81"/>
      <c r="AH140" s="78">
        <v>811</v>
      </c>
      <c r="AI140" s="78"/>
      <c r="AJ140" s="105"/>
      <c r="AK140" s="81" t="s">
        <v>152</v>
      </c>
      <c r="AL140" s="81"/>
      <c r="AM140" s="81"/>
      <c r="AN140" s="106" t="s">
        <v>12</v>
      </c>
      <c r="AO140" s="107"/>
      <c r="AP140" s="108"/>
    </row>
    <row r="141" s="12" customFormat="1" ht="27" customHeight="1" spans="1:43">
      <c r="A141" s="81"/>
      <c r="B141" s="82" t="s">
        <v>914</v>
      </c>
      <c r="C141" s="83" t="s">
        <v>915</v>
      </c>
      <c r="D141" s="117" t="s">
        <v>916</v>
      </c>
      <c r="E141" s="118" t="s">
        <v>917</v>
      </c>
      <c r="F141" s="81" t="s">
        <v>918</v>
      </c>
      <c r="G141" s="81" t="s">
        <v>916</v>
      </c>
      <c r="H141" s="81" t="s">
        <v>917</v>
      </c>
      <c r="I141" s="81" t="s">
        <v>918</v>
      </c>
      <c r="J141" s="78" t="s">
        <v>916</v>
      </c>
      <c r="K141" s="78" t="s">
        <v>917</v>
      </c>
      <c r="L141" s="78" t="s">
        <v>918</v>
      </c>
      <c r="M141" s="81" t="s">
        <v>916</v>
      </c>
      <c r="N141" s="81" t="s">
        <v>917</v>
      </c>
      <c r="O141" s="81" t="s">
        <v>918</v>
      </c>
      <c r="P141" s="104" t="s">
        <v>916</v>
      </c>
      <c r="Q141" s="104" t="s">
        <v>917</v>
      </c>
      <c r="R141" s="104" t="s">
        <v>918</v>
      </c>
      <c r="S141" s="81" t="s">
        <v>916</v>
      </c>
      <c r="T141" s="81" t="s">
        <v>917</v>
      </c>
      <c r="U141" s="81" t="s">
        <v>918</v>
      </c>
      <c r="V141" s="78" t="s">
        <v>916</v>
      </c>
      <c r="W141" s="78" t="s">
        <v>917</v>
      </c>
      <c r="X141" s="78" t="s">
        <v>918</v>
      </c>
      <c r="Y141" s="81" t="s">
        <v>916</v>
      </c>
      <c r="Z141" s="81" t="s">
        <v>917</v>
      </c>
      <c r="AA141" s="81" t="s">
        <v>918</v>
      </c>
      <c r="AB141" s="104" t="s">
        <v>916</v>
      </c>
      <c r="AC141" s="104" t="s">
        <v>917</v>
      </c>
      <c r="AD141" s="104" t="s">
        <v>918</v>
      </c>
      <c r="AE141" s="81" t="s">
        <v>916</v>
      </c>
      <c r="AF141" s="81" t="s">
        <v>917</v>
      </c>
      <c r="AG141" s="81" t="s">
        <v>918</v>
      </c>
      <c r="AH141" s="78" t="s">
        <v>916</v>
      </c>
      <c r="AI141" s="78" t="s">
        <v>917</v>
      </c>
      <c r="AJ141" s="105" t="s">
        <v>918</v>
      </c>
      <c r="AK141" s="81" t="s">
        <v>916</v>
      </c>
      <c r="AL141" s="81" t="s">
        <v>917</v>
      </c>
      <c r="AM141" s="81" t="s">
        <v>918</v>
      </c>
      <c r="AN141" s="104" t="s">
        <v>916</v>
      </c>
      <c r="AO141" s="104" t="s">
        <v>917</v>
      </c>
      <c r="AP141" s="104" t="s">
        <v>918</v>
      </c>
    </row>
    <row r="142" s="46" customFormat="1" ht="20.25" spans="1:43">
      <c r="A142" s="344">
        <v>45839</v>
      </c>
      <c r="B142" s="346" t="s">
        <v>704</v>
      </c>
      <c r="C142" s="424">
        <v>258</v>
      </c>
      <c r="D142" s="124">
        <v>150</v>
      </c>
      <c r="E142" s="124">
        <v>16</v>
      </c>
      <c r="F142" s="125">
        <f>D142*E142</f>
        <v>2400</v>
      </c>
      <c r="G142" s="126"/>
      <c r="H142" s="126"/>
      <c r="I142" s="126"/>
      <c r="J142" s="127"/>
      <c r="K142" s="127"/>
      <c r="L142" s="127"/>
      <c r="M142" s="432"/>
      <c r="N142" s="126"/>
      <c r="O142" s="126"/>
      <c r="P142" s="125"/>
      <c r="Q142" s="125"/>
      <c r="R142" s="125"/>
      <c r="S142" s="126"/>
      <c r="T142" s="126"/>
      <c r="U142" s="126"/>
      <c r="V142" s="127"/>
      <c r="W142" s="127"/>
      <c r="X142" s="127"/>
      <c r="Y142" s="126">
        <v>30</v>
      </c>
      <c r="Z142" s="126">
        <v>8.6</v>
      </c>
      <c r="AA142" s="126">
        <f>Y142*Z142</f>
        <v>258</v>
      </c>
      <c r="AB142" s="125"/>
      <c r="AC142" s="125"/>
      <c r="AD142" s="125"/>
      <c r="AE142" s="126"/>
      <c r="AF142" s="126"/>
      <c r="AG142" s="126"/>
      <c r="AH142" s="127"/>
      <c r="AI142" s="127"/>
      <c r="AJ142" s="127"/>
      <c r="AK142" s="126"/>
      <c r="AL142" s="126"/>
      <c r="AM142" s="126"/>
      <c r="AN142" s="128">
        <v>30</v>
      </c>
      <c r="AO142" s="128">
        <v>6.7</v>
      </c>
      <c r="AP142" s="128">
        <f>AN142*AO142</f>
        <v>201</v>
      </c>
      <c r="AQ142" s="12"/>
    </row>
    <row r="143" s="47" customFormat="1" ht="20.25" spans="1:43">
      <c r="A143" s="344">
        <v>45842</v>
      </c>
      <c r="B143" s="346" t="s">
        <v>965</v>
      </c>
      <c r="C143" s="345"/>
      <c r="D143" s="124"/>
      <c r="E143" s="124"/>
      <c r="F143" s="125"/>
      <c r="G143" s="126"/>
      <c r="H143" s="126"/>
      <c r="I143" s="126"/>
      <c r="J143" s="127">
        <v>0.45</v>
      </c>
      <c r="K143" s="127">
        <v>17</v>
      </c>
      <c r="L143" s="127">
        <f t="shared" ref="L143:L145" si="46">J143*K143</f>
        <v>7.65</v>
      </c>
      <c r="M143" s="431"/>
      <c r="N143" s="126"/>
      <c r="O143" s="126"/>
      <c r="P143" s="125"/>
      <c r="Q143" s="125"/>
      <c r="R143" s="125"/>
      <c r="S143" s="126"/>
      <c r="T143" s="126"/>
      <c r="U143" s="126"/>
      <c r="V143" s="127"/>
      <c r="W143" s="127"/>
      <c r="X143" s="127"/>
      <c r="Y143" s="126"/>
      <c r="Z143" s="126"/>
      <c r="AA143" s="126"/>
      <c r="AB143" s="125"/>
      <c r="AC143" s="125"/>
      <c r="AD143" s="125"/>
      <c r="AE143" s="126">
        <v>3.5</v>
      </c>
      <c r="AF143" s="126">
        <v>3.5</v>
      </c>
      <c r="AG143" s="126">
        <f t="shared" ref="AG143:AG145" si="47">AE143*AF143</f>
        <v>12.25</v>
      </c>
      <c r="AH143" s="127"/>
      <c r="AI143" s="127"/>
      <c r="AJ143" s="127"/>
      <c r="AK143" s="126"/>
      <c r="AL143" s="126"/>
      <c r="AM143" s="126"/>
      <c r="AN143" s="441"/>
      <c r="AO143" s="125"/>
      <c r="AP143" s="128"/>
      <c r="AQ143" s="12"/>
    </row>
    <row r="144" s="48" customFormat="1" ht="20.25" spans="1:43">
      <c r="A144" s="344">
        <v>45842</v>
      </c>
      <c r="B144" s="346" t="s">
        <v>966</v>
      </c>
      <c r="C144" s="345"/>
      <c r="D144" s="124"/>
      <c r="E144" s="124"/>
      <c r="F144" s="125"/>
      <c r="G144" s="126"/>
      <c r="H144" s="126"/>
      <c r="I144" s="126"/>
      <c r="J144" s="127">
        <v>0.45</v>
      </c>
      <c r="K144" s="127">
        <v>17</v>
      </c>
      <c r="L144" s="127">
        <f t="shared" si="46"/>
        <v>7.65</v>
      </c>
      <c r="M144" s="432"/>
      <c r="N144" s="126"/>
      <c r="O144" s="126"/>
      <c r="P144" s="125"/>
      <c r="Q144" s="125"/>
      <c r="R144" s="125"/>
      <c r="S144" s="126"/>
      <c r="T144" s="126"/>
      <c r="U144" s="126"/>
      <c r="V144" s="127"/>
      <c r="W144" s="127"/>
      <c r="X144" s="127"/>
      <c r="Y144" s="126"/>
      <c r="Z144" s="126"/>
      <c r="AA144" s="126"/>
      <c r="AB144" s="125"/>
      <c r="AC144" s="125"/>
      <c r="AD144" s="125"/>
      <c r="AE144" s="126">
        <v>3.5</v>
      </c>
      <c r="AF144" s="126">
        <v>3.5</v>
      </c>
      <c r="AG144" s="126">
        <f t="shared" si="47"/>
        <v>12.25</v>
      </c>
      <c r="AH144" s="127"/>
      <c r="AI144" s="127"/>
      <c r="AJ144" s="127"/>
      <c r="AK144" s="126"/>
      <c r="AL144" s="126"/>
      <c r="AM144" s="126"/>
      <c r="AN144" s="125"/>
      <c r="AO144" s="125"/>
      <c r="AP144" s="125"/>
      <c r="AQ144" s="12"/>
    </row>
    <row r="145" s="47" customFormat="1" ht="20.25" spans="1:43">
      <c r="A145" s="344">
        <v>45842</v>
      </c>
      <c r="B145" s="346" t="s">
        <v>967</v>
      </c>
      <c r="C145" s="345"/>
      <c r="D145" s="124"/>
      <c r="E145" s="124"/>
      <c r="F145" s="125"/>
      <c r="G145" s="126"/>
      <c r="H145" s="126"/>
      <c r="I145" s="126"/>
      <c r="J145" s="127">
        <v>0.425</v>
      </c>
      <c r="K145" s="127">
        <v>17</v>
      </c>
      <c r="L145" s="127">
        <f t="shared" si="46"/>
        <v>7.225</v>
      </c>
      <c r="M145" s="431"/>
      <c r="N145" s="126"/>
      <c r="O145" s="126"/>
      <c r="P145" s="125"/>
      <c r="Q145" s="125"/>
      <c r="R145" s="125"/>
      <c r="S145" s="126"/>
      <c r="T145" s="126"/>
      <c r="U145" s="126"/>
      <c r="V145" s="127"/>
      <c r="W145" s="127"/>
      <c r="X145" s="127"/>
      <c r="Y145" s="126"/>
      <c r="Z145" s="126"/>
      <c r="AA145" s="126"/>
      <c r="AB145" s="125"/>
      <c r="AC145" s="125"/>
      <c r="AD145" s="125"/>
      <c r="AE145" s="126">
        <v>5.02</v>
      </c>
      <c r="AF145" s="126">
        <v>3.5</v>
      </c>
      <c r="AG145" s="126">
        <f t="shared" si="47"/>
        <v>17.57</v>
      </c>
      <c r="AH145" s="127"/>
      <c r="AI145" s="127"/>
      <c r="AJ145" s="127"/>
      <c r="AK145" s="126"/>
      <c r="AL145" s="126"/>
      <c r="AM145" s="126"/>
      <c r="AN145" s="128"/>
      <c r="AO145" s="128"/>
      <c r="AP145" s="128"/>
      <c r="AQ145" s="12"/>
    </row>
    <row r="146" s="47" customFormat="1" ht="20.25" spans="1:43">
      <c r="A146" s="344">
        <v>45846</v>
      </c>
      <c r="B146" s="346" t="s">
        <v>939</v>
      </c>
      <c r="C146" s="345"/>
      <c r="D146" s="124"/>
      <c r="E146" s="124"/>
      <c r="F146" s="125"/>
      <c r="G146" s="126"/>
      <c r="H146" s="126"/>
      <c r="I146" s="126"/>
      <c r="J146" s="141"/>
      <c r="K146" s="141"/>
      <c r="L146" s="141"/>
      <c r="M146" s="432"/>
      <c r="N146" s="126"/>
      <c r="O146" s="126"/>
      <c r="P146" s="125"/>
      <c r="Q146" s="125"/>
      <c r="R146" s="125"/>
      <c r="S146" s="126"/>
      <c r="T146" s="126"/>
      <c r="U146" s="126"/>
      <c r="V146" s="127"/>
      <c r="W146" s="127"/>
      <c r="X146" s="127"/>
      <c r="Y146" s="126">
        <v>120</v>
      </c>
      <c r="Z146" s="126">
        <v>7.9</v>
      </c>
      <c r="AA146" s="126">
        <f t="shared" ref="AA146:AA151" si="48">Y146*Z146</f>
        <v>948</v>
      </c>
      <c r="AB146" s="125"/>
      <c r="AC146" s="125"/>
      <c r="AD146" s="125"/>
      <c r="AE146" s="126"/>
      <c r="AF146" s="126"/>
      <c r="AG146" s="126"/>
      <c r="AH146" s="127"/>
      <c r="AI146" s="127"/>
      <c r="AJ146" s="127"/>
      <c r="AK146" s="126"/>
      <c r="AL146" s="126"/>
      <c r="AM146" s="126"/>
      <c r="AN146" s="128">
        <v>80</v>
      </c>
      <c r="AO146" s="128">
        <v>6.6</v>
      </c>
      <c r="AP146" s="128">
        <f t="shared" ref="AP146:AP151" si="49">AN146*AO146</f>
        <v>528</v>
      </c>
      <c r="AQ146" s="12"/>
    </row>
    <row r="147" s="47" customFormat="1" ht="20.25" spans="1:43">
      <c r="A147" s="344">
        <v>45848</v>
      </c>
      <c r="B147" s="346" t="s">
        <v>968</v>
      </c>
      <c r="C147" s="345"/>
      <c r="D147" s="124"/>
      <c r="E147" s="124"/>
      <c r="F147" s="125"/>
      <c r="G147" s="126"/>
      <c r="H147" s="126"/>
      <c r="I147" s="126"/>
      <c r="J147" s="127">
        <v>1.8</v>
      </c>
      <c r="K147" s="127">
        <v>17</v>
      </c>
      <c r="L147" s="127">
        <f t="shared" ref="L147:L150" si="50">J147*K147</f>
        <v>30.6</v>
      </c>
      <c r="M147" s="431"/>
      <c r="N147" s="126"/>
      <c r="O147" s="126"/>
      <c r="P147" s="125"/>
      <c r="Q147" s="125"/>
      <c r="R147" s="125"/>
      <c r="S147" s="126"/>
      <c r="T147" s="126"/>
      <c r="U147" s="126"/>
      <c r="V147" s="127"/>
      <c r="W147" s="127"/>
      <c r="X147" s="127"/>
      <c r="Y147" s="126"/>
      <c r="Z147" s="126"/>
      <c r="AA147" s="126"/>
      <c r="AB147" s="125"/>
      <c r="AC147" s="125"/>
      <c r="AD147" s="125"/>
      <c r="AE147" s="126">
        <v>14</v>
      </c>
      <c r="AF147" s="126">
        <v>3.5</v>
      </c>
      <c r="AG147" s="126">
        <f t="shared" ref="AG147:AG150" si="51">AE147*AF147</f>
        <v>49</v>
      </c>
      <c r="AH147" s="127"/>
      <c r="AI147" s="127"/>
      <c r="AJ147" s="127"/>
      <c r="AK147" s="126"/>
      <c r="AL147" s="126"/>
      <c r="AM147" s="126"/>
      <c r="AN147" s="128"/>
      <c r="AO147" s="128"/>
      <c r="AP147" s="128"/>
      <c r="AQ147" s="12"/>
    </row>
    <row r="148" s="47" customFormat="1" ht="20.25" spans="1:43">
      <c r="A148" s="344">
        <v>45848</v>
      </c>
      <c r="B148" s="346" t="s">
        <v>969</v>
      </c>
      <c r="C148" s="345"/>
      <c r="D148" s="124"/>
      <c r="E148" s="124"/>
      <c r="F148" s="125"/>
      <c r="G148" s="126"/>
      <c r="H148" s="126"/>
      <c r="I148" s="126"/>
      <c r="J148" s="127">
        <v>2.2</v>
      </c>
      <c r="K148" s="127">
        <v>17</v>
      </c>
      <c r="L148" s="127">
        <f t="shared" si="50"/>
        <v>37.4</v>
      </c>
      <c r="M148" s="432"/>
      <c r="N148" s="126"/>
      <c r="O148" s="126"/>
      <c r="P148" s="125"/>
      <c r="Q148" s="125"/>
      <c r="R148" s="125"/>
      <c r="S148" s="126"/>
      <c r="T148" s="126"/>
      <c r="U148" s="126"/>
      <c r="V148" s="127"/>
      <c r="W148" s="127"/>
      <c r="X148" s="127"/>
      <c r="Y148" s="126">
        <v>7.2</v>
      </c>
      <c r="Z148" s="126">
        <v>7.9</v>
      </c>
      <c r="AA148" s="126">
        <f t="shared" si="48"/>
        <v>56.88</v>
      </c>
      <c r="AB148" s="125"/>
      <c r="AC148" s="125"/>
      <c r="AD148" s="125"/>
      <c r="AE148" s="126"/>
      <c r="AF148" s="126"/>
      <c r="AG148" s="126"/>
      <c r="AH148" s="127"/>
      <c r="AI148" s="127"/>
      <c r="AJ148" s="127"/>
      <c r="AK148" s="126">
        <v>14.5</v>
      </c>
      <c r="AL148" s="126">
        <v>6.7</v>
      </c>
      <c r="AM148" s="126">
        <f>AK148*AL148</f>
        <v>97.15</v>
      </c>
      <c r="AN148" s="128">
        <v>7</v>
      </c>
      <c r="AO148" s="128">
        <v>6.6</v>
      </c>
      <c r="AP148" s="128">
        <f t="shared" si="49"/>
        <v>46.2</v>
      </c>
      <c r="AQ148" s="12"/>
    </row>
    <row r="149" s="48" customFormat="1" ht="20.25" spans="1:43">
      <c r="A149" s="344">
        <v>45848</v>
      </c>
      <c r="B149" s="346" t="s">
        <v>966</v>
      </c>
      <c r="C149" s="345"/>
      <c r="D149" s="124"/>
      <c r="E149" s="124"/>
      <c r="F149" s="125"/>
      <c r="G149" s="126"/>
      <c r="H149" s="126"/>
      <c r="I149" s="126"/>
      <c r="J149" s="127">
        <v>0.45</v>
      </c>
      <c r="K149" s="127">
        <v>17</v>
      </c>
      <c r="L149" s="127">
        <f t="shared" si="50"/>
        <v>7.65</v>
      </c>
      <c r="M149" s="442"/>
      <c r="N149" s="126"/>
      <c r="O149" s="126"/>
      <c r="P149" s="125"/>
      <c r="Q149" s="125"/>
      <c r="R149" s="125"/>
      <c r="S149" s="126"/>
      <c r="T149" s="126"/>
      <c r="U149" s="126"/>
      <c r="V149" s="127"/>
      <c r="W149" s="127"/>
      <c r="X149" s="127"/>
      <c r="Y149" s="126"/>
      <c r="Z149" s="126"/>
      <c r="AA149" s="126"/>
      <c r="AB149" s="125"/>
      <c r="AC149" s="125"/>
      <c r="AD149" s="125"/>
      <c r="AE149" s="126">
        <v>3.5</v>
      </c>
      <c r="AF149" s="126">
        <v>3.5</v>
      </c>
      <c r="AG149" s="126">
        <f t="shared" si="51"/>
        <v>12.25</v>
      </c>
      <c r="AH149" s="127"/>
      <c r="AI149" s="127"/>
      <c r="AJ149" s="127"/>
      <c r="AK149" s="126"/>
      <c r="AL149" s="126"/>
      <c r="AM149" s="126"/>
      <c r="AN149" s="125"/>
      <c r="AO149" s="125"/>
      <c r="AP149" s="125"/>
      <c r="AQ149" s="12"/>
    </row>
    <row r="150" s="47" customFormat="1" spans="1:43">
      <c r="A150" s="344">
        <v>45848</v>
      </c>
      <c r="B150" s="346" t="s">
        <v>970</v>
      </c>
      <c r="C150" s="345"/>
      <c r="D150" s="124"/>
      <c r="E150" s="124"/>
      <c r="F150" s="125"/>
      <c r="G150" s="126"/>
      <c r="H150" s="126"/>
      <c r="I150" s="126"/>
      <c r="J150" s="127">
        <v>1.3</v>
      </c>
      <c r="K150" s="127">
        <v>17</v>
      </c>
      <c r="L150" s="127">
        <f t="shared" si="50"/>
        <v>22.1</v>
      </c>
      <c r="M150" s="126"/>
      <c r="N150" s="126"/>
      <c r="O150" s="126"/>
      <c r="P150" s="125"/>
      <c r="Q150" s="125"/>
      <c r="R150" s="125"/>
      <c r="S150" s="443">
        <v>8</v>
      </c>
      <c r="T150" s="443">
        <v>90</v>
      </c>
      <c r="U150" s="443">
        <f>S150*T150</f>
        <v>720</v>
      </c>
      <c r="V150" s="127"/>
      <c r="W150" s="127"/>
      <c r="X150" s="127"/>
      <c r="Y150" s="126"/>
      <c r="Z150" s="126"/>
      <c r="AA150" s="126"/>
      <c r="AB150" s="125"/>
      <c r="AC150" s="125"/>
      <c r="AD150" s="125"/>
      <c r="AE150" s="126">
        <v>15</v>
      </c>
      <c r="AF150" s="126">
        <v>3.5</v>
      </c>
      <c r="AG150" s="126">
        <f t="shared" si="51"/>
        <v>52.5</v>
      </c>
      <c r="AH150" s="127"/>
      <c r="AI150" s="127"/>
      <c r="AJ150" s="127"/>
      <c r="AK150" s="126"/>
      <c r="AL150" s="126"/>
      <c r="AM150" s="126"/>
      <c r="AN150" s="128">
        <v>8</v>
      </c>
      <c r="AO150" s="128">
        <v>6.6</v>
      </c>
      <c r="AP150" s="128">
        <f t="shared" si="49"/>
        <v>52.8</v>
      </c>
      <c r="AQ150" s="12"/>
    </row>
    <row r="151" s="47" customFormat="1" spans="1:43">
      <c r="A151" s="344">
        <v>45849</v>
      </c>
      <c r="B151" s="346" t="s">
        <v>922</v>
      </c>
      <c r="C151" s="424">
        <v>502</v>
      </c>
      <c r="D151" s="124"/>
      <c r="E151" s="124"/>
      <c r="F151" s="125"/>
      <c r="G151" s="126"/>
      <c r="H151" s="126"/>
      <c r="I151" s="126"/>
      <c r="J151" s="127"/>
      <c r="K151" s="127"/>
      <c r="L151" s="127"/>
      <c r="M151" s="126"/>
      <c r="N151" s="126"/>
      <c r="O151" s="126"/>
      <c r="P151" s="125"/>
      <c r="Q151" s="125"/>
      <c r="R151" s="125"/>
      <c r="S151" s="126"/>
      <c r="T151" s="126"/>
      <c r="U151" s="126"/>
      <c r="V151" s="127"/>
      <c r="W151" s="127"/>
      <c r="X151" s="127"/>
      <c r="Y151" s="126">
        <v>26</v>
      </c>
      <c r="Z151" s="126">
        <v>7.9</v>
      </c>
      <c r="AA151" s="126">
        <f t="shared" si="48"/>
        <v>205.4</v>
      </c>
      <c r="AB151" s="125"/>
      <c r="AC151" s="125"/>
      <c r="AD151" s="125"/>
      <c r="AE151" s="126"/>
      <c r="AF151" s="126"/>
      <c r="AG151" s="126"/>
      <c r="AH151" s="127"/>
      <c r="AI151" s="127"/>
      <c r="AJ151" s="127"/>
      <c r="AK151" s="126"/>
      <c r="AL151" s="126"/>
      <c r="AM151" s="126"/>
      <c r="AN151" s="128">
        <v>6</v>
      </c>
      <c r="AO151" s="128">
        <v>6.6</v>
      </c>
      <c r="AP151" s="128">
        <f t="shared" si="49"/>
        <v>39.6</v>
      </c>
      <c r="AQ151" s="12"/>
    </row>
    <row r="152" s="47" customFormat="1" spans="1:43">
      <c r="A152" s="344">
        <v>45850</v>
      </c>
      <c r="B152" s="346" t="s">
        <v>971</v>
      </c>
      <c r="C152" s="424">
        <v>433</v>
      </c>
      <c r="D152" s="124"/>
      <c r="E152" s="124"/>
      <c r="F152" s="125"/>
      <c r="G152" s="126">
        <v>38</v>
      </c>
      <c r="H152" s="126">
        <v>0.9</v>
      </c>
      <c r="I152" s="126">
        <f>G152*H152</f>
        <v>34.2</v>
      </c>
      <c r="J152" s="127">
        <v>11.6</v>
      </c>
      <c r="K152" s="127">
        <v>17</v>
      </c>
      <c r="L152" s="127">
        <f>J152*K152</f>
        <v>197.2</v>
      </c>
      <c r="M152" s="126"/>
      <c r="N152" s="126"/>
      <c r="O152" s="126"/>
      <c r="P152" s="125"/>
      <c r="Q152" s="125"/>
      <c r="R152" s="125"/>
      <c r="S152" s="126"/>
      <c r="T152" s="126"/>
      <c r="U152" s="126"/>
      <c r="V152" s="127"/>
      <c r="W152" s="127"/>
      <c r="X152" s="127"/>
      <c r="Y152" s="126"/>
      <c r="Z152" s="126"/>
      <c r="AA152" s="126"/>
      <c r="AB152" s="125">
        <v>1.5</v>
      </c>
      <c r="AC152" s="125">
        <v>5.5</v>
      </c>
      <c r="AD152" s="125">
        <f>AB152*AC152</f>
        <v>8.25</v>
      </c>
      <c r="AE152" s="126">
        <v>2.3</v>
      </c>
      <c r="AF152" s="126">
        <v>3.5</v>
      </c>
      <c r="AG152" s="126">
        <f>AE152*AF152</f>
        <v>8.05</v>
      </c>
      <c r="AH152" s="127"/>
      <c r="AI152" s="127"/>
      <c r="AJ152" s="127"/>
      <c r="AK152" s="126"/>
      <c r="AL152" s="126"/>
      <c r="AM152" s="126"/>
      <c r="AN152" s="128"/>
      <c r="AO152" s="128"/>
      <c r="AP152" s="128"/>
      <c r="AQ152" s="12"/>
    </row>
    <row r="153" s="47" customFormat="1" spans="1:43">
      <c r="A153" s="344">
        <v>45853</v>
      </c>
      <c r="B153" s="346" t="s">
        <v>924</v>
      </c>
      <c r="C153" s="424">
        <v>500</v>
      </c>
      <c r="D153" s="124"/>
      <c r="E153" s="124"/>
      <c r="F153" s="125"/>
      <c r="G153" s="126"/>
      <c r="H153" s="126"/>
      <c r="I153" s="126"/>
      <c r="J153" s="127"/>
      <c r="K153" s="127"/>
      <c r="L153" s="127"/>
      <c r="M153" s="126"/>
      <c r="N153" s="126"/>
      <c r="O153" s="126"/>
      <c r="P153" s="125"/>
      <c r="Q153" s="125"/>
      <c r="R153" s="125"/>
      <c r="S153" s="126"/>
      <c r="T153" s="126"/>
      <c r="U153" s="126"/>
      <c r="V153" s="127"/>
      <c r="W153" s="127"/>
      <c r="X153" s="127"/>
      <c r="Y153" s="126">
        <v>50</v>
      </c>
      <c r="Z153" s="126">
        <v>7.9</v>
      </c>
      <c r="AA153" s="126">
        <f>Y153*Z153</f>
        <v>395</v>
      </c>
      <c r="AB153" s="125">
        <v>108</v>
      </c>
      <c r="AC153" s="125">
        <v>5.5</v>
      </c>
      <c r="AD153" s="125">
        <f>AB153*AC153</f>
        <v>594</v>
      </c>
      <c r="AE153" s="126"/>
      <c r="AF153" s="126"/>
      <c r="AG153" s="126"/>
      <c r="AH153" s="127"/>
      <c r="AI153" s="127"/>
      <c r="AJ153" s="127"/>
      <c r="AK153" s="126"/>
      <c r="AL153" s="126"/>
      <c r="AM153" s="126"/>
      <c r="AN153" s="128">
        <v>10</v>
      </c>
      <c r="AO153" s="128">
        <v>6.6</v>
      </c>
      <c r="AP153" s="128">
        <f t="shared" ref="AP153:AP156" si="52">AN153*AO153</f>
        <v>66</v>
      </c>
      <c r="AQ153" s="12"/>
    </row>
    <row r="154" s="47" customFormat="1" spans="1:43">
      <c r="A154" s="344">
        <v>45860</v>
      </c>
      <c r="B154" s="346" t="s">
        <v>938</v>
      </c>
      <c r="C154" s="424">
        <v>1000</v>
      </c>
      <c r="D154" s="124"/>
      <c r="E154" s="124"/>
      <c r="F154" s="125"/>
      <c r="G154" s="126"/>
      <c r="H154" s="126"/>
      <c r="I154" s="126"/>
      <c r="J154" s="127"/>
      <c r="K154" s="127"/>
      <c r="L154" s="127"/>
      <c r="M154" s="126"/>
      <c r="N154" s="126"/>
      <c r="O154" s="126"/>
      <c r="P154" s="125"/>
      <c r="Q154" s="125"/>
      <c r="R154" s="125"/>
      <c r="S154" s="126"/>
      <c r="T154" s="126"/>
      <c r="U154" s="126"/>
      <c r="V154" s="127"/>
      <c r="W154" s="127"/>
      <c r="X154" s="127"/>
      <c r="Y154" s="126">
        <v>102</v>
      </c>
      <c r="Z154" s="126">
        <v>7.9</v>
      </c>
      <c r="AA154" s="126">
        <f>Y154*Z154</f>
        <v>805.8</v>
      </c>
      <c r="AB154" s="125"/>
      <c r="AC154" s="125"/>
      <c r="AD154" s="125"/>
      <c r="AE154" s="126"/>
      <c r="AF154" s="126"/>
      <c r="AG154" s="126"/>
      <c r="AH154" s="127"/>
      <c r="AI154" s="127"/>
      <c r="AJ154" s="127"/>
      <c r="AK154" s="126"/>
      <c r="AL154" s="126"/>
      <c r="AM154" s="126"/>
      <c r="AN154" s="128">
        <v>42</v>
      </c>
      <c r="AO154" s="128">
        <v>6.3</v>
      </c>
      <c r="AP154" s="128">
        <f t="shared" si="52"/>
        <v>264.6</v>
      </c>
      <c r="AQ154" s="12"/>
    </row>
    <row r="155" s="47" customFormat="1" spans="1:43">
      <c r="A155" s="344">
        <v>45860</v>
      </c>
      <c r="B155" s="346" t="s">
        <v>704</v>
      </c>
      <c r="C155" s="424">
        <v>258</v>
      </c>
      <c r="D155" s="124"/>
      <c r="E155" s="124"/>
      <c r="F155" s="125"/>
      <c r="G155" s="126"/>
      <c r="H155" s="126"/>
      <c r="I155" s="126"/>
      <c r="J155" s="127"/>
      <c r="K155" s="127"/>
      <c r="L155" s="127"/>
      <c r="M155" s="126"/>
      <c r="N155" s="126"/>
      <c r="O155" s="126"/>
      <c r="P155" s="125"/>
      <c r="Q155" s="125"/>
      <c r="R155" s="125"/>
      <c r="S155" s="126"/>
      <c r="T155" s="126"/>
      <c r="U155" s="126"/>
      <c r="V155" s="127"/>
      <c r="W155" s="127"/>
      <c r="X155" s="127"/>
      <c r="Y155" s="126">
        <v>30</v>
      </c>
      <c r="Z155" s="126">
        <v>7.9</v>
      </c>
      <c r="AA155" s="126">
        <f>Y155*Z155</f>
        <v>237</v>
      </c>
      <c r="AB155" s="125"/>
      <c r="AC155" s="125"/>
      <c r="AD155" s="125"/>
      <c r="AE155" s="126"/>
      <c r="AF155" s="126"/>
      <c r="AG155" s="126"/>
      <c r="AH155" s="127"/>
      <c r="AI155" s="127"/>
      <c r="AJ155" s="127"/>
      <c r="AK155" s="126"/>
      <c r="AL155" s="126"/>
      <c r="AM155" s="126"/>
      <c r="AN155" s="128">
        <v>30</v>
      </c>
      <c r="AO155" s="128">
        <v>6.3</v>
      </c>
      <c r="AP155" s="128">
        <f t="shared" si="52"/>
        <v>189</v>
      </c>
    </row>
    <row r="156" s="47" customFormat="1" spans="1:43">
      <c r="A156" s="344">
        <v>45861</v>
      </c>
      <c r="B156" s="346" t="s">
        <v>939</v>
      </c>
      <c r="C156" s="424">
        <v>1000</v>
      </c>
      <c r="D156" s="124"/>
      <c r="E156" s="124"/>
      <c r="F156" s="125"/>
      <c r="G156" s="126"/>
      <c r="H156" s="126"/>
      <c r="I156" s="126"/>
      <c r="J156" s="127"/>
      <c r="K156" s="127"/>
      <c r="L156" s="127"/>
      <c r="M156" s="126"/>
      <c r="N156" s="126"/>
      <c r="O156" s="126"/>
      <c r="P156" s="125"/>
      <c r="Q156" s="125"/>
      <c r="R156" s="125"/>
      <c r="S156" s="126"/>
      <c r="T156" s="126"/>
      <c r="U156" s="126"/>
      <c r="V156" s="127"/>
      <c r="W156" s="127"/>
      <c r="X156" s="127"/>
      <c r="Y156" s="126">
        <v>120</v>
      </c>
      <c r="Z156" s="126">
        <v>7.9</v>
      </c>
      <c r="AA156" s="126">
        <f>Y156*Z156</f>
        <v>948</v>
      </c>
      <c r="AB156" s="125"/>
      <c r="AC156" s="125"/>
      <c r="AD156" s="125"/>
      <c r="AE156" s="126"/>
      <c r="AF156" s="126"/>
      <c r="AG156" s="126"/>
      <c r="AH156" s="127"/>
      <c r="AI156" s="127"/>
      <c r="AJ156" s="127"/>
      <c r="AK156" s="126"/>
      <c r="AL156" s="126"/>
      <c r="AM156" s="126"/>
      <c r="AN156" s="128">
        <v>80</v>
      </c>
      <c r="AO156" s="128">
        <v>6.3</v>
      </c>
      <c r="AP156" s="128">
        <f t="shared" si="52"/>
        <v>504</v>
      </c>
    </row>
    <row r="157" s="47" customFormat="1" spans="1:43">
      <c r="A157" s="344">
        <v>45862</v>
      </c>
      <c r="B157" s="346" t="s">
        <v>972</v>
      </c>
      <c r="C157" s="424">
        <v>411</v>
      </c>
      <c r="D157" s="124"/>
      <c r="E157" s="124"/>
      <c r="F157" s="125"/>
      <c r="G157" s="126">
        <v>36</v>
      </c>
      <c r="H157" s="126">
        <v>0.9</v>
      </c>
      <c r="I157" s="126">
        <f>G157*H157</f>
        <v>32.4</v>
      </c>
      <c r="J157" s="127">
        <v>12</v>
      </c>
      <c r="K157" s="127">
        <v>17</v>
      </c>
      <c r="L157" s="127">
        <f>J157*K157</f>
        <v>204</v>
      </c>
      <c r="M157" s="126"/>
      <c r="N157" s="126"/>
      <c r="O157" s="126"/>
      <c r="P157" s="125"/>
      <c r="Q157" s="125"/>
      <c r="R157" s="125"/>
      <c r="S157" s="126"/>
      <c r="T157" s="126"/>
      <c r="U157" s="126"/>
      <c r="V157" s="127"/>
      <c r="W157" s="127"/>
      <c r="X157" s="127"/>
      <c r="Y157" s="126"/>
      <c r="Z157" s="126"/>
      <c r="AA157" s="126"/>
      <c r="AB157" s="125">
        <v>1.5</v>
      </c>
      <c r="AC157" s="125">
        <v>5.5</v>
      </c>
      <c r="AD157" s="125">
        <f>AB157*AC157</f>
        <v>8.25</v>
      </c>
      <c r="AE157" s="126">
        <v>3</v>
      </c>
      <c r="AF157" s="126">
        <v>3.2</v>
      </c>
      <c r="AG157" s="126">
        <f>AE157*AF157</f>
        <v>9.6</v>
      </c>
      <c r="AH157" s="127"/>
      <c r="AI157" s="127"/>
      <c r="AJ157" s="127"/>
      <c r="AK157" s="126"/>
      <c r="AL157" s="126"/>
      <c r="AM157" s="126"/>
      <c r="AN157" s="128"/>
      <c r="AO157" s="128"/>
      <c r="AP157" s="128"/>
    </row>
    <row r="158" s="47" customFormat="1" spans="1:43">
      <c r="A158" s="344">
        <v>45864</v>
      </c>
      <c r="B158" s="346" t="s">
        <v>936</v>
      </c>
      <c r="C158" s="424">
        <v>750</v>
      </c>
      <c r="D158" s="124"/>
      <c r="E158" s="124"/>
      <c r="F158" s="125"/>
      <c r="G158" s="126"/>
      <c r="H158" s="126"/>
      <c r="I158" s="126"/>
      <c r="J158" s="127"/>
      <c r="K158" s="127"/>
      <c r="L158" s="127"/>
      <c r="M158" s="126"/>
      <c r="N158" s="126"/>
      <c r="O158" s="126"/>
      <c r="P158" s="125">
        <v>25</v>
      </c>
      <c r="Q158" s="125">
        <v>82</v>
      </c>
      <c r="R158" s="125">
        <f>P158*Q158</f>
        <v>2050</v>
      </c>
      <c r="S158" s="126">
        <v>0.7</v>
      </c>
      <c r="T158" s="126">
        <v>170</v>
      </c>
      <c r="U158" s="126">
        <f>S158*T158</f>
        <v>119</v>
      </c>
      <c r="V158" s="127"/>
      <c r="W158" s="127"/>
      <c r="X158" s="127"/>
      <c r="Y158" s="126">
        <v>300</v>
      </c>
      <c r="Z158" s="126">
        <v>7.9</v>
      </c>
      <c r="AA158" s="126">
        <f>Y158*Z158</f>
        <v>2370</v>
      </c>
      <c r="AB158" s="125">
        <v>125</v>
      </c>
      <c r="AC158" s="125">
        <v>5.5</v>
      </c>
      <c r="AD158" s="125">
        <f>AB158*AC158</f>
        <v>687.5</v>
      </c>
      <c r="AE158" s="126"/>
      <c r="AF158" s="126"/>
      <c r="AG158" s="126"/>
      <c r="AH158" s="127"/>
      <c r="AI158" s="127"/>
      <c r="AJ158" s="127"/>
      <c r="AK158" s="126"/>
      <c r="AL158" s="126"/>
      <c r="AM158" s="126"/>
      <c r="AN158" s="128"/>
      <c r="AO158" s="128"/>
      <c r="AP158" s="128"/>
    </row>
    <row r="159" s="47" customFormat="1" spans="1:43">
      <c r="A159" s="344">
        <v>45867</v>
      </c>
      <c r="B159" s="346" t="s">
        <v>937</v>
      </c>
      <c r="C159" s="424">
        <v>1006</v>
      </c>
      <c r="D159" s="124"/>
      <c r="E159" s="124"/>
      <c r="F159" s="125"/>
      <c r="G159" s="126"/>
      <c r="H159" s="126"/>
      <c r="I159" s="126"/>
      <c r="J159" s="127">
        <v>30</v>
      </c>
      <c r="K159" s="127">
        <v>17</v>
      </c>
      <c r="L159" s="127">
        <f>J159*K159</f>
        <v>510</v>
      </c>
      <c r="M159" s="126"/>
      <c r="N159" s="126"/>
      <c r="O159" s="126"/>
      <c r="P159" s="125"/>
      <c r="Q159" s="125"/>
      <c r="R159" s="125"/>
      <c r="S159" s="126"/>
      <c r="T159" s="126"/>
      <c r="U159" s="126"/>
      <c r="V159" s="127"/>
      <c r="W159" s="127"/>
      <c r="X159" s="127"/>
      <c r="Y159" s="126">
        <v>150</v>
      </c>
      <c r="Z159" s="126">
        <v>7.9</v>
      </c>
      <c r="AA159" s="126">
        <f>Y159*Z159</f>
        <v>1185</v>
      </c>
      <c r="AB159" s="125"/>
      <c r="AC159" s="125"/>
      <c r="AD159" s="125"/>
      <c r="AE159" s="126">
        <v>31</v>
      </c>
      <c r="AF159" s="126">
        <v>3.2</v>
      </c>
      <c r="AG159" s="126">
        <f>AE159*AF159</f>
        <v>99.2</v>
      </c>
      <c r="AH159" s="127"/>
      <c r="AI159" s="127"/>
      <c r="AJ159" s="127"/>
      <c r="AK159" s="126">
        <v>100</v>
      </c>
      <c r="AL159" s="126">
        <v>6.7</v>
      </c>
      <c r="AM159" s="126">
        <f>AK159*AL159</f>
        <v>670</v>
      </c>
      <c r="AN159" s="128">
        <v>130</v>
      </c>
      <c r="AO159" s="128">
        <v>6.3</v>
      </c>
      <c r="AP159" s="128">
        <f>AN159*AO159</f>
        <v>819</v>
      </c>
    </row>
    <row r="160" s="47" customFormat="1" spans="1:43">
      <c r="A160" s="344">
        <v>45867</v>
      </c>
      <c r="B160" s="346" t="s">
        <v>973</v>
      </c>
      <c r="C160" s="424">
        <v>793</v>
      </c>
      <c r="D160" s="124"/>
      <c r="E160" s="124"/>
      <c r="F160" s="125"/>
      <c r="G160" s="126"/>
      <c r="H160" s="126"/>
      <c r="I160" s="126"/>
      <c r="J160" s="127">
        <v>50</v>
      </c>
      <c r="K160" s="127">
        <v>17</v>
      </c>
      <c r="L160" s="127">
        <f>J160*K160</f>
        <v>850</v>
      </c>
      <c r="M160" s="126"/>
      <c r="N160" s="126"/>
      <c r="O160" s="126"/>
      <c r="P160" s="125"/>
      <c r="Q160" s="125"/>
      <c r="R160" s="125"/>
      <c r="S160" s="126"/>
      <c r="T160" s="126"/>
      <c r="U160" s="126"/>
      <c r="V160" s="127"/>
      <c r="W160" s="127"/>
      <c r="X160" s="127"/>
      <c r="Y160" s="126"/>
      <c r="Z160" s="126"/>
      <c r="AA160" s="126"/>
      <c r="AB160" s="125">
        <v>160</v>
      </c>
      <c r="AC160" s="125">
        <v>5.5</v>
      </c>
      <c r="AD160" s="125">
        <f>AB160*AC160</f>
        <v>880</v>
      </c>
      <c r="AE160" s="126">
        <v>183</v>
      </c>
      <c r="AF160" s="126">
        <v>3.2</v>
      </c>
      <c r="AG160" s="126">
        <f>AE160*AF160</f>
        <v>585.6</v>
      </c>
      <c r="AH160" s="127"/>
      <c r="AI160" s="127"/>
      <c r="AJ160" s="127"/>
      <c r="AK160" s="126"/>
      <c r="AL160" s="126"/>
      <c r="AM160" s="126"/>
      <c r="AN160" s="128"/>
      <c r="AO160" s="128"/>
      <c r="AP160" s="128"/>
    </row>
    <row r="161" s="47" customFormat="1" spans="1:43">
      <c r="A161" s="344"/>
      <c r="B161" s="346"/>
      <c r="C161" s="345"/>
      <c r="D161" s="124"/>
      <c r="E161" s="124"/>
      <c r="F161" s="125"/>
      <c r="G161" s="126"/>
      <c r="H161" s="126"/>
      <c r="I161" s="126"/>
      <c r="J161" s="127"/>
      <c r="K161" s="127"/>
      <c r="L161" s="127"/>
      <c r="M161" s="126"/>
      <c r="N161" s="126"/>
      <c r="O161" s="126"/>
      <c r="P161" s="125"/>
      <c r="Q161" s="125"/>
      <c r="R161" s="125"/>
      <c r="S161" s="126"/>
      <c r="T161" s="126"/>
      <c r="U161" s="126"/>
      <c r="V161" s="127"/>
      <c r="W161" s="127"/>
      <c r="X161" s="127"/>
      <c r="Y161" s="126"/>
      <c r="Z161" s="126"/>
      <c r="AA161" s="126"/>
      <c r="AB161" s="125"/>
      <c r="AC161" s="125"/>
      <c r="AD161" s="125"/>
      <c r="AE161" s="126"/>
      <c r="AF161" s="126"/>
      <c r="AG161" s="126"/>
      <c r="AH161" s="127"/>
      <c r="AI161" s="127"/>
      <c r="AJ161" s="127"/>
      <c r="AK161" s="126"/>
      <c r="AL161" s="126"/>
      <c r="AM161" s="126"/>
      <c r="AN161" s="128"/>
      <c r="AO161" s="128"/>
      <c r="AP161" s="128"/>
    </row>
    <row r="162" s="47" customFormat="1" spans="1:43">
      <c r="A162" s="129"/>
      <c r="B162" s="137"/>
      <c r="C162" s="131">
        <f>SUM(C142:C161)</f>
        <v>6911</v>
      </c>
      <c r="D162" s="146">
        <f>SUM(D142:D161)</f>
        <v>150</v>
      </c>
      <c r="E162" s="147"/>
      <c r="F162" s="146">
        <f>SUM(F142:F161)</f>
        <v>2400</v>
      </c>
      <c r="G162" s="146">
        <f>SUM(G142:G161)</f>
        <v>74</v>
      </c>
      <c r="H162" s="147"/>
      <c r="I162" s="146">
        <f>SUM(I142:I161)</f>
        <v>66.6</v>
      </c>
      <c r="J162" s="146">
        <f>SUM(J142:J161)</f>
        <v>110.675</v>
      </c>
      <c r="K162" s="147"/>
      <c r="L162" s="146">
        <f>SUM(L142:L161)</f>
        <v>1881.475</v>
      </c>
      <c r="M162" s="146">
        <f>SUM(M142:M161)</f>
        <v>0</v>
      </c>
      <c r="N162" s="147"/>
      <c r="O162" s="146">
        <f>SUM(O142:O161)</f>
        <v>0</v>
      </c>
      <c r="P162" s="146">
        <f>SUM(P142:P161)</f>
        <v>25</v>
      </c>
      <c r="Q162" s="147"/>
      <c r="R162" s="146">
        <f>SUM(R142:R161)</f>
        <v>2050</v>
      </c>
      <c r="S162" s="146">
        <f>SUM(S142:S161)</f>
        <v>8.7</v>
      </c>
      <c r="T162" s="147"/>
      <c r="U162" s="146">
        <f>SUM(U142:U161)</f>
        <v>839</v>
      </c>
      <c r="V162" s="146">
        <f>SUM(V142:V161)</f>
        <v>0</v>
      </c>
      <c r="W162" s="147"/>
      <c r="X162" s="146">
        <f>SUM(X142:X161)</f>
        <v>0</v>
      </c>
      <c r="Y162" s="146">
        <f>SUM(Y142:Y161)</f>
        <v>935.2</v>
      </c>
      <c r="Z162" s="81"/>
      <c r="AA162" s="146">
        <f>SUM(AA142:AA161)</f>
        <v>7409.08</v>
      </c>
      <c r="AB162" s="146">
        <f>SUM(AB142:AB161)</f>
        <v>396</v>
      </c>
      <c r="AC162" s="81"/>
      <c r="AD162" s="146">
        <f>SUM(AD142:AD161)</f>
        <v>2178</v>
      </c>
      <c r="AE162" s="146">
        <f>SUM(AE142:AE161)</f>
        <v>263.82</v>
      </c>
      <c r="AF162" s="81"/>
      <c r="AG162" s="146">
        <f>SUM(AG142:AG161)</f>
        <v>858.27</v>
      </c>
      <c r="AH162" s="146">
        <f>SUM(AH142:AH161)</f>
        <v>0</v>
      </c>
      <c r="AI162" s="81"/>
      <c r="AJ162" s="146">
        <f>SUM(AJ142:AJ161)</f>
        <v>0</v>
      </c>
      <c r="AK162" s="146">
        <f>SUM(AK142:AK161)</f>
        <v>114.5</v>
      </c>
      <c r="AL162" s="81"/>
      <c r="AM162" s="146">
        <f>SUM(AM142:AM161)</f>
        <v>767.15</v>
      </c>
      <c r="AN162" s="146">
        <f>SUM(AN142:AN161)</f>
        <v>423</v>
      </c>
      <c r="AO162" s="81"/>
      <c r="AP162" s="146">
        <f>SUM(AP142:AP161)</f>
        <v>2710.2</v>
      </c>
    </row>
    <row r="163" s="11" customFormat="1" ht="33" customHeight="1" spans="1:43">
      <c r="A163" s="430" t="s">
        <v>974</v>
      </c>
      <c r="B163" s="66"/>
      <c r="C163" s="66"/>
      <c r="D163" s="68"/>
      <c r="E163" s="68"/>
      <c r="F163" s="75"/>
      <c r="G163" s="72" t="s">
        <v>908</v>
      </c>
      <c r="H163" s="72"/>
      <c r="I163" s="72"/>
      <c r="J163" s="76"/>
      <c r="K163" s="76"/>
      <c r="L163" s="77">
        <f>F197+I197+L197+O197+R197+U197+X197+AA197+AD197+AG197+AJ197+AM197+AP197</f>
        <v>38440.404</v>
      </c>
      <c r="M163" s="77"/>
      <c r="N163" s="72"/>
      <c r="O163" s="72"/>
      <c r="P163" s="75"/>
      <c r="Q163" s="75"/>
      <c r="R163" s="75"/>
      <c r="S163" s="72"/>
      <c r="T163" s="72"/>
      <c r="U163" s="72"/>
      <c r="V163" s="77"/>
      <c r="W163" s="77"/>
      <c r="X163" s="77"/>
      <c r="Y163" s="72"/>
      <c r="Z163" s="72"/>
      <c r="AA163" s="72"/>
      <c r="AB163" s="75"/>
      <c r="AC163" s="75"/>
      <c r="AD163" s="75"/>
      <c r="AE163" s="72"/>
      <c r="AF163" s="72"/>
      <c r="AG163" s="72"/>
      <c r="AH163" s="77"/>
      <c r="AI163" s="77"/>
      <c r="AJ163" s="78"/>
      <c r="AK163" s="79"/>
      <c r="AL163" s="79"/>
      <c r="AM163" s="80"/>
    </row>
    <row r="164" s="12" customFormat="1" ht="27" customHeight="1" spans="1:43">
      <c r="A164" s="81" t="s">
        <v>35</v>
      </c>
      <c r="B164" s="82" t="s">
        <v>909</v>
      </c>
      <c r="C164" s="83"/>
      <c r="D164" s="74" t="s">
        <v>289</v>
      </c>
      <c r="E164" s="74"/>
      <c r="F164" s="103"/>
      <c r="G164" s="81" t="s">
        <v>466</v>
      </c>
      <c r="H164" s="81"/>
      <c r="I164" s="81"/>
      <c r="J164" s="78" t="s">
        <v>910</v>
      </c>
      <c r="K164" s="78"/>
      <c r="L164" s="78"/>
      <c r="M164" s="81" t="s">
        <v>911</v>
      </c>
      <c r="N164" s="81"/>
      <c r="O164" s="81"/>
      <c r="P164" s="104" t="s">
        <v>912</v>
      </c>
      <c r="Q164" s="104"/>
      <c r="R164" s="104"/>
      <c r="S164" s="81">
        <v>8333</v>
      </c>
      <c r="T164" s="81"/>
      <c r="U164" s="81"/>
      <c r="V164" s="78" t="s">
        <v>960</v>
      </c>
      <c r="W164" s="78"/>
      <c r="X164" s="78"/>
      <c r="Y164" s="81">
        <v>808</v>
      </c>
      <c r="Z164" s="81"/>
      <c r="AA164" s="81"/>
      <c r="AB164" s="104" t="s">
        <v>125</v>
      </c>
      <c r="AC164" s="104"/>
      <c r="AD164" s="104"/>
      <c r="AE164" s="81" t="s">
        <v>132</v>
      </c>
      <c r="AF164" s="81"/>
      <c r="AG164" s="81"/>
      <c r="AH164" s="78">
        <v>811</v>
      </c>
      <c r="AI164" s="78"/>
      <c r="AJ164" s="105"/>
      <c r="AK164" s="81" t="s">
        <v>152</v>
      </c>
      <c r="AL164" s="81"/>
      <c r="AM164" s="81"/>
      <c r="AN164" s="106" t="s">
        <v>12</v>
      </c>
      <c r="AO164" s="107"/>
      <c r="AP164" s="108"/>
    </row>
    <row r="165" s="12" customFormat="1" ht="27" customHeight="1" spans="1:43">
      <c r="A165" s="81"/>
      <c r="B165" s="82" t="s">
        <v>914</v>
      </c>
      <c r="C165" s="83" t="s">
        <v>915</v>
      </c>
      <c r="D165" s="117" t="s">
        <v>916</v>
      </c>
      <c r="E165" s="118" t="s">
        <v>917</v>
      </c>
      <c r="F165" s="81" t="s">
        <v>918</v>
      </c>
      <c r="G165" s="81" t="s">
        <v>916</v>
      </c>
      <c r="H165" s="81" t="s">
        <v>917</v>
      </c>
      <c r="I165" s="81" t="s">
        <v>918</v>
      </c>
      <c r="J165" s="78" t="s">
        <v>916</v>
      </c>
      <c r="K165" s="78" t="s">
        <v>917</v>
      </c>
      <c r="L165" s="78" t="s">
        <v>918</v>
      </c>
      <c r="M165" s="81" t="s">
        <v>916</v>
      </c>
      <c r="N165" s="81" t="s">
        <v>917</v>
      </c>
      <c r="O165" s="81" t="s">
        <v>918</v>
      </c>
      <c r="P165" s="104" t="s">
        <v>916</v>
      </c>
      <c r="Q165" s="104" t="s">
        <v>917</v>
      </c>
      <c r="R165" s="104" t="s">
        <v>918</v>
      </c>
      <c r="S165" s="81" t="s">
        <v>916</v>
      </c>
      <c r="T165" s="81" t="s">
        <v>917</v>
      </c>
      <c r="U165" s="81" t="s">
        <v>918</v>
      </c>
      <c r="V165" s="78" t="s">
        <v>916</v>
      </c>
      <c r="W165" s="78" t="s">
        <v>917</v>
      </c>
      <c r="X165" s="78" t="s">
        <v>918</v>
      </c>
      <c r="Y165" s="81" t="s">
        <v>916</v>
      </c>
      <c r="Z165" s="81" t="s">
        <v>917</v>
      </c>
      <c r="AA165" s="81" t="s">
        <v>918</v>
      </c>
      <c r="AB165" s="104" t="s">
        <v>916</v>
      </c>
      <c r="AC165" s="104" t="s">
        <v>917</v>
      </c>
      <c r="AD165" s="104" t="s">
        <v>918</v>
      </c>
      <c r="AE165" s="81" t="s">
        <v>916</v>
      </c>
      <c r="AF165" s="81" t="s">
        <v>917</v>
      </c>
      <c r="AG165" s="81" t="s">
        <v>918</v>
      </c>
      <c r="AH165" s="78" t="s">
        <v>916</v>
      </c>
      <c r="AI165" s="78" t="s">
        <v>917</v>
      </c>
      <c r="AJ165" s="105" t="s">
        <v>918</v>
      </c>
      <c r="AK165" s="81" t="s">
        <v>916</v>
      </c>
      <c r="AL165" s="81" t="s">
        <v>917</v>
      </c>
      <c r="AM165" s="81" t="s">
        <v>918</v>
      </c>
      <c r="AN165" s="104" t="s">
        <v>916</v>
      </c>
      <c r="AO165" s="104" t="s">
        <v>917</v>
      </c>
      <c r="AP165" s="104" t="s">
        <v>918</v>
      </c>
    </row>
    <row r="166" s="46" customFormat="1" spans="1:43">
      <c r="A166" s="344" t="s">
        <v>235</v>
      </c>
      <c r="B166" s="346" t="s">
        <v>937</v>
      </c>
      <c r="C166" s="121">
        <v>1006</v>
      </c>
      <c r="D166" s="124"/>
      <c r="E166" s="124"/>
      <c r="F166" s="125"/>
      <c r="G166" s="126"/>
      <c r="H166" s="126"/>
      <c r="I166" s="126"/>
      <c r="J166" s="127">
        <v>30</v>
      </c>
      <c r="K166" s="127">
        <v>17</v>
      </c>
      <c r="L166" s="127">
        <f>J166*K166</f>
        <v>510</v>
      </c>
      <c r="M166" s="126"/>
      <c r="N166" s="126"/>
      <c r="O166" s="126"/>
      <c r="P166" s="125"/>
      <c r="Q166" s="125"/>
      <c r="R166" s="125"/>
      <c r="S166" s="126"/>
      <c r="T166" s="126"/>
      <c r="U166" s="126"/>
      <c r="V166" s="127"/>
      <c r="W166" s="127"/>
      <c r="X166" s="127"/>
      <c r="Y166" s="126">
        <v>150</v>
      </c>
      <c r="Z166" s="126">
        <v>8.6</v>
      </c>
      <c r="AA166" s="126">
        <f t="shared" ref="AA166:AA169" si="53">Y166*Z166</f>
        <v>1290</v>
      </c>
      <c r="AB166" s="125"/>
      <c r="AC166" s="125"/>
      <c r="AD166" s="125"/>
      <c r="AE166" s="126">
        <v>75</v>
      </c>
      <c r="AF166" s="126">
        <v>3.5</v>
      </c>
      <c r="AG166" s="126">
        <f>AE166*AF166</f>
        <v>262.5</v>
      </c>
      <c r="AH166" s="127"/>
      <c r="AI166" s="127"/>
      <c r="AJ166" s="127"/>
      <c r="AK166" s="126">
        <v>100</v>
      </c>
      <c r="AL166" s="126">
        <v>6.7</v>
      </c>
      <c r="AM166" s="126">
        <f>AK166*AL166</f>
        <v>670</v>
      </c>
      <c r="AN166" s="128">
        <v>130</v>
      </c>
      <c r="AO166" s="128">
        <v>6.7</v>
      </c>
      <c r="AP166" s="128">
        <f t="shared" ref="AP166:AP169" si="54">AN166*AO166</f>
        <v>871</v>
      </c>
      <c r="AQ166" s="12"/>
    </row>
    <row r="167" s="47" customFormat="1" spans="1:43">
      <c r="A167" s="344">
        <v>45812</v>
      </c>
      <c r="B167" s="346" t="s">
        <v>975</v>
      </c>
      <c r="C167" s="121">
        <v>181.2</v>
      </c>
      <c r="D167" s="124"/>
      <c r="E167" s="124"/>
      <c r="F167" s="125"/>
      <c r="G167" s="126"/>
      <c r="H167" s="126"/>
      <c r="I167" s="126"/>
      <c r="J167" s="127"/>
      <c r="K167" s="127"/>
      <c r="L167" s="127"/>
      <c r="M167" s="126"/>
      <c r="N167" s="126"/>
      <c r="O167" s="126"/>
      <c r="P167" s="125"/>
      <c r="Q167" s="125"/>
      <c r="R167" s="125"/>
      <c r="S167" s="126"/>
      <c r="T167" s="126"/>
      <c r="U167" s="126"/>
      <c r="V167" s="127"/>
      <c r="W167" s="127"/>
      <c r="X167" s="127"/>
      <c r="Y167" s="126">
        <v>21.6</v>
      </c>
      <c r="Z167" s="126">
        <v>8.6</v>
      </c>
      <c r="AA167" s="126">
        <f t="shared" si="53"/>
        <v>185.76</v>
      </c>
      <c r="AB167" s="125"/>
      <c r="AC167" s="125"/>
      <c r="AD167" s="125"/>
      <c r="AE167" s="126"/>
      <c r="AF167" s="126"/>
      <c r="AG167" s="126"/>
      <c r="AH167" s="127"/>
      <c r="AI167" s="127"/>
      <c r="AJ167" s="127"/>
      <c r="AK167" s="126"/>
      <c r="AL167" s="126"/>
      <c r="AM167" s="126"/>
      <c r="AN167" s="128">
        <v>23.4</v>
      </c>
      <c r="AO167" s="128">
        <v>6.7</v>
      </c>
      <c r="AP167" s="128">
        <f t="shared" si="54"/>
        <v>156.78</v>
      </c>
      <c r="AQ167" s="12"/>
    </row>
    <row r="168" s="48" customFormat="1" spans="1:43">
      <c r="A168" s="344">
        <v>45814</v>
      </c>
      <c r="B168" s="346" t="s">
        <v>919</v>
      </c>
      <c r="C168" s="121">
        <v>1000</v>
      </c>
      <c r="D168" s="124"/>
      <c r="E168" s="124"/>
      <c r="F168" s="125"/>
      <c r="G168" s="126"/>
      <c r="H168" s="126"/>
      <c r="I168" s="126"/>
      <c r="J168" s="127"/>
      <c r="K168" s="127"/>
      <c r="L168" s="127"/>
      <c r="M168" s="126"/>
      <c r="N168" s="126"/>
      <c r="O168" s="126"/>
      <c r="P168" s="125"/>
      <c r="Q168" s="125"/>
      <c r="R168" s="125"/>
      <c r="S168" s="126"/>
      <c r="T168" s="126"/>
      <c r="U168" s="126"/>
      <c r="V168" s="127"/>
      <c r="W168" s="127"/>
      <c r="X168" s="127"/>
      <c r="Y168" s="126">
        <v>50</v>
      </c>
      <c r="Z168" s="126">
        <v>8.6</v>
      </c>
      <c r="AA168" s="126">
        <f t="shared" si="53"/>
        <v>430</v>
      </c>
      <c r="AB168" s="125"/>
      <c r="AC168" s="125"/>
      <c r="AD168" s="125"/>
      <c r="AE168" s="126"/>
      <c r="AF168" s="126"/>
      <c r="AG168" s="126"/>
      <c r="AH168" s="127"/>
      <c r="AI168" s="127"/>
      <c r="AJ168" s="127"/>
      <c r="AK168" s="126">
        <v>155</v>
      </c>
      <c r="AL168" s="126">
        <v>6.7</v>
      </c>
      <c r="AM168" s="126">
        <f>AK168*AL168</f>
        <v>1038.5</v>
      </c>
      <c r="AN168" s="125">
        <v>74</v>
      </c>
      <c r="AO168" s="125">
        <v>6.7</v>
      </c>
      <c r="AP168" s="128">
        <f t="shared" si="54"/>
        <v>495.8</v>
      </c>
      <c r="AQ168" s="12"/>
    </row>
    <row r="169" s="47" customFormat="1" spans="1:43">
      <c r="A169" s="344">
        <v>45814</v>
      </c>
      <c r="B169" s="346" t="s">
        <v>938</v>
      </c>
      <c r="C169" s="121">
        <v>1000</v>
      </c>
      <c r="D169" s="124"/>
      <c r="E169" s="124"/>
      <c r="F169" s="125"/>
      <c r="G169" s="126"/>
      <c r="H169" s="126"/>
      <c r="I169" s="126"/>
      <c r="J169" s="127"/>
      <c r="K169" s="127"/>
      <c r="L169" s="127"/>
      <c r="M169" s="126"/>
      <c r="N169" s="126"/>
      <c r="O169" s="126"/>
      <c r="P169" s="125"/>
      <c r="Q169" s="125"/>
      <c r="R169" s="125"/>
      <c r="S169" s="126"/>
      <c r="T169" s="126"/>
      <c r="U169" s="126"/>
      <c r="V169" s="127"/>
      <c r="W169" s="127"/>
      <c r="X169" s="127"/>
      <c r="Y169" s="126">
        <v>102</v>
      </c>
      <c r="Z169" s="126">
        <v>8.6</v>
      </c>
      <c r="AA169" s="126">
        <f t="shared" si="53"/>
        <v>877.2</v>
      </c>
      <c r="AB169" s="125"/>
      <c r="AC169" s="125"/>
      <c r="AD169" s="125"/>
      <c r="AE169" s="126"/>
      <c r="AF169" s="126"/>
      <c r="AG169" s="126"/>
      <c r="AH169" s="127">
        <v>9</v>
      </c>
      <c r="AI169" s="127">
        <v>3.4</v>
      </c>
      <c r="AJ169" s="127">
        <f>AH169*AI169</f>
        <v>30.6</v>
      </c>
      <c r="AK169" s="126"/>
      <c r="AL169" s="126"/>
      <c r="AM169" s="126"/>
      <c r="AN169" s="441">
        <v>114</v>
      </c>
      <c r="AO169" s="125">
        <v>6.7</v>
      </c>
      <c r="AP169" s="128">
        <f t="shared" si="54"/>
        <v>763.8</v>
      </c>
      <c r="AQ169" s="12"/>
    </row>
    <row r="170" s="48" customFormat="1" spans="1:43">
      <c r="A170" s="344">
        <v>45814</v>
      </c>
      <c r="B170" s="346" t="s">
        <v>976</v>
      </c>
      <c r="C170" s="121"/>
      <c r="D170" s="124"/>
      <c r="E170" s="124"/>
      <c r="F170" s="125"/>
      <c r="G170" s="126"/>
      <c r="H170" s="126"/>
      <c r="I170" s="126"/>
      <c r="J170" s="127"/>
      <c r="K170" s="127"/>
      <c r="L170" s="127"/>
      <c r="M170" s="126"/>
      <c r="N170" s="126"/>
      <c r="O170" s="126"/>
      <c r="P170" s="125"/>
      <c r="Q170" s="125"/>
      <c r="R170" s="125"/>
      <c r="S170" s="126"/>
      <c r="T170" s="126"/>
      <c r="U170" s="126"/>
      <c r="V170" s="127"/>
      <c r="W170" s="127"/>
      <c r="X170" s="127"/>
      <c r="Y170" s="126"/>
      <c r="Z170" s="126"/>
      <c r="AA170" s="126"/>
      <c r="AB170" s="125"/>
      <c r="AC170" s="125"/>
      <c r="AD170" s="125"/>
      <c r="AE170" s="126"/>
      <c r="AF170" s="126"/>
      <c r="AG170" s="126"/>
      <c r="AH170" s="127"/>
      <c r="AI170" s="127"/>
      <c r="AJ170" s="127"/>
      <c r="AK170" s="126"/>
      <c r="AL170" s="126"/>
      <c r="AM170" s="126"/>
      <c r="AN170" s="125"/>
      <c r="AO170" s="125"/>
      <c r="AP170" s="125"/>
      <c r="AQ170" s="12"/>
    </row>
    <row r="171" s="47" customFormat="1" spans="1:43">
      <c r="A171" s="344">
        <v>45816</v>
      </c>
      <c r="B171" s="346" t="s">
        <v>977</v>
      </c>
      <c r="C171" s="121">
        <v>750</v>
      </c>
      <c r="D171" s="124"/>
      <c r="E171" s="124"/>
      <c r="F171" s="125"/>
      <c r="G171" s="126"/>
      <c r="H171" s="126"/>
      <c r="I171" s="126"/>
      <c r="J171" s="127"/>
      <c r="K171" s="127"/>
      <c r="L171" s="127"/>
      <c r="M171" s="126"/>
      <c r="N171" s="126"/>
      <c r="O171" s="126"/>
      <c r="P171" s="125">
        <v>25</v>
      </c>
      <c r="Q171" s="125">
        <v>75</v>
      </c>
      <c r="R171" s="125">
        <f>P171*Q171</f>
        <v>1875</v>
      </c>
      <c r="S171" s="126"/>
      <c r="T171" s="126"/>
      <c r="U171" s="126"/>
      <c r="V171" s="127"/>
      <c r="W171" s="127"/>
      <c r="X171" s="127"/>
      <c r="Y171" s="126">
        <v>300</v>
      </c>
      <c r="Z171" s="126">
        <v>8.6</v>
      </c>
      <c r="AA171" s="126">
        <f>Y171*Z171</f>
        <v>2580</v>
      </c>
      <c r="AB171" s="125">
        <v>125</v>
      </c>
      <c r="AC171" s="125">
        <v>6.1</v>
      </c>
      <c r="AD171" s="125">
        <f>AB171*AC171</f>
        <v>762.5</v>
      </c>
      <c r="AE171" s="126"/>
      <c r="AF171" s="126"/>
      <c r="AG171" s="126"/>
      <c r="AH171" s="127"/>
      <c r="AI171" s="127"/>
      <c r="AJ171" s="127"/>
      <c r="AK171" s="126"/>
      <c r="AL171" s="126"/>
      <c r="AM171" s="126"/>
      <c r="AN171" s="128"/>
      <c r="AO171" s="128"/>
      <c r="AP171" s="128"/>
      <c r="AQ171" s="12"/>
    </row>
    <row r="172" s="47" customFormat="1" spans="1:43">
      <c r="A172" s="344">
        <v>45817</v>
      </c>
      <c r="B172" s="346" t="s">
        <v>933</v>
      </c>
      <c r="C172" s="121">
        <v>160</v>
      </c>
      <c r="D172" s="124"/>
      <c r="E172" s="124"/>
      <c r="F172" s="125"/>
      <c r="G172" s="126"/>
      <c r="H172" s="126"/>
      <c r="I172" s="126"/>
      <c r="J172" s="141">
        <v>20</v>
      </c>
      <c r="K172" s="141">
        <v>15</v>
      </c>
      <c r="L172" s="141">
        <f>J172*K172</f>
        <v>300</v>
      </c>
      <c r="M172" s="126"/>
      <c r="N172" s="126"/>
      <c r="O172" s="126"/>
      <c r="P172" s="125"/>
      <c r="Q172" s="125"/>
      <c r="R172" s="125"/>
      <c r="S172" s="126">
        <v>2</v>
      </c>
      <c r="T172" s="126">
        <v>175</v>
      </c>
      <c r="U172" s="126">
        <f>S172*T172</f>
        <v>350</v>
      </c>
      <c r="V172" s="127"/>
      <c r="W172" s="127"/>
      <c r="X172" s="127"/>
      <c r="Y172" s="126"/>
      <c r="Z172" s="126"/>
      <c r="AA172" s="126"/>
      <c r="AB172" s="125">
        <v>64</v>
      </c>
      <c r="AC172" s="125">
        <v>5.9</v>
      </c>
      <c r="AD172" s="125">
        <f>AB172*AC172</f>
        <v>377.6</v>
      </c>
      <c r="AE172" s="126"/>
      <c r="AF172" s="126"/>
      <c r="AG172" s="126"/>
      <c r="AH172" s="127"/>
      <c r="AI172" s="127"/>
      <c r="AJ172" s="127"/>
      <c r="AK172" s="126">
        <v>73</v>
      </c>
      <c r="AL172" s="126">
        <v>6.7</v>
      </c>
      <c r="AM172" s="126">
        <f>AK172*AL172</f>
        <v>489.1</v>
      </c>
      <c r="AN172" s="128"/>
      <c r="AO172" s="128"/>
      <c r="AP172" s="128"/>
      <c r="AQ172" s="12"/>
    </row>
    <row r="173" s="46" customFormat="1" spans="1:43">
      <c r="A173" s="344">
        <v>45817</v>
      </c>
      <c r="B173" s="346" t="s">
        <v>717</v>
      </c>
      <c r="C173" s="121"/>
      <c r="D173" s="124"/>
      <c r="E173" s="124"/>
      <c r="F173" s="125"/>
      <c r="G173" s="126"/>
      <c r="H173" s="126"/>
      <c r="I173" s="126"/>
      <c r="J173" s="127"/>
      <c r="K173" s="127"/>
      <c r="L173" s="127"/>
      <c r="M173" s="126"/>
      <c r="N173" s="126"/>
      <c r="O173" s="126"/>
      <c r="P173" s="125"/>
      <c r="Q173" s="125"/>
      <c r="R173" s="125"/>
      <c r="S173" s="126"/>
      <c r="T173" s="126"/>
      <c r="U173" s="126"/>
      <c r="V173" s="127"/>
      <c r="W173" s="127"/>
      <c r="X173" s="127"/>
      <c r="Y173" s="126"/>
      <c r="Z173" s="126"/>
      <c r="AA173" s="126"/>
      <c r="AB173" s="125"/>
      <c r="AC173" s="125"/>
      <c r="AD173" s="125"/>
      <c r="AE173" s="126"/>
      <c r="AF173" s="126"/>
      <c r="AG173" s="126"/>
      <c r="AH173" s="127"/>
      <c r="AI173" s="127"/>
      <c r="AJ173" s="127"/>
      <c r="AK173" s="126"/>
      <c r="AL173" s="126"/>
      <c r="AM173" s="126"/>
      <c r="AN173" s="128">
        <v>8</v>
      </c>
      <c r="AO173" s="128">
        <v>6.7</v>
      </c>
      <c r="AP173" s="128">
        <f t="shared" ref="AP173:AP181" si="55">AN173*AO173</f>
        <v>53.6</v>
      </c>
      <c r="AQ173" s="12"/>
    </row>
    <row r="174" s="47" customFormat="1" spans="1:43">
      <c r="A174" s="344">
        <v>45817</v>
      </c>
      <c r="B174" s="346" t="s">
        <v>718</v>
      </c>
      <c r="C174" s="121"/>
      <c r="D174" s="124"/>
      <c r="E174" s="124"/>
      <c r="F174" s="125"/>
      <c r="G174" s="126"/>
      <c r="H174" s="126"/>
      <c r="I174" s="126"/>
      <c r="J174" s="127"/>
      <c r="K174" s="127"/>
      <c r="L174" s="127"/>
      <c r="M174" s="126"/>
      <c r="N174" s="126"/>
      <c r="O174" s="126"/>
      <c r="P174" s="125"/>
      <c r="Q174" s="125"/>
      <c r="R174" s="125"/>
      <c r="S174" s="126"/>
      <c r="T174" s="126"/>
      <c r="U174" s="126"/>
      <c r="V174" s="127"/>
      <c r="W174" s="127"/>
      <c r="X174" s="127"/>
      <c r="Y174" s="126"/>
      <c r="Z174" s="126"/>
      <c r="AA174" s="126"/>
      <c r="AB174" s="125"/>
      <c r="AC174" s="125"/>
      <c r="AD174" s="125"/>
      <c r="AE174" s="126"/>
      <c r="AF174" s="126"/>
      <c r="AG174" s="126"/>
      <c r="AH174" s="127"/>
      <c r="AI174" s="127"/>
      <c r="AJ174" s="127"/>
      <c r="AK174" s="126"/>
      <c r="AL174" s="126"/>
      <c r="AM174" s="126"/>
      <c r="AN174" s="128"/>
      <c r="AO174" s="128"/>
      <c r="AP174" s="128"/>
      <c r="AQ174" s="12"/>
    </row>
    <row r="175" s="47" customFormat="1" spans="1:43">
      <c r="A175" s="344">
        <v>45818</v>
      </c>
      <c r="B175" s="346" t="s">
        <v>922</v>
      </c>
      <c r="C175" s="121">
        <v>501</v>
      </c>
      <c r="D175" s="124"/>
      <c r="E175" s="124"/>
      <c r="F175" s="125"/>
      <c r="G175" s="126"/>
      <c r="H175" s="126"/>
      <c r="I175" s="126"/>
      <c r="J175" s="127"/>
      <c r="K175" s="127"/>
      <c r="L175" s="127"/>
      <c r="M175" s="126"/>
      <c r="N175" s="126"/>
      <c r="O175" s="126"/>
      <c r="P175" s="125"/>
      <c r="Q175" s="125"/>
      <c r="R175" s="125"/>
      <c r="S175" s="126"/>
      <c r="T175" s="126"/>
      <c r="U175" s="126"/>
      <c r="V175" s="127"/>
      <c r="W175" s="127"/>
      <c r="X175" s="127"/>
      <c r="Y175" s="126">
        <v>26</v>
      </c>
      <c r="Z175" s="126">
        <v>8.6</v>
      </c>
      <c r="AA175" s="126">
        <f t="shared" ref="AA175:AA185" si="56">Y175*Z175</f>
        <v>223.6</v>
      </c>
      <c r="AB175" s="125">
        <v>60</v>
      </c>
      <c r="AC175" s="125">
        <v>5.9</v>
      </c>
      <c r="AD175" s="125">
        <f>AB175*AC175</f>
        <v>354</v>
      </c>
      <c r="AE175" s="126"/>
      <c r="AF175" s="126"/>
      <c r="AG175" s="126"/>
      <c r="AH175" s="127"/>
      <c r="AI175" s="127"/>
      <c r="AJ175" s="127"/>
      <c r="AK175" s="126"/>
      <c r="AL175" s="126"/>
      <c r="AM175" s="126"/>
      <c r="AN175" s="128"/>
      <c r="AO175" s="128"/>
      <c r="AP175" s="128"/>
    </row>
    <row r="176" s="47" customFormat="1" spans="1:43">
      <c r="A176" s="344">
        <v>45822</v>
      </c>
      <c r="B176" s="346" t="s">
        <v>724</v>
      </c>
      <c r="C176" s="121">
        <v>597</v>
      </c>
      <c r="D176" s="124"/>
      <c r="E176" s="124"/>
      <c r="F176" s="125"/>
      <c r="G176" s="126"/>
      <c r="H176" s="126"/>
      <c r="I176" s="126"/>
      <c r="J176" s="127">
        <v>18</v>
      </c>
      <c r="K176" s="127">
        <v>17</v>
      </c>
      <c r="L176" s="127">
        <f>J176*K176</f>
        <v>306</v>
      </c>
      <c r="M176" s="126"/>
      <c r="N176" s="126"/>
      <c r="O176" s="126"/>
      <c r="P176" s="125"/>
      <c r="Q176" s="125"/>
      <c r="R176" s="125"/>
      <c r="S176" s="126"/>
      <c r="T176" s="126"/>
      <c r="U176" s="126"/>
      <c r="V176" s="127"/>
      <c r="W176" s="127"/>
      <c r="X176" s="127"/>
      <c r="Y176" s="126">
        <v>66</v>
      </c>
      <c r="Z176" s="126">
        <v>8.6</v>
      </c>
      <c r="AA176" s="126">
        <f t="shared" si="56"/>
        <v>567.6</v>
      </c>
      <c r="AB176" s="125">
        <v>175</v>
      </c>
      <c r="AC176" s="125">
        <v>5.9</v>
      </c>
      <c r="AD176" s="125">
        <f t="shared" ref="AD176:AD178" si="57">AB176*AC176</f>
        <v>1032.5</v>
      </c>
      <c r="AE176" s="126">
        <v>144</v>
      </c>
      <c r="AF176" s="126">
        <v>3.5</v>
      </c>
      <c r="AG176" s="126">
        <f>AE176*AF176</f>
        <v>504</v>
      </c>
      <c r="AH176" s="127"/>
      <c r="AI176" s="127"/>
      <c r="AJ176" s="127"/>
      <c r="AK176" s="126">
        <v>33</v>
      </c>
      <c r="AL176" s="126">
        <v>6.7</v>
      </c>
      <c r="AM176" s="126">
        <f>AK176*AL176</f>
        <v>221.1</v>
      </c>
      <c r="AN176" s="128"/>
      <c r="AO176" s="128"/>
      <c r="AP176" s="128"/>
    </row>
    <row r="177" s="47" customFormat="1" spans="1:42">
      <c r="A177" s="344">
        <v>45824</v>
      </c>
      <c r="B177" s="346" t="s">
        <v>342</v>
      </c>
      <c r="C177" s="121">
        <v>225</v>
      </c>
      <c r="D177" s="124"/>
      <c r="E177" s="124"/>
      <c r="F177" s="125"/>
      <c r="G177" s="126"/>
      <c r="H177" s="126"/>
      <c r="I177" s="126"/>
      <c r="J177" s="127"/>
      <c r="K177" s="127"/>
      <c r="L177" s="127"/>
      <c r="M177" s="126"/>
      <c r="N177" s="126"/>
      <c r="O177" s="126"/>
      <c r="P177" s="125"/>
      <c r="Q177" s="125"/>
      <c r="R177" s="125"/>
      <c r="S177" s="126"/>
      <c r="T177" s="126"/>
      <c r="U177" s="126"/>
      <c r="V177" s="127"/>
      <c r="W177" s="127"/>
      <c r="X177" s="127"/>
      <c r="Y177" s="126">
        <v>25</v>
      </c>
      <c r="Z177" s="126">
        <v>8.6</v>
      </c>
      <c r="AA177" s="126">
        <f t="shared" si="56"/>
        <v>215</v>
      </c>
      <c r="AB177" s="125"/>
      <c r="AC177" s="125"/>
      <c r="AD177" s="125"/>
      <c r="AE177" s="126"/>
      <c r="AF177" s="126"/>
      <c r="AG177" s="126"/>
      <c r="AH177" s="127"/>
      <c r="AI177" s="127"/>
      <c r="AJ177" s="127"/>
      <c r="AK177" s="126"/>
      <c r="AL177" s="126"/>
      <c r="AM177" s="126"/>
      <c r="AN177" s="128">
        <v>25</v>
      </c>
      <c r="AO177" s="128">
        <v>6.7</v>
      </c>
      <c r="AP177" s="128">
        <f t="shared" si="55"/>
        <v>167.5</v>
      </c>
    </row>
    <row r="178" s="47" customFormat="1" spans="1:42">
      <c r="A178" s="344">
        <v>45824</v>
      </c>
      <c r="B178" s="346" t="s">
        <v>978</v>
      </c>
      <c r="C178" s="121">
        <v>434</v>
      </c>
      <c r="D178" s="124"/>
      <c r="E178" s="124"/>
      <c r="F178" s="125"/>
      <c r="G178" s="126"/>
      <c r="H178" s="126"/>
      <c r="I178" s="126"/>
      <c r="J178" s="127"/>
      <c r="K178" s="127"/>
      <c r="L178" s="127"/>
      <c r="M178" s="126"/>
      <c r="N178" s="126"/>
      <c r="O178" s="126"/>
      <c r="P178" s="125"/>
      <c r="Q178" s="125"/>
      <c r="R178" s="125"/>
      <c r="S178" s="126"/>
      <c r="T178" s="126"/>
      <c r="U178" s="126"/>
      <c r="V178" s="127"/>
      <c r="W178" s="127"/>
      <c r="X178" s="127"/>
      <c r="Y178" s="126">
        <v>43</v>
      </c>
      <c r="Z178" s="126">
        <v>8.6</v>
      </c>
      <c r="AA178" s="126">
        <f t="shared" si="56"/>
        <v>369.8</v>
      </c>
      <c r="AB178" s="125">
        <v>94</v>
      </c>
      <c r="AC178" s="125">
        <v>5.9</v>
      </c>
      <c r="AD178" s="125">
        <f>AB178*AC178</f>
        <v>554.6</v>
      </c>
      <c r="AE178" s="126"/>
      <c r="AF178" s="126"/>
      <c r="AG178" s="126"/>
      <c r="AH178" s="127"/>
      <c r="AI178" s="127"/>
      <c r="AJ178" s="127"/>
      <c r="AK178" s="126"/>
      <c r="AL178" s="126"/>
      <c r="AM178" s="126"/>
      <c r="AN178" s="128">
        <v>9</v>
      </c>
      <c r="AO178" s="128">
        <v>6.7</v>
      </c>
      <c r="AP178" s="128">
        <f t="shared" si="55"/>
        <v>60.3</v>
      </c>
    </row>
    <row r="179" s="47" customFormat="1" spans="1:42">
      <c r="A179" s="344">
        <v>45825</v>
      </c>
      <c r="B179" s="346" t="s">
        <v>938</v>
      </c>
      <c r="C179" s="121">
        <v>1000</v>
      </c>
      <c r="D179" s="124"/>
      <c r="E179" s="124"/>
      <c r="F179" s="125"/>
      <c r="G179" s="126"/>
      <c r="H179" s="126"/>
      <c r="I179" s="126"/>
      <c r="J179" s="127"/>
      <c r="K179" s="127"/>
      <c r="L179" s="127"/>
      <c r="M179" s="126"/>
      <c r="N179" s="126"/>
      <c r="O179" s="126"/>
      <c r="P179" s="125"/>
      <c r="Q179" s="125"/>
      <c r="R179" s="125"/>
      <c r="S179" s="126"/>
      <c r="T179" s="126"/>
      <c r="U179" s="126"/>
      <c r="V179" s="127"/>
      <c r="W179" s="127"/>
      <c r="X179" s="127"/>
      <c r="Y179" s="126">
        <v>102</v>
      </c>
      <c r="Z179" s="126">
        <v>8.6</v>
      </c>
      <c r="AA179" s="126">
        <f t="shared" si="56"/>
        <v>877.2</v>
      </c>
      <c r="AB179" s="125"/>
      <c r="AC179" s="125"/>
      <c r="AD179" s="125"/>
      <c r="AE179" s="126"/>
      <c r="AF179" s="126"/>
      <c r="AG179" s="126"/>
      <c r="AH179" s="127"/>
      <c r="AI179" s="127"/>
      <c r="AJ179" s="127"/>
      <c r="AK179" s="126"/>
      <c r="AL179" s="126"/>
      <c r="AM179" s="126"/>
      <c r="AN179" s="128">
        <v>42</v>
      </c>
      <c r="AO179" s="128">
        <v>6.7</v>
      </c>
      <c r="AP179" s="128">
        <f t="shared" si="55"/>
        <v>281.4</v>
      </c>
    </row>
    <row r="180" s="47" customFormat="1" spans="1:42">
      <c r="A180" s="344">
        <v>45825</v>
      </c>
      <c r="B180" s="346" t="s">
        <v>922</v>
      </c>
      <c r="C180" s="121">
        <v>502</v>
      </c>
      <c r="D180" s="124"/>
      <c r="E180" s="124"/>
      <c r="F180" s="125"/>
      <c r="G180" s="126"/>
      <c r="H180" s="126"/>
      <c r="I180" s="126"/>
      <c r="J180" s="127"/>
      <c r="K180" s="127"/>
      <c r="L180" s="127"/>
      <c r="M180" s="126"/>
      <c r="N180" s="126"/>
      <c r="O180" s="126"/>
      <c r="P180" s="125"/>
      <c r="Q180" s="125"/>
      <c r="R180" s="125"/>
      <c r="S180" s="126"/>
      <c r="T180" s="126"/>
      <c r="U180" s="126"/>
      <c r="V180" s="127"/>
      <c r="W180" s="127"/>
      <c r="X180" s="127"/>
      <c r="Y180" s="126">
        <v>26</v>
      </c>
      <c r="Z180" s="126">
        <v>8.6</v>
      </c>
      <c r="AA180" s="126">
        <f t="shared" si="56"/>
        <v>223.6</v>
      </c>
      <c r="AB180" s="125"/>
      <c r="AC180" s="125"/>
      <c r="AD180" s="125"/>
      <c r="AE180" s="126"/>
      <c r="AF180" s="126"/>
      <c r="AG180" s="126"/>
      <c r="AH180" s="127"/>
      <c r="AI180" s="127"/>
      <c r="AJ180" s="127"/>
      <c r="AK180" s="126"/>
      <c r="AL180" s="126"/>
      <c r="AM180" s="126"/>
      <c r="AN180" s="128">
        <v>6</v>
      </c>
      <c r="AO180" s="128">
        <v>6.7</v>
      </c>
      <c r="AP180" s="128">
        <f t="shared" si="55"/>
        <v>40.2</v>
      </c>
    </row>
    <row r="181" s="47" customFormat="1" spans="1:42">
      <c r="A181" s="344">
        <v>45827</v>
      </c>
      <c r="B181" s="346" t="s">
        <v>957</v>
      </c>
      <c r="C181" s="121">
        <v>179</v>
      </c>
      <c r="D181" s="124"/>
      <c r="E181" s="124"/>
      <c r="F181" s="125"/>
      <c r="G181" s="126"/>
      <c r="H181" s="126"/>
      <c r="I181" s="126"/>
      <c r="J181" s="127"/>
      <c r="K181" s="127"/>
      <c r="L181" s="127"/>
      <c r="M181" s="126"/>
      <c r="N181" s="126"/>
      <c r="O181" s="126"/>
      <c r="P181" s="125"/>
      <c r="Q181" s="125"/>
      <c r="R181" s="125"/>
      <c r="S181" s="126"/>
      <c r="T181" s="126"/>
      <c r="U181" s="126"/>
      <c r="V181" s="127"/>
      <c r="W181" s="127"/>
      <c r="X181" s="127"/>
      <c r="Y181" s="126">
        <v>36</v>
      </c>
      <c r="Z181" s="126">
        <v>8.6</v>
      </c>
      <c r="AA181" s="126">
        <f t="shared" si="56"/>
        <v>309.6</v>
      </c>
      <c r="AB181" s="125">
        <v>40</v>
      </c>
      <c r="AC181" s="125">
        <v>5.9</v>
      </c>
      <c r="AD181" s="125">
        <f t="shared" ref="AD181:AD186" si="58">AB181*AC181</f>
        <v>236</v>
      </c>
      <c r="AE181" s="126"/>
      <c r="AF181" s="126"/>
      <c r="AG181" s="126"/>
      <c r="AH181" s="127"/>
      <c r="AI181" s="127"/>
      <c r="AJ181" s="127"/>
      <c r="AK181" s="126"/>
      <c r="AL181" s="126"/>
      <c r="AM181" s="126"/>
      <c r="AN181" s="128">
        <v>10</v>
      </c>
      <c r="AO181" s="128">
        <v>6.7</v>
      </c>
      <c r="AP181" s="128">
        <f t="shared" si="55"/>
        <v>67</v>
      </c>
    </row>
    <row r="182" s="47" customFormat="1" spans="1:42">
      <c r="A182" s="344">
        <v>45829</v>
      </c>
      <c r="B182" s="346" t="s">
        <v>958</v>
      </c>
      <c r="C182" s="121">
        <v>500</v>
      </c>
      <c r="D182" s="124"/>
      <c r="E182" s="124"/>
      <c r="F182" s="125"/>
      <c r="G182" s="126"/>
      <c r="H182" s="126"/>
      <c r="I182" s="126"/>
      <c r="J182" s="127"/>
      <c r="K182" s="127"/>
      <c r="L182" s="127"/>
      <c r="M182" s="126"/>
      <c r="N182" s="126"/>
      <c r="O182" s="126"/>
      <c r="P182" s="125"/>
      <c r="Q182" s="125"/>
      <c r="R182" s="125"/>
      <c r="S182" s="126"/>
      <c r="T182" s="126"/>
      <c r="U182" s="126"/>
      <c r="V182" s="127"/>
      <c r="W182" s="127"/>
      <c r="X182" s="127"/>
      <c r="Y182" s="126">
        <v>62</v>
      </c>
      <c r="Z182" s="126">
        <v>8.6</v>
      </c>
      <c r="AA182" s="126">
        <f t="shared" si="56"/>
        <v>533.2</v>
      </c>
      <c r="AB182" s="125">
        <v>50</v>
      </c>
      <c r="AC182" s="125">
        <v>5.9</v>
      </c>
      <c r="AD182" s="125">
        <f t="shared" si="58"/>
        <v>295</v>
      </c>
      <c r="AE182" s="126"/>
      <c r="AF182" s="126"/>
      <c r="AG182" s="126"/>
      <c r="AH182" s="127"/>
      <c r="AI182" s="127"/>
      <c r="AJ182" s="127"/>
      <c r="AK182" s="126"/>
      <c r="AL182" s="126"/>
      <c r="AM182" s="126"/>
      <c r="AN182" s="128"/>
      <c r="AO182" s="128"/>
      <c r="AP182" s="128"/>
    </row>
    <row r="183" s="47" customFormat="1" spans="1:42">
      <c r="A183" s="344">
        <v>45829</v>
      </c>
      <c r="B183" s="346" t="s">
        <v>979</v>
      </c>
      <c r="C183" s="121">
        <v>172</v>
      </c>
      <c r="D183" s="124"/>
      <c r="E183" s="124"/>
      <c r="F183" s="125"/>
      <c r="G183" s="126"/>
      <c r="H183" s="126"/>
      <c r="I183" s="126"/>
      <c r="J183" s="127"/>
      <c r="K183" s="127"/>
      <c r="L183" s="127"/>
      <c r="M183" s="126"/>
      <c r="N183" s="126"/>
      <c r="O183" s="126"/>
      <c r="P183" s="125"/>
      <c r="Q183" s="125"/>
      <c r="R183" s="125"/>
      <c r="S183" s="126"/>
      <c r="T183" s="126"/>
      <c r="U183" s="126"/>
      <c r="V183" s="127"/>
      <c r="W183" s="127"/>
      <c r="X183" s="127"/>
      <c r="Y183" s="126">
        <v>45</v>
      </c>
      <c r="Z183" s="126">
        <v>8.6</v>
      </c>
      <c r="AA183" s="126">
        <f t="shared" si="56"/>
        <v>387</v>
      </c>
      <c r="AB183" s="125">
        <v>50</v>
      </c>
      <c r="AC183" s="125">
        <v>5.9</v>
      </c>
      <c r="AD183" s="125">
        <f t="shared" si="58"/>
        <v>295</v>
      </c>
      <c r="AE183" s="126"/>
      <c r="AF183" s="126"/>
      <c r="AG183" s="126"/>
      <c r="AH183" s="127"/>
      <c r="AI183" s="127"/>
      <c r="AJ183" s="127"/>
      <c r="AK183" s="126"/>
      <c r="AL183" s="126"/>
      <c r="AM183" s="126"/>
      <c r="AN183" s="128"/>
      <c r="AO183" s="128"/>
      <c r="AP183" s="128"/>
    </row>
    <row r="184" s="47" customFormat="1" spans="1:42">
      <c r="A184" s="344">
        <v>45829</v>
      </c>
      <c r="B184" s="346" t="s">
        <v>924</v>
      </c>
      <c r="C184" s="121">
        <v>500</v>
      </c>
      <c r="D184" s="124"/>
      <c r="E184" s="124"/>
      <c r="F184" s="125"/>
      <c r="G184" s="126"/>
      <c r="H184" s="126"/>
      <c r="I184" s="126"/>
      <c r="J184" s="127"/>
      <c r="K184" s="127"/>
      <c r="L184" s="127"/>
      <c r="M184" s="126"/>
      <c r="N184" s="126"/>
      <c r="O184" s="126"/>
      <c r="P184" s="125"/>
      <c r="Q184" s="125"/>
      <c r="R184" s="125"/>
      <c r="S184" s="126"/>
      <c r="T184" s="126"/>
      <c r="U184" s="126"/>
      <c r="V184" s="127"/>
      <c r="W184" s="127"/>
      <c r="X184" s="127"/>
      <c r="Y184" s="126">
        <v>50</v>
      </c>
      <c r="Z184" s="126">
        <v>8.6</v>
      </c>
      <c r="AA184" s="126">
        <f t="shared" si="56"/>
        <v>430</v>
      </c>
      <c r="AB184" s="125">
        <v>108</v>
      </c>
      <c r="AC184" s="125">
        <v>5.9</v>
      </c>
      <c r="AD184" s="125">
        <f t="shared" si="58"/>
        <v>637.2</v>
      </c>
      <c r="AE184" s="126"/>
      <c r="AF184" s="126"/>
      <c r="AG184" s="126"/>
      <c r="AH184" s="127"/>
      <c r="AI184" s="127"/>
      <c r="AJ184" s="127"/>
      <c r="AK184" s="126"/>
      <c r="AL184" s="126"/>
      <c r="AM184" s="126"/>
      <c r="AN184" s="128">
        <v>10</v>
      </c>
      <c r="AO184" s="128">
        <v>6.7</v>
      </c>
      <c r="AP184" s="128">
        <f>AN184*AO184</f>
        <v>67</v>
      </c>
    </row>
    <row r="185" s="47" customFormat="1" spans="1:42">
      <c r="A185" s="344">
        <v>45829</v>
      </c>
      <c r="B185" s="346" t="s">
        <v>937</v>
      </c>
      <c r="C185" s="121">
        <v>1006</v>
      </c>
      <c r="D185" s="124"/>
      <c r="E185" s="124"/>
      <c r="F185" s="125"/>
      <c r="G185" s="126"/>
      <c r="H185" s="126"/>
      <c r="I185" s="126"/>
      <c r="J185" s="127">
        <v>30</v>
      </c>
      <c r="K185" s="127">
        <v>17</v>
      </c>
      <c r="L185" s="127">
        <f t="shared" ref="L185:L187" si="59">J185*K185</f>
        <v>510</v>
      </c>
      <c r="M185" s="126"/>
      <c r="N185" s="126"/>
      <c r="O185" s="126"/>
      <c r="P185" s="125"/>
      <c r="Q185" s="125"/>
      <c r="R185" s="125"/>
      <c r="S185" s="126"/>
      <c r="T185" s="126"/>
      <c r="U185" s="126"/>
      <c r="V185" s="127"/>
      <c r="W185" s="127"/>
      <c r="X185" s="127"/>
      <c r="Y185" s="126">
        <v>150</v>
      </c>
      <c r="Z185" s="126">
        <v>8.6</v>
      </c>
      <c r="AA185" s="126">
        <f t="shared" si="56"/>
        <v>1290</v>
      </c>
      <c r="AB185" s="125"/>
      <c r="AC185" s="125"/>
      <c r="AD185" s="125"/>
      <c r="AE185" s="126">
        <v>31</v>
      </c>
      <c r="AF185" s="126">
        <v>3.5</v>
      </c>
      <c r="AG185" s="126">
        <f>AE185*AF185</f>
        <v>108.5</v>
      </c>
      <c r="AH185" s="127"/>
      <c r="AI185" s="127"/>
      <c r="AJ185" s="127"/>
      <c r="AK185" s="126">
        <v>100</v>
      </c>
      <c r="AL185" s="126">
        <v>6.7</v>
      </c>
      <c r="AM185" s="126">
        <f t="shared" ref="AM185:AM194" si="60">AK185*AL185</f>
        <v>670</v>
      </c>
      <c r="AN185" s="128">
        <v>130</v>
      </c>
      <c r="AO185" s="128">
        <v>6.7</v>
      </c>
      <c r="AP185" s="128">
        <f>AN185*AO185</f>
        <v>871</v>
      </c>
    </row>
    <row r="186" s="47" customFormat="1" spans="1:42">
      <c r="A186" s="344">
        <v>45829</v>
      </c>
      <c r="B186" s="346" t="s">
        <v>980</v>
      </c>
      <c r="C186" s="121">
        <v>500</v>
      </c>
      <c r="D186" s="124"/>
      <c r="E186" s="124"/>
      <c r="F186" s="125"/>
      <c r="G186" s="126">
        <v>24</v>
      </c>
      <c r="H186" s="126">
        <v>0.9</v>
      </c>
      <c r="I186" s="126">
        <f>G186*H186</f>
        <v>21.6</v>
      </c>
      <c r="J186" s="127">
        <v>2.8</v>
      </c>
      <c r="K186" s="127">
        <v>17</v>
      </c>
      <c r="L186" s="127">
        <f t="shared" si="59"/>
        <v>47.6</v>
      </c>
      <c r="M186" s="126"/>
      <c r="N186" s="126"/>
      <c r="O186" s="126"/>
      <c r="P186" s="125"/>
      <c r="Q186" s="125"/>
      <c r="R186" s="125"/>
      <c r="S186" s="126"/>
      <c r="T186" s="126"/>
      <c r="U186" s="126"/>
      <c r="V186" s="127"/>
      <c r="W186" s="127"/>
      <c r="X186" s="127"/>
      <c r="Y186" s="126"/>
      <c r="Z186" s="126"/>
      <c r="AA186" s="126"/>
      <c r="AB186" s="125">
        <v>48</v>
      </c>
      <c r="AC186" s="125">
        <v>5.9</v>
      </c>
      <c r="AD186" s="125">
        <f t="shared" si="58"/>
        <v>283.2</v>
      </c>
      <c r="AE186" s="126">
        <v>95</v>
      </c>
      <c r="AF186" s="126">
        <v>3.5</v>
      </c>
      <c r="AG186" s="126">
        <f>AE186*AF186</f>
        <v>332.5</v>
      </c>
      <c r="AH186" s="127"/>
      <c r="AI186" s="127"/>
      <c r="AJ186" s="127"/>
      <c r="AK186" s="126"/>
      <c r="AL186" s="126"/>
      <c r="AM186" s="126"/>
      <c r="AN186" s="128"/>
      <c r="AO186" s="128"/>
      <c r="AP186" s="128"/>
    </row>
    <row r="187" s="47" customFormat="1" spans="1:42">
      <c r="A187" s="344">
        <v>45833</v>
      </c>
      <c r="B187" s="346" t="s">
        <v>933</v>
      </c>
      <c r="C187" s="121">
        <v>160</v>
      </c>
      <c r="D187" s="124"/>
      <c r="E187" s="124"/>
      <c r="F187" s="125"/>
      <c r="G187" s="126"/>
      <c r="H187" s="126"/>
      <c r="I187" s="126"/>
      <c r="J187" s="141">
        <v>20</v>
      </c>
      <c r="K187" s="141">
        <v>15</v>
      </c>
      <c r="L187" s="141">
        <f t="shared" si="59"/>
        <v>300</v>
      </c>
      <c r="M187" s="126"/>
      <c r="N187" s="126"/>
      <c r="O187" s="126"/>
      <c r="P187" s="125"/>
      <c r="Q187" s="125"/>
      <c r="R187" s="125"/>
      <c r="S187" s="126"/>
      <c r="T187" s="126"/>
      <c r="U187" s="126"/>
      <c r="V187" s="127"/>
      <c r="W187" s="127"/>
      <c r="X187" s="127"/>
      <c r="Y187" s="126"/>
      <c r="Z187" s="126"/>
      <c r="AA187" s="126"/>
      <c r="AB187" s="125">
        <v>64</v>
      </c>
      <c r="AC187" s="125">
        <v>5.5</v>
      </c>
      <c r="AD187" s="125">
        <f t="shared" ref="AD187:AD191" si="61">AB187*AC187</f>
        <v>352</v>
      </c>
      <c r="AE187" s="126"/>
      <c r="AF187" s="126"/>
      <c r="AG187" s="126"/>
      <c r="AH187" s="127"/>
      <c r="AI187" s="127"/>
      <c r="AJ187" s="127"/>
      <c r="AK187" s="126">
        <v>73</v>
      </c>
      <c r="AL187" s="126">
        <v>6.7</v>
      </c>
      <c r="AM187" s="126">
        <f t="shared" si="60"/>
        <v>489.1</v>
      </c>
      <c r="AN187" s="128"/>
      <c r="AO187" s="128"/>
      <c r="AP187" s="128"/>
    </row>
    <row r="188" s="47" customFormat="1" spans="1:42">
      <c r="A188" s="344">
        <v>45833</v>
      </c>
      <c r="B188" s="346" t="s">
        <v>981</v>
      </c>
      <c r="C188" s="121">
        <v>400</v>
      </c>
      <c r="D188" s="124"/>
      <c r="E188" s="124"/>
      <c r="F188" s="125"/>
      <c r="G188" s="126"/>
      <c r="H188" s="126"/>
      <c r="I188" s="126"/>
      <c r="J188" s="127"/>
      <c r="K188" s="127"/>
      <c r="L188" s="127"/>
      <c r="M188" s="126"/>
      <c r="N188" s="126"/>
      <c r="O188" s="126"/>
      <c r="P188" s="125"/>
      <c r="Q188" s="125"/>
      <c r="R188" s="125"/>
      <c r="S188" s="126"/>
      <c r="T188" s="126"/>
      <c r="U188" s="126"/>
      <c r="V188" s="127"/>
      <c r="W188" s="127"/>
      <c r="X188" s="127"/>
      <c r="Y188" s="126">
        <v>80</v>
      </c>
      <c r="Z188" s="126">
        <v>8.6</v>
      </c>
      <c r="AA188" s="126">
        <f t="shared" ref="AA188:AA192" si="62">Y188*Z188</f>
        <v>688</v>
      </c>
      <c r="AB188" s="125">
        <v>60</v>
      </c>
      <c r="AC188" s="125">
        <v>5.5</v>
      </c>
      <c r="AD188" s="125">
        <f t="shared" si="61"/>
        <v>330</v>
      </c>
      <c r="AE188" s="126"/>
      <c r="AF188" s="126"/>
      <c r="AG188" s="126"/>
      <c r="AH188" s="127"/>
      <c r="AI188" s="127"/>
      <c r="AJ188" s="127"/>
      <c r="AK188" s="126"/>
      <c r="AL188" s="126"/>
      <c r="AM188" s="126"/>
      <c r="AN188" s="128"/>
      <c r="AO188" s="128"/>
      <c r="AP188" s="128"/>
    </row>
    <row r="189" s="47" customFormat="1" spans="1:42">
      <c r="A189" s="344">
        <v>45834</v>
      </c>
      <c r="B189" s="346" t="s">
        <v>704</v>
      </c>
      <c r="C189" s="121">
        <v>258</v>
      </c>
      <c r="D189" s="124">
        <v>150</v>
      </c>
      <c r="E189" s="124">
        <v>16</v>
      </c>
      <c r="F189" s="125">
        <f>D189*E189</f>
        <v>2400</v>
      </c>
      <c r="G189" s="126"/>
      <c r="H189" s="126"/>
      <c r="I189" s="126"/>
      <c r="J189" s="127"/>
      <c r="K189" s="127"/>
      <c r="L189" s="127"/>
      <c r="M189" s="126"/>
      <c r="N189" s="126"/>
      <c r="O189" s="126"/>
      <c r="P189" s="125"/>
      <c r="Q189" s="125"/>
      <c r="R189" s="125"/>
      <c r="S189" s="126"/>
      <c r="T189" s="126"/>
      <c r="U189" s="126"/>
      <c r="V189" s="127"/>
      <c r="W189" s="127"/>
      <c r="X189" s="127"/>
      <c r="Y189" s="126">
        <v>30</v>
      </c>
      <c r="Z189" s="126">
        <v>8.6</v>
      </c>
      <c r="AA189" s="126">
        <f t="shared" si="62"/>
        <v>258</v>
      </c>
      <c r="AB189" s="125"/>
      <c r="AC189" s="125"/>
      <c r="AD189" s="125"/>
      <c r="AE189" s="126"/>
      <c r="AF189" s="126"/>
      <c r="AG189" s="126"/>
      <c r="AH189" s="127"/>
      <c r="AI189" s="127"/>
      <c r="AJ189" s="127"/>
      <c r="AK189" s="126"/>
      <c r="AL189" s="126"/>
      <c r="AM189" s="126"/>
      <c r="AN189" s="128">
        <v>30</v>
      </c>
      <c r="AO189" s="128">
        <v>6.7</v>
      </c>
      <c r="AP189" s="128">
        <f t="shared" ref="AP189:AP192" si="63">AN189*AO189</f>
        <v>201</v>
      </c>
    </row>
    <row r="190" s="47" customFormat="1" spans="1:42">
      <c r="A190" s="344">
        <v>45834</v>
      </c>
      <c r="B190" s="346" t="s">
        <v>982</v>
      </c>
      <c r="C190" s="121">
        <v>34.2</v>
      </c>
      <c r="D190" s="124"/>
      <c r="E190" s="124"/>
      <c r="F190" s="125"/>
      <c r="G190" s="126"/>
      <c r="H190" s="126"/>
      <c r="I190" s="126"/>
      <c r="J190" s="127"/>
      <c r="K190" s="127"/>
      <c r="L190" s="127"/>
      <c r="M190" s="126"/>
      <c r="N190" s="126"/>
      <c r="O190" s="126"/>
      <c r="P190" s="125"/>
      <c r="Q190" s="125"/>
      <c r="R190" s="125"/>
      <c r="S190" s="126"/>
      <c r="T190" s="126"/>
      <c r="U190" s="126"/>
      <c r="V190" s="127"/>
      <c r="W190" s="127"/>
      <c r="X190" s="127"/>
      <c r="Y190" s="126">
        <v>5.3</v>
      </c>
      <c r="Z190" s="126">
        <v>8.6</v>
      </c>
      <c r="AA190" s="126">
        <f t="shared" si="62"/>
        <v>45.58</v>
      </c>
      <c r="AB190" s="125">
        <v>0.9</v>
      </c>
      <c r="AC190" s="125">
        <v>5.5</v>
      </c>
      <c r="AD190" s="125">
        <f t="shared" si="61"/>
        <v>4.95</v>
      </c>
      <c r="AE190" s="126"/>
      <c r="AF190" s="126"/>
      <c r="AG190" s="126"/>
      <c r="AH190" s="127"/>
      <c r="AI190" s="127"/>
      <c r="AJ190" s="127"/>
      <c r="AK190" s="126">
        <v>1.7</v>
      </c>
      <c r="AL190" s="126">
        <v>6.7</v>
      </c>
      <c r="AM190" s="126">
        <f t="shared" si="60"/>
        <v>11.39</v>
      </c>
      <c r="AN190" s="128">
        <v>2</v>
      </c>
      <c r="AO190" s="128">
        <v>6.7</v>
      </c>
      <c r="AP190" s="128">
        <f t="shared" si="63"/>
        <v>13.4</v>
      </c>
    </row>
    <row r="191" s="47" customFormat="1" spans="1:42">
      <c r="A191" s="344">
        <v>45835</v>
      </c>
      <c r="B191" s="346" t="s">
        <v>845</v>
      </c>
      <c r="C191" s="121">
        <v>515</v>
      </c>
      <c r="D191" s="124"/>
      <c r="E191" s="124"/>
      <c r="F191" s="125"/>
      <c r="G191" s="126"/>
      <c r="H191" s="126"/>
      <c r="I191" s="126"/>
      <c r="J191" s="127"/>
      <c r="K191" s="127"/>
      <c r="L191" s="127"/>
      <c r="M191" s="126"/>
      <c r="N191" s="126"/>
      <c r="O191" s="126"/>
      <c r="P191" s="125"/>
      <c r="Q191" s="125"/>
      <c r="R191" s="125"/>
      <c r="S191" s="126"/>
      <c r="T191" s="126"/>
      <c r="U191" s="126"/>
      <c r="V191" s="127"/>
      <c r="W191" s="127"/>
      <c r="X191" s="127"/>
      <c r="Y191" s="126">
        <v>80</v>
      </c>
      <c r="Z191" s="126">
        <v>8.6</v>
      </c>
      <c r="AA191" s="126">
        <f t="shared" si="62"/>
        <v>688</v>
      </c>
      <c r="AB191" s="125">
        <v>13.5</v>
      </c>
      <c r="AC191" s="125">
        <v>5.5</v>
      </c>
      <c r="AD191" s="125">
        <f t="shared" si="61"/>
        <v>74.25</v>
      </c>
      <c r="AE191" s="126"/>
      <c r="AF191" s="126"/>
      <c r="AG191" s="126"/>
      <c r="AH191" s="127"/>
      <c r="AI191" s="127"/>
      <c r="AJ191" s="127"/>
      <c r="AK191" s="126">
        <v>26</v>
      </c>
      <c r="AL191" s="126">
        <v>6.7</v>
      </c>
      <c r="AM191" s="126">
        <f t="shared" si="60"/>
        <v>174.2</v>
      </c>
      <c r="AN191" s="128">
        <v>30</v>
      </c>
      <c r="AO191" s="128">
        <v>6.7</v>
      </c>
      <c r="AP191" s="128">
        <f t="shared" si="63"/>
        <v>201</v>
      </c>
    </row>
    <row r="192" s="47" customFormat="1" spans="1:42">
      <c r="A192" s="344">
        <v>45835</v>
      </c>
      <c r="B192" s="346" t="s">
        <v>937</v>
      </c>
      <c r="C192" s="121">
        <v>40.02</v>
      </c>
      <c r="D192" s="124"/>
      <c r="E192" s="124"/>
      <c r="F192" s="125"/>
      <c r="G192" s="126"/>
      <c r="H192" s="126"/>
      <c r="I192" s="126"/>
      <c r="J192" s="127">
        <v>1.2</v>
      </c>
      <c r="K192" s="127">
        <v>17</v>
      </c>
      <c r="L192" s="127">
        <f t="shared" ref="L192:L194" si="64">J192*K192</f>
        <v>20.4</v>
      </c>
      <c r="M192" s="126"/>
      <c r="N192" s="126"/>
      <c r="O192" s="126"/>
      <c r="P192" s="125"/>
      <c r="Q192" s="125"/>
      <c r="R192" s="125"/>
      <c r="S192" s="126"/>
      <c r="T192" s="126"/>
      <c r="U192" s="126"/>
      <c r="V192" s="127"/>
      <c r="W192" s="127"/>
      <c r="X192" s="127"/>
      <c r="Y192" s="126">
        <v>4</v>
      </c>
      <c r="Z192" s="126">
        <v>8.6</v>
      </c>
      <c r="AA192" s="126">
        <f t="shared" si="62"/>
        <v>34.4</v>
      </c>
      <c r="AB192" s="125"/>
      <c r="AC192" s="125"/>
      <c r="AD192" s="125"/>
      <c r="AE192" s="126"/>
      <c r="AF192" s="126"/>
      <c r="AG192" s="126"/>
      <c r="AH192" s="127"/>
      <c r="AI192" s="127"/>
      <c r="AJ192" s="127"/>
      <c r="AK192" s="126">
        <v>7.92</v>
      </c>
      <c r="AL192" s="126">
        <v>6.7</v>
      </c>
      <c r="AM192" s="126">
        <f t="shared" si="60"/>
        <v>53.064</v>
      </c>
      <c r="AN192" s="128">
        <v>3.9</v>
      </c>
      <c r="AO192" s="128">
        <v>6.7</v>
      </c>
      <c r="AP192" s="128">
        <f t="shared" si="63"/>
        <v>26.13</v>
      </c>
    </row>
    <row r="193" s="47" customFormat="1" spans="1:42">
      <c r="A193" s="344">
        <v>45836</v>
      </c>
      <c r="B193" s="346" t="s">
        <v>930</v>
      </c>
      <c r="C193" s="121">
        <v>796</v>
      </c>
      <c r="D193" s="124"/>
      <c r="E193" s="124"/>
      <c r="F193" s="125"/>
      <c r="G193" s="126"/>
      <c r="H193" s="126"/>
      <c r="I193" s="126"/>
      <c r="J193" s="127">
        <v>20</v>
      </c>
      <c r="K193" s="127">
        <v>17</v>
      </c>
      <c r="L193" s="127">
        <f t="shared" si="64"/>
        <v>340</v>
      </c>
      <c r="M193" s="126"/>
      <c r="N193" s="126"/>
      <c r="O193" s="126"/>
      <c r="P193" s="125"/>
      <c r="Q193" s="125"/>
      <c r="R193" s="125"/>
      <c r="S193" s="126"/>
      <c r="T193" s="126"/>
      <c r="U193" s="126"/>
      <c r="V193" s="127"/>
      <c r="W193" s="127"/>
      <c r="X193" s="127"/>
      <c r="Y193" s="126"/>
      <c r="Z193" s="126"/>
      <c r="AA193" s="126"/>
      <c r="AB193" s="125">
        <v>47</v>
      </c>
      <c r="AC193" s="125">
        <v>5.5</v>
      </c>
      <c r="AD193" s="125">
        <f>AB193*AC193</f>
        <v>258.5</v>
      </c>
      <c r="AE193" s="126">
        <v>186</v>
      </c>
      <c r="AF193" s="126">
        <v>3.5</v>
      </c>
      <c r="AG193" s="126">
        <f>AE193*AF193</f>
        <v>651</v>
      </c>
      <c r="AH193" s="127"/>
      <c r="AI193" s="127"/>
      <c r="AJ193" s="127"/>
      <c r="AK193" s="126">
        <v>73</v>
      </c>
      <c r="AL193" s="126">
        <v>6.7</v>
      </c>
      <c r="AM193" s="126">
        <f t="shared" si="60"/>
        <v>489.1</v>
      </c>
      <c r="AN193" s="128"/>
      <c r="AO193" s="128"/>
      <c r="AP193" s="128"/>
    </row>
    <row r="194" s="47" customFormat="1" spans="1:42">
      <c r="A194" s="344">
        <v>45836</v>
      </c>
      <c r="B194" s="346" t="s">
        <v>931</v>
      </c>
      <c r="C194" s="121">
        <v>263.5</v>
      </c>
      <c r="D194" s="124"/>
      <c r="E194" s="124"/>
      <c r="F194" s="125"/>
      <c r="G194" s="126"/>
      <c r="H194" s="126"/>
      <c r="I194" s="126"/>
      <c r="J194" s="127">
        <v>25</v>
      </c>
      <c r="K194" s="127">
        <v>17</v>
      </c>
      <c r="L194" s="127">
        <f t="shared" si="64"/>
        <v>425</v>
      </c>
      <c r="M194" s="126"/>
      <c r="N194" s="126"/>
      <c r="O194" s="126"/>
      <c r="P194" s="125"/>
      <c r="Q194" s="125"/>
      <c r="R194" s="125"/>
      <c r="S194" s="126"/>
      <c r="T194" s="126"/>
      <c r="U194" s="126"/>
      <c r="V194" s="127"/>
      <c r="W194" s="127"/>
      <c r="X194" s="127"/>
      <c r="Y194" s="126"/>
      <c r="Z194" s="126"/>
      <c r="AA194" s="126"/>
      <c r="AB194" s="125">
        <v>85</v>
      </c>
      <c r="AC194" s="125">
        <v>5.5</v>
      </c>
      <c r="AD194" s="125">
        <f>AB194*AC194</f>
        <v>467.5</v>
      </c>
      <c r="AE194" s="126">
        <v>114</v>
      </c>
      <c r="AF194" s="126">
        <v>3.5</v>
      </c>
      <c r="AG194" s="126">
        <f>AE194*AF194</f>
        <v>399</v>
      </c>
      <c r="AH194" s="127"/>
      <c r="AI194" s="127"/>
      <c r="AJ194" s="127"/>
      <c r="AK194" s="126">
        <v>19</v>
      </c>
      <c r="AL194" s="126">
        <v>6.7</v>
      </c>
      <c r="AM194" s="126">
        <f t="shared" si="60"/>
        <v>127.3</v>
      </c>
      <c r="AN194" s="128"/>
      <c r="AO194" s="128"/>
      <c r="AP194" s="128"/>
    </row>
    <row r="195" s="47" customFormat="1" spans="1:42">
      <c r="A195" s="344">
        <v>45838</v>
      </c>
      <c r="B195" s="346" t="s">
        <v>938</v>
      </c>
      <c r="C195" s="121">
        <v>1000</v>
      </c>
      <c r="D195" s="124"/>
      <c r="E195" s="124"/>
      <c r="F195" s="125"/>
      <c r="G195" s="126"/>
      <c r="H195" s="126"/>
      <c r="I195" s="126"/>
      <c r="J195" s="127"/>
      <c r="K195" s="127"/>
      <c r="L195" s="127"/>
      <c r="M195" s="126"/>
      <c r="N195" s="126"/>
      <c r="O195" s="126"/>
      <c r="P195" s="125"/>
      <c r="Q195" s="125"/>
      <c r="R195" s="125"/>
      <c r="S195" s="126"/>
      <c r="T195" s="126"/>
      <c r="U195" s="126"/>
      <c r="V195" s="127"/>
      <c r="W195" s="127"/>
      <c r="X195" s="127"/>
      <c r="Y195" s="126">
        <v>102</v>
      </c>
      <c r="Z195" s="126">
        <v>8.6</v>
      </c>
      <c r="AA195" s="126">
        <f>Y195*Z195</f>
        <v>877.2</v>
      </c>
      <c r="AB195" s="125"/>
      <c r="AC195" s="125"/>
      <c r="AD195" s="125"/>
      <c r="AE195" s="126"/>
      <c r="AF195" s="126"/>
      <c r="AG195" s="126"/>
      <c r="AH195" s="127"/>
      <c r="AI195" s="127"/>
      <c r="AJ195" s="127"/>
      <c r="AK195" s="126"/>
      <c r="AL195" s="126"/>
      <c r="AM195" s="126"/>
      <c r="AN195" s="441">
        <v>42</v>
      </c>
      <c r="AO195" s="128">
        <v>6.7</v>
      </c>
      <c r="AP195" s="128">
        <f>AN195*AO195</f>
        <v>281.4</v>
      </c>
    </row>
    <row r="196" s="47" customFormat="1" spans="1:42">
      <c r="A196" s="344"/>
      <c r="B196" s="346"/>
      <c r="C196" s="121"/>
      <c r="D196" s="124"/>
      <c r="E196" s="124"/>
      <c r="F196" s="125"/>
      <c r="G196" s="126"/>
      <c r="H196" s="126"/>
      <c r="I196" s="126"/>
      <c r="J196" s="127"/>
      <c r="K196" s="127"/>
      <c r="L196" s="127"/>
      <c r="M196" s="126"/>
      <c r="N196" s="126"/>
      <c r="O196" s="126"/>
      <c r="P196" s="125"/>
      <c r="Q196" s="125"/>
      <c r="R196" s="125"/>
      <c r="S196" s="126"/>
      <c r="T196" s="126"/>
      <c r="U196" s="126"/>
      <c r="V196" s="127"/>
      <c r="W196" s="127"/>
      <c r="X196" s="127"/>
      <c r="Y196" s="126"/>
      <c r="Z196" s="126"/>
      <c r="AA196" s="126"/>
      <c r="AB196" s="125"/>
      <c r="AC196" s="125"/>
      <c r="AD196" s="125"/>
      <c r="AE196" s="126"/>
      <c r="AF196" s="126"/>
      <c r="AG196" s="126"/>
      <c r="AH196" s="127"/>
      <c r="AI196" s="127"/>
      <c r="AJ196" s="127"/>
      <c r="AK196" s="126"/>
      <c r="AL196" s="126"/>
      <c r="AM196" s="126"/>
      <c r="AN196" s="128"/>
      <c r="AO196" s="128"/>
      <c r="AP196" s="128"/>
    </row>
    <row r="197" s="47" customFormat="1" spans="1:42">
      <c r="A197" s="129"/>
      <c r="B197" s="137"/>
      <c r="C197" s="131">
        <f>SUM(C166:C196)</f>
        <v>13679.92</v>
      </c>
      <c r="D197" s="146">
        <f>SUM(D166:D196)</f>
        <v>150</v>
      </c>
      <c r="E197" s="147"/>
      <c r="F197" s="146">
        <f>SUM(F166:F196)</f>
        <v>2400</v>
      </c>
      <c r="G197" s="146">
        <f>SUM(G166:G196)</f>
        <v>24</v>
      </c>
      <c r="H197" s="147"/>
      <c r="I197" s="146">
        <f>SUM(I166:I196)</f>
        <v>21.6</v>
      </c>
      <c r="J197" s="146">
        <f>SUM(J166:J196)</f>
        <v>167</v>
      </c>
      <c r="K197" s="147"/>
      <c r="L197" s="146">
        <f>SUM(L166:L196)</f>
        <v>2759</v>
      </c>
      <c r="M197" s="146">
        <f>SUM(M166:M196)</f>
        <v>0</v>
      </c>
      <c r="N197" s="147"/>
      <c r="O197" s="146">
        <f>SUM(O166:O196)</f>
        <v>0</v>
      </c>
      <c r="P197" s="146">
        <f>SUM(P166:P196)</f>
        <v>25</v>
      </c>
      <c r="Q197" s="147"/>
      <c r="R197" s="146">
        <f>SUM(R166:R196)</f>
        <v>1875</v>
      </c>
      <c r="S197" s="146">
        <f>SUM(S166:S196)</f>
        <v>2</v>
      </c>
      <c r="T197" s="147"/>
      <c r="U197" s="146">
        <f>SUM(U166:U196)</f>
        <v>350</v>
      </c>
      <c r="V197" s="146">
        <f>SUM(V166:V196)</f>
        <v>0</v>
      </c>
      <c r="W197" s="147"/>
      <c r="X197" s="146">
        <f>SUM(X166:X196)</f>
        <v>0</v>
      </c>
      <c r="Y197" s="146">
        <f>SUM(Y166:Y196)</f>
        <v>1555.9</v>
      </c>
      <c r="Z197" s="81"/>
      <c r="AA197" s="146">
        <f>SUM(AA166:AA196)</f>
        <v>13380.74</v>
      </c>
      <c r="AB197" s="146">
        <f>SUM(AB166:AB196)</f>
        <v>1084.4</v>
      </c>
      <c r="AC197" s="81"/>
      <c r="AD197" s="146">
        <f>SUM(AD166:AD196)</f>
        <v>6314.8</v>
      </c>
      <c r="AE197" s="146">
        <f>SUM(AE166:AE196)</f>
        <v>645</v>
      </c>
      <c r="AF197" s="81"/>
      <c r="AG197" s="146">
        <f>SUM(AG166:AG196)</f>
        <v>2257.5</v>
      </c>
      <c r="AH197" s="146">
        <f>SUM(AH166:AH196)</f>
        <v>9</v>
      </c>
      <c r="AI197" s="81"/>
      <c r="AJ197" s="146">
        <f>SUM(AJ166:AJ196)</f>
        <v>30.6</v>
      </c>
      <c r="AK197" s="146">
        <f>SUM(AK166:AK196)</f>
        <v>661.62</v>
      </c>
      <c r="AL197" s="81"/>
      <c r="AM197" s="146">
        <f>SUM(AM166:AM196)</f>
        <v>4432.854</v>
      </c>
      <c r="AN197" s="146">
        <f>SUM(AN166:AN196)</f>
        <v>689.3</v>
      </c>
      <c r="AO197" s="81"/>
      <c r="AP197" s="146">
        <f>SUM(AP166:AP196)</f>
        <v>4618.31</v>
      </c>
    </row>
    <row r="198" s="11" customFormat="1" ht="33" customHeight="1" spans="1:42">
      <c r="A198" s="430" t="s">
        <v>983</v>
      </c>
      <c r="B198" s="66"/>
      <c r="C198" s="66"/>
      <c r="D198" s="68"/>
      <c r="E198" s="68"/>
      <c r="F198" s="75"/>
      <c r="G198" s="72" t="s">
        <v>908</v>
      </c>
      <c r="H198" s="72"/>
      <c r="I198" s="72"/>
      <c r="J198" s="76"/>
      <c r="K198" s="76"/>
      <c r="L198" s="77">
        <f>F221+I221+L221+O221+R221+U221+X221+AA221+AD221+AG221+AJ221+AM221+AP221</f>
        <v>21477.09</v>
      </c>
      <c r="M198" s="77"/>
      <c r="N198" s="72"/>
      <c r="O198" s="72"/>
      <c r="P198" s="75"/>
      <c r="Q198" s="75"/>
      <c r="R198" s="75"/>
      <c r="S198" s="72"/>
      <c r="T198" s="72"/>
      <c r="U198" s="72"/>
      <c r="V198" s="77"/>
      <c r="W198" s="77"/>
      <c r="X198" s="77"/>
      <c r="Y198" s="72"/>
      <c r="Z198" s="72"/>
      <c r="AA198" s="72"/>
      <c r="AB198" s="75"/>
      <c r="AC198" s="75"/>
      <c r="AD198" s="75"/>
      <c r="AE198" s="72"/>
      <c r="AF198" s="72"/>
      <c r="AG198" s="72"/>
      <c r="AH198" s="77"/>
      <c r="AI198" s="77"/>
      <c r="AJ198" s="78"/>
      <c r="AK198" s="79"/>
      <c r="AL198" s="79"/>
      <c r="AM198" s="80"/>
    </row>
    <row r="199" s="12" customFormat="1" ht="27" customHeight="1" spans="1:42">
      <c r="A199" s="81" t="s">
        <v>35</v>
      </c>
      <c r="B199" s="82" t="s">
        <v>909</v>
      </c>
      <c r="C199" s="83"/>
      <c r="D199" s="74" t="s">
        <v>289</v>
      </c>
      <c r="E199" s="74"/>
      <c r="F199" s="103"/>
      <c r="G199" s="81" t="s">
        <v>466</v>
      </c>
      <c r="H199" s="81"/>
      <c r="I199" s="81"/>
      <c r="J199" s="78" t="s">
        <v>910</v>
      </c>
      <c r="K199" s="78"/>
      <c r="L199" s="78"/>
      <c r="M199" s="81" t="s">
        <v>911</v>
      </c>
      <c r="N199" s="81"/>
      <c r="O199" s="81"/>
      <c r="P199" s="104" t="s">
        <v>912</v>
      </c>
      <c r="Q199" s="104"/>
      <c r="R199" s="104"/>
      <c r="S199" s="81" t="s">
        <v>984</v>
      </c>
      <c r="T199" s="81"/>
      <c r="U199" s="81"/>
      <c r="V199" s="78" t="s">
        <v>960</v>
      </c>
      <c r="W199" s="78"/>
      <c r="X199" s="78"/>
      <c r="Y199" s="81">
        <v>808</v>
      </c>
      <c r="Z199" s="81"/>
      <c r="AA199" s="81"/>
      <c r="AB199" s="104" t="s">
        <v>125</v>
      </c>
      <c r="AC199" s="104"/>
      <c r="AD199" s="104"/>
      <c r="AE199" s="81" t="s">
        <v>132</v>
      </c>
      <c r="AF199" s="81"/>
      <c r="AG199" s="81"/>
      <c r="AH199" s="78">
        <v>811</v>
      </c>
      <c r="AI199" s="78"/>
      <c r="AJ199" s="105"/>
      <c r="AK199" s="81" t="s">
        <v>152</v>
      </c>
      <c r="AL199" s="81"/>
      <c r="AM199" s="81"/>
      <c r="AN199" s="106" t="s">
        <v>12</v>
      </c>
      <c r="AO199" s="107"/>
      <c r="AP199" s="108"/>
    </row>
    <row r="200" s="12" customFormat="1" ht="27" customHeight="1" spans="1:42">
      <c r="A200" s="81"/>
      <c r="B200" s="82" t="s">
        <v>914</v>
      </c>
      <c r="C200" s="83" t="s">
        <v>915</v>
      </c>
      <c r="D200" s="117" t="s">
        <v>916</v>
      </c>
      <c r="E200" s="118" t="s">
        <v>917</v>
      </c>
      <c r="F200" s="81" t="s">
        <v>918</v>
      </c>
      <c r="G200" s="81" t="s">
        <v>916</v>
      </c>
      <c r="H200" s="81" t="s">
        <v>917</v>
      </c>
      <c r="I200" s="81" t="s">
        <v>918</v>
      </c>
      <c r="J200" s="78" t="s">
        <v>916</v>
      </c>
      <c r="K200" s="78" t="s">
        <v>917</v>
      </c>
      <c r="L200" s="78" t="s">
        <v>918</v>
      </c>
      <c r="M200" s="81" t="s">
        <v>916</v>
      </c>
      <c r="N200" s="81" t="s">
        <v>917</v>
      </c>
      <c r="O200" s="81" t="s">
        <v>918</v>
      </c>
      <c r="P200" s="104" t="s">
        <v>916</v>
      </c>
      <c r="Q200" s="104" t="s">
        <v>917</v>
      </c>
      <c r="R200" s="104" t="s">
        <v>918</v>
      </c>
      <c r="S200" s="81" t="s">
        <v>916</v>
      </c>
      <c r="T200" s="81" t="s">
        <v>917</v>
      </c>
      <c r="U200" s="81" t="s">
        <v>918</v>
      </c>
      <c r="V200" s="78" t="s">
        <v>916</v>
      </c>
      <c r="W200" s="78" t="s">
        <v>917</v>
      </c>
      <c r="X200" s="78" t="s">
        <v>918</v>
      </c>
      <c r="Y200" s="81" t="s">
        <v>916</v>
      </c>
      <c r="Z200" s="81" t="s">
        <v>917</v>
      </c>
      <c r="AA200" s="81" t="s">
        <v>918</v>
      </c>
      <c r="AB200" s="104" t="s">
        <v>916</v>
      </c>
      <c r="AC200" s="104" t="s">
        <v>917</v>
      </c>
      <c r="AD200" s="104" t="s">
        <v>918</v>
      </c>
      <c r="AE200" s="81" t="s">
        <v>916</v>
      </c>
      <c r="AF200" s="81" t="s">
        <v>917</v>
      </c>
      <c r="AG200" s="81" t="s">
        <v>918</v>
      </c>
      <c r="AH200" s="78" t="s">
        <v>916</v>
      </c>
      <c r="AI200" s="78" t="s">
        <v>917</v>
      </c>
      <c r="AJ200" s="105" t="s">
        <v>918</v>
      </c>
      <c r="AK200" s="81" t="s">
        <v>916</v>
      </c>
      <c r="AL200" s="81" t="s">
        <v>917</v>
      </c>
      <c r="AM200" s="81" t="s">
        <v>918</v>
      </c>
      <c r="AN200" s="104" t="s">
        <v>916</v>
      </c>
      <c r="AO200" s="104" t="s">
        <v>917</v>
      </c>
      <c r="AP200" s="104" t="s">
        <v>918</v>
      </c>
    </row>
    <row r="201" s="46" customFormat="1" spans="1:42">
      <c r="A201" s="344">
        <v>45783</v>
      </c>
      <c r="B201" s="346" t="s">
        <v>985</v>
      </c>
      <c r="C201" s="121">
        <v>258</v>
      </c>
      <c r="D201" s="124">
        <v>150</v>
      </c>
      <c r="E201" s="124"/>
      <c r="F201" s="125"/>
      <c r="G201" s="126"/>
      <c r="H201" s="126"/>
      <c r="I201" s="126"/>
      <c r="J201" s="127"/>
      <c r="K201" s="127"/>
      <c r="L201" s="127"/>
      <c r="M201" s="126"/>
      <c r="N201" s="126"/>
      <c r="O201" s="126"/>
      <c r="P201" s="125"/>
      <c r="Q201" s="125"/>
      <c r="R201" s="125"/>
      <c r="S201" s="126"/>
      <c r="T201" s="126"/>
      <c r="U201" s="126"/>
      <c r="V201" s="127"/>
      <c r="W201" s="127"/>
      <c r="X201" s="127"/>
      <c r="Y201" s="126"/>
      <c r="Z201" s="126"/>
      <c r="AA201" s="126"/>
      <c r="AB201" s="125"/>
      <c r="AC201" s="125"/>
      <c r="AD201" s="125"/>
      <c r="AE201" s="126"/>
      <c r="AF201" s="126"/>
      <c r="AG201" s="126"/>
      <c r="AH201" s="127"/>
      <c r="AI201" s="127"/>
      <c r="AJ201" s="127"/>
      <c r="AK201" s="126">
        <v>30</v>
      </c>
      <c r="AL201" s="126">
        <v>6.9</v>
      </c>
      <c r="AM201" s="126">
        <f>AK201*AL201</f>
        <v>207</v>
      </c>
      <c r="AN201" s="128">
        <v>30</v>
      </c>
      <c r="AO201" s="128">
        <v>6.9</v>
      </c>
      <c r="AP201" s="128">
        <f>AN201*AO201</f>
        <v>207</v>
      </c>
    </row>
    <row r="202" s="47" customFormat="1" spans="1:42">
      <c r="A202" s="344">
        <v>45783</v>
      </c>
      <c r="B202" s="346" t="s">
        <v>986</v>
      </c>
      <c r="C202" s="121">
        <v>1052.5</v>
      </c>
      <c r="D202" s="124"/>
      <c r="E202" s="124"/>
      <c r="F202" s="125"/>
      <c r="G202" s="126">
        <v>50</v>
      </c>
      <c r="H202" s="126">
        <v>0.9</v>
      </c>
      <c r="I202" s="126">
        <f>G202*H202</f>
        <v>45</v>
      </c>
      <c r="J202" s="127">
        <v>25</v>
      </c>
      <c r="K202" s="127">
        <v>17</v>
      </c>
      <c r="L202" s="127">
        <f>J202*K202</f>
        <v>425</v>
      </c>
      <c r="M202" s="126"/>
      <c r="N202" s="126"/>
      <c r="O202" s="126"/>
      <c r="P202" s="125"/>
      <c r="Q202" s="125"/>
      <c r="R202" s="125"/>
      <c r="S202" s="126"/>
      <c r="T202" s="126"/>
      <c r="U202" s="126"/>
      <c r="V202" s="127"/>
      <c r="W202" s="127"/>
      <c r="X202" s="127"/>
      <c r="Y202" s="126"/>
      <c r="Z202" s="126"/>
      <c r="AA202" s="126"/>
      <c r="AB202" s="125">
        <v>59</v>
      </c>
      <c r="AC202" s="125">
        <v>6.1</v>
      </c>
      <c r="AD202" s="125">
        <f t="shared" ref="AD202:AD207" si="65">AB202*AC202</f>
        <v>359.9</v>
      </c>
      <c r="AE202" s="126">
        <v>279</v>
      </c>
      <c r="AF202" s="126">
        <v>3.5</v>
      </c>
      <c r="AG202" s="126">
        <f>AE202*AF202</f>
        <v>976.5</v>
      </c>
      <c r="AH202" s="127"/>
      <c r="AI202" s="127"/>
      <c r="AJ202" s="127"/>
      <c r="AK202" s="126">
        <v>92</v>
      </c>
      <c r="AL202" s="126">
        <v>6.9</v>
      </c>
      <c r="AM202" s="126">
        <f t="shared" ref="AM202:AM208" si="66">AK202*AL202</f>
        <v>634.8</v>
      </c>
      <c r="AN202" s="128"/>
      <c r="AO202" s="128"/>
      <c r="AP202" s="128"/>
    </row>
    <row r="203" s="419" customFormat="1" spans="1:42">
      <c r="A203" s="344">
        <v>45783</v>
      </c>
      <c r="B203" s="346" t="s">
        <v>987</v>
      </c>
      <c r="C203" s="121">
        <v>1200</v>
      </c>
      <c r="D203" s="444"/>
      <c r="E203" s="444"/>
      <c r="F203" s="445"/>
      <c r="G203" s="446"/>
      <c r="H203" s="446"/>
      <c r="I203" s="446"/>
      <c r="J203" s="447"/>
      <c r="K203" s="447"/>
      <c r="L203" s="447"/>
      <c r="M203" s="446"/>
      <c r="N203" s="446"/>
      <c r="O203" s="446"/>
      <c r="P203" s="445"/>
      <c r="Q203" s="445"/>
      <c r="R203" s="445"/>
      <c r="S203" s="446"/>
      <c r="T203" s="446"/>
      <c r="U203" s="446"/>
      <c r="V203" s="447"/>
      <c r="W203" s="447"/>
      <c r="X203" s="447"/>
      <c r="Y203" s="126">
        <v>30</v>
      </c>
      <c r="Z203" s="126">
        <v>8.9</v>
      </c>
      <c r="AA203" s="126">
        <f t="shared" ref="AA203:AA207" si="67">Y203*Z203</f>
        <v>267</v>
      </c>
      <c r="AB203" s="125">
        <v>139</v>
      </c>
      <c r="AC203" s="125">
        <v>6.1</v>
      </c>
      <c r="AD203" s="125">
        <f t="shared" si="65"/>
        <v>847.9</v>
      </c>
      <c r="AE203" s="446"/>
      <c r="AF203" s="446"/>
      <c r="AG203" s="446"/>
      <c r="AH203" s="447"/>
      <c r="AI203" s="127"/>
      <c r="AJ203" s="447"/>
      <c r="AK203" s="126">
        <v>83</v>
      </c>
      <c r="AL203" s="126">
        <v>6.9</v>
      </c>
      <c r="AM203" s="126">
        <f t="shared" si="66"/>
        <v>572.7</v>
      </c>
      <c r="AN203" s="441"/>
      <c r="AO203" s="441"/>
      <c r="AP203" s="441"/>
    </row>
    <row r="204" s="47" customFormat="1" spans="1:42">
      <c r="A204" s="344">
        <v>45783</v>
      </c>
      <c r="B204" s="346" t="s">
        <v>240</v>
      </c>
      <c r="C204" s="121">
        <v>750</v>
      </c>
      <c r="D204" s="124"/>
      <c r="E204" s="124"/>
      <c r="F204" s="125"/>
      <c r="G204" s="126"/>
      <c r="H204" s="126"/>
      <c r="I204" s="126"/>
      <c r="J204" s="127"/>
      <c r="K204" s="127"/>
      <c r="L204" s="127"/>
      <c r="M204" s="126"/>
      <c r="N204" s="126"/>
      <c r="O204" s="126"/>
      <c r="P204" s="125"/>
      <c r="Q204" s="125"/>
      <c r="R204" s="125"/>
      <c r="S204" s="126"/>
      <c r="T204" s="126"/>
      <c r="U204" s="126"/>
      <c r="V204" s="127"/>
      <c r="W204" s="127"/>
      <c r="X204" s="127"/>
      <c r="Y204" s="126">
        <v>450</v>
      </c>
      <c r="Z204" s="126">
        <v>8.9</v>
      </c>
      <c r="AA204" s="126">
        <f t="shared" si="67"/>
        <v>4005</v>
      </c>
      <c r="AB204" s="125"/>
      <c r="AC204" s="125"/>
      <c r="AD204" s="125"/>
      <c r="AE204" s="126"/>
      <c r="AF204" s="126"/>
      <c r="AG204" s="126"/>
      <c r="AH204" s="127"/>
      <c r="AI204" s="127"/>
      <c r="AJ204" s="127"/>
      <c r="AK204" s="126"/>
      <c r="AL204" s="126"/>
      <c r="AM204" s="126"/>
      <c r="AN204" s="441"/>
      <c r="AO204" s="441"/>
      <c r="AP204" s="441"/>
    </row>
    <row r="205" s="48" customFormat="1" spans="1:42">
      <c r="A205" s="344">
        <v>45785</v>
      </c>
      <c r="B205" s="346" t="s">
        <v>988</v>
      </c>
      <c r="C205" s="121">
        <v>1000</v>
      </c>
      <c r="D205" s="124"/>
      <c r="E205" s="124"/>
      <c r="F205" s="125"/>
      <c r="G205" s="126"/>
      <c r="H205" s="126"/>
      <c r="I205" s="126"/>
      <c r="J205" s="127"/>
      <c r="K205" s="127"/>
      <c r="L205" s="127"/>
      <c r="M205" s="126"/>
      <c r="N205" s="126"/>
      <c r="O205" s="126"/>
      <c r="P205" s="125"/>
      <c r="Q205" s="125"/>
      <c r="R205" s="125"/>
      <c r="S205" s="126"/>
      <c r="T205" s="126"/>
      <c r="U205" s="126"/>
      <c r="V205" s="127"/>
      <c r="W205" s="127"/>
      <c r="X205" s="127"/>
      <c r="Y205" s="126">
        <v>50</v>
      </c>
      <c r="Z205" s="126">
        <v>8.9</v>
      </c>
      <c r="AA205" s="126">
        <f t="shared" si="67"/>
        <v>445</v>
      </c>
      <c r="AB205" s="125">
        <v>95</v>
      </c>
      <c r="AC205" s="125">
        <v>6.1</v>
      </c>
      <c r="AD205" s="125">
        <f t="shared" si="65"/>
        <v>579.5</v>
      </c>
      <c r="AE205" s="126"/>
      <c r="AF205" s="126"/>
      <c r="AG205" s="126"/>
      <c r="AH205" s="127"/>
      <c r="AI205" s="127"/>
      <c r="AJ205" s="127"/>
      <c r="AK205" s="126">
        <v>155</v>
      </c>
      <c r="AL205" s="126">
        <v>6.9</v>
      </c>
      <c r="AM205" s="126">
        <f t="shared" si="66"/>
        <v>1069.5</v>
      </c>
      <c r="AN205" s="125"/>
      <c r="AO205" s="125"/>
      <c r="AP205" s="125"/>
    </row>
    <row r="206" s="47" customFormat="1" spans="1:42">
      <c r="A206" s="344">
        <v>45790</v>
      </c>
      <c r="B206" s="346" t="s">
        <v>924</v>
      </c>
      <c r="C206" s="121">
        <v>500</v>
      </c>
      <c r="D206" s="124"/>
      <c r="E206" s="124"/>
      <c r="F206" s="125"/>
      <c r="G206" s="126"/>
      <c r="H206" s="126"/>
      <c r="I206" s="126"/>
      <c r="J206" s="127"/>
      <c r="K206" s="127"/>
      <c r="L206" s="127"/>
      <c r="M206" s="126"/>
      <c r="N206" s="126"/>
      <c r="O206" s="126"/>
      <c r="P206" s="125"/>
      <c r="Q206" s="125"/>
      <c r="R206" s="125"/>
      <c r="S206" s="126"/>
      <c r="T206" s="126"/>
      <c r="U206" s="126"/>
      <c r="V206" s="127"/>
      <c r="W206" s="127"/>
      <c r="X206" s="127"/>
      <c r="Y206" s="126">
        <v>50</v>
      </c>
      <c r="Z206" s="126">
        <v>8.9</v>
      </c>
      <c r="AA206" s="126">
        <f t="shared" si="67"/>
        <v>445</v>
      </c>
      <c r="AB206" s="125">
        <v>108</v>
      </c>
      <c r="AC206" s="125">
        <v>6.1</v>
      </c>
      <c r="AD206" s="125">
        <f t="shared" si="65"/>
        <v>658.8</v>
      </c>
      <c r="AE206" s="126"/>
      <c r="AF206" s="126"/>
      <c r="AG206" s="126"/>
      <c r="AH206" s="127"/>
      <c r="AI206" s="127"/>
      <c r="AJ206" s="127"/>
      <c r="AK206" s="126"/>
      <c r="AL206" s="126"/>
      <c r="AM206" s="126"/>
      <c r="AN206" s="128">
        <v>10</v>
      </c>
      <c r="AO206" s="128">
        <v>6.9</v>
      </c>
      <c r="AP206" s="128">
        <f t="shared" ref="AP206:AP210" si="68">AN206*AO206</f>
        <v>69</v>
      </c>
    </row>
    <row r="207" s="47" customFormat="1" spans="1:42">
      <c r="A207" s="344">
        <v>45793</v>
      </c>
      <c r="B207" s="346" t="s">
        <v>989</v>
      </c>
      <c r="C207" s="121">
        <v>500</v>
      </c>
      <c r="D207" s="124"/>
      <c r="E207" s="124"/>
      <c r="F207" s="125"/>
      <c r="G207" s="126"/>
      <c r="H207" s="126"/>
      <c r="I207" s="126"/>
      <c r="J207" s="127"/>
      <c r="K207" s="127"/>
      <c r="L207" s="127"/>
      <c r="M207" s="126"/>
      <c r="N207" s="126"/>
      <c r="O207" s="126"/>
      <c r="P207" s="125"/>
      <c r="Q207" s="125"/>
      <c r="R207" s="125"/>
      <c r="S207" s="126"/>
      <c r="T207" s="126"/>
      <c r="U207" s="126"/>
      <c r="V207" s="127"/>
      <c r="W207" s="127"/>
      <c r="X207" s="127"/>
      <c r="Y207" s="126">
        <v>105</v>
      </c>
      <c r="Z207" s="126">
        <v>8.9</v>
      </c>
      <c r="AA207" s="126">
        <f t="shared" si="67"/>
        <v>934.5</v>
      </c>
      <c r="AB207" s="125">
        <v>44</v>
      </c>
      <c r="AC207" s="125">
        <v>6.1</v>
      </c>
      <c r="AD207" s="125">
        <f t="shared" si="65"/>
        <v>268.4</v>
      </c>
      <c r="AE207" s="126"/>
      <c r="AF207" s="126"/>
      <c r="AG207" s="126"/>
      <c r="AH207" s="127"/>
      <c r="AI207" s="127"/>
      <c r="AJ207" s="127"/>
      <c r="AK207" s="126"/>
      <c r="AL207" s="126"/>
      <c r="AM207" s="126"/>
      <c r="AN207" s="128">
        <v>50</v>
      </c>
      <c r="AO207" s="128">
        <v>6.9</v>
      </c>
      <c r="AP207" s="128">
        <f t="shared" si="68"/>
        <v>345</v>
      </c>
    </row>
    <row r="208" s="46" customFormat="1" spans="1:42">
      <c r="A208" s="344">
        <v>45793</v>
      </c>
      <c r="B208" s="346" t="s">
        <v>985</v>
      </c>
      <c r="C208" s="121">
        <v>258</v>
      </c>
      <c r="D208" s="124">
        <v>150</v>
      </c>
      <c r="E208" s="124"/>
      <c r="F208" s="125"/>
      <c r="G208" s="126"/>
      <c r="H208" s="126"/>
      <c r="I208" s="126"/>
      <c r="J208" s="127"/>
      <c r="K208" s="127"/>
      <c r="L208" s="127"/>
      <c r="M208" s="126"/>
      <c r="N208" s="126"/>
      <c r="O208" s="126"/>
      <c r="P208" s="125"/>
      <c r="Q208" s="125"/>
      <c r="R208" s="125"/>
      <c r="S208" s="126"/>
      <c r="T208" s="126"/>
      <c r="U208" s="126"/>
      <c r="V208" s="127"/>
      <c r="W208" s="127"/>
      <c r="X208" s="127"/>
      <c r="Y208" s="126"/>
      <c r="Z208" s="126"/>
      <c r="AA208" s="126"/>
      <c r="AB208" s="125"/>
      <c r="AC208" s="125"/>
      <c r="AD208" s="125"/>
      <c r="AE208" s="126"/>
      <c r="AF208" s="126"/>
      <c r="AG208" s="126"/>
      <c r="AH208" s="127"/>
      <c r="AI208" s="127"/>
      <c r="AJ208" s="127"/>
      <c r="AK208" s="126">
        <v>30</v>
      </c>
      <c r="AL208" s="126">
        <v>6.9</v>
      </c>
      <c r="AM208" s="126">
        <f t="shared" si="66"/>
        <v>207</v>
      </c>
      <c r="AN208" s="128">
        <v>30</v>
      </c>
      <c r="AO208" s="128">
        <v>6.9</v>
      </c>
      <c r="AP208" s="128">
        <f t="shared" si="68"/>
        <v>207</v>
      </c>
    </row>
    <row r="209" s="47" customFormat="1" spans="1:42">
      <c r="A209" s="344">
        <v>45797</v>
      </c>
      <c r="B209" s="346" t="s">
        <v>939</v>
      </c>
      <c r="C209" s="121">
        <v>200</v>
      </c>
      <c r="D209" s="124"/>
      <c r="E209" s="124"/>
      <c r="F209" s="125"/>
      <c r="G209" s="126"/>
      <c r="H209" s="126"/>
      <c r="I209" s="126"/>
      <c r="J209" s="127"/>
      <c r="K209" s="127"/>
      <c r="L209" s="127"/>
      <c r="M209" s="126"/>
      <c r="N209" s="126"/>
      <c r="O209" s="126"/>
      <c r="P209" s="125"/>
      <c r="Q209" s="125"/>
      <c r="R209" s="125"/>
      <c r="S209" s="126"/>
      <c r="T209" s="126"/>
      <c r="U209" s="126"/>
      <c r="V209" s="127"/>
      <c r="W209" s="127"/>
      <c r="X209" s="127"/>
      <c r="Y209" s="126">
        <v>10</v>
      </c>
      <c r="Z209" s="126">
        <v>8.6</v>
      </c>
      <c r="AA209" s="126">
        <f t="shared" ref="AA209:AA216" si="69">Y209*Z209</f>
        <v>86</v>
      </c>
      <c r="AB209" s="125"/>
      <c r="AC209" s="125"/>
      <c r="AD209" s="125"/>
      <c r="AE209" s="126"/>
      <c r="AF209" s="126"/>
      <c r="AG209" s="126"/>
      <c r="AH209" s="127"/>
      <c r="AI209" s="127"/>
      <c r="AJ209" s="127"/>
      <c r="AK209" s="126"/>
      <c r="AL209" s="126"/>
      <c r="AM209" s="126"/>
      <c r="AN209" s="128">
        <v>24</v>
      </c>
      <c r="AO209" s="128">
        <v>6.8</v>
      </c>
      <c r="AP209" s="128">
        <f t="shared" si="68"/>
        <v>163.2</v>
      </c>
    </row>
    <row r="210" s="47" customFormat="1" ht="13" customHeight="1" spans="1:42">
      <c r="A210" s="344">
        <v>45799</v>
      </c>
      <c r="B210" s="346" t="s">
        <v>990</v>
      </c>
      <c r="C210" s="121">
        <v>200</v>
      </c>
      <c r="D210" s="124"/>
      <c r="E210" s="124"/>
      <c r="F210" s="125"/>
      <c r="G210" s="126"/>
      <c r="H210" s="126"/>
      <c r="I210" s="126"/>
      <c r="J210" s="127"/>
      <c r="K210" s="127"/>
      <c r="L210" s="127"/>
      <c r="M210" s="126"/>
      <c r="N210" s="126"/>
      <c r="O210" s="126"/>
      <c r="P210" s="125"/>
      <c r="Q210" s="125"/>
      <c r="R210" s="125"/>
      <c r="S210" s="126"/>
      <c r="T210" s="126"/>
      <c r="U210" s="126"/>
      <c r="V210" s="127"/>
      <c r="W210" s="127"/>
      <c r="X210" s="127"/>
      <c r="Y210" s="126">
        <v>20</v>
      </c>
      <c r="Z210" s="126">
        <v>8.6</v>
      </c>
      <c r="AA210" s="126">
        <f t="shared" si="69"/>
        <v>172</v>
      </c>
      <c r="AB210" s="125"/>
      <c r="AC210" s="125"/>
      <c r="AD210" s="125"/>
      <c r="AE210" s="126"/>
      <c r="AF210" s="126"/>
      <c r="AG210" s="126"/>
      <c r="AH210" s="127"/>
      <c r="AI210" s="127"/>
      <c r="AJ210" s="127"/>
      <c r="AK210" s="126"/>
      <c r="AL210" s="126"/>
      <c r="AM210" s="126"/>
      <c r="AN210" s="128">
        <v>30</v>
      </c>
      <c r="AO210" s="128">
        <v>6.8</v>
      </c>
      <c r="AP210" s="128">
        <f t="shared" si="68"/>
        <v>204</v>
      </c>
    </row>
    <row r="211" s="47" customFormat="1" ht="13" customHeight="1" spans="1:42">
      <c r="A211" s="344">
        <v>45801</v>
      </c>
      <c r="B211" s="346" t="s">
        <v>990</v>
      </c>
      <c r="C211" s="121">
        <v>480</v>
      </c>
      <c r="D211" s="124"/>
      <c r="E211" s="124"/>
      <c r="F211" s="125"/>
      <c r="G211" s="126"/>
      <c r="H211" s="126"/>
      <c r="I211" s="126"/>
      <c r="J211" s="127"/>
      <c r="K211" s="127"/>
      <c r="L211" s="127"/>
      <c r="M211" s="126"/>
      <c r="N211" s="126"/>
      <c r="O211" s="126"/>
      <c r="P211" s="125"/>
      <c r="Q211" s="125"/>
      <c r="R211" s="125"/>
      <c r="S211" s="126"/>
      <c r="T211" s="126"/>
      <c r="U211" s="126"/>
      <c r="V211" s="127"/>
      <c r="W211" s="127"/>
      <c r="X211" s="127"/>
      <c r="Y211" s="126">
        <v>49</v>
      </c>
      <c r="Z211" s="126">
        <v>8.6</v>
      </c>
      <c r="AA211" s="126">
        <f t="shared" si="69"/>
        <v>421.4</v>
      </c>
      <c r="AB211" s="125"/>
      <c r="AC211" s="125"/>
      <c r="AD211" s="125"/>
      <c r="AE211" s="126"/>
      <c r="AF211" s="126"/>
      <c r="AG211" s="126"/>
      <c r="AH211" s="127"/>
      <c r="AI211" s="127"/>
      <c r="AJ211" s="127"/>
      <c r="AK211" s="126"/>
      <c r="AL211" s="126"/>
      <c r="AM211" s="126"/>
      <c r="AN211" s="128">
        <v>72</v>
      </c>
      <c r="AO211" s="128">
        <v>6.8</v>
      </c>
      <c r="AP211" s="128">
        <f t="shared" ref="AP211:AP216" si="70">AN211*AO211</f>
        <v>489.6</v>
      </c>
    </row>
    <row r="212" s="47" customFormat="1" spans="1:42">
      <c r="A212" s="344">
        <v>45803</v>
      </c>
      <c r="B212" s="346" t="s">
        <v>939</v>
      </c>
      <c r="C212" s="121">
        <v>1200</v>
      </c>
      <c r="D212" s="124"/>
      <c r="E212" s="124"/>
      <c r="F212" s="125"/>
      <c r="G212" s="126"/>
      <c r="H212" s="126"/>
      <c r="I212" s="126"/>
      <c r="J212" s="141"/>
      <c r="K212" s="141"/>
      <c r="L212" s="141"/>
      <c r="M212" s="126"/>
      <c r="N212" s="126"/>
      <c r="O212" s="126"/>
      <c r="P212" s="125"/>
      <c r="Q212" s="125"/>
      <c r="R212" s="125"/>
      <c r="S212" s="126"/>
      <c r="T212" s="126"/>
      <c r="U212" s="126"/>
      <c r="V212" s="127"/>
      <c r="W212" s="127"/>
      <c r="X212" s="127"/>
      <c r="Y212" s="126">
        <v>60</v>
      </c>
      <c r="Z212" s="126">
        <v>8.6</v>
      </c>
      <c r="AA212" s="126">
        <f t="shared" si="69"/>
        <v>516</v>
      </c>
      <c r="AB212" s="125"/>
      <c r="AC212" s="125"/>
      <c r="AD212" s="125"/>
      <c r="AE212" s="126"/>
      <c r="AF212" s="126"/>
      <c r="AG212" s="126"/>
      <c r="AH212" s="127"/>
      <c r="AI212" s="127"/>
      <c r="AJ212" s="127"/>
      <c r="AK212" s="126"/>
      <c r="AL212" s="126"/>
      <c r="AM212" s="126"/>
      <c r="AN212" s="128">
        <v>108</v>
      </c>
      <c r="AO212" s="128">
        <v>6.8</v>
      </c>
      <c r="AP212" s="128">
        <f t="shared" si="70"/>
        <v>734.4</v>
      </c>
    </row>
    <row r="213" s="47" customFormat="1" spans="1:42">
      <c r="A213" s="344" t="s">
        <v>702</v>
      </c>
      <c r="B213" s="346" t="s">
        <v>979</v>
      </c>
      <c r="C213" s="121">
        <v>172</v>
      </c>
      <c r="D213" s="124"/>
      <c r="E213" s="124"/>
      <c r="F213" s="125"/>
      <c r="G213" s="126"/>
      <c r="H213" s="126"/>
      <c r="I213" s="126"/>
      <c r="J213" s="127"/>
      <c r="K213" s="127"/>
      <c r="L213" s="127"/>
      <c r="M213" s="126"/>
      <c r="N213" s="126"/>
      <c r="O213" s="126"/>
      <c r="P213" s="125"/>
      <c r="Q213" s="125"/>
      <c r="R213" s="125"/>
      <c r="S213" s="126"/>
      <c r="T213" s="126"/>
      <c r="U213" s="126"/>
      <c r="V213" s="127"/>
      <c r="W213" s="127"/>
      <c r="X213" s="127"/>
      <c r="Y213" s="126">
        <v>45</v>
      </c>
      <c r="Z213" s="126">
        <v>8.6</v>
      </c>
      <c r="AA213" s="126">
        <f t="shared" si="69"/>
        <v>387</v>
      </c>
      <c r="AB213" s="125">
        <v>50</v>
      </c>
      <c r="AC213" s="125">
        <v>6.1</v>
      </c>
      <c r="AD213" s="125">
        <f t="shared" ref="AD213:AD217" si="71">AB213*AC213</f>
        <v>305</v>
      </c>
      <c r="AE213" s="126"/>
      <c r="AF213" s="126"/>
      <c r="AG213" s="126"/>
      <c r="AH213" s="127"/>
      <c r="AI213" s="127"/>
      <c r="AJ213" s="127"/>
      <c r="AK213" s="126"/>
      <c r="AL213" s="126"/>
      <c r="AM213" s="126"/>
      <c r="AN213" s="128"/>
      <c r="AO213" s="128"/>
      <c r="AP213" s="128"/>
    </row>
    <row r="214" s="47" customFormat="1" spans="1:42">
      <c r="A214" s="344">
        <v>45805</v>
      </c>
      <c r="B214" s="346" t="s">
        <v>924</v>
      </c>
      <c r="C214" s="121">
        <v>500</v>
      </c>
      <c r="D214" s="124"/>
      <c r="E214" s="124"/>
      <c r="F214" s="125"/>
      <c r="G214" s="126"/>
      <c r="H214" s="126"/>
      <c r="I214" s="126"/>
      <c r="J214" s="127"/>
      <c r="K214" s="127"/>
      <c r="L214" s="127"/>
      <c r="M214" s="126"/>
      <c r="N214" s="126"/>
      <c r="O214" s="126"/>
      <c r="P214" s="125"/>
      <c r="Q214" s="125"/>
      <c r="R214" s="125"/>
      <c r="S214" s="126"/>
      <c r="T214" s="126"/>
      <c r="U214" s="126"/>
      <c r="V214" s="127"/>
      <c r="W214" s="127"/>
      <c r="X214" s="127"/>
      <c r="Y214" s="126">
        <v>50</v>
      </c>
      <c r="Z214" s="126">
        <v>8.6</v>
      </c>
      <c r="AA214" s="126">
        <f t="shared" si="69"/>
        <v>430</v>
      </c>
      <c r="AB214" s="125">
        <v>108</v>
      </c>
      <c r="AC214" s="125">
        <v>6.1</v>
      </c>
      <c r="AD214" s="125">
        <f t="shared" si="71"/>
        <v>658.8</v>
      </c>
      <c r="AE214" s="126"/>
      <c r="AF214" s="126"/>
      <c r="AG214" s="126"/>
      <c r="AH214" s="127"/>
      <c r="AI214" s="127"/>
      <c r="AJ214" s="127"/>
      <c r="AK214" s="126"/>
      <c r="AL214" s="126"/>
      <c r="AM214" s="126"/>
      <c r="AN214" s="128">
        <v>10</v>
      </c>
      <c r="AO214" s="128">
        <v>6.7</v>
      </c>
      <c r="AP214" s="128">
        <f t="shared" si="70"/>
        <v>67</v>
      </c>
    </row>
    <row r="215" s="47" customFormat="1" spans="1:42">
      <c r="A215" s="344">
        <v>45805</v>
      </c>
      <c r="B215" s="346" t="s">
        <v>704</v>
      </c>
      <c r="C215" s="121">
        <v>258</v>
      </c>
      <c r="D215" s="124">
        <v>150</v>
      </c>
      <c r="E215" s="124">
        <v>16</v>
      </c>
      <c r="F215" s="125">
        <f>D215*E215</f>
        <v>2400</v>
      </c>
      <c r="G215" s="126"/>
      <c r="H215" s="126"/>
      <c r="I215" s="126"/>
      <c r="J215" s="127"/>
      <c r="K215" s="127"/>
      <c r="L215" s="127"/>
      <c r="M215" s="126"/>
      <c r="N215" s="126"/>
      <c r="O215" s="126"/>
      <c r="P215" s="125"/>
      <c r="Q215" s="125"/>
      <c r="R215" s="125"/>
      <c r="S215" s="126"/>
      <c r="T215" s="126"/>
      <c r="U215" s="126"/>
      <c r="V215" s="127"/>
      <c r="W215" s="127"/>
      <c r="X215" s="127"/>
      <c r="Y215" s="126">
        <v>30</v>
      </c>
      <c r="Z215" s="126">
        <v>8.6</v>
      </c>
      <c r="AA215" s="126">
        <f t="shared" si="69"/>
        <v>258</v>
      </c>
      <c r="AB215" s="125"/>
      <c r="AC215" s="125"/>
      <c r="AD215" s="125"/>
      <c r="AE215" s="126"/>
      <c r="AF215" s="126"/>
      <c r="AG215" s="126"/>
      <c r="AH215" s="127"/>
      <c r="AI215" s="127"/>
      <c r="AJ215" s="127"/>
      <c r="AK215" s="126"/>
      <c r="AL215" s="126"/>
      <c r="AM215" s="126"/>
      <c r="AN215" s="128">
        <v>30</v>
      </c>
      <c r="AO215" s="128">
        <v>6.7</v>
      </c>
      <c r="AP215" s="128">
        <f t="shared" si="70"/>
        <v>201</v>
      </c>
    </row>
    <row r="216" s="47" customFormat="1" spans="1:42">
      <c r="A216" s="344">
        <v>45806</v>
      </c>
      <c r="B216" s="346" t="s">
        <v>975</v>
      </c>
      <c r="C216" s="121">
        <v>57</v>
      </c>
      <c r="D216" s="124"/>
      <c r="E216" s="124"/>
      <c r="F216" s="125"/>
      <c r="G216" s="126"/>
      <c r="H216" s="126"/>
      <c r="I216" s="126"/>
      <c r="J216" s="127"/>
      <c r="K216" s="127"/>
      <c r="L216" s="127"/>
      <c r="M216" s="126"/>
      <c r="N216" s="126"/>
      <c r="O216" s="126"/>
      <c r="P216" s="125"/>
      <c r="Q216" s="125"/>
      <c r="R216" s="125"/>
      <c r="S216" s="126"/>
      <c r="T216" s="126"/>
      <c r="U216" s="126"/>
      <c r="V216" s="127"/>
      <c r="W216" s="127"/>
      <c r="X216" s="127"/>
      <c r="Y216" s="126">
        <v>5</v>
      </c>
      <c r="Z216" s="126">
        <v>8.6</v>
      </c>
      <c r="AA216" s="126">
        <f t="shared" si="69"/>
        <v>43</v>
      </c>
      <c r="AB216" s="125"/>
      <c r="AC216" s="125"/>
      <c r="AD216" s="125"/>
      <c r="AE216" s="126"/>
      <c r="AF216" s="126"/>
      <c r="AG216" s="126"/>
      <c r="AH216" s="127"/>
      <c r="AI216" s="127"/>
      <c r="AJ216" s="127"/>
      <c r="AK216" s="126"/>
      <c r="AL216" s="126"/>
      <c r="AM216" s="126"/>
      <c r="AN216" s="128">
        <v>6.5</v>
      </c>
      <c r="AO216" s="128">
        <v>6.7</v>
      </c>
      <c r="AP216" s="128">
        <f t="shared" si="70"/>
        <v>43.55</v>
      </c>
    </row>
    <row r="217" s="47" customFormat="1" spans="1:42">
      <c r="A217" s="344">
        <v>45807</v>
      </c>
      <c r="B217" s="346" t="s">
        <v>991</v>
      </c>
      <c r="C217" s="121">
        <v>55</v>
      </c>
      <c r="D217" s="124"/>
      <c r="E217" s="124"/>
      <c r="F217" s="125"/>
      <c r="G217" s="126">
        <v>2.6</v>
      </c>
      <c r="H217" s="126">
        <v>0.9</v>
      </c>
      <c r="I217" s="126">
        <f>G217*H217</f>
        <v>2.34</v>
      </c>
      <c r="J217" s="127">
        <v>1.3</v>
      </c>
      <c r="K217" s="127">
        <v>17</v>
      </c>
      <c r="L217" s="127">
        <f>J217*K217</f>
        <v>22.1</v>
      </c>
      <c r="M217" s="126"/>
      <c r="N217" s="126"/>
      <c r="O217" s="126"/>
      <c r="P217" s="125"/>
      <c r="Q217" s="125"/>
      <c r="R217" s="125"/>
      <c r="S217" s="126"/>
      <c r="T217" s="126"/>
      <c r="U217" s="126"/>
      <c r="V217" s="127"/>
      <c r="W217" s="127"/>
      <c r="X217" s="127"/>
      <c r="Y217" s="126"/>
      <c r="Z217" s="126"/>
      <c r="AA217" s="126"/>
      <c r="AB217" s="125">
        <v>3</v>
      </c>
      <c r="AC217" s="125">
        <v>6.1</v>
      </c>
      <c r="AD217" s="125">
        <f t="shared" si="71"/>
        <v>18.3</v>
      </c>
      <c r="AE217" s="126">
        <v>14.6</v>
      </c>
      <c r="AF217" s="126">
        <v>3.5</v>
      </c>
      <c r="AG217" s="126">
        <f>AE217*AF217</f>
        <v>51.1</v>
      </c>
      <c r="AH217" s="127"/>
      <c r="AI217" s="127"/>
      <c r="AJ217" s="127"/>
      <c r="AK217" s="126">
        <v>4</v>
      </c>
      <c r="AL217" s="126">
        <v>6.7</v>
      </c>
      <c r="AM217" s="126">
        <f>AK217*AL217</f>
        <v>26.8</v>
      </c>
      <c r="AN217" s="128"/>
      <c r="AO217" s="128"/>
      <c r="AP217" s="128"/>
    </row>
    <row r="218" s="47" customFormat="1" spans="1:42">
      <c r="A218" s="344"/>
      <c r="B218" s="346"/>
      <c r="C218" s="121"/>
      <c r="D218" s="124"/>
      <c r="E218" s="124"/>
      <c r="F218" s="125"/>
      <c r="G218" s="126"/>
      <c r="H218" s="126"/>
      <c r="I218" s="126"/>
      <c r="J218" s="127"/>
      <c r="K218" s="127"/>
      <c r="L218" s="127"/>
      <c r="M218" s="126"/>
      <c r="N218" s="126"/>
      <c r="O218" s="126"/>
      <c r="P218" s="125"/>
      <c r="Q218" s="125"/>
      <c r="R218" s="125"/>
      <c r="S218" s="126"/>
      <c r="T218" s="126"/>
      <c r="U218" s="126"/>
      <c r="V218" s="127"/>
      <c r="W218" s="127"/>
      <c r="X218" s="127"/>
      <c r="Y218" s="126"/>
      <c r="Z218" s="126"/>
      <c r="AA218" s="126"/>
      <c r="AB218" s="125"/>
      <c r="AC218" s="125"/>
      <c r="AD218" s="125"/>
      <c r="AE218" s="126"/>
      <c r="AF218" s="126"/>
      <c r="AG218" s="126"/>
      <c r="AH218" s="127"/>
      <c r="AI218" s="127"/>
      <c r="AJ218" s="127"/>
      <c r="AK218" s="126"/>
      <c r="AL218" s="126"/>
      <c r="AM218" s="126"/>
      <c r="AN218" s="128"/>
      <c r="AO218" s="128"/>
      <c r="AP218" s="128"/>
    </row>
    <row r="219" s="47" customFormat="1" spans="1:42">
      <c r="A219" s="344"/>
      <c r="B219" s="346"/>
      <c r="C219" s="121"/>
      <c r="D219" s="124"/>
      <c r="E219" s="124"/>
      <c r="F219" s="125"/>
      <c r="G219" s="126"/>
      <c r="H219" s="126"/>
      <c r="I219" s="126"/>
      <c r="J219" s="127"/>
      <c r="K219" s="127"/>
      <c r="L219" s="127"/>
      <c r="M219" s="126"/>
      <c r="N219" s="126"/>
      <c r="O219" s="126"/>
      <c r="P219" s="125"/>
      <c r="Q219" s="125"/>
      <c r="R219" s="125"/>
      <c r="S219" s="126"/>
      <c r="T219" s="126"/>
      <c r="U219" s="126"/>
      <c r="V219" s="127"/>
      <c r="W219" s="127"/>
      <c r="X219" s="127"/>
      <c r="Y219" s="126"/>
      <c r="Z219" s="126"/>
      <c r="AA219" s="126"/>
      <c r="AB219" s="125"/>
      <c r="AC219" s="125"/>
      <c r="AD219" s="125"/>
      <c r="AE219" s="126"/>
      <c r="AF219" s="126"/>
      <c r="AG219" s="126"/>
      <c r="AH219" s="127"/>
      <c r="AI219" s="127"/>
      <c r="AJ219" s="127"/>
      <c r="AK219" s="126"/>
      <c r="AL219" s="126"/>
      <c r="AM219" s="126"/>
      <c r="AN219" s="441"/>
      <c r="AO219" s="441"/>
      <c r="AP219" s="441"/>
    </row>
    <row r="220" s="47" customFormat="1" spans="1:42">
      <c r="A220" s="344"/>
      <c r="B220" s="346"/>
      <c r="C220" s="121"/>
      <c r="D220" s="124"/>
      <c r="E220" s="124"/>
      <c r="F220" s="125"/>
      <c r="G220" s="126"/>
      <c r="H220" s="126"/>
      <c r="I220" s="126"/>
      <c r="J220" s="127"/>
      <c r="K220" s="127"/>
      <c r="L220" s="127"/>
      <c r="M220" s="126"/>
      <c r="N220" s="126"/>
      <c r="O220" s="126"/>
      <c r="P220" s="125"/>
      <c r="Q220" s="125"/>
      <c r="R220" s="125"/>
      <c r="S220" s="126"/>
      <c r="T220" s="126"/>
      <c r="U220" s="126"/>
      <c r="V220" s="127"/>
      <c r="W220" s="127"/>
      <c r="X220" s="127"/>
      <c r="Y220" s="126"/>
      <c r="Z220" s="126"/>
      <c r="AA220" s="126"/>
      <c r="AB220" s="125"/>
      <c r="AC220" s="125"/>
      <c r="AD220" s="125"/>
      <c r="AE220" s="126"/>
      <c r="AF220" s="126"/>
      <c r="AG220" s="126"/>
      <c r="AH220" s="127"/>
      <c r="AI220" s="127"/>
      <c r="AJ220" s="127"/>
      <c r="AK220" s="126"/>
      <c r="AL220" s="126"/>
      <c r="AM220" s="126"/>
      <c r="AN220" s="128"/>
      <c r="AO220" s="128"/>
      <c r="AP220" s="128"/>
    </row>
    <row r="221" s="47" customFormat="1" spans="1:42">
      <c r="A221" s="129"/>
      <c r="B221" s="137"/>
      <c r="C221" s="131">
        <f>SUM(C201:C220)</f>
        <v>8640.5</v>
      </c>
      <c r="D221" s="146">
        <f>SUM(D201:D220)</f>
        <v>450</v>
      </c>
      <c r="E221" s="147"/>
      <c r="F221" s="146">
        <f>SUM(F201:F220)</f>
        <v>2400</v>
      </c>
      <c r="G221" s="146">
        <f>SUM(G201:G220)</f>
        <v>52.6</v>
      </c>
      <c r="H221" s="147"/>
      <c r="I221" s="146">
        <f>SUM(I201:I220)</f>
        <v>47.34</v>
      </c>
      <c r="J221" s="146">
        <f>SUM(J201:J220)</f>
        <v>26.3</v>
      </c>
      <c r="K221" s="147"/>
      <c r="L221" s="146">
        <f>SUM(L201:L220)</f>
        <v>447.1</v>
      </c>
      <c r="M221" s="146">
        <f>SUM(M201:M220)</f>
        <v>0</v>
      </c>
      <c r="N221" s="147"/>
      <c r="O221" s="146">
        <f>SUM(O201:O220)</f>
        <v>0</v>
      </c>
      <c r="P221" s="146">
        <f>SUM(P201:P220)</f>
        <v>0</v>
      </c>
      <c r="Q221" s="147"/>
      <c r="R221" s="146">
        <f>SUM(R201:R220)</f>
        <v>0</v>
      </c>
      <c r="S221" s="146">
        <f>SUM(S201:S220)</f>
        <v>0</v>
      </c>
      <c r="T221" s="147"/>
      <c r="U221" s="146">
        <f>SUM(U201:U220)</f>
        <v>0</v>
      </c>
      <c r="V221" s="146">
        <f>SUM(V201:V220)</f>
        <v>0</v>
      </c>
      <c r="W221" s="147"/>
      <c r="X221" s="146">
        <f>SUM(X201:X220)</f>
        <v>0</v>
      </c>
      <c r="Y221" s="146">
        <f>SUM(Y201:Y220)</f>
        <v>954</v>
      </c>
      <c r="Z221" s="81"/>
      <c r="AA221" s="146">
        <f>SUM(AA201:AA220)</f>
        <v>8409.9</v>
      </c>
      <c r="AB221" s="146">
        <f>SUM(AB201:AB220)</f>
        <v>606</v>
      </c>
      <c r="AC221" s="81"/>
      <c r="AD221" s="146">
        <f>SUM(AD201:AD220)</f>
        <v>3696.6</v>
      </c>
      <c r="AE221" s="146">
        <f>SUM(AE201:AE220)</f>
        <v>293.6</v>
      </c>
      <c r="AF221" s="81"/>
      <c r="AG221" s="146">
        <f>SUM(AG201:AG220)</f>
        <v>1027.6</v>
      </c>
      <c r="AH221" s="146">
        <f>SUM(AH201:AH220)</f>
        <v>0</v>
      </c>
      <c r="AI221" s="81"/>
      <c r="AJ221" s="146">
        <f>SUM(AJ201:AJ220)</f>
        <v>0</v>
      </c>
      <c r="AK221" s="146">
        <f>SUM(AK201:AK220)</f>
        <v>394</v>
      </c>
      <c r="AL221" s="81"/>
      <c r="AM221" s="146">
        <f>SUM(AM201:AM220)</f>
        <v>2717.8</v>
      </c>
      <c r="AN221" s="146">
        <f>SUM(AN201:AN220)</f>
        <v>400.5</v>
      </c>
      <c r="AO221" s="81"/>
      <c r="AP221" s="146">
        <f>SUM(AP201:AP220)</f>
        <v>2730.75</v>
      </c>
    </row>
    <row r="222" s="11" customFormat="1" ht="33" customHeight="1" spans="1:42">
      <c r="A222" s="430" t="s">
        <v>992</v>
      </c>
      <c r="B222" s="66"/>
      <c r="C222" s="66"/>
      <c r="D222" s="68"/>
      <c r="E222" s="68"/>
      <c r="F222" s="75"/>
      <c r="G222" s="72" t="s">
        <v>908</v>
      </c>
      <c r="H222" s="72"/>
      <c r="I222" s="72"/>
      <c r="J222" s="76"/>
      <c r="K222" s="76"/>
      <c r="L222" s="77">
        <f>F258+I258+L258+O258+R258+U258+X258+AA258+AD258+AG258+AJ258+AM258+AP258</f>
        <v>50478.926</v>
      </c>
      <c r="M222" s="77"/>
      <c r="N222" s="72"/>
      <c r="O222" s="72"/>
      <c r="P222" s="75"/>
      <c r="Q222" s="75"/>
      <c r="R222" s="75"/>
      <c r="S222" s="72"/>
      <c r="T222" s="72"/>
      <c r="U222" s="72"/>
      <c r="V222" s="77"/>
      <c r="W222" s="77"/>
      <c r="X222" s="77"/>
      <c r="Y222" s="72"/>
      <c r="Z222" s="72"/>
      <c r="AA222" s="72"/>
      <c r="AB222" s="75"/>
      <c r="AC222" s="75"/>
      <c r="AD222" s="75"/>
      <c r="AE222" s="72"/>
      <c r="AF222" s="72"/>
      <c r="AG222" s="72"/>
      <c r="AH222" s="77"/>
      <c r="AI222" s="77"/>
      <c r="AJ222" s="78"/>
      <c r="AK222" s="79"/>
      <c r="AL222" s="79"/>
      <c r="AM222" s="80"/>
    </row>
    <row r="223" s="12" customFormat="1" ht="27" customHeight="1" spans="1:42">
      <c r="A223" s="81" t="s">
        <v>35</v>
      </c>
      <c r="B223" s="82" t="s">
        <v>909</v>
      </c>
      <c r="C223" s="83"/>
      <c r="D223" s="74" t="s">
        <v>289</v>
      </c>
      <c r="E223" s="74"/>
      <c r="F223" s="103"/>
      <c r="G223" s="81" t="s">
        <v>466</v>
      </c>
      <c r="H223" s="81"/>
      <c r="I223" s="81"/>
      <c r="J223" s="78" t="s">
        <v>910</v>
      </c>
      <c r="K223" s="78"/>
      <c r="L223" s="78"/>
      <c r="M223" s="81" t="s">
        <v>911</v>
      </c>
      <c r="N223" s="81"/>
      <c r="O223" s="81"/>
      <c r="P223" s="104" t="s">
        <v>912</v>
      </c>
      <c r="Q223" s="104"/>
      <c r="R223" s="104"/>
      <c r="S223" s="81" t="s">
        <v>984</v>
      </c>
      <c r="T223" s="81"/>
      <c r="U223" s="81"/>
      <c r="V223" s="78" t="s">
        <v>960</v>
      </c>
      <c r="W223" s="78"/>
      <c r="X223" s="78"/>
      <c r="Y223" s="81">
        <v>808</v>
      </c>
      <c r="Z223" s="81"/>
      <c r="AA223" s="81"/>
      <c r="AB223" s="104" t="s">
        <v>125</v>
      </c>
      <c r="AC223" s="104"/>
      <c r="AD223" s="104"/>
      <c r="AE223" s="81" t="s">
        <v>132</v>
      </c>
      <c r="AF223" s="81"/>
      <c r="AG223" s="81"/>
      <c r="AH223" s="78">
        <v>811</v>
      </c>
      <c r="AI223" s="78"/>
      <c r="AJ223" s="105"/>
      <c r="AK223" s="81" t="s">
        <v>152</v>
      </c>
      <c r="AL223" s="81"/>
      <c r="AM223" s="81"/>
      <c r="AN223" s="106" t="s">
        <v>12</v>
      </c>
      <c r="AO223" s="107"/>
      <c r="AP223" s="108"/>
    </row>
    <row r="224" s="12" customFormat="1" ht="27" customHeight="1" spans="1:42">
      <c r="A224" s="81"/>
      <c r="B224" s="82" t="s">
        <v>914</v>
      </c>
      <c r="C224" s="83" t="s">
        <v>915</v>
      </c>
      <c r="D224" s="117" t="s">
        <v>916</v>
      </c>
      <c r="E224" s="118" t="s">
        <v>917</v>
      </c>
      <c r="F224" s="81" t="s">
        <v>918</v>
      </c>
      <c r="G224" s="81" t="s">
        <v>916</v>
      </c>
      <c r="H224" s="81" t="s">
        <v>917</v>
      </c>
      <c r="I224" s="81" t="s">
        <v>918</v>
      </c>
      <c r="J224" s="78" t="s">
        <v>916</v>
      </c>
      <c r="K224" s="78" t="s">
        <v>917</v>
      </c>
      <c r="L224" s="78" t="s">
        <v>918</v>
      </c>
      <c r="M224" s="81" t="s">
        <v>916</v>
      </c>
      <c r="N224" s="81" t="s">
        <v>917</v>
      </c>
      <c r="O224" s="81" t="s">
        <v>918</v>
      </c>
      <c r="P224" s="104" t="s">
        <v>916</v>
      </c>
      <c r="Q224" s="104" t="s">
        <v>917</v>
      </c>
      <c r="R224" s="104" t="s">
        <v>918</v>
      </c>
      <c r="S224" s="81" t="s">
        <v>916</v>
      </c>
      <c r="T224" s="81" t="s">
        <v>917</v>
      </c>
      <c r="U224" s="81" t="s">
        <v>918</v>
      </c>
      <c r="V224" s="78" t="s">
        <v>916</v>
      </c>
      <c r="W224" s="78" t="s">
        <v>917</v>
      </c>
      <c r="X224" s="78" t="s">
        <v>918</v>
      </c>
      <c r="Y224" s="81" t="s">
        <v>916</v>
      </c>
      <c r="Z224" s="81" t="s">
        <v>917</v>
      </c>
      <c r="AA224" s="81" t="s">
        <v>918</v>
      </c>
      <c r="AB224" s="104" t="s">
        <v>916</v>
      </c>
      <c r="AC224" s="104" t="s">
        <v>917</v>
      </c>
      <c r="AD224" s="104" t="s">
        <v>918</v>
      </c>
      <c r="AE224" s="81" t="s">
        <v>916</v>
      </c>
      <c r="AF224" s="81" t="s">
        <v>917</v>
      </c>
      <c r="AG224" s="81" t="s">
        <v>918</v>
      </c>
      <c r="AH224" s="78" t="s">
        <v>916</v>
      </c>
      <c r="AI224" s="78" t="s">
        <v>917</v>
      </c>
      <c r="AJ224" s="105" t="s">
        <v>918</v>
      </c>
      <c r="AK224" s="81" t="s">
        <v>916</v>
      </c>
      <c r="AL224" s="81" t="s">
        <v>917</v>
      </c>
      <c r="AM224" s="81" t="s">
        <v>918</v>
      </c>
      <c r="AN224" s="104" t="s">
        <v>916</v>
      </c>
      <c r="AO224" s="104" t="s">
        <v>917</v>
      </c>
      <c r="AP224" s="104" t="s">
        <v>918</v>
      </c>
    </row>
    <row r="225" s="46" customFormat="1" spans="1:42">
      <c r="A225" s="344" t="s">
        <v>993</v>
      </c>
      <c r="B225" s="346" t="s">
        <v>994</v>
      </c>
      <c r="C225" s="121">
        <v>516</v>
      </c>
      <c r="D225" s="124">
        <v>300</v>
      </c>
      <c r="E225" s="124"/>
      <c r="F225" s="125"/>
      <c r="G225" s="126"/>
      <c r="H225" s="126"/>
      <c r="I225" s="126"/>
      <c r="J225" s="127"/>
      <c r="K225" s="127"/>
      <c r="L225" s="127"/>
      <c r="M225" s="126"/>
      <c r="N225" s="126"/>
      <c r="O225" s="126"/>
      <c r="P225" s="125"/>
      <c r="Q225" s="125"/>
      <c r="R225" s="125"/>
      <c r="S225" s="126"/>
      <c r="T225" s="126"/>
      <c r="U225" s="126"/>
      <c r="V225" s="127"/>
      <c r="W225" s="127"/>
      <c r="X225" s="127"/>
      <c r="Y225" s="126"/>
      <c r="Z225" s="126"/>
      <c r="AA225" s="126"/>
      <c r="AB225" s="125"/>
      <c r="AC225" s="125"/>
      <c r="AD225" s="125"/>
      <c r="AE225" s="126"/>
      <c r="AF225" s="126"/>
      <c r="AG225" s="126"/>
      <c r="AH225" s="127"/>
      <c r="AI225" s="127"/>
      <c r="AJ225" s="127"/>
      <c r="AK225" s="126">
        <v>60</v>
      </c>
      <c r="AL225" s="126">
        <v>7.3</v>
      </c>
      <c r="AM225" s="126">
        <f>AK225*AL225</f>
        <v>438</v>
      </c>
      <c r="AN225" s="128">
        <v>60</v>
      </c>
      <c r="AO225" s="128">
        <v>7</v>
      </c>
      <c r="AP225" s="128">
        <f>AN225*AO225</f>
        <v>420</v>
      </c>
    </row>
    <row r="226" s="47" customFormat="1" spans="1:42">
      <c r="A226" s="344">
        <v>45748</v>
      </c>
      <c r="B226" s="346" t="s">
        <v>987</v>
      </c>
      <c r="C226" s="121">
        <v>1200</v>
      </c>
      <c r="D226" s="124"/>
      <c r="E226" s="124"/>
      <c r="F226" s="125"/>
      <c r="G226" s="126"/>
      <c r="H226" s="126"/>
      <c r="I226" s="126"/>
      <c r="J226" s="127"/>
      <c r="K226" s="127"/>
      <c r="L226" s="127"/>
      <c r="M226" s="126"/>
      <c r="N226" s="126"/>
      <c r="O226" s="126"/>
      <c r="P226" s="125"/>
      <c r="Q226" s="125"/>
      <c r="R226" s="125"/>
      <c r="S226" s="126"/>
      <c r="T226" s="126"/>
      <c r="U226" s="126"/>
      <c r="V226" s="127"/>
      <c r="W226" s="127"/>
      <c r="X226" s="127"/>
      <c r="Y226" s="126">
        <v>30</v>
      </c>
      <c r="Z226" s="126">
        <v>9.7</v>
      </c>
      <c r="AA226" s="126">
        <f t="shared" ref="AA226:AA237" si="72">Y226*Z226</f>
        <v>291</v>
      </c>
      <c r="AB226" s="125">
        <v>139</v>
      </c>
      <c r="AC226" s="125">
        <v>6.4</v>
      </c>
      <c r="AD226" s="125">
        <f t="shared" ref="AD226:AD230" si="73">AB226*AC226</f>
        <v>889.6</v>
      </c>
      <c r="AE226" s="126"/>
      <c r="AF226" s="126"/>
      <c r="AG226" s="126"/>
      <c r="AH226" s="127"/>
      <c r="AI226" s="127"/>
      <c r="AJ226" s="127"/>
      <c r="AK226" s="126">
        <v>83</v>
      </c>
      <c r="AL226" s="126">
        <v>7.3</v>
      </c>
      <c r="AM226" s="126">
        <f>AK226*AL226</f>
        <v>605.9</v>
      </c>
      <c r="AN226" s="128"/>
      <c r="AO226" s="128"/>
      <c r="AP226" s="128"/>
    </row>
    <row r="227" s="419" customFormat="1" spans="1:42">
      <c r="A227" s="344">
        <v>45748</v>
      </c>
      <c r="B227" s="346" t="s">
        <v>944</v>
      </c>
      <c r="C227" s="121">
        <v>500</v>
      </c>
      <c r="D227" s="444"/>
      <c r="E227" s="444"/>
      <c r="F227" s="445"/>
      <c r="G227" s="446"/>
      <c r="H227" s="446"/>
      <c r="I227" s="446"/>
      <c r="J227" s="447"/>
      <c r="K227" s="447"/>
      <c r="L227" s="447"/>
      <c r="M227" s="446"/>
      <c r="N227" s="446"/>
      <c r="O227" s="446"/>
      <c r="P227" s="445"/>
      <c r="Q227" s="445"/>
      <c r="R227" s="445"/>
      <c r="S227" s="446"/>
      <c r="T227" s="446"/>
      <c r="U227" s="446"/>
      <c r="V227" s="447"/>
      <c r="W227" s="447"/>
      <c r="X227" s="447"/>
      <c r="Y227" s="446">
        <v>105</v>
      </c>
      <c r="Z227" s="126">
        <v>9.7</v>
      </c>
      <c r="AA227" s="126">
        <f t="shared" si="72"/>
        <v>1018.5</v>
      </c>
      <c r="AB227" s="445">
        <v>94</v>
      </c>
      <c r="AC227" s="125">
        <v>6.4</v>
      </c>
      <c r="AD227" s="125">
        <f t="shared" si="73"/>
        <v>601.6</v>
      </c>
      <c r="AE227" s="446"/>
      <c r="AF227" s="446"/>
      <c r="AG227" s="446"/>
      <c r="AH227" s="447"/>
      <c r="AI227" s="447"/>
      <c r="AJ227" s="447"/>
      <c r="AK227" s="446"/>
      <c r="AL227" s="446"/>
      <c r="AM227" s="446"/>
      <c r="AN227" s="441"/>
      <c r="AO227" s="441"/>
      <c r="AP227" s="441"/>
    </row>
    <row r="228" s="47" customFormat="1" spans="1:42">
      <c r="A228" s="344">
        <v>45748</v>
      </c>
      <c r="B228" s="346" t="s">
        <v>240</v>
      </c>
      <c r="C228" s="121">
        <v>750</v>
      </c>
      <c r="D228" s="124"/>
      <c r="E228" s="124"/>
      <c r="F228" s="125"/>
      <c r="G228" s="126"/>
      <c r="H228" s="126"/>
      <c r="I228" s="126"/>
      <c r="J228" s="127"/>
      <c r="K228" s="127"/>
      <c r="L228" s="127"/>
      <c r="M228" s="126"/>
      <c r="N228" s="126"/>
      <c r="O228" s="126"/>
      <c r="P228" s="125"/>
      <c r="Q228" s="125"/>
      <c r="R228" s="125"/>
      <c r="S228" s="126"/>
      <c r="T228" s="126"/>
      <c r="U228" s="126"/>
      <c r="V228" s="127"/>
      <c r="W228" s="127"/>
      <c r="X228" s="127"/>
      <c r="Y228" s="126">
        <v>450</v>
      </c>
      <c r="Z228" s="126">
        <v>9.7</v>
      </c>
      <c r="AA228" s="126">
        <f t="shared" si="72"/>
        <v>4365</v>
      </c>
      <c r="AB228" s="125"/>
      <c r="AC228" s="125"/>
      <c r="AD228" s="125"/>
      <c r="AE228" s="126"/>
      <c r="AF228" s="126"/>
      <c r="AG228" s="126"/>
      <c r="AH228" s="127"/>
      <c r="AI228" s="127"/>
      <c r="AJ228" s="127"/>
      <c r="AK228" s="126"/>
      <c r="AL228" s="126"/>
      <c r="AM228" s="126"/>
      <c r="AN228" s="441"/>
      <c r="AO228" s="441"/>
      <c r="AP228" s="441"/>
    </row>
    <row r="229" s="47" customFormat="1" spans="1:42">
      <c r="A229" s="344">
        <v>45748</v>
      </c>
      <c r="B229" s="346" t="s">
        <v>922</v>
      </c>
      <c r="C229" s="121">
        <v>501</v>
      </c>
      <c r="D229" s="124"/>
      <c r="E229" s="124"/>
      <c r="F229" s="125"/>
      <c r="G229" s="126"/>
      <c r="H229" s="126"/>
      <c r="I229" s="126"/>
      <c r="J229" s="127"/>
      <c r="K229" s="127"/>
      <c r="L229" s="127"/>
      <c r="M229" s="126"/>
      <c r="N229" s="126"/>
      <c r="O229" s="126"/>
      <c r="P229" s="125"/>
      <c r="Q229" s="125"/>
      <c r="R229" s="125"/>
      <c r="S229" s="126"/>
      <c r="T229" s="126"/>
      <c r="U229" s="126"/>
      <c r="V229" s="127"/>
      <c r="W229" s="127"/>
      <c r="X229" s="127"/>
      <c r="Y229" s="126">
        <v>26</v>
      </c>
      <c r="Z229" s="126">
        <v>9.7</v>
      </c>
      <c r="AA229" s="126">
        <f t="shared" si="72"/>
        <v>252.2</v>
      </c>
      <c r="AB229" s="125">
        <v>60</v>
      </c>
      <c r="AC229" s="125">
        <v>6.4</v>
      </c>
      <c r="AD229" s="125">
        <f t="shared" si="73"/>
        <v>384</v>
      </c>
      <c r="AE229" s="126"/>
      <c r="AF229" s="126"/>
      <c r="AG229" s="126"/>
      <c r="AH229" s="127"/>
      <c r="AI229" s="127"/>
      <c r="AJ229" s="127"/>
      <c r="AK229" s="126"/>
      <c r="AL229" s="126"/>
      <c r="AM229" s="126"/>
      <c r="AN229" s="441"/>
      <c r="AO229" s="441"/>
      <c r="AP229" s="441"/>
    </row>
    <row r="230" s="48" customFormat="1" spans="1:42">
      <c r="A230" s="344">
        <v>45748</v>
      </c>
      <c r="B230" s="346" t="s">
        <v>962</v>
      </c>
      <c r="C230" s="121">
        <v>600</v>
      </c>
      <c r="D230" s="124"/>
      <c r="E230" s="124"/>
      <c r="F230" s="125"/>
      <c r="G230" s="126"/>
      <c r="H230" s="126"/>
      <c r="I230" s="126"/>
      <c r="J230" s="127"/>
      <c r="K230" s="127"/>
      <c r="L230" s="127"/>
      <c r="M230" s="126"/>
      <c r="N230" s="126"/>
      <c r="O230" s="126"/>
      <c r="P230" s="125"/>
      <c r="Q230" s="125"/>
      <c r="R230" s="125"/>
      <c r="S230" s="126"/>
      <c r="T230" s="126"/>
      <c r="U230" s="126"/>
      <c r="V230" s="127"/>
      <c r="W230" s="127"/>
      <c r="X230" s="127"/>
      <c r="Y230" s="126">
        <v>60</v>
      </c>
      <c r="Z230" s="126">
        <v>9.7</v>
      </c>
      <c r="AA230" s="126">
        <f t="shared" si="72"/>
        <v>582</v>
      </c>
      <c r="AB230" s="125">
        <v>130</v>
      </c>
      <c r="AC230" s="125">
        <v>6.4</v>
      </c>
      <c r="AD230" s="125">
        <f t="shared" si="73"/>
        <v>832</v>
      </c>
      <c r="AE230" s="126"/>
      <c r="AF230" s="126"/>
      <c r="AG230" s="126"/>
      <c r="AH230" s="127"/>
      <c r="AI230" s="127"/>
      <c r="AJ230" s="127"/>
      <c r="AK230" s="126"/>
      <c r="AL230" s="126"/>
      <c r="AM230" s="126"/>
      <c r="AN230" s="125">
        <v>12</v>
      </c>
      <c r="AO230" s="125">
        <v>7</v>
      </c>
      <c r="AP230" s="125">
        <v>84</v>
      </c>
    </row>
    <row r="231" s="47" customFormat="1" spans="1:42">
      <c r="A231" s="344">
        <v>45749</v>
      </c>
      <c r="B231" s="346" t="s">
        <v>995</v>
      </c>
      <c r="C231" s="121">
        <v>258</v>
      </c>
      <c r="D231" s="124">
        <v>150</v>
      </c>
      <c r="E231" s="124"/>
      <c r="F231" s="125"/>
      <c r="G231" s="126"/>
      <c r="H231" s="126"/>
      <c r="I231" s="126"/>
      <c r="J231" s="127"/>
      <c r="K231" s="127"/>
      <c r="L231" s="127"/>
      <c r="M231" s="126"/>
      <c r="N231" s="126"/>
      <c r="O231" s="126"/>
      <c r="P231" s="125"/>
      <c r="Q231" s="125"/>
      <c r="R231" s="125"/>
      <c r="S231" s="126"/>
      <c r="T231" s="126"/>
      <c r="U231" s="126"/>
      <c r="V231" s="127"/>
      <c r="W231" s="127"/>
      <c r="X231" s="127"/>
      <c r="Y231" s="126"/>
      <c r="Z231" s="126"/>
      <c r="AA231" s="126"/>
      <c r="AB231" s="125"/>
      <c r="AC231" s="125"/>
      <c r="AD231" s="125"/>
      <c r="AE231" s="126"/>
      <c r="AF231" s="126"/>
      <c r="AG231" s="126"/>
      <c r="AH231" s="127"/>
      <c r="AI231" s="127"/>
      <c r="AJ231" s="127"/>
      <c r="AK231" s="126">
        <v>30</v>
      </c>
      <c r="AL231" s="126">
        <v>7.3</v>
      </c>
      <c r="AM231" s="126">
        <f t="shared" ref="AM231:AM233" si="74">AK231*AL231</f>
        <v>219</v>
      </c>
      <c r="AN231" s="128">
        <v>30</v>
      </c>
      <c r="AO231" s="128">
        <v>7</v>
      </c>
      <c r="AP231" s="128">
        <f>AN231*AO231</f>
        <v>210</v>
      </c>
    </row>
    <row r="232" s="47" customFormat="1" spans="1:42">
      <c r="A232" s="344">
        <v>45750</v>
      </c>
      <c r="B232" s="346" t="s">
        <v>996</v>
      </c>
      <c r="C232" s="121">
        <v>2400</v>
      </c>
      <c r="D232" s="124"/>
      <c r="E232" s="124"/>
      <c r="F232" s="125"/>
      <c r="G232" s="126"/>
      <c r="H232" s="126"/>
      <c r="I232" s="126"/>
      <c r="J232" s="127"/>
      <c r="K232" s="127"/>
      <c r="L232" s="127"/>
      <c r="M232" s="126"/>
      <c r="N232" s="126"/>
      <c r="O232" s="126"/>
      <c r="P232" s="125"/>
      <c r="Q232" s="125"/>
      <c r="R232" s="125"/>
      <c r="S232" s="126"/>
      <c r="T232" s="126"/>
      <c r="U232" s="126"/>
      <c r="V232" s="127"/>
      <c r="W232" s="127"/>
      <c r="X232" s="127"/>
      <c r="Y232" s="126">
        <v>60</v>
      </c>
      <c r="Z232" s="126">
        <v>9.7</v>
      </c>
      <c r="AA232" s="126">
        <f t="shared" si="72"/>
        <v>582</v>
      </c>
      <c r="AB232" s="125">
        <v>278</v>
      </c>
      <c r="AC232" s="125">
        <v>6.3</v>
      </c>
      <c r="AD232" s="125">
        <f t="shared" ref="AD232:AD241" si="75">AB232*AC232</f>
        <v>1751.4</v>
      </c>
      <c r="AE232" s="126"/>
      <c r="AF232" s="126"/>
      <c r="AG232" s="126"/>
      <c r="AH232" s="127"/>
      <c r="AI232" s="127"/>
      <c r="AJ232" s="127"/>
      <c r="AK232" s="126">
        <v>166</v>
      </c>
      <c r="AL232" s="126">
        <v>7.3</v>
      </c>
      <c r="AM232" s="126">
        <f t="shared" si="74"/>
        <v>1211.8</v>
      </c>
      <c r="AN232" s="128"/>
      <c r="AO232" s="128"/>
      <c r="AP232" s="128"/>
    </row>
    <row r="233" s="47" customFormat="1" spans="1:42">
      <c r="A233" s="344">
        <v>45755</v>
      </c>
      <c r="B233" s="359" t="s">
        <v>937</v>
      </c>
      <c r="C233" s="121">
        <v>1003</v>
      </c>
      <c r="D233" s="124"/>
      <c r="E233" s="124"/>
      <c r="F233" s="125"/>
      <c r="G233" s="126"/>
      <c r="H233" s="126"/>
      <c r="I233" s="126"/>
      <c r="J233" s="127">
        <v>30</v>
      </c>
      <c r="K233" s="127">
        <v>17</v>
      </c>
      <c r="L233" s="127">
        <f>J233*K233</f>
        <v>510</v>
      </c>
      <c r="M233" s="126"/>
      <c r="N233" s="126"/>
      <c r="O233" s="126"/>
      <c r="P233" s="125"/>
      <c r="Q233" s="125"/>
      <c r="R233" s="125"/>
      <c r="S233" s="126"/>
      <c r="T233" s="126"/>
      <c r="U233" s="126"/>
      <c r="V233" s="127"/>
      <c r="W233" s="127"/>
      <c r="X233" s="127"/>
      <c r="Y233" s="126">
        <v>100</v>
      </c>
      <c r="Z233" s="126">
        <v>9.7</v>
      </c>
      <c r="AA233" s="126">
        <f t="shared" si="72"/>
        <v>970</v>
      </c>
      <c r="AB233" s="125">
        <v>77</v>
      </c>
      <c r="AC233" s="125">
        <v>6.3</v>
      </c>
      <c r="AD233" s="125">
        <f t="shared" si="75"/>
        <v>485.1</v>
      </c>
      <c r="AE233" s="126">
        <v>200</v>
      </c>
      <c r="AF233" s="126">
        <v>3.5</v>
      </c>
      <c r="AG233" s="126">
        <f>AE233*AF233</f>
        <v>700</v>
      </c>
      <c r="AH233" s="127"/>
      <c r="AI233" s="127"/>
      <c r="AJ233" s="127"/>
      <c r="AK233" s="126">
        <v>75</v>
      </c>
      <c r="AL233" s="126">
        <v>7.3</v>
      </c>
      <c r="AM233" s="126">
        <f t="shared" si="74"/>
        <v>547.5</v>
      </c>
      <c r="AN233" s="128"/>
      <c r="AO233" s="128"/>
      <c r="AP233" s="128"/>
    </row>
    <row r="234" s="47" customFormat="1" spans="1:42">
      <c r="A234" s="344">
        <v>45755</v>
      </c>
      <c r="B234" s="346" t="s">
        <v>342</v>
      </c>
      <c r="C234" s="121">
        <v>225</v>
      </c>
      <c r="D234" s="124"/>
      <c r="E234" s="124"/>
      <c r="F234" s="125"/>
      <c r="G234" s="126"/>
      <c r="H234" s="126"/>
      <c r="I234" s="126"/>
      <c r="J234" s="127"/>
      <c r="K234" s="127"/>
      <c r="L234" s="127"/>
      <c r="M234" s="126"/>
      <c r="N234" s="126"/>
      <c r="O234" s="126"/>
      <c r="P234" s="125"/>
      <c r="Q234" s="125"/>
      <c r="R234" s="125"/>
      <c r="S234" s="126"/>
      <c r="T234" s="126"/>
      <c r="U234" s="126"/>
      <c r="V234" s="127"/>
      <c r="W234" s="127"/>
      <c r="X234" s="127"/>
      <c r="Y234" s="126">
        <v>25</v>
      </c>
      <c r="Z234" s="126">
        <v>9.7</v>
      </c>
      <c r="AA234" s="126">
        <f t="shared" si="72"/>
        <v>242.5</v>
      </c>
      <c r="AB234" s="125"/>
      <c r="AC234" s="125"/>
      <c r="AD234" s="125"/>
      <c r="AE234" s="126"/>
      <c r="AF234" s="126"/>
      <c r="AG234" s="126"/>
      <c r="AH234" s="127"/>
      <c r="AI234" s="127"/>
      <c r="AJ234" s="127"/>
      <c r="AK234" s="126"/>
      <c r="AL234" s="126"/>
      <c r="AM234" s="126"/>
      <c r="AN234" s="128">
        <v>25</v>
      </c>
      <c r="AO234" s="128">
        <v>7</v>
      </c>
      <c r="AP234" s="128">
        <f>AN234*AO234</f>
        <v>175</v>
      </c>
    </row>
    <row r="235" s="47" customFormat="1" spans="1:42">
      <c r="A235" s="344">
        <v>45756</v>
      </c>
      <c r="B235" s="346" t="s">
        <v>922</v>
      </c>
      <c r="C235" s="121">
        <v>501</v>
      </c>
      <c r="D235" s="124"/>
      <c r="E235" s="124"/>
      <c r="F235" s="125"/>
      <c r="G235" s="126"/>
      <c r="H235" s="126"/>
      <c r="I235" s="126"/>
      <c r="J235" s="127"/>
      <c r="K235" s="127"/>
      <c r="L235" s="127"/>
      <c r="M235" s="126"/>
      <c r="N235" s="126"/>
      <c r="O235" s="126"/>
      <c r="P235" s="125"/>
      <c r="Q235" s="125"/>
      <c r="R235" s="125"/>
      <c r="S235" s="126"/>
      <c r="T235" s="126"/>
      <c r="U235" s="126"/>
      <c r="V235" s="127"/>
      <c r="W235" s="127"/>
      <c r="X235" s="127"/>
      <c r="Y235" s="126">
        <v>26</v>
      </c>
      <c r="Z235" s="126">
        <v>9.7</v>
      </c>
      <c r="AA235" s="126">
        <f t="shared" si="72"/>
        <v>252.2</v>
      </c>
      <c r="AB235" s="125">
        <v>60</v>
      </c>
      <c r="AC235" s="125">
        <v>6.3</v>
      </c>
      <c r="AD235" s="125">
        <f t="shared" si="75"/>
        <v>378</v>
      </c>
      <c r="AE235" s="126"/>
      <c r="AF235" s="126"/>
      <c r="AG235" s="126"/>
      <c r="AH235" s="127"/>
      <c r="AI235" s="127"/>
      <c r="AJ235" s="127"/>
      <c r="AK235" s="126"/>
      <c r="AL235" s="126"/>
      <c r="AM235" s="126"/>
      <c r="AN235" s="128"/>
      <c r="AO235" s="128"/>
      <c r="AP235" s="128"/>
    </row>
    <row r="236" s="47" customFormat="1" ht="13" customHeight="1" spans="1:42">
      <c r="A236" s="344">
        <v>45756</v>
      </c>
      <c r="B236" s="346" t="s">
        <v>997</v>
      </c>
      <c r="C236" s="121">
        <v>1000</v>
      </c>
      <c r="D236" s="124"/>
      <c r="E236" s="124"/>
      <c r="F236" s="125"/>
      <c r="G236" s="126"/>
      <c r="H236" s="126"/>
      <c r="I236" s="126"/>
      <c r="J236" s="127"/>
      <c r="K236" s="127"/>
      <c r="L236" s="127"/>
      <c r="M236" s="126"/>
      <c r="N236" s="126"/>
      <c r="O236" s="126"/>
      <c r="P236" s="125"/>
      <c r="Q236" s="125"/>
      <c r="R236" s="125"/>
      <c r="S236" s="126"/>
      <c r="T236" s="126"/>
      <c r="U236" s="126"/>
      <c r="V236" s="127"/>
      <c r="W236" s="127"/>
      <c r="X236" s="127"/>
      <c r="Y236" s="126">
        <v>200</v>
      </c>
      <c r="Z236" s="126">
        <v>9.7</v>
      </c>
      <c r="AA236" s="126">
        <f t="shared" si="72"/>
        <v>1940</v>
      </c>
      <c r="AB236" s="125">
        <v>60</v>
      </c>
      <c r="AC236" s="125">
        <v>6.3</v>
      </c>
      <c r="AD236" s="125">
        <f t="shared" si="75"/>
        <v>378</v>
      </c>
      <c r="AE236" s="126"/>
      <c r="AF236" s="126"/>
      <c r="AG236" s="126"/>
      <c r="AH236" s="127"/>
      <c r="AI236" s="127"/>
      <c r="AJ236" s="127"/>
      <c r="AK236" s="126">
        <v>125</v>
      </c>
      <c r="AL236" s="126">
        <v>7.3</v>
      </c>
      <c r="AM236" s="126">
        <f t="shared" ref="AM236:AM242" si="76">AK236*AL236</f>
        <v>912.5</v>
      </c>
      <c r="AN236" s="128"/>
      <c r="AO236" s="128"/>
      <c r="AP236" s="128"/>
    </row>
    <row r="237" s="47" customFormat="1" ht="13" customHeight="1" spans="1:42">
      <c r="A237" s="344">
        <v>45756</v>
      </c>
      <c r="B237" s="346" t="s">
        <v>921</v>
      </c>
      <c r="C237" s="121">
        <v>54</v>
      </c>
      <c r="D237" s="124"/>
      <c r="E237" s="124"/>
      <c r="F237" s="125"/>
      <c r="G237" s="126"/>
      <c r="H237" s="126"/>
      <c r="I237" s="126"/>
      <c r="J237" s="127"/>
      <c r="K237" s="127"/>
      <c r="L237" s="127"/>
      <c r="M237" s="126"/>
      <c r="N237" s="126"/>
      <c r="O237" s="126"/>
      <c r="P237" s="125"/>
      <c r="Q237" s="125"/>
      <c r="R237" s="125"/>
      <c r="S237" s="126"/>
      <c r="T237" s="126"/>
      <c r="U237" s="126"/>
      <c r="V237" s="127"/>
      <c r="W237" s="127"/>
      <c r="X237" s="127"/>
      <c r="Y237" s="126">
        <v>10.8</v>
      </c>
      <c r="Z237" s="126">
        <v>9.7</v>
      </c>
      <c r="AA237" s="126">
        <f t="shared" si="72"/>
        <v>104.76</v>
      </c>
      <c r="AB237" s="125">
        <v>4.32</v>
      </c>
      <c r="AC237" s="125">
        <v>6.3</v>
      </c>
      <c r="AD237" s="125">
        <f t="shared" si="75"/>
        <v>27.216</v>
      </c>
      <c r="AE237" s="126"/>
      <c r="AF237" s="126"/>
      <c r="AG237" s="126"/>
      <c r="AH237" s="127"/>
      <c r="AI237" s="127"/>
      <c r="AJ237" s="127"/>
      <c r="AK237" s="126">
        <v>5.4</v>
      </c>
      <c r="AL237" s="126">
        <v>7.3</v>
      </c>
      <c r="AM237" s="126">
        <f t="shared" si="76"/>
        <v>39.42</v>
      </c>
      <c r="AN237" s="128"/>
      <c r="AO237" s="128"/>
      <c r="AP237" s="128"/>
    </row>
    <row r="238" s="47" customFormat="1" spans="1:42">
      <c r="A238" s="344">
        <v>45756</v>
      </c>
      <c r="B238" s="346" t="s">
        <v>249</v>
      </c>
      <c r="C238" s="121">
        <v>160</v>
      </c>
      <c r="D238" s="124"/>
      <c r="E238" s="124"/>
      <c r="F238" s="125"/>
      <c r="G238" s="126"/>
      <c r="H238" s="126"/>
      <c r="I238" s="126"/>
      <c r="J238" s="141">
        <v>20</v>
      </c>
      <c r="K238" s="141">
        <v>15</v>
      </c>
      <c r="L238" s="141">
        <f t="shared" ref="L238:L244" si="77">J238*K238</f>
        <v>300</v>
      </c>
      <c r="M238" s="126"/>
      <c r="N238" s="126"/>
      <c r="O238" s="126"/>
      <c r="P238" s="125"/>
      <c r="Q238" s="125"/>
      <c r="R238" s="125"/>
      <c r="S238" s="126"/>
      <c r="T238" s="126"/>
      <c r="U238" s="126"/>
      <c r="V238" s="127"/>
      <c r="W238" s="127"/>
      <c r="X238" s="127"/>
      <c r="Y238" s="126"/>
      <c r="Z238" s="126"/>
      <c r="AA238" s="126"/>
      <c r="AB238" s="125">
        <v>64</v>
      </c>
      <c r="AC238" s="125">
        <v>6.3</v>
      </c>
      <c r="AD238" s="125">
        <f t="shared" si="75"/>
        <v>403.2</v>
      </c>
      <c r="AE238" s="126"/>
      <c r="AF238" s="126"/>
      <c r="AG238" s="126"/>
      <c r="AH238" s="127"/>
      <c r="AI238" s="127"/>
      <c r="AJ238" s="127"/>
      <c r="AK238" s="126">
        <v>73</v>
      </c>
      <c r="AL238" s="126">
        <v>7.3</v>
      </c>
      <c r="AM238" s="126">
        <f t="shared" si="76"/>
        <v>532.9</v>
      </c>
      <c r="AN238" s="128"/>
      <c r="AO238" s="128"/>
      <c r="AP238" s="128"/>
    </row>
    <row r="239" s="47" customFormat="1" spans="1:42">
      <c r="A239" s="344">
        <v>45757</v>
      </c>
      <c r="B239" s="346" t="s">
        <v>988</v>
      </c>
      <c r="C239" s="121">
        <v>1000</v>
      </c>
      <c r="D239" s="124"/>
      <c r="E239" s="124"/>
      <c r="F239" s="125"/>
      <c r="G239" s="126"/>
      <c r="H239" s="126"/>
      <c r="I239" s="126"/>
      <c r="J239" s="127"/>
      <c r="K239" s="127"/>
      <c r="L239" s="127"/>
      <c r="M239" s="126"/>
      <c r="N239" s="126"/>
      <c r="O239" s="126"/>
      <c r="P239" s="125"/>
      <c r="Q239" s="125"/>
      <c r="R239" s="125"/>
      <c r="S239" s="126"/>
      <c r="T239" s="126"/>
      <c r="U239" s="126"/>
      <c r="V239" s="127"/>
      <c r="W239" s="127"/>
      <c r="X239" s="127"/>
      <c r="Y239" s="126">
        <v>50</v>
      </c>
      <c r="Z239" s="126">
        <v>9.7</v>
      </c>
      <c r="AA239" s="126">
        <f t="shared" ref="AA239:AA241" si="78">Y239*Z239</f>
        <v>485</v>
      </c>
      <c r="AB239" s="125">
        <v>95</v>
      </c>
      <c r="AC239" s="125">
        <v>6.3</v>
      </c>
      <c r="AD239" s="125">
        <f t="shared" si="75"/>
        <v>598.5</v>
      </c>
      <c r="AE239" s="126"/>
      <c r="AF239" s="126"/>
      <c r="AG239" s="126"/>
      <c r="AH239" s="127"/>
      <c r="AI239" s="127"/>
      <c r="AJ239" s="127"/>
      <c r="AK239" s="126">
        <v>155</v>
      </c>
      <c r="AL239" s="126">
        <v>7.3</v>
      </c>
      <c r="AM239" s="126">
        <f t="shared" si="76"/>
        <v>1131.5</v>
      </c>
      <c r="AN239" s="128"/>
      <c r="AO239" s="128"/>
      <c r="AP239" s="128"/>
    </row>
    <row r="240" s="47" customFormat="1" spans="1:42">
      <c r="A240" s="344">
        <v>45757</v>
      </c>
      <c r="B240" s="346" t="s">
        <v>998</v>
      </c>
      <c r="C240" s="121">
        <v>200</v>
      </c>
      <c r="D240" s="124"/>
      <c r="E240" s="124"/>
      <c r="F240" s="125"/>
      <c r="G240" s="126"/>
      <c r="H240" s="126"/>
      <c r="I240" s="126"/>
      <c r="J240" s="127"/>
      <c r="K240" s="127"/>
      <c r="L240" s="127"/>
      <c r="M240" s="126"/>
      <c r="N240" s="126"/>
      <c r="O240" s="126"/>
      <c r="P240" s="125"/>
      <c r="Q240" s="125"/>
      <c r="R240" s="125"/>
      <c r="S240" s="126"/>
      <c r="T240" s="126"/>
      <c r="U240" s="126"/>
      <c r="V240" s="127"/>
      <c r="W240" s="127"/>
      <c r="X240" s="127"/>
      <c r="Y240" s="126">
        <v>40</v>
      </c>
      <c r="Z240" s="126">
        <v>9.7</v>
      </c>
      <c r="AA240" s="126">
        <f t="shared" si="78"/>
        <v>388</v>
      </c>
      <c r="AB240" s="125">
        <v>25</v>
      </c>
      <c r="AC240" s="125">
        <v>6.3</v>
      </c>
      <c r="AD240" s="125">
        <f t="shared" si="75"/>
        <v>157.5</v>
      </c>
      <c r="AE240" s="126"/>
      <c r="AF240" s="126"/>
      <c r="AG240" s="126"/>
      <c r="AH240" s="127"/>
      <c r="AI240" s="127"/>
      <c r="AJ240" s="127"/>
      <c r="AK240" s="126">
        <v>7</v>
      </c>
      <c r="AL240" s="126">
        <v>7.3</v>
      </c>
      <c r="AM240" s="126">
        <f t="shared" si="76"/>
        <v>51.1</v>
      </c>
      <c r="AN240" s="128"/>
      <c r="AO240" s="128"/>
      <c r="AP240" s="128"/>
    </row>
    <row r="241" s="47" customFormat="1" spans="1:42">
      <c r="A241" s="344">
        <v>45757</v>
      </c>
      <c r="B241" s="346" t="s">
        <v>999</v>
      </c>
      <c r="C241" s="121">
        <v>453.6</v>
      </c>
      <c r="D241" s="124"/>
      <c r="E241" s="124"/>
      <c r="F241" s="125"/>
      <c r="G241" s="126"/>
      <c r="H241" s="126"/>
      <c r="I241" s="126"/>
      <c r="J241" s="127">
        <v>3.6</v>
      </c>
      <c r="K241" s="127">
        <v>17</v>
      </c>
      <c r="L241" s="127">
        <f t="shared" si="77"/>
        <v>61.2</v>
      </c>
      <c r="M241" s="126"/>
      <c r="N241" s="126"/>
      <c r="O241" s="126"/>
      <c r="P241" s="125"/>
      <c r="Q241" s="125"/>
      <c r="R241" s="125"/>
      <c r="S241" s="126"/>
      <c r="T241" s="126"/>
      <c r="U241" s="126"/>
      <c r="V241" s="127"/>
      <c r="W241" s="127"/>
      <c r="X241" s="127"/>
      <c r="Y241" s="126">
        <v>60</v>
      </c>
      <c r="Z241" s="126">
        <v>9.7</v>
      </c>
      <c r="AA241" s="126">
        <f t="shared" si="78"/>
        <v>582</v>
      </c>
      <c r="AB241" s="125">
        <v>115</v>
      </c>
      <c r="AC241" s="125">
        <v>6.3</v>
      </c>
      <c r="AD241" s="125">
        <f t="shared" si="75"/>
        <v>724.5</v>
      </c>
      <c r="AE241" s="126"/>
      <c r="AF241" s="126"/>
      <c r="AG241" s="126"/>
      <c r="AH241" s="127"/>
      <c r="AI241" s="127"/>
      <c r="AJ241" s="127"/>
      <c r="AK241" s="126">
        <v>14</v>
      </c>
      <c r="AL241" s="126">
        <v>7.3</v>
      </c>
      <c r="AM241" s="126">
        <f t="shared" si="76"/>
        <v>102.2</v>
      </c>
      <c r="AN241" s="128"/>
      <c r="AO241" s="128"/>
      <c r="AP241" s="128"/>
    </row>
    <row r="242" s="47" customFormat="1" spans="1:42">
      <c r="A242" s="344">
        <v>45761</v>
      </c>
      <c r="B242" s="346" t="s">
        <v>704</v>
      </c>
      <c r="C242" s="121">
        <v>258</v>
      </c>
      <c r="D242" s="124">
        <v>150</v>
      </c>
      <c r="E242" s="124"/>
      <c r="F242" s="125"/>
      <c r="G242" s="126"/>
      <c r="H242" s="126"/>
      <c r="I242" s="126"/>
      <c r="J242" s="127"/>
      <c r="K242" s="127"/>
      <c r="L242" s="127"/>
      <c r="M242" s="126"/>
      <c r="N242" s="126"/>
      <c r="O242" s="126"/>
      <c r="P242" s="125"/>
      <c r="Q242" s="125"/>
      <c r="R242" s="125"/>
      <c r="S242" s="126"/>
      <c r="T242" s="126"/>
      <c r="U242" s="126"/>
      <c r="V242" s="127"/>
      <c r="W242" s="127"/>
      <c r="X242" s="127"/>
      <c r="Y242" s="126"/>
      <c r="Z242" s="126"/>
      <c r="AA242" s="126"/>
      <c r="AB242" s="125"/>
      <c r="AC242" s="125"/>
      <c r="AD242" s="125"/>
      <c r="AE242" s="126"/>
      <c r="AF242" s="126"/>
      <c r="AG242" s="126"/>
      <c r="AH242" s="127"/>
      <c r="AI242" s="127"/>
      <c r="AJ242" s="127"/>
      <c r="AK242" s="126">
        <v>30</v>
      </c>
      <c r="AL242" s="126">
        <v>7.3</v>
      </c>
      <c r="AM242" s="126">
        <f t="shared" si="76"/>
        <v>219</v>
      </c>
      <c r="AN242" s="128">
        <v>30</v>
      </c>
      <c r="AO242" s="128">
        <v>7</v>
      </c>
      <c r="AP242" s="128">
        <f>AN242*AO242</f>
        <v>210</v>
      </c>
    </row>
    <row r="243" s="47" customFormat="1" spans="1:42">
      <c r="A243" s="344">
        <v>45763</v>
      </c>
      <c r="B243" s="346" t="s">
        <v>986</v>
      </c>
      <c r="C243" s="121">
        <v>1052.5</v>
      </c>
      <c r="D243" s="124"/>
      <c r="E243" s="124"/>
      <c r="F243" s="125"/>
      <c r="G243" s="126">
        <v>50</v>
      </c>
      <c r="H243" s="126">
        <v>0.9</v>
      </c>
      <c r="I243" s="126">
        <f>G243*H243</f>
        <v>45</v>
      </c>
      <c r="J243" s="127">
        <v>25</v>
      </c>
      <c r="K243" s="127">
        <v>17</v>
      </c>
      <c r="L243" s="127">
        <f t="shared" si="77"/>
        <v>425</v>
      </c>
      <c r="M243" s="126"/>
      <c r="N243" s="126"/>
      <c r="O243" s="126"/>
      <c r="P243" s="125"/>
      <c r="Q243" s="125"/>
      <c r="R243" s="125"/>
      <c r="S243" s="126"/>
      <c r="T243" s="126"/>
      <c r="U243" s="126"/>
      <c r="V243" s="127"/>
      <c r="W243" s="127"/>
      <c r="X243" s="127"/>
      <c r="Y243" s="126"/>
      <c r="Z243" s="126"/>
      <c r="AA243" s="126"/>
      <c r="AB243" s="125">
        <v>59</v>
      </c>
      <c r="AC243" s="125">
        <v>6.3</v>
      </c>
      <c r="AD243" s="125">
        <f t="shared" ref="AD243:AD246" si="79">AB243*AC243</f>
        <v>371.7</v>
      </c>
      <c r="AE243" s="126">
        <v>279</v>
      </c>
      <c r="AF243" s="126">
        <v>3.5</v>
      </c>
      <c r="AG243" s="126">
        <f>AE243*AF243</f>
        <v>976.5</v>
      </c>
      <c r="AH243" s="127"/>
      <c r="AI243" s="127"/>
      <c r="AJ243" s="127"/>
      <c r="AK243" s="126">
        <v>92</v>
      </c>
      <c r="AL243" s="126">
        <v>7.3</v>
      </c>
      <c r="AM243" s="126">
        <f t="shared" ref="AM243:AM247" si="80">AK243*AL243</f>
        <v>671.6</v>
      </c>
      <c r="AN243" s="128"/>
      <c r="AO243" s="128"/>
      <c r="AP243" s="128"/>
    </row>
    <row r="244" s="47" customFormat="1" spans="1:42">
      <c r="A244" s="344">
        <v>45763</v>
      </c>
      <c r="B244" s="346" t="s">
        <v>1000</v>
      </c>
      <c r="C244" s="121">
        <v>200</v>
      </c>
      <c r="D244" s="124"/>
      <c r="E244" s="124"/>
      <c r="F244" s="125"/>
      <c r="G244" s="126"/>
      <c r="H244" s="126"/>
      <c r="I244" s="126"/>
      <c r="J244" s="127">
        <v>4</v>
      </c>
      <c r="K244" s="127">
        <v>17</v>
      </c>
      <c r="L244" s="127">
        <f t="shared" si="77"/>
        <v>68</v>
      </c>
      <c r="M244" s="126"/>
      <c r="N244" s="126"/>
      <c r="O244" s="126"/>
      <c r="P244" s="125"/>
      <c r="Q244" s="125"/>
      <c r="R244" s="125"/>
      <c r="S244" s="126"/>
      <c r="T244" s="126"/>
      <c r="U244" s="126"/>
      <c r="V244" s="127"/>
      <c r="W244" s="127"/>
      <c r="X244" s="127"/>
      <c r="Y244" s="126">
        <v>26</v>
      </c>
      <c r="Z244" s="126">
        <v>9.7</v>
      </c>
      <c r="AA244" s="126">
        <f t="shared" ref="AA244:AA246" si="81">Y244*Z244</f>
        <v>252.2</v>
      </c>
      <c r="AB244" s="125">
        <v>20</v>
      </c>
      <c r="AC244" s="125">
        <v>6.3</v>
      </c>
      <c r="AD244" s="125">
        <f t="shared" si="79"/>
        <v>126</v>
      </c>
      <c r="AE244" s="126"/>
      <c r="AF244" s="126"/>
      <c r="AG244" s="126"/>
      <c r="AH244" s="127"/>
      <c r="AI244" s="127"/>
      <c r="AJ244" s="127"/>
      <c r="AK244" s="126">
        <v>19</v>
      </c>
      <c r="AL244" s="126">
        <v>7.3</v>
      </c>
      <c r="AM244" s="126">
        <f t="shared" si="80"/>
        <v>138.7</v>
      </c>
      <c r="AN244" s="128"/>
      <c r="AO244" s="128"/>
      <c r="AP244" s="128"/>
    </row>
    <row r="245" s="47" customFormat="1" spans="1:42">
      <c r="A245" s="344">
        <v>45763</v>
      </c>
      <c r="B245" s="346" t="s">
        <v>1001</v>
      </c>
      <c r="C245" s="121">
        <v>500</v>
      </c>
      <c r="D245" s="124"/>
      <c r="E245" s="124"/>
      <c r="F245" s="125"/>
      <c r="G245" s="126"/>
      <c r="H245" s="126"/>
      <c r="I245" s="126"/>
      <c r="J245" s="127"/>
      <c r="K245" s="127"/>
      <c r="L245" s="127"/>
      <c r="M245" s="126"/>
      <c r="N245" s="126"/>
      <c r="O245" s="126"/>
      <c r="P245" s="125"/>
      <c r="Q245" s="125"/>
      <c r="R245" s="125"/>
      <c r="S245" s="126"/>
      <c r="T245" s="126"/>
      <c r="U245" s="126"/>
      <c r="V245" s="127"/>
      <c r="W245" s="127"/>
      <c r="X245" s="127"/>
      <c r="Y245" s="126">
        <v>100</v>
      </c>
      <c r="Z245" s="126">
        <v>9.7</v>
      </c>
      <c r="AA245" s="126">
        <f t="shared" si="81"/>
        <v>970</v>
      </c>
      <c r="AB245" s="125">
        <v>67</v>
      </c>
      <c r="AC245" s="125">
        <v>6.3</v>
      </c>
      <c r="AD245" s="125">
        <f t="shared" si="79"/>
        <v>422.1</v>
      </c>
      <c r="AE245" s="126"/>
      <c r="AF245" s="126"/>
      <c r="AG245" s="126"/>
      <c r="AH245" s="127"/>
      <c r="AI245" s="127"/>
      <c r="AJ245" s="127"/>
      <c r="AK245" s="126">
        <v>17</v>
      </c>
      <c r="AL245" s="126">
        <v>7.3</v>
      </c>
      <c r="AM245" s="126">
        <f t="shared" si="80"/>
        <v>124.1</v>
      </c>
      <c r="AN245" s="441"/>
      <c r="AO245" s="441"/>
      <c r="AP245" s="441"/>
    </row>
    <row r="246" s="47" customFormat="1" spans="1:42">
      <c r="A246" s="344">
        <v>45767</v>
      </c>
      <c r="B246" s="346" t="s">
        <v>921</v>
      </c>
      <c r="C246" s="121">
        <v>180</v>
      </c>
      <c r="D246" s="124"/>
      <c r="E246" s="124"/>
      <c r="F246" s="125"/>
      <c r="G246" s="126"/>
      <c r="H246" s="126"/>
      <c r="I246" s="126"/>
      <c r="J246" s="127"/>
      <c r="K246" s="127"/>
      <c r="L246" s="127"/>
      <c r="M246" s="126"/>
      <c r="N246" s="126"/>
      <c r="O246" s="126"/>
      <c r="P246" s="125"/>
      <c r="Q246" s="125"/>
      <c r="R246" s="125"/>
      <c r="S246" s="126"/>
      <c r="T246" s="126"/>
      <c r="U246" s="126"/>
      <c r="V246" s="127"/>
      <c r="W246" s="127"/>
      <c r="X246" s="127"/>
      <c r="Y246" s="126">
        <v>36</v>
      </c>
      <c r="Z246" s="126">
        <v>9.7</v>
      </c>
      <c r="AA246" s="126">
        <f t="shared" si="81"/>
        <v>349.2</v>
      </c>
      <c r="AB246" s="125">
        <v>14.4</v>
      </c>
      <c r="AC246" s="125">
        <v>6.3</v>
      </c>
      <c r="AD246" s="125">
        <f t="shared" si="79"/>
        <v>90.72</v>
      </c>
      <c r="AE246" s="126"/>
      <c r="AF246" s="126"/>
      <c r="AG246" s="126"/>
      <c r="AH246" s="127"/>
      <c r="AI246" s="127"/>
      <c r="AJ246" s="127"/>
      <c r="AK246" s="126">
        <v>18</v>
      </c>
      <c r="AL246" s="126">
        <v>7.3</v>
      </c>
      <c r="AM246" s="126">
        <f t="shared" si="80"/>
        <v>131.4</v>
      </c>
      <c r="AN246" s="128"/>
      <c r="AO246" s="128"/>
      <c r="AP246" s="128"/>
    </row>
    <row r="247" s="47" customFormat="1" spans="1:42">
      <c r="A247" s="344">
        <v>45769</v>
      </c>
      <c r="B247" s="355" t="s">
        <v>704</v>
      </c>
      <c r="C247" s="121">
        <v>258</v>
      </c>
      <c r="D247" s="124">
        <v>150</v>
      </c>
      <c r="E247" s="124"/>
      <c r="F247" s="125"/>
      <c r="G247" s="126"/>
      <c r="H247" s="126"/>
      <c r="I247" s="126"/>
      <c r="J247" s="127"/>
      <c r="K247" s="127"/>
      <c r="L247" s="127"/>
      <c r="M247" s="126"/>
      <c r="N247" s="126"/>
      <c r="O247" s="126"/>
      <c r="P247" s="125"/>
      <c r="Q247" s="125"/>
      <c r="R247" s="125"/>
      <c r="S247" s="126"/>
      <c r="T247" s="126"/>
      <c r="U247" s="126"/>
      <c r="V247" s="127"/>
      <c r="W247" s="127"/>
      <c r="X247" s="127"/>
      <c r="Y247" s="126"/>
      <c r="Z247" s="126"/>
      <c r="AA247" s="126"/>
      <c r="AB247" s="125"/>
      <c r="AC247" s="125"/>
      <c r="AD247" s="125"/>
      <c r="AE247" s="126"/>
      <c r="AF247" s="126"/>
      <c r="AG247" s="126"/>
      <c r="AH247" s="127"/>
      <c r="AI247" s="127"/>
      <c r="AJ247" s="127"/>
      <c r="AK247" s="126">
        <v>30</v>
      </c>
      <c r="AL247" s="126">
        <v>7.3</v>
      </c>
      <c r="AM247" s="126">
        <f t="shared" si="80"/>
        <v>219</v>
      </c>
      <c r="AN247" s="128">
        <v>30</v>
      </c>
      <c r="AO247" s="128">
        <v>7</v>
      </c>
      <c r="AP247" s="128">
        <f>AN247*AO247</f>
        <v>210</v>
      </c>
    </row>
    <row r="248" s="47" customFormat="1" spans="1:42">
      <c r="A248" s="344">
        <v>45770</v>
      </c>
      <c r="B248" s="346" t="s">
        <v>1002</v>
      </c>
      <c r="C248" s="121">
        <v>355</v>
      </c>
      <c r="D248" s="124"/>
      <c r="E248" s="124"/>
      <c r="F248" s="125"/>
      <c r="G248" s="126">
        <v>31</v>
      </c>
      <c r="H248" s="126">
        <v>0.9</v>
      </c>
      <c r="I248" s="126">
        <f>G248*H248</f>
        <v>27.9</v>
      </c>
      <c r="J248" s="127">
        <v>9.5</v>
      </c>
      <c r="K248" s="127">
        <v>17</v>
      </c>
      <c r="L248" s="127">
        <f>J248*K248</f>
        <v>161.5</v>
      </c>
      <c r="M248" s="126"/>
      <c r="N248" s="126"/>
      <c r="O248" s="126"/>
      <c r="P248" s="125"/>
      <c r="Q248" s="125"/>
      <c r="R248" s="125"/>
      <c r="S248" s="126"/>
      <c r="T248" s="126"/>
      <c r="U248" s="126"/>
      <c r="V248" s="127"/>
      <c r="W248" s="127"/>
      <c r="X248" s="127"/>
      <c r="Y248" s="126"/>
      <c r="Z248" s="126"/>
      <c r="AA248" s="126"/>
      <c r="AB248" s="125">
        <v>1.2</v>
      </c>
      <c r="AC248" s="125">
        <v>6.3</v>
      </c>
      <c r="AD248" s="125">
        <f t="shared" ref="AD248:AD257" si="82">AB248*AC248</f>
        <v>7.56</v>
      </c>
      <c r="AE248" s="126">
        <v>1.9</v>
      </c>
      <c r="AF248" s="126">
        <v>3.5</v>
      </c>
      <c r="AG248" s="126">
        <f>AE248*AF248</f>
        <v>6.65</v>
      </c>
      <c r="AH248" s="127"/>
      <c r="AI248" s="127"/>
      <c r="AJ248" s="127"/>
      <c r="AK248" s="126"/>
      <c r="AL248" s="126"/>
      <c r="AM248" s="126"/>
      <c r="AN248" s="128"/>
      <c r="AO248" s="128"/>
      <c r="AP248" s="128"/>
    </row>
    <row r="249" s="47" customFormat="1" spans="1:42">
      <c r="A249" s="344">
        <v>45770</v>
      </c>
      <c r="B249" s="346" t="s">
        <v>936</v>
      </c>
      <c r="C249" s="121">
        <v>750</v>
      </c>
      <c r="D249" s="124"/>
      <c r="E249" s="124"/>
      <c r="F249" s="125"/>
      <c r="G249" s="126"/>
      <c r="H249" s="126"/>
      <c r="I249" s="126"/>
      <c r="J249" s="127"/>
      <c r="K249" s="127"/>
      <c r="L249" s="127"/>
      <c r="M249" s="126"/>
      <c r="N249" s="126"/>
      <c r="O249" s="126"/>
      <c r="P249" s="125">
        <v>25</v>
      </c>
      <c r="Q249" s="125">
        <v>75</v>
      </c>
      <c r="R249" s="125">
        <f>P249*Q249</f>
        <v>1875</v>
      </c>
      <c r="S249" s="126"/>
      <c r="T249" s="126"/>
      <c r="U249" s="126"/>
      <c r="V249" s="127"/>
      <c r="W249" s="127"/>
      <c r="X249" s="127"/>
      <c r="Y249" s="126">
        <v>300</v>
      </c>
      <c r="Z249" s="126">
        <v>9.7</v>
      </c>
      <c r="AA249" s="126">
        <f t="shared" ref="AA249:AA257" si="83">Y249*Z249</f>
        <v>2910</v>
      </c>
      <c r="AB249" s="125">
        <v>125</v>
      </c>
      <c r="AC249" s="125">
        <v>6.3</v>
      </c>
      <c r="AD249" s="125">
        <f t="shared" si="82"/>
        <v>787.5</v>
      </c>
      <c r="AE249" s="126"/>
      <c r="AF249" s="126"/>
      <c r="AG249" s="126"/>
      <c r="AH249" s="127"/>
      <c r="AI249" s="127"/>
      <c r="AJ249" s="127"/>
      <c r="AK249" s="126"/>
      <c r="AL249" s="126"/>
      <c r="AM249" s="126"/>
      <c r="AN249" s="128"/>
      <c r="AO249" s="128"/>
      <c r="AP249" s="128"/>
    </row>
    <row r="250" s="47" customFormat="1" spans="1:42">
      <c r="A250" s="344">
        <v>45770</v>
      </c>
      <c r="B250" s="346" t="s">
        <v>1003</v>
      </c>
      <c r="C250" s="121">
        <v>1200</v>
      </c>
      <c r="D250" s="124"/>
      <c r="E250" s="124"/>
      <c r="F250" s="125"/>
      <c r="G250" s="126"/>
      <c r="H250" s="126"/>
      <c r="I250" s="126"/>
      <c r="J250" s="127"/>
      <c r="K250" s="127"/>
      <c r="L250" s="127"/>
      <c r="M250" s="126"/>
      <c r="N250" s="126"/>
      <c r="O250" s="126"/>
      <c r="P250" s="125"/>
      <c r="Q250" s="125"/>
      <c r="R250" s="125"/>
      <c r="S250" s="126"/>
      <c r="T250" s="126"/>
      <c r="U250" s="126"/>
      <c r="V250" s="127"/>
      <c r="W250" s="127"/>
      <c r="X250" s="127"/>
      <c r="Y250" s="126">
        <v>30</v>
      </c>
      <c r="Z250" s="126">
        <v>9.7</v>
      </c>
      <c r="AA250" s="126">
        <f t="shared" si="83"/>
        <v>291</v>
      </c>
      <c r="AB250" s="125">
        <v>139</v>
      </c>
      <c r="AC250" s="125">
        <v>6.3</v>
      </c>
      <c r="AD250" s="125">
        <f t="shared" si="82"/>
        <v>875.7</v>
      </c>
      <c r="AE250" s="126"/>
      <c r="AF250" s="126"/>
      <c r="AG250" s="126"/>
      <c r="AH250" s="127"/>
      <c r="AI250" s="127"/>
      <c r="AJ250" s="127"/>
      <c r="AK250" s="126">
        <v>83</v>
      </c>
      <c r="AL250" s="126">
        <v>7.3</v>
      </c>
      <c r="AM250" s="126">
        <f t="shared" ref="AM250:AM255" si="84">AK250*AL250</f>
        <v>605.9</v>
      </c>
      <c r="AN250" s="128"/>
      <c r="AO250" s="128"/>
      <c r="AP250" s="128"/>
    </row>
    <row r="251" s="47" customFormat="1" spans="1:42">
      <c r="A251" s="344">
        <v>45771</v>
      </c>
      <c r="B251" s="346" t="s">
        <v>997</v>
      </c>
      <c r="C251" s="121">
        <v>1000</v>
      </c>
      <c r="D251" s="124"/>
      <c r="E251" s="124"/>
      <c r="F251" s="125"/>
      <c r="G251" s="126"/>
      <c r="H251" s="126"/>
      <c r="I251" s="126"/>
      <c r="J251" s="127"/>
      <c r="K251" s="127"/>
      <c r="L251" s="127"/>
      <c r="M251" s="126"/>
      <c r="N251" s="126"/>
      <c r="O251" s="126"/>
      <c r="P251" s="125"/>
      <c r="Q251" s="125"/>
      <c r="R251" s="125"/>
      <c r="S251" s="126"/>
      <c r="T251" s="126"/>
      <c r="U251" s="126"/>
      <c r="V251" s="127"/>
      <c r="W251" s="127"/>
      <c r="X251" s="127"/>
      <c r="Y251" s="126">
        <v>200</v>
      </c>
      <c r="Z251" s="126">
        <v>9.7</v>
      </c>
      <c r="AA251" s="126">
        <f t="shared" si="83"/>
        <v>1940</v>
      </c>
      <c r="AB251" s="125">
        <v>60</v>
      </c>
      <c r="AC251" s="125">
        <v>6.3</v>
      </c>
      <c r="AD251" s="125">
        <f t="shared" si="82"/>
        <v>378</v>
      </c>
      <c r="AE251" s="126"/>
      <c r="AF251" s="126"/>
      <c r="AG251" s="126"/>
      <c r="AH251" s="127"/>
      <c r="AI251" s="127"/>
      <c r="AJ251" s="127"/>
      <c r="AK251" s="126">
        <v>125</v>
      </c>
      <c r="AL251" s="126">
        <v>7.3</v>
      </c>
      <c r="AM251" s="126">
        <f t="shared" si="84"/>
        <v>912.5</v>
      </c>
      <c r="AN251" s="128"/>
      <c r="AO251" s="128"/>
      <c r="AP251" s="128"/>
    </row>
    <row r="252" s="47" customFormat="1" spans="1:42">
      <c r="A252" s="344">
        <v>45771</v>
      </c>
      <c r="B252" s="346" t="s">
        <v>345</v>
      </c>
      <c r="C252" s="131">
        <v>172</v>
      </c>
      <c r="D252" s="124"/>
      <c r="E252" s="124"/>
      <c r="F252" s="125"/>
      <c r="G252" s="126"/>
      <c r="H252" s="126"/>
      <c r="I252" s="126"/>
      <c r="J252" s="127"/>
      <c r="K252" s="127"/>
      <c r="L252" s="127"/>
      <c r="M252" s="126"/>
      <c r="N252" s="126"/>
      <c r="O252" s="126"/>
      <c r="P252" s="125"/>
      <c r="Q252" s="125"/>
      <c r="R252" s="125"/>
      <c r="S252" s="126"/>
      <c r="T252" s="126"/>
      <c r="U252" s="126"/>
      <c r="V252" s="127"/>
      <c r="W252" s="127"/>
      <c r="X252" s="127"/>
      <c r="Y252" s="126">
        <v>45</v>
      </c>
      <c r="Z252" s="126">
        <v>9.7</v>
      </c>
      <c r="AA252" s="126">
        <f t="shared" si="83"/>
        <v>436.5</v>
      </c>
      <c r="AB252" s="125">
        <v>50</v>
      </c>
      <c r="AC252" s="125">
        <v>6.3</v>
      </c>
      <c r="AD252" s="125">
        <f t="shared" si="82"/>
        <v>315</v>
      </c>
      <c r="AE252" s="126"/>
      <c r="AF252" s="126"/>
      <c r="AG252" s="126"/>
      <c r="AH252" s="127"/>
      <c r="AI252" s="127"/>
      <c r="AJ252" s="127"/>
      <c r="AK252" s="126"/>
      <c r="AL252" s="126"/>
      <c r="AM252" s="126"/>
      <c r="AN252" s="128"/>
      <c r="AO252" s="128"/>
      <c r="AP252" s="128"/>
    </row>
    <row r="253" s="47" customFormat="1" spans="1:42">
      <c r="A253" s="344">
        <v>45771</v>
      </c>
      <c r="B253" s="346" t="s">
        <v>924</v>
      </c>
      <c r="C253" s="131">
        <v>600</v>
      </c>
      <c r="D253" s="124"/>
      <c r="E253" s="124"/>
      <c r="F253" s="125"/>
      <c r="G253" s="126"/>
      <c r="H253" s="126"/>
      <c r="I253" s="126"/>
      <c r="J253" s="127"/>
      <c r="K253" s="127"/>
      <c r="L253" s="127"/>
      <c r="M253" s="126"/>
      <c r="N253" s="126"/>
      <c r="O253" s="126"/>
      <c r="P253" s="125"/>
      <c r="Q253" s="125"/>
      <c r="R253" s="125"/>
      <c r="S253" s="126"/>
      <c r="T253" s="126"/>
      <c r="U253" s="126"/>
      <c r="V253" s="127"/>
      <c r="W253" s="127"/>
      <c r="X253" s="127"/>
      <c r="Y253" s="126">
        <v>60</v>
      </c>
      <c r="Z253" s="126">
        <v>9.7</v>
      </c>
      <c r="AA253" s="126">
        <f t="shared" si="83"/>
        <v>582</v>
      </c>
      <c r="AB253" s="125">
        <v>130</v>
      </c>
      <c r="AC253" s="125">
        <v>6.3</v>
      </c>
      <c r="AD253" s="125">
        <f t="shared" si="82"/>
        <v>819</v>
      </c>
      <c r="AE253" s="126"/>
      <c r="AF253" s="126"/>
      <c r="AG253" s="126"/>
      <c r="AH253" s="127"/>
      <c r="AI253" s="127"/>
      <c r="AJ253" s="127"/>
      <c r="AK253" s="126"/>
      <c r="AL253" s="126"/>
      <c r="AM253" s="126"/>
      <c r="AN253" s="128">
        <v>12</v>
      </c>
      <c r="AO253" s="128">
        <v>7</v>
      </c>
      <c r="AP253" s="128">
        <f>AN253*AO253</f>
        <v>84</v>
      </c>
    </row>
    <row r="254" s="47" customFormat="1" spans="1:42">
      <c r="A254" s="344">
        <v>45771</v>
      </c>
      <c r="B254" s="346" t="s">
        <v>949</v>
      </c>
      <c r="C254" s="131">
        <v>180</v>
      </c>
      <c r="D254" s="124"/>
      <c r="E254" s="124"/>
      <c r="F254" s="125"/>
      <c r="G254" s="126"/>
      <c r="H254" s="126"/>
      <c r="I254" s="126"/>
      <c r="J254" s="127"/>
      <c r="K254" s="127"/>
      <c r="L254" s="127"/>
      <c r="M254" s="126"/>
      <c r="N254" s="126"/>
      <c r="O254" s="126"/>
      <c r="P254" s="125"/>
      <c r="Q254" s="125"/>
      <c r="R254" s="125"/>
      <c r="S254" s="126"/>
      <c r="T254" s="126"/>
      <c r="U254" s="126"/>
      <c r="V254" s="127"/>
      <c r="W254" s="127"/>
      <c r="X254" s="127"/>
      <c r="Y254" s="126">
        <v>20</v>
      </c>
      <c r="Z254" s="126">
        <v>9.7</v>
      </c>
      <c r="AA254" s="126">
        <f t="shared" si="83"/>
        <v>194</v>
      </c>
      <c r="AB254" s="125">
        <v>40</v>
      </c>
      <c r="AC254" s="125">
        <v>6.3</v>
      </c>
      <c r="AD254" s="125">
        <f t="shared" si="82"/>
        <v>252</v>
      </c>
      <c r="AE254" s="126">
        <v>90</v>
      </c>
      <c r="AF254" s="126">
        <v>3.5</v>
      </c>
      <c r="AG254" s="126">
        <f>AE254*AF254</f>
        <v>315</v>
      </c>
      <c r="AH254" s="127"/>
      <c r="AI254" s="127"/>
      <c r="AJ254" s="127"/>
      <c r="AK254" s="126">
        <v>30</v>
      </c>
      <c r="AL254" s="126">
        <v>7.3</v>
      </c>
      <c r="AM254" s="126">
        <f t="shared" si="84"/>
        <v>219</v>
      </c>
      <c r="AN254" s="128"/>
      <c r="AO254" s="128"/>
      <c r="AP254" s="128"/>
    </row>
    <row r="255" s="47" customFormat="1" spans="1:42">
      <c r="A255" s="344">
        <v>45772</v>
      </c>
      <c r="B255" s="346" t="s">
        <v>1004</v>
      </c>
      <c r="C255" s="131">
        <v>300</v>
      </c>
      <c r="D255" s="124"/>
      <c r="E255" s="124"/>
      <c r="F255" s="125"/>
      <c r="G255" s="126"/>
      <c r="H255" s="126"/>
      <c r="I255" s="126"/>
      <c r="J255" s="127"/>
      <c r="K255" s="127"/>
      <c r="L255" s="127"/>
      <c r="M255" s="126"/>
      <c r="N255" s="126"/>
      <c r="O255" s="126"/>
      <c r="P255" s="125"/>
      <c r="Q255" s="125"/>
      <c r="R255" s="125"/>
      <c r="S255" s="126"/>
      <c r="T255" s="126"/>
      <c r="U255" s="126"/>
      <c r="V255" s="127"/>
      <c r="W255" s="127"/>
      <c r="X255" s="127"/>
      <c r="Y255" s="126">
        <v>30</v>
      </c>
      <c r="Z255" s="126">
        <v>9.7</v>
      </c>
      <c r="AA255" s="126">
        <f t="shared" si="83"/>
        <v>291</v>
      </c>
      <c r="AB255" s="125">
        <v>61</v>
      </c>
      <c r="AC255" s="125">
        <v>6.3</v>
      </c>
      <c r="AD255" s="125">
        <f t="shared" si="82"/>
        <v>384.3</v>
      </c>
      <c r="AE255" s="126"/>
      <c r="AF255" s="126"/>
      <c r="AG255" s="126"/>
      <c r="AH255" s="127"/>
      <c r="AI255" s="127"/>
      <c r="AJ255" s="127"/>
      <c r="AK255" s="126">
        <v>10</v>
      </c>
      <c r="AL255" s="126">
        <v>7.3</v>
      </c>
      <c r="AM255" s="126">
        <f t="shared" si="84"/>
        <v>73</v>
      </c>
      <c r="AN255" s="128"/>
      <c r="AO255" s="128"/>
      <c r="AP255" s="128"/>
    </row>
    <row r="256" s="47" customFormat="1" spans="1:42">
      <c r="A256" s="344">
        <v>45772</v>
      </c>
      <c r="B256" s="346" t="s">
        <v>1005</v>
      </c>
      <c r="C256" s="131">
        <v>500</v>
      </c>
      <c r="D256" s="124"/>
      <c r="E256" s="124"/>
      <c r="F256" s="125"/>
      <c r="G256" s="126"/>
      <c r="H256" s="126"/>
      <c r="I256" s="126"/>
      <c r="J256" s="127"/>
      <c r="K256" s="127"/>
      <c r="L256" s="127"/>
      <c r="M256" s="126"/>
      <c r="N256" s="126"/>
      <c r="O256" s="126"/>
      <c r="P256" s="125"/>
      <c r="Q256" s="125"/>
      <c r="R256" s="125"/>
      <c r="S256" s="126"/>
      <c r="T256" s="126"/>
      <c r="U256" s="126"/>
      <c r="V256" s="127"/>
      <c r="W256" s="127"/>
      <c r="X256" s="127"/>
      <c r="Y256" s="126">
        <v>105</v>
      </c>
      <c r="Z256" s="126">
        <v>9.7</v>
      </c>
      <c r="AA256" s="126">
        <f t="shared" si="83"/>
        <v>1018.5</v>
      </c>
      <c r="AB256" s="125">
        <v>94</v>
      </c>
      <c r="AC256" s="125">
        <v>6.3</v>
      </c>
      <c r="AD256" s="125">
        <f t="shared" si="82"/>
        <v>592.2</v>
      </c>
      <c r="AE256" s="126"/>
      <c r="AF256" s="126"/>
      <c r="AG256" s="126"/>
      <c r="AH256" s="127"/>
      <c r="AI256" s="127"/>
      <c r="AJ256" s="127"/>
      <c r="AK256" s="126"/>
      <c r="AL256" s="126"/>
      <c r="AM256" s="126"/>
      <c r="AN256" s="128"/>
      <c r="AO256" s="128"/>
      <c r="AP256" s="128"/>
    </row>
    <row r="257" s="47" customFormat="1" spans="1:42">
      <c r="A257" s="344">
        <v>45777</v>
      </c>
      <c r="B257" s="346" t="s">
        <v>953</v>
      </c>
      <c r="C257" s="131">
        <v>100</v>
      </c>
      <c r="D257" s="124"/>
      <c r="E257" s="124"/>
      <c r="F257" s="125"/>
      <c r="G257" s="126"/>
      <c r="H257" s="126"/>
      <c r="I257" s="126"/>
      <c r="J257" s="127"/>
      <c r="K257" s="127"/>
      <c r="L257" s="127"/>
      <c r="M257" s="126"/>
      <c r="N257" s="126"/>
      <c r="O257" s="126"/>
      <c r="P257" s="125"/>
      <c r="Q257" s="125"/>
      <c r="R257" s="125"/>
      <c r="S257" s="126"/>
      <c r="T257" s="126"/>
      <c r="U257" s="126"/>
      <c r="V257" s="127"/>
      <c r="W257" s="127"/>
      <c r="X257" s="127"/>
      <c r="Y257" s="126">
        <v>14</v>
      </c>
      <c r="Z257" s="126">
        <v>9.7</v>
      </c>
      <c r="AA257" s="126">
        <f t="shared" si="83"/>
        <v>135.8</v>
      </c>
      <c r="AB257" s="125">
        <v>8</v>
      </c>
      <c r="AC257" s="125">
        <v>6.3</v>
      </c>
      <c r="AD257" s="125">
        <f t="shared" si="82"/>
        <v>50.4</v>
      </c>
      <c r="AE257" s="126"/>
      <c r="AF257" s="126"/>
      <c r="AG257" s="126"/>
      <c r="AH257" s="127"/>
      <c r="AI257" s="127"/>
      <c r="AJ257" s="127"/>
      <c r="AK257" s="126"/>
      <c r="AL257" s="126"/>
      <c r="AM257" s="126"/>
      <c r="AN257" s="128"/>
      <c r="AO257" s="128"/>
      <c r="AP257" s="128"/>
    </row>
    <row r="258" s="47" customFormat="1" spans="1:42">
      <c r="A258" s="129"/>
      <c r="B258" s="137"/>
      <c r="C258" s="131">
        <f>SUM(C225:C257)</f>
        <v>18927.1</v>
      </c>
      <c r="D258" s="146">
        <f t="shared" ref="D258:G258" si="85">SUM(D225:D257)</f>
        <v>750</v>
      </c>
      <c r="E258" s="147"/>
      <c r="F258" s="146">
        <f t="shared" si="85"/>
        <v>0</v>
      </c>
      <c r="G258" s="146">
        <f t="shared" si="85"/>
        <v>81</v>
      </c>
      <c r="H258" s="147"/>
      <c r="I258" s="146">
        <f t="shared" ref="I258:L258" si="86">SUM(I225:I257)</f>
        <v>72.9</v>
      </c>
      <c r="J258" s="146">
        <f t="shared" si="86"/>
        <v>92.1</v>
      </c>
      <c r="K258" s="147"/>
      <c r="L258" s="146">
        <f t="shared" si="86"/>
        <v>1525.7</v>
      </c>
      <c r="M258" s="146">
        <f t="shared" ref="M258:R258" si="87">SUM(M225:M257)</f>
        <v>0</v>
      </c>
      <c r="N258" s="147"/>
      <c r="O258" s="146">
        <f t="shared" si="87"/>
        <v>0</v>
      </c>
      <c r="P258" s="146">
        <f t="shared" si="87"/>
        <v>25</v>
      </c>
      <c r="Q258" s="147"/>
      <c r="R258" s="146">
        <f t="shared" si="87"/>
        <v>1875</v>
      </c>
      <c r="S258" s="146">
        <f t="shared" ref="S258:X258" si="88">SUM(S225:S257)</f>
        <v>0</v>
      </c>
      <c r="T258" s="147"/>
      <c r="U258" s="146">
        <f t="shared" si="88"/>
        <v>0</v>
      </c>
      <c r="V258" s="146">
        <f t="shared" si="88"/>
        <v>0</v>
      </c>
      <c r="W258" s="147"/>
      <c r="X258" s="146">
        <f t="shared" si="88"/>
        <v>0</v>
      </c>
      <c r="Y258" s="146">
        <f t="shared" ref="Y258:AB258" si="89">SUM(Y225:Y257)</f>
        <v>2208.8</v>
      </c>
      <c r="Z258" s="81"/>
      <c r="AA258" s="146">
        <f t="shared" si="89"/>
        <v>21425.36</v>
      </c>
      <c r="AB258" s="146">
        <f t="shared" si="89"/>
        <v>2069.92</v>
      </c>
      <c r="AC258" s="81"/>
      <c r="AD258" s="146">
        <f t="shared" ref="AD258:AG258" si="90">SUM(AD225:AD257)</f>
        <v>13082.796</v>
      </c>
      <c r="AE258" s="146">
        <f t="shared" si="90"/>
        <v>570.9</v>
      </c>
      <c r="AF258" s="81"/>
      <c r="AG258" s="146">
        <f t="shared" si="90"/>
        <v>1998.15</v>
      </c>
      <c r="AH258" s="146">
        <f t="shared" ref="AH258:AN258" si="91">SUM(AH225:AH257)</f>
        <v>0</v>
      </c>
      <c r="AI258" s="81"/>
      <c r="AJ258" s="146">
        <f t="shared" si="91"/>
        <v>0</v>
      </c>
      <c r="AK258" s="146">
        <f t="shared" si="91"/>
        <v>1247.4</v>
      </c>
      <c r="AL258" s="81"/>
      <c r="AM258" s="146">
        <f t="shared" si="91"/>
        <v>9106.02</v>
      </c>
      <c r="AN258" s="146">
        <f t="shared" si="91"/>
        <v>199</v>
      </c>
      <c r="AO258" s="81"/>
      <c r="AP258" s="146">
        <f>SUM(AP225:AP257)</f>
        <v>1393</v>
      </c>
    </row>
    <row r="259" customFormat="1" spans="1:42">
      <c r="A259" s="17"/>
      <c r="B259" s="448"/>
      <c r="C259" s="162"/>
      <c r="D259" s="210"/>
      <c r="E259" s="231"/>
      <c r="F259" s="210"/>
      <c r="G259" s="210"/>
      <c r="H259" s="12"/>
      <c r="I259" s="210"/>
      <c r="J259" s="210"/>
      <c r="K259" s="227"/>
      <c r="L259" s="210"/>
      <c r="M259" s="210"/>
      <c r="N259" s="12"/>
      <c r="O259" s="210"/>
      <c r="P259" s="210"/>
      <c r="Q259" s="226"/>
      <c r="R259" s="210"/>
      <c r="S259" s="210"/>
      <c r="T259" s="12"/>
      <c r="U259" s="210"/>
      <c r="V259" s="210"/>
      <c r="W259" s="227"/>
      <c r="X259" s="210"/>
      <c r="Y259" s="210"/>
      <c r="Z259" s="12"/>
      <c r="AA259" s="210"/>
      <c r="AB259" s="210"/>
      <c r="AC259" s="226"/>
      <c r="AD259" s="210"/>
      <c r="AE259" s="12"/>
      <c r="AF259" s="12"/>
      <c r="AG259" s="12"/>
      <c r="AH259" s="227"/>
      <c r="AI259" s="227"/>
      <c r="AJ259" s="227"/>
      <c r="AK259" s="210"/>
      <c r="AL259" s="12"/>
      <c r="AM259" s="210"/>
      <c r="AN259" s="210"/>
      <c r="AO259" s="210"/>
      <c r="AP259" s="210"/>
    </row>
    <row r="260" customFormat="1" spans="1:42">
      <c r="A260" s="17"/>
      <c r="B260" s="448"/>
      <c r="C260" s="162"/>
      <c r="D260" s="210"/>
      <c r="E260" s="231"/>
      <c r="F260" s="210"/>
      <c r="G260" s="210"/>
      <c r="H260" s="12"/>
      <c r="I260" s="210"/>
      <c r="J260" s="210"/>
      <c r="K260" s="227"/>
      <c r="L260" s="210"/>
      <c r="M260" s="210"/>
      <c r="N260" s="12"/>
      <c r="O260" s="210"/>
      <c r="P260" s="210"/>
      <c r="Q260" s="226"/>
      <c r="R260" s="210"/>
      <c r="S260" s="210"/>
      <c r="T260" s="12"/>
      <c r="U260" s="210"/>
      <c r="V260" s="210"/>
      <c r="W260" s="227"/>
      <c r="X260" s="210"/>
      <c r="Y260" s="210"/>
      <c r="Z260" s="12"/>
      <c r="AA260" s="210"/>
      <c r="AB260" s="210"/>
      <c r="AC260" s="226"/>
      <c r="AD260" s="210"/>
      <c r="AE260" s="12"/>
      <c r="AF260" s="12"/>
      <c r="AG260" s="12"/>
      <c r="AH260" s="227"/>
      <c r="AI260" s="227"/>
      <c r="AJ260" s="227"/>
      <c r="AK260" s="210"/>
      <c r="AL260" s="12"/>
      <c r="AM260" s="210"/>
      <c r="AN260" s="210"/>
      <c r="AO260" s="210"/>
      <c r="AP260" s="210"/>
    </row>
    <row r="261" customFormat="1" spans="1:42">
      <c r="A261" s="17"/>
      <c r="B261" s="448"/>
      <c r="C261" s="162"/>
      <c r="D261" s="210"/>
      <c r="E261" s="231"/>
      <c r="F261" s="210"/>
      <c r="G261" s="210"/>
      <c r="H261" s="12"/>
      <c r="I261" s="210"/>
      <c r="J261" s="210"/>
      <c r="K261" s="227"/>
      <c r="L261" s="210"/>
      <c r="M261" s="210"/>
      <c r="N261" s="12"/>
      <c r="O261" s="210"/>
      <c r="P261" s="210"/>
      <c r="Q261" s="226"/>
      <c r="R261" s="210"/>
      <c r="S261" s="210"/>
      <c r="T261" s="12"/>
      <c r="U261" s="210"/>
      <c r="V261" s="210"/>
      <c r="W261" s="227"/>
      <c r="X261" s="210"/>
      <c r="Y261" s="210"/>
      <c r="Z261" s="12"/>
      <c r="AA261" s="210"/>
      <c r="AB261" s="210"/>
      <c r="AC261" s="226"/>
      <c r="AD261" s="210"/>
      <c r="AE261" s="12"/>
      <c r="AF261" s="12"/>
      <c r="AG261" s="12"/>
      <c r="AH261" s="227"/>
      <c r="AI261" s="227"/>
      <c r="AJ261" s="227"/>
      <c r="AK261" s="210"/>
      <c r="AL261" s="12"/>
      <c r="AM261" s="210"/>
      <c r="AN261" s="210"/>
      <c r="AO261" s="210"/>
      <c r="AP261" s="210"/>
    </row>
    <row r="262" customFormat="1" spans="1:42">
      <c r="A262" s="17"/>
      <c r="B262" s="448"/>
      <c r="C262" s="162"/>
      <c r="D262" s="210"/>
      <c r="E262" s="231"/>
      <c r="F262" s="210"/>
      <c r="G262" s="210"/>
      <c r="H262" s="12"/>
      <c r="I262" s="210"/>
      <c r="J262" s="210"/>
      <c r="K262" s="227"/>
      <c r="L262" s="210"/>
      <c r="M262" s="210"/>
      <c r="N262" s="12"/>
      <c r="O262" s="210"/>
      <c r="P262" s="210"/>
      <c r="Q262" s="226"/>
      <c r="R262" s="210"/>
      <c r="S262" s="210"/>
      <c r="T262" s="12"/>
      <c r="U262" s="210"/>
      <c r="V262" s="210"/>
      <c r="W262" s="227"/>
      <c r="X262" s="210"/>
      <c r="Y262" s="210"/>
      <c r="Z262" s="12"/>
      <c r="AA262" s="210"/>
      <c r="AB262" s="210"/>
      <c r="AC262" s="226"/>
      <c r="AD262" s="210"/>
      <c r="AE262" s="12"/>
      <c r="AF262" s="12"/>
      <c r="AG262" s="12"/>
      <c r="AH262" s="227"/>
      <c r="AI262" s="227"/>
      <c r="AJ262" s="227"/>
      <c r="AK262" s="210"/>
      <c r="AL262" s="12"/>
      <c r="AM262" s="210"/>
      <c r="AN262" s="210"/>
      <c r="AO262" s="210"/>
      <c r="AP262" s="210"/>
    </row>
    <row r="264" s="11" customFormat="1" ht="33" customHeight="1" spans="1:42">
      <c r="A264" s="430" t="s">
        <v>1006</v>
      </c>
      <c r="B264" s="66"/>
      <c r="C264" s="66"/>
      <c r="D264" s="68"/>
      <c r="E264" s="68"/>
      <c r="F264" s="75"/>
      <c r="G264" s="72" t="s">
        <v>908</v>
      </c>
      <c r="H264" s="72"/>
      <c r="I264" s="72"/>
      <c r="J264" s="76"/>
      <c r="K264" s="76"/>
      <c r="L264" s="77">
        <f>F296+I296+L296+O296+R296+U296+X296+AA296+AD296+AG296+AJ296+AM296+AP296</f>
        <v>41478.85</v>
      </c>
      <c r="M264" s="77"/>
      <c r="N264" s="72"/>
      <c r="O264" s="72"/>
      <c r="P264" s="75"/>
      <c r="Q264" s="75"/>
      <c r="R264" s="75"/>
      <c r="S264" s="72"/>
      <c r="T264" s="72"/>
      <c r="U264" s="72"/>
      <c r="V264" s="77"/>
      <c r="W264" s="77"/>
      <c r="X264" s="77"/>
      <c r="Y264" s="72"/>
      <c r="Z264" s="72"/>
      <c r="AA264" s="72"/>
      <c r="AB264" s="75"/>
      <c r="AC264" s="75"/>
      <c r="AD264" s="75"/>
      <c r="AE264" s="72"/>
      <c r="AF264" s="72"/>
      <c r="AG264" s="72"/>
      <c r="AH264" s="77"/>
      <c r="AI264" s="77"/>
      <c r="AJ264" s="78"/>
      <c r="AK264" s="79"/>
      <c r="AL264" s="79"/>
      <c r="AM264" s="80"/>
    </row>
    <row r="265" s="12" customFormat="1" ht="27" customHeight="1" spans="1:42">
      <c r="A265" s="81" t="s">
        <v>35</v>
      </c>
      <c r="B265" s="82" t="s">
        <v>909</v>
      </c>
      <c r="C265" s="83"/>
      <c r="D265" s="74" t="s">
        <v>289</v>
      </c>
      <c r="E265" s="74"/>
      <c r="F265" s="103"/>
      <c r="G265" s="81" t="s">
        <v>466</v>
      </c>
      <c r="H265" s="81"/>
      <c r="I265" s="81"/>
      <c r="J265" s="78" t="s">
        <v>910</v>
      </c>
      <c r="K265" s="78"/>
      <c r="L265" s="78"/>
      <c r="M265" s="81" t="s">
        <v>911</v>
      </c>
      <c r="N265" s="81"/>
      <c r="O265" s="81"/>
      <c r="P265" s="104" t="s">
        <v>912</v>
      </c>
      <c r="Q265" s="104"/>
      <c r="R265" s="104"/>
      <c r="S265" s="81" t="s">
        <v>984</v>
      </c>
      <c r="T265" s="81"/>
      <c r="U265" s="81"/>
      <c r="V265" s="78" t="s">
        <v>960</v>
      </c>
      <c r="W265" s="78"/>
      <c r="X265" s="78"/>
      <c r="Y265" s="81">
        <v>808</v>
      </c>
      <c r="Z265" s="81"/>
      <c r="AA265" s="81"/>
      <c r="AB265" s="104" t="s">
        <v>125</v>
      </c>
      <c r="AC265" s="104"/>
      <c r="AD265" s="104"/>
      <c r="AE265" s="81" t="s">
        <v>132</v>
      </c>
      <c r="AF265" s="81"/>
      <c r="AG265" s="81"/>
      <c r="AH265" s="78">
        <v>811</v>
      </c>
      <c r="AI265" s="78"/>
      <c r="AJ265" s="105"/>
      <c r="AK265" s="81" t="s">
        <v>152</v>
      </c>
      <c r="AL265" s="81"/>
      <c r="AM265" s="81"/>
      <c r="AN265" s="106" t="s">
        <v>12</v>
      </c>
      <c r="AO265" s="107"/>
      <c r="AP265" s="108"/>
    </row>
    <row r="266" s="12" customFormat="1" ht="27" customHeight="1" spans="1:42">
      <c r="A266" s="81"/>
      <c r="B266" s="82" t="s">
        <v>914</v>
      </c>
      <c r="C266" s="83" t="s">
        <v>915</v>
      </c>
      <c r="D266" s="117" t="s">
        <v>916</v>
      </c>
      <c r="E266" s="118" t="s">
        <v>917</v>
      </c>
      <c r="F266" s="81" t="s">
        <v>918</v>
      </c>
      <c r="G266" s="81" t="s">
        <v>916</v>
      </c>
      <c r="H266" s="81" t="s">
        <v>917</v>
      </c>
      <c r="I266" s="81" t="s">
        <v>918</v>
      </c>
      <c r="J266" s="78" t="s">
        <v>916</v>
      </c>
      <c r="K266" s="78" t="s">
        <v>917</v>
      </c>
      <c r="L266" s="78" t="s">
        <v>918</v>
      </c>
      <c r="M266" s="81" t="s">
        <v>916</v>
      </c>
      <c r="N266" s="81" t="s">
        <v>917</v>
      </c>
      <c r="O266" s="81" t="s">
        <v>918</v>
      </c>
      <c r="P266" s="104" t="s">
        <v>916</v>
      </c>
      <c r="Q266" s="104" t="s">
        <v>917</v>
      </c>
      <c r="R266" s="104" t="s">
        <v>918</v>
      </c>
      <c r="S266" s="81" t="s">
        <v>916</v>
      </c>
      <c r="T266" s="81" t="s">
        <v>917</v>
      </c>
      <c r="U266" s="81" t="s">
        <v>918</v>
      </c>
      <c r="V266" s="78" t="s">
        <v>916</v>
      </c>
      <c r="W266" s="78" t="s">
        <v>917</v>
      </c>
      <c r="X266" s="78" t="s">
        <v>918</v>
      </c>
      <c r="Y266" s="81" t="s">
        <v>916</v>
      </c>
      <c r="Z266" s="81" t="s">
        <v>917</v>
      </c>
      <c r="AA266" s="81" t="s">
        <v>918</v>
      </c>
      <c r="AB266" s="104" t="s">
        <v>916</v>
      </c>
      <c r="AC266" s="104" t="s">
        <v>917</v>
      </c>
      <c r="AD266" s="104" t="s">
        <v>918</v>
      </c>
      <c r="AE266" s="81" t="s">
        <v>916</v>
      </c>
      <c r="AF266" s="81" t="s">
        <v>917</v>
      </c>
      <c r="AG266" s="81" t="s">
        <v>918</v>
      </c>
      <c r="AH266" s="78" t="s">
        <v>916</v>
      </c>
      <c r="AI266" s="78" t="s">
        <v>917</v>
      </c>
      <c r="AJ266" s="105" t="s">
        <v>918</v>
      </c>
      <c r="AK266" s="81" t="s">
        <v>916</v>
      </c>
      <c r="AL266" s="81" t="s">
        <v>917</v>
      </c>
      <c r="AM266" s="81" t="s">
        <v>918</v>
      </c>
      <c r="AN266" s="104" t="s">
        <v>916</v>
      </c>
      <c r="AO266" s="104" t="s">
        <v>917</v>
      </c>
      <c r="AP266" s="104" t="s">
        <v>918</v>
      </c>
    </row>
    <row r="267" s="46" customFormat="1" spans="1:42">
      <c r="A267" s="119">
        <v>45716</v>
      </c>
      <c r="B267" s="120" t="s">
        <v>1007</v>
      </c>
      <c r="C267" s="121"/>
      <c r="D267" s="124"/>
      <c r="E267" s="124"/>
      <c r="F267" s="125"/>
      <c r="G267" s="126"/>
      <c r="H267" s="126"/>
      <c r="I267" s="126"/>
      <c r="J267" s="127"/>
      <c r="K267" s="127"/>
      <c r="L267" s="127"/>
      <c r="M267" s="126"/>
      <c r="N267" s="126"/>
      <c r="O267" s="126"/>
      <c r="P267" s="125"/>
      <c r="Q267" s="125"/>
      <c r="R267" s="125"/>
      <c r="S267" s="126"/>
      <c r="T267" s="126"/>
      <c r="U267" s="126"/>
      <c r="V267" s="127"/>
      <c r="W267" s="127"/>
      <c r="X267" s="127"/>
      <c r="Y267" s="126"/>
      <c r="Z267" s="126"/>
      <c r="AA267" s="126"/>
      <c r="AB267" s="125"/>
      <c r="AC267" s="125"/>
      <c r="AD267" s="125"/>
      <c r="AE267" s="126"/>
      <c r="AF267" s="126"/>
      <c r="AG267" s="126"/>
      <c r="AH267" s="127"/>
      <c r="AI267" s="127"/>
      <c r="AJ267" s="127"/>
      <c r="AK267" s="126"/>
      <c r="AL267" s="126"/>
      <c r="AM267" s="126"/>
      <c r="AN267" s="128"/>
      <c r="AO267" s="128"/>
      <c r="AP267" s="128"/>
    </row>
    <row r="268" s="47" customFormat="1" spans="1:42">
      <c r="A268" s="129">
        <v>45721</v>
      </c>
      <c r="B268" s="130" t="s">
        <v>986</v>
      </c>
      <c r="C268" s="131">
        <v>1052.5</v>
      </c>
      <c r="D268" s="124"/>
      <c r="E268" s="124"/>
      <c r="F268" s="125"/>
      <c r="G268" s="126">
        <v>50</v>
      </c>
      <c r="H268" s="126">
        <v>0.9</v>
      </c>
      <c r="I268" s="126">
        <f>G268*H268</f>
        <v>45</v>
      </c>
      <c r="J268" s="127">
        <v>25</v>
      </c>
      <c r="K268" s="127">
        <v>17</v>
      </c>
      <c r="L268" s="127">
        <f>J268*K268</f>
        <v>425</v>
      </c>
      <c r="M268" s="126"/>
      <c r="N268" s="126"/>
      <c r="O268" s="126"/>
      <c r="P268" s="125"/>
      <c r="Q268" s="125"/>
      <c r="R268" s="125"/>
      <c r="S268" s="126"/>
      <c r="T268" s="126"/>
      <c r="U268" s="126"/>
      <c r="V268" s="127"/>
      <c r="W268" s="127"/>
      <c r="X268" s="127"/>
      <c r="Y268" s="126"/>
      <c r="Z268" s="126"/>
      <c r="AA268" s="126"/>
      <c r="AB268" s="125"/>
      <c r="AC268" s="125"/>
      <c r="AD268" s="125"/>
      <c r="AE268" s="126">
        <v>370</v>
      </c>
      <c r="AF268" s="126">
        <v>3.7</v>
      </c>
      <c r="AG268" s="126">
        <f>AE268*AF268</f>
        <v>1369</v>
      </c>
      <c r="AH268" s="127"/>
      <c r="AI268" s="127"/>
      <c r="AJ268" s="127"/>
      <c r="AK268" s="126"/>
      <c r="AL268" s="126"/>
      <c r="AM268" s="126"/>
      <c r="AN268" s="128"/>
      <c r="AO268" s="128"/>
      <c r="AP268" s="128"/>
    </row>
    <row r="269" s="419" customFormat="1" spans="1:42">
      <c r="A269" s="449">
        <v>45721</v>
      </c>
      <c r="B269" s="450" t="s">
        <v>1008</v>
      </c>
      <c r="C269" s="451"/>
      <c r="D269" s="444"/>
      <c r="E269" s="444"/>
      <c r="F269" s="445"/>
      <c r="G269" s="446"/>
      <c r="H269" s="446"/>
      <c r="I269" s="446"/>
      <c r="J269" s="447"/>
      <c r="K269" s="447"/>
      <c r="L269" s="447"/>
      <c r="M269" s="446"/>
      <c r="N269" s="446"/>
      <c r="O269" s="446"/>
      <c r="P269" s="445"/>
      <c r="Q269" s="445"/>
      <c r="R269" s="445"/>
      <c r="S269" s="446"/>
      <c r="T269" s="446"/>
      <c r="U269" s="446"/>
      <c r="V269" s="447"/>
      <c r="W269" s="447"/>
      <c r="X269" s="447"/>
      <c r="Y269" s="446"/>
      <c r="Z269" s="446"/>
      <c r="AA269" s="126"/>
      <c r="AB269" s="445">
        <v>5</v>
      </c>
      <c r="AC269" s="445">
        <v>6.4</v>
      </c>
      <c r="AD269" s="125">
        <f>AB269*AC269</f>
        <v>32</v>
      </c>
      <c r="AE269" s="446"/>
      <c r="AF269" s="446"/>
      <c r="AG269" s="446"/>
      <c r="AH269" s="447"/>
      <c r="AI269" s="447"/>
      <c r="AJ269" s="447"/>
      <c r="AK269" s="446"/>
      <c r="AL269" s="446"/>
      <c r="AM269" s="446"/>
      <c r="AN269" s="441"/>
      <c r="AO269" s="441"/>
      <c r="AP269" s="441"/>
    </row>
    <row r="270" s="47" customFormat="1" spans="1:42">
      <c r="A270" s="129">
        <v>45726</v>
      </c>
      <c r="B270" s="130" t="s">
        <v>1009</v>
      </c>
      <c r="C270" s="131">
        <v>258</v>
      </c>
      <c r="D270" s="124">
        <v>150</v>
      </c>
      <c r="E270" s="124"/>
      <c r="F270" s="125"/>
      <c r="G270" s="126"/>
      <c r="H270" s="126"/>
      <c r="I270" s="126"/>
      <c r="J270" s="127"/>
      <c r="K270" s="127"/>
      <c r="L270" s="127"/>
      <c r="M270" s="126"/>
      <c r="N270" s="126"/>
      <c r="O270" s="126"/>
      <c r="P270" s="125"/>
      <c r="Q270" s="125"/>
      <c r="R270" s="125"/>
      <c r="S270" s="126"/>
      <c r="T270" s="126"/>
      <c r="U270" s="126"/>
      <c r="V270" s="127"/>
      <c r="W270" s="127"/>
      <c r="X270" s="127"/>
      <c r="Y270" s="126"/>
      <c r="Z270" s="126"/>
      <c r="AA270" s="126"/>
      <c r="AB270" s="125"/>
      <c r="AC270" s="125"/>
      <c r="AD270" s="125">
        <f t="shared" ref="AD270:AD294" si="92">AB270*AC270</f>
        <v>0</v>
      </c>
      <c r="AE270" s="126"/>
      <c r="AF270" s="126"/>
      <c r="AG270" s="126"/>
      <c r="AH270" s="127"/>
      <c r="AI270" s="127"/>
      <c r="AJ270" s="127"/>
      <c r="AK270" s="126">
        <v>30</v>
      </c>
      <c r="AL270" s="126">
        <v>7.8</v>
      </c>
      <c r="AM270" s="126">
        <f>AK270*AL270</f>
        <v>234</v>
      </c>
      <c r="AN270" s="441">
        <v>30</v>
      </c>
      <c r="AO270" s="441">
        <v>7.8</v>
      </c>
      <c r="AP270" s="441">
        <f>AN270*AO270</f>
        <v>234</v>
      </c>
    </row>
    <row r="271" s="47" customFormat="1" spans="1:42">
      <c r="A271" s="129">
        <v>45727</v>
      </c>
      <c r="B271" s="130" t="s">
        <v>987</v>
      </c>
      <c r="C271" s="131">
        <v>1200</v>
      </c>
      <c r="D271" s="124"/>
      <c r="E271" s="124"/>
      <c r="F271" s="125"/>
      <c r="G271" s="126"/>
      <c r="H271" s="126"/>
      <c r="I271" s="126"/>
      <c r="J271" s="127"/>
      <c r="K271" s="127"/>
      <c r="L271" s="127"/>
      <c r="M271" s="126"/>
      <c r="N271" s="126"/>
      <c r="O271" s="126"/>
      <c r="P271" s="125"/>
      <c r="Q271" s="125"/>
      <c r="R271" s="125"/>
      <c r="S271" s="126"/>
      <c r="T271" s="126"/>
      <c r="U271" s="126"/>
      <c r="V271" s="127"/>
      <c r="W271" s="127"/>
      <c r="X271" s="127"/>
      <c r="Y271" s="126">
        <v>30</v>
      </c>
      <c r="Z271" s="126">
        <v>10</v>
      </c>
      <c r="AA271" s="126">
        <f>Y271*Z271</f>
        <v>300</v>
      </c>
      <c r="AB271" s="125">
        <v>139</v>
      </c>
      <c r="AC271" s="125">
        <v>6.4</v>
      </c>
      <c r="AD271" s="125">
        <f t="shared" si="92"/>
        <v>889.6</v>
      </c>
      <c r="AE271" s="126"/>
      <c r="AF271" s="126"/>
      <c r="AG271" s="126"/>
      <c r="AH271" s="127"/>
      <c r="AI271" s="127"/>
      <c r="AJ271" s="127"/>
      <c r="AK271" s="126">
        <v>83</v>
      </c>
      <c r="AL271" s="126">
        <v>7.8</v>
      </c>
      <c r="AM271" s="126">
        <f>AK271*AL271</f>
        <v>647.4</v>
      </c>
      <c r="AN271" s="441"/>
      <c r="AO271" s="441"/>
      <c r="AP271" s="441"/>
    </row>
    <row r="272" s="48" customFormat="1" spans="1:42">
      <c r="A272" s="129">
        <v>45727</v>
      </c>
      <c r="B272" s="452" t="s">
        <v>997</v>
      </c>
      <c r="C272" s="131">
        <v>1000</v>
      </c>
      <c r="D272" s="124"/>
      <c r="E272" s="124"/>
      <c r="F272" s="125"/>
      <c r="G272" s="126"/>
      <c r="H272" s="126"/>
      <c r="I272" s="126"/>
      <c r="J272" s="127"/>
      <c r="K272" s="127"/>
      <c r="L272" s="127"/>
      <c r="M272" s="126"/>
      <c r="N272" s="126"/>
      <c r="O272" s="126"/>
      <c r="P272" s="125"/>
      <c r="Q272" s="125"/>
      <c r="R272" s="125"/>
      <c r="S272" s="126"/>
      <c r="T272" s="126"/>
      <c r="U272" s="126"/>
      <c r="V272" s="127"/>
      <c r="W272" s="127"/>
      <c r="X272" s="127"/>
      <c r="Y272" s="126">
        <v>200</v>
      </c>
      <c r="Z272" s="126">
        <v>10</v>
      </c>
      <c r="AA272" s="126">
        <f t="shared" ref="AA272:AA276" si="93">Y272*Z272</f>
        <v>2000</v>
      </c>
      <c r="AB272" s="125">
        <v>60</v>
      </c>
      <c r="AC272" s="125">
        <v>6.4</v>
      </c>
      <c r="AD272" s="125">
        <f t="shared" si="92"/>
        <v>384</v>
      </c>
      <c r="AE272" s="126"/>
      <c r="AF272" s="126"/>
      <c r="AG272" s="126"/>
      <c r="AH272" s="127"/>
      <c r="AI272" s="127"/>
      <c r="AJ272" s="127"/>
      <c r="AK272" s="126">
        <v>125</v>
      </c>
      <c r="AL272" s="126">
        <v>7.8</v>
      </c>
      <c r="AM272" s="126">
        <f>AK272*AL272</f>
        <v>975</v>
      </c>
      <c r="AN272" s="125"/>
      <c r="AO272" s="125"/>
      <c r="AP272" s="125"/>
    </row>
    <row r="273" s="47" customFormat="1" spans="1:42">
      <c r="A273" s="129">
        <v>45727</v>
      </c>
      <c r="B273" s="453" t="s">
        <v>944</v>
      </c>
      <c r="C273" s="131">
        <v>500</v>
      </c>
      <c r="D273" s="124"/>
      <c r="E273" s="124"/>
      <c r="F273" s="125"/>
      <c r="G273" s="126"/>
      <c r="H273" s="126"/>
      <c r="I273" s="126"/>
      <c r="J273" s="127"/>
      <c r="K273" s="127"/>
      <c r="L273" s="127"/>
      <c r="M273" s="126"/>
      <c r="N273" s="126"/>
      <c r="O273" s="126"/>
      <c r="P273" s="125"/>
      <c r="Q273" s="125"/>
      <c r="R273" s="125"/>
      <c r="S273" s="126"/>
      <c r="T273" s="126"/>
      <c r="U273" s="126"/>
      <c r="V273" s="127"/>
      <c r="W273" s="127"/>
      <c r="X273" s="127"/>
      <c r="Y273" s="126">
        <v>105</v>
      </c>
      <c r="Z273" s="126">
        <v>10</v>
      </c>
      <c r="AA273" s="126">
        <f t="shared" si="93"/>
        <v>1050</v>
      </c>
      <c r="AB273" s="125">
        <v>94</v>
      </c>
      <c r="AC273" s="125">
        <v>6.4</v>
      </c>
      <c r="AD273" s="125">
        <f t="shared" si="92"/>
        <v>601.6</v>
      </c>
      <c r="AE273" s="126"/>
      <c r="AF273" s="126"/>
      <c r="AG273" s="126"/>
      <c r="AH273" s="127"/>
      <c r="AI273" s="127"/>
      <c r="AJ273" s="127"/>
      <c r="AK273" s="126"/>
      <c r="AL273" s="126"/>
      <c r="AM273" s="126"/>
      <c r="AN273" s="128"/>
      <c r="AO273" s="128"/>
      <c r="AP273" s="128"/>
    </row>
    <row r="274" s="47" customFormat="1" spans="1:42">
      <c r="A274" s="129">
        <v>45728</v>
      </c>
      <c r="B274" s="130" t="s">
        <v>1010</v>
      </c>
      <c r="C274" s="131">
        <v>720</v>
      </c>
      <c r="D274" s="124"/>
      <c r="E274" s="124"/>
      <c r="F274" s="125"/>
      <c r="G274" s="126"/>
      <c r="H274" s="126"/>
      <c r="I274" s="126"/>
      <c r="J274" s="127"/>
      <c r="K274" s="127"/>
      <c r="L274" s="127"/>
      <c r="M274" s="126"/>
      <c r="N274" s="126"/>
      <c r="O274" s="126"/>
      <c r="P274" s="125"/>
      <c r="Q274" s="125"/>
      <c r="R274" s="125"/>
      <c r="S274" s="126"/>
      <c r="T274" s="126"/>
      <c r="U274" s="126"/>
      <c r="V274" s="127"/>
      <c r="W274" s="127"/>
      <c r="X274" s="127"/>
      <c r="Y274" s="126">
        <v>80</v>
      </c>
      <c r="Z274" s="126">
        <v>10</v>
      </c>
      <c r="AA274" s="126">
        <f t="shared" si="93"/>
        <v>800</v>
      </c>
      <c r="AB274" s="125">
        <v>160</v>
      </c>
      <c r="AC274" s="125">
        <v>6.4</v>
      </c>
      <c r="AD274" s="125">
        <f t="shared" si="92"/>
        <v>1024</v>
      </c>
      <c r="AE274" s="126">
        <v>360</v>
      </c>
      <c r="AF274" s="126">
        <v>3.7</v>
      </c>
      <c r="AG274" s="126">
        <f>AE274*AF274</f>
        <v>1332</v>
      </c>
      <c r="AH274" s="127"/>
      <c r="AI274" s="127"/>
      <c r="AJ274" s="127"/>
      <c r="AK274" s="126">
        <v>120</v>
      </c>
      <c r="AL274" s="126">
        <v>7.3</v>
      </c>
      <c r="AM274" s="126">
        <f>AK274*AL274</f>
        <v>876</v>
      </c>
      <c r="AN274" s="128"/>
      <c r="AO274" s="128"/>
      <c r="AP274" s="128"/>
    </row>
    <row r="275" s="47" customFormat="1" spans="1:42">
      <c r="A275" s="129">
        <v>45728</v>
      </c>
      <c r="B275" s="130" t="s">
        <v>978</v>
      </c>
      <c r="C275" s="131">
        <v>52</v>
      </c>
      <c r="D275" s="124"/>
      <c r="E275" s="124"/>
      <c r="F275" s="125"/>
      <c r="G275" s="126"/>
      <c r="H275" s="126"/>
      <c r="I275" s="126"/>
      <c r="J275" s="127"/>
      <c r="K275" s="127"/>
      <c r="L275" s="127"/>
      <c r="M275" s="126"/>
      <c r="N275" s="126"/>
      <c r="O275" s="126"/>
      <c r="P275" s="125"/>
      <c r="Q275" s="125"/>
      <c r="R275" s="125"/>
      <c r="S275" s="126"/>
      <c r="T275" s="126"/>
      <c r="U275" s="126"/>
      <c r="V275" s="127"/>
      <c r="W275" s="127"/>
      <c r="X275" s="127"/>
      <c r="Y275" s="126">
        <v>6</v>
      </c>
      <c r="Z275" s="126">
        <v>10</v>
      </c>
      <c r="AA275" s="126">
        <f t="shared" si="93"/>
        <v>60</v>
      </c>
      <c r="AB275" s="125">
        <v>10.5</v>
      </c>
      <c r="AC275" s="125">
        <v>6.4</v>
      </c>
      <c r="AD275" s="125">
        <f t="shared" si="92"/>
        <v>67.2</v>
      </c>
      <c r="AE275" s="126"/>
      <c r="AF275" s="126"/>
      <c r="AG275" s="126"/>
      <c r="AH275" s="127"/>
      <c r="AI275" s="127"/>
      <c r="AJ275" s="127"/>
      <c r="AK275" s="126"/>
      <c r="AL275" s="126"/>
      <c r="AM275" s="126"/>
      <c r="AN275" s="128"/>
      <c r="AO275" s="128"/>
      <c r="AP275" s="128"/>
    </row>
    <row r="276" s="47" customFormat="1" spans="1:42">
      <c r="A276" s="129">
        <v>45728</v>
      </c>
      <c r="B276" s="130" t="s">
        <v>240</v>
      </c>
      <c r="C276" s="131">
        <v>750</v>
      </c>
      <c r="D276" s="124"/>
      <c r="E276" s="124"/>
      <c r="F276" s="125"/>
      <c r="G276" s="126"/>
      <c r="H276" s="126"/>
      <c r="I276" s="126"/>
      <c r="J276" s="127"/>
      <c r="K276" s="127"/>
      <c r="L276" s="127"/>
      <c r="M276" s="126"/>
      <c r="N276" s="126"/>
      <c r="O276" s="126"/>
      <c r="P276" s="125"/>
      <c r="Q276" s="125"/>
      <c r="R276" s="125"/>
      <c r="S276" s="126"/>
      <c r="T276" s="126"/>
      <c r="U276" s="126"/>
      <c r="V276" s="127"/>
      <c r="W276" s="127"/>
      <c r="X276" s="127"/>
      <c r="Y276" s="126">
        <v>450</v>
      </c>
      <c r="Z276" s="126">
        <v>10</v>
      </c>
      <c r="AA276" s="126">
        <f t="shared" si="93"/>
        <v>4500</v>
      </c>
      <c r="AB276" s="125"/>
      <c r="AC276" s="125"/>
      <c r="AD276" s="125">
        <f t="shared" si="92"/>
        <v>0</v>
      </c>
      <c r="AE276" s="126"/>
      <c r="AF276" s="126"/>
      <c r="AG276" s="126"/>
      <c r="AH276" s="127"/>
      <c r="AI276" s="127"/>
      <c r="AJ276" s="127"/>
      <c r="AK276" s="126"/>
      <c r="AL276" s="126"/>
      <c r="AM276" s="126"/>
      <c r="AN276" s="128"/>
      <c r="AO276" s="128"/>
      <c r="AP276" s="128"/>
    </row>
    <row r="277" s="47" customFormat="1" spans="1:42">
      <c r="A277" s="129">
        <v>45729</v>
      </c>
      <c r="B277" s="130" t="s">
        <v>933</v>
      </c>
      <c r="C277" s="131">
        <v>160</v>
      </c>
      <c r="D277" s="124"/>
      <c r="E277" s="124"/>
      <c r="F277" s="125"/>
      <c r="G277" s="126"/>
      <c r="H277" s="126"/>
      <c r="I277" s="126"/>
      <c r="J277" s="127">
        <v>20</v>
      </c>
      <c r="K277" s="127">
        <v>15</v>
      </c>
      <c r="L277" s="127">
        <f>J277*K277</f>
        <v>300</v>
      </c>
      <c r="M277" s="126"/>
      <c r="N277" s="126"/>
      <c r="O277" s="126"/>
      <c r="P277" s="125"/>
      <c r="Q277" s="125"/>
      <c r="R277" s="125"/>
      <c r="S277" s="126"/>
      <c r="T277" s="126"/>
      <c r="U277" s="126"/>
      <c r="V277" s="127"/>
      <c r="W277" s="127"/>
      <c r="X277" s="127"/>
      <c r="Y277" s="126"/>
      <c r="Z277" s="126"/>
      <c r="AA277" s="126"/>
      <c r="AB277" s="125">
        <v>64</v>
      </c>
      <c r="AC277" s="125">
        <v>6.4</v>
      </c>
      <c r="AD277" s="125">
        <f t="shared" si="92"/>
        <v>409.6</v>
      </c>
      <c r="AE277" s="126"/>
      <c r="AF277" s="126"/>
      <c r="AG277" s="126"/>
      <c r="AH277" s="127"/>
      <c r="AI277" s="127"/>
      <c r="AJ277" s="127"/>
      <c r="AK277" s="126">
        <v>73</v>
      </c>
      <c r="AL277" s="126">
        <v>7.3</v>
      </c>
      <c r="AM277" s="126">
        <f>AK277*AL277</f>
        <v>532.9</v>
      </c>
      <c r="AN277" s="128"/>
      <c r="AO277" s="128"/>
      <c r="AP277" s="128"/>
    </row>
    <row r="278" s="47" customFormat="1" spans="1:42">
      <c r="A278" s="129">
        <v>45729</v>
      </c>
      <c r="B278" s="130" t="s">
        <v>1011</v>
      </c>
      <c r="C278" s="131">
        <v>53</v>
      </c>
      <c r="D278" s="124"/>
      <c r="E278" s="124"/>
      <c r="F278" s="125"/>
      <c r="G278" s="126">
        <v>2.5</v>
      </c>
      <c r="H278" s="126">
        <v>0.9</v>
      </c>
      <c r="I278" s="126">
        <f>G278*H278</f>
        <v>2.25</v>
      </c>
      <c r="J278" s="127">
        <v>1.3</v>
      </c>
      <c r="K278" s="127">
        <v>17</v>
      </c>
      <c r="L278" s="127">
        <f>J278*K278</f>
        <v>22.1</v>
      </c>
      <c r="M278" s="126"/>
      <c r="N278" s="126"/>
      <c r="O278" s="126"/>
      <c r="P278" s="125"/>
      <c r="Q278" s="125"/>
      <c r="R278" s="125"/>
      <c r="S278" s="126"/>
      <c r="T278" s="126"/>
      <c r="U278" s="126"/>
      <c r="V278" s="127"/>
      <c r="W278" s="127"/>
      <c r="X278" s="127"/>
      <c r="Y278" s="126"/>
      <c r="Z278" s="126"/>
      <c r="AA278" s="126"/>
      <c r="AB278" s="125"/>
      <c r="AC278" s="125"/>
      <c r="AD278" s="125">
        <f t="shared" si="92"/>
        <v>0</v>
      </c>
      <c r="AE278" s="126">
        <v>13</v>
      </c>
      <c r="AF278" s="126">
        <v>3.7</v>
      </c>
      <c r="AG278" s="126">
        <f>AE278*AF278</f>
        <v>48.1</v>
      </c>
      <c r="AH278" s="127"/>
      <c r="AI278" s="127"/>
      <c r="AJ278" s="127"/>
      <c r="AK278" s="126"/>
      <c r="AL278" s="126"/>
      <c r="AM278" s="126"/>
      <c r="AN278" s="128"/>
      <c r="AO278" s="128"/>
      <c r="AP278" s="128"/>
    </row>
    <row r="279" s="47" customFormat="1" spans="1:42">
      <c r="A279" s="129">
        <v>45729</v>
      </c>
      <c r="B279" s="130" t="s">
        <v>977</v>
      </c>
      <c r="C279" s="131">
        <v>750</v>
      </c>
      <c r="D279" s="124"/>
      <c r="E279" s="124"/>
      <c r="F279" s="125"/>
      <c r="G279" s="126"/>
      <c r="H279" s="126"/>
      <c r="I279" s="126"/>
      <c r="J279" s="127"/>
      <c r="K279" s="127"/>
      <c r="L279" s="127"/>
      <c r="M279" s="126"/>
      <c r="N279" s="126"/>
      <c r="O279" s="126"/>
      <c r="P279" s="125">
        <v>25</v>
      </c>
      <c r="Q279" s="125">
        <v>75</v>
      </c>
      <c r="R279" s="125">
        <f>P279*Q279</f>
        <v>1875</v>
      </c>
      <c r="S279" s="126"/>
      <c r="T279" s="126"/>
      <c r="U279" s="126"/>
      <c r="V279" s="127"/>
      <c r="W279" s="127"/>
      <c r="X279" s="127"/>
      <c r="Y279" s="126">
        <v>300</v>
      </c>
      <c r="Z279" s="126">
        <v>10</v>
      </c>
      <c r="AA279" s="126">
        <f>Y279*Z279</f>
        <v>3000</v>
      </c>
      <c r="AB279" s="125">
        <v>125</v>
      </c>
      <c r="AC279" s="125">
        <v>6.4</v>
      </c>
      <c r="AD279" s="125">
        <f t="shared" si="92"/>
        <v>800</v>
      </c>
      <c r="AE279" s="126"/>
      <c r="AF279" s="126"/>
      <c r="AG279" s="126"/>
      <c r="AH279" s="127"/>
      <c r="AI279" s="127"/>
      <c r="AJ279" s="127"/>
      <c r="AK279" s="126"/>
      <c r="AL279" s="126"/>
      <c r="AM279" s="126"/>
      <c r="AN279" s="128"/>
      <c r="AO279" s="128"/>
      <c r="AP279" s="128"/>
    </row>
    <row r="280" s="47" customFormat="1" ht="13" customHeight="1" spans="1:42">
      <c r="A280" s="129">
        <v>45729</v>
      </c>
      <c r="B280" s="130" t="s">
        <v>924</v>
      </c>
      <c r="C280" s="131">
        <v>600</v>
      </c>
      <c r="D280" s="124"/>
      <c r="E280" s="124"/>
      <c r="F280" s="125"/>
      <c r="G280" s="126"/>
      <c r="H280" s="126"/>
      <c r="I280" s="126"/>
      <c r="J280" s="127"/>
      <c r="K280" s="127"/>
      <c r="L280" s="127"/>
      <c r="M280" s="126"/>
      <c r="N280" s="126"/>
      <c r="O280" s="126"/>
      <c r="P280" s="125"/>
      <c r="Q280" s="125"/>
      <c r="R280" s="125"/>
      <c r="S280" s="126"/>
      <c r="T280" s="126"/>
      <c r="U280" s="126"/>
      <c r="V280" s="127"/>
      <c r="W280" s="127"/>
      <c r="X280" s="127"/>
      <c r="Y280" s="126">
        <v>60</v>
      </c>
      <c r="Z280" s="126">
        <v>10</v>
      </c>
      <c r="AA280" s="126">
        <f t="shared" ref="AA280:AA286" si="94">Y280*Z280</f>
        <v>600</v>
      </c>
      <c r="AB280" s="125">
        <v>130</v>
      </c>
      <c r="AC280" s="125">
        <v>6.4</v>
      </c>
      <c r="AD280" s="125">
        <f t="shared" si="92"/>
        <v>832</v>
      </c>
      <c r="AE280" s="126"/>
      <c r="AF280" s="126"/>
      <c r="AG280" s="126"/>
      <c r="AH280" s="127"/>
      <c r="AI280" s="127"/>
      <c r="AJ280" s="127"/>
      <c r="AK280" s="126"/>
      <c r="AL280" s="126"/>
      <c r="AM280" s="126"/>
      <c r="AN280" s="128">
        <v>12</v>
      </c>
      <c r="AO280" s="128">
        <v>7.8</v>
      </c>
      <c r="AP280" s="128">
        <f>AN280*AO280</f>
        <v>93.6</v>
      </c>
    </row>
    <row r="281" s="47" customFormat="1" ht="13" customHeight="1" spans="1:42">
      <c r="A281" s="129">
        <v>45730</v>
      </c>
      <c r="B281" s="130" t="s">
        <v>937</v>
      </c>
      <c r="C281" s="131">
        <v>1003</v>
      </c>
      <c r="D281" s="124"/>
      <c r="E281" s="124"/>
      <c r="F281" s="125"/>
      <c r="G281" s="126"/>
      <c r="H281" s="126"/>
      <c r="I281" s="126"/>
      <c r="J281" s="127">
        <v>30</v>
      </c>
      <c r="K281" s="127">
        <v>17</v>
      </c>
      <c r="L281" s="127">
        <f>J281*K281</f>
        <v>510</v>
      </c>
      <c r="M281" s="126"/>
      <c r="N281" s="126"/>
      <c r="O281" s="126"/>
      <c r="P281" s="125"/>
      <c r="Q281" s="125"/>
      <c r="R281" s="125"/>
      <c r="S281" s="126"/>
      <c r="T281" s="126"/>
      <c r="U281" s="126"/>
      <c r="V281" s="127"/>
      <c r="W281" s="127"/>
      <c r="X281" s="127"/>
      <c r="Y281" s="126">
        <v>100</v>
      </c>
      <c r="Z281" s="126">
        <v>10</v>
      </c>
      <c r="AA281" s="126">
        <f t="shared" ref="AA280:AA282" si="95">Y281*Z281</f>
        <v>1000</v>
      </c>
      <c r="AB281" s="125">
        <v>77</v>
      </c>
      <c r="AC281" s="125">
        <v>6.4</v>
      </c>
      <c r="AD281" s="125">
        <f t="shared" si="92"/>
        <v>492.8</v>
      </c>
      <c r="AE281" s="126">
        <v>200</v>
      </c>
      <c r="AF281" s="126">
        <v>3.7</v>
      </c>
      <c r="AG281" s="126">
        <f>AE281*AF281</f>
        <v>740</v>
      </c>
      <c r="AH281" s="127"/>
      <c r="AI281" s="127"/>
      <c r="AJ281" s="127"/>
      <c r="AK281" s="126">
        <v>75</v>
      </c>
      <c r="AL281" s="126">
        <v>7.3</v>
      </c>
      <c r="AM281" s="126">
        <f t="shared" ref="AM280:AM282" si="96">AK281*AL281</f>
        <v>547.5</v>
      </c>
      <c r="AN281" s="128"/>
      <c r="AO281" s="128"/>
      <c r="AP281" s="128"/>
    </row>
    <row r="282" s="47" customFormat="1" spans="1:42">
      <c r="A282" s="129">
        <v>45730</v>
      </c>
      <c r="B282" s="130" t="s">
        <v>1012</v>
      </c>
      <c r="C282" s="131">
        <v>540.3</v>
      </c>
      <c r="D282" s="124"/>
      <c r="E282" s="124"/>
      <c r="F282" s="125"/>
      <c r="G282" s="126">
        <v>24</v>
      </c>
      <c r="H282" s="126">
        <v>0.9</v>
      </c>
      <c r="I282" s="126">
        <f>G282*H282</f>
        <v>21.6</v>
      </c>
      <c r="J282" s="127">
        <v>2.8</v>
      </c>
      <c r="K282" s="127">
        <v>17</v>
      </c>
      <c r="L282" s="127">
        <f>J282*K282</f>
        <v>47.6</v>
      </c>
      <c r="M282" s="126"/>
      <c r="N282" s="126"/>
      <c r="O282" s="126"/>
      <c r="P282" s="125"/>
      <c r="Q282" s="125"/>
      <c r="R282" s="125"/>
      <c r="S282" s="126"/>
      <c r="T282" s="126"/>
      <c r="U282" s="126"/>
      <c r="V282" s="127"/>
      <c r="W282" s="127"/>
      <c r="X282" s="127"/>
      <c r="Y282" s="126"/>
      <c r="Z282" s="126"/>
      <c r="AA282" s="126"/>
      <c r="AB282" s="125">
        <v>70</v>
      </c>
      <c r="AC282" s="125">
        <v>6.4</v>
      </c>
      <c r="AD282" s="125">
        <f t="shared" si="92"/>
        <v>448</v>
      </c>
      <c r="AE282" s="126">
        <v>135</v>
      </c>
      <c r="AF282" s="126">
        <v>3.7</v>
      </c>
      <c r="AG282" s="126">
        <f>AE282*AF282</f>
        <v>499.5</v>
      </c>
      <c r="AH282" s="127"/>
      <c r="AI282" s="127"/>
      <c r="AJ282" s="127"/>
      <c r="AK282" s="126"/>
      <c r="AL282" s="126"/>
      <c r="AM282" s="126"/>
      <c r="AN282" s="128"/>
      <c r="AO282" s="128"/>
      <c r="AP282" s="128"/>
    </row>
    <row r="283" s="47" customFormat="1" spans="1:42">
      <c r="A283" s="129">
        <v>45735</v>
      </c>
      <c r="B283" s="130" t="s">
        <v>1013</v>
      </c>
      <c r="C283" s="131">
        <v>69.5</v>
      </c>
      <c r="D283" s="124"/>
      <c r="E283" s="124"/>
      <c r="F283" s="125"/>
      <c r="G283" s="126"/>
      <c r="H283" s="126"/>
      <c r="I283" s="126"/>
      <c r="J283" s="127"/>
      <c r="K283" s="127"/>
      <c r="L283" s="127"/>
      <c r="M283" s="126"/>
      <c r="N283" s="126"/>
      <c r="O283" s="126"/>
      <c r="P283" s="125"/>
      <c r="Q283" s="125"/>
      <c r="R283" s="125"/>
      <c r="S283" s="126"/>
      <c r="T283" s="126"/>
      <c r="U283" s="126"/>
      <c r="V283" s="127"/>
      <c r="W283" s="127"/>
      <c r="X283" s="127"/>
      <c r="Y283" s="126">
        <v>18</v>
      </c>
      <c r="Z283" s="126">
        <v>10</v>
      </c>
      <c r="AA283" s="126">
        <f t="shared" si="94"/>
        <v>180</v>
      </c>
      <c r="AB283" s="125">
        <v>20</v>
      </c>
      <c r="AC283" s="125">
        <v>6.4</v>
      </c>
      <c r="AD283" s="125">
        <f t="shared" si="92"/>
        <v>128</v>
      </c>
      <c r="AE283" s="126"/>
      <c r="AF283" s="126"/>
      <c r="AG283" s="126"/>
      <c r="AH283" s="127"/>
      <c r="AI283" s="127"/>
      <c r="AJ283" s="127"/>
      <c r="AK283" s="126"/>
      <c r="AL283" s="126"/>
      <c r="AM283" s="126"/>
      <c r="AN283" s="128"/>
      <c r="AO283" s="128"/>
      <c r="AP283" s="128"/>
    </row>
    <row r="284" s="47" customFormat="1" spans="1:42">
      <c r="A284" s="129">
        <v>45736</v>
      </c>
      <c r="B284" s="130" t="s">
        <v>1014</v>
      </c>
      <c r="C284" s="131">
        <v>500</v>
      </c>
      <c r="D284" s="124"/>
      <c r="E284" s="124"/>
      <c r="F284" s="125"/>
      <c r="G284" s="126"/>
      <c r="H284" s="126"/>
      <c r="I284" s="126"/>
      <c r="J284" s="127"/>
      <c r="K284" s="127"/>
      <c r="L284" s="127"/>
      <c r="M284" s="126"/>
      <c r="N284" s="126"/>
      <c r="O284" s="126"/>
      <c r="P284" s="125"/>
      <c r="Q284" s="125"/>
      <c r="R284" s="125"/>
      <c r="S284" s="126"/>
      <c r="T284" s="126"/>
      <c r="U284" s="126"/>
      <c r="V284" s="127"/>
      <c r="W284" s="127"/>
      <c r="X284" s="127"/>
      <c r="Y284" s="126">
        <v>62</v>
      </c>
      <c r="Z284" s="126">
        <v>10</v>
      </c>
      <c r="AA284" s="126">
        <f t="shared" si="94"/>
        <v>620</v>
      </c>
      <c r="AB284" s="125">
        <v>75</v>
      </c>
      <c r="AC284" s="125">
        <v>6.4</v>
      </c>
      <c r="AD284" s="125">
        <f t="shared" si="92"/>
        <v>480</v>
      </c>
      <c r="AE284" s="126"/>
      <c r="AF284" s="126"/>
      <c r="AG284" s="126"/>
      <c r="AH284" s="127"/>
      <c r="AI284" s="127"/>
      <c r="AJ284" s="127"/>
      <c r="AK284" s="126"/>
      <c r="AL284" s="126"/>
      <c r="AM284" s="126"/>
      <c r="AN284" s="128"/>
      <c r="AO284" s="128"/>
      <c r="AP284" s="128"/>
    </row>
    <row r="285" s="47" customFormat="1" spans="1:42">
      <c r="A285" s="129">
        <v>45736</v>
      </c>
      <c r="B285" s="130" t="s">
        <v>1015</v>
      </c>
      <c r="C285" s="131">
        <v>501</v>
      </c>
      <c r="D285" s="124"/>
      <c r="E285" s="124"/>
      <c r="F285" s="125"/>
      <c r="G285" s="126"/>
      <c r="H285" s="126"/>
      <c r="I285" s="126"/>
      <c r="J285" s="127"/>
      <c r="K285" s="127"/>
      <c r="L285" s="127"/>
      <c r="M285" s="126"/>
      <c r="N285" s="126"/>
      <c r="O285" s="126"/>
      <c r="P285" s="125"/>
      <c r="Q285" s="125"/>
      <c r="R285" s="125"/>
      <c r="S285" s="126"/>
      <c r="T285" s="126"/>
      <c r="U285" s="126"/>
      <c r="V285" s="127"/>
      <c r="W285" s="127"/>
      <c r="X285" s="127"/>
      <c r="Y285" s="126">
        <v>26</v>
      </c>
      <c r="Z285" s="126">
        <v>10</v>
      </c>
      <c r="AA285" s="126">
        <f t="shared" si="94"/>
        <v>260</v>
      </c>
      <c r="AB285" s="125">
        <v>60</v>
      </c>
      <c r="AC285" s="125">
        <v>6.4</v>
      </c>
      <c r="AD285" s="125">
        <f t="shared" si="92"/>
        <v>384</v>
      </c>
      <c r="AE285" s="126"/>
      <c r="AF285" s="126"/>
      <c r="AG285" s="126"/>
      <c r="AH285" s="127"/>
      <c r="AI285" s="127"/>
      <c r="AJ285" s="127"/>
      <c r="AK285" s="126"/>
      <c r="AL285" s="126"/>
      <c r="AM285" s="126"/>
      <c r="AN285" s="128"/>
      <c r="AO285" s="128"/>
      <c r="AP285" s="128"/>
    </row>
    <row r="286" s="47" customFormat="1" spans="1:42">
      <c r="A286" s="129">
        <v>45736</v>
      </c>
      <c r="B286" s="130" t="s">
        <v>342</v>
      </c>
      <c r="C286" s="131">
        <v>270</v>
      </c>
      <c r="D286" s="124"/>
      <c r="E286" s="124"/>
      <c r="F286" s="125"/>
      <c r="G286" s="126"/>
      <c r="H286" s="126"/>
      <c r="I286" s="126"/>
      <c r="J286" s="127"/>
      <c r="K286" s="127"/>
      <c r="L286" s="127"/>
      <c r="M286" s="126"/>
      <c r="N286" s="126"/>
      <c r="O286" s="126"/>
      <c r="P286" s="125"/>
      <c r="Q286" s="125"/>
      <c r="R286" s="125"/>
      <c r="S286" s="126"/>
      <c r="T286" s="126"/>
      <c r="U286" s="126"/>
      <c r="V286" s="127"/>
      <c r="W286" s="127"/>
      <c r="X286" s="127"/>
      <c r="Y286" s="126">
        <v>30</v>
      </c>
      <c r="Z286" s="126">
        <v>10</v>
      </c>
      <c r="AA286" s="126">
        <f t="shared" si="94"/>
        <v>300</v>
      </c>
      <c r="AB286" s="125"/>
      <c r="AC286" s="125"/>
      <c r="AD286" s="125">
        <f t="shared" si="92"/>
        <v>0</v>
      </c>
      <c r="AE286" s="126"/>
      <c r="AF286" s="126"/>
      <c r="AG286" s="126"/>
      <c r="AH286" s="127"/>
      <c r="AI286" s="127"/>
      <c r="AJ286" s="127"/>
      <c r="AK286" s="126"/>
      <c r="AL286" s="126"/>
      <c r="AM286" s="126"/>
      <c r="AN286" s="128">
        <v>30</v>
      </c>
      <c r="AO286" s="128">
        <v>7.8</v>
      </c>
      <c r="AP286" s="128">
        <f>AN286*AO286</f>
        <v>234</v>
      </c>
    </row>
    <row r="287" s="47" customFormat="1" spans="1:42">
      <c r="A287" s="129">
        <v>45737</v>
      </c>
      <c r="B287" s="130" t="s">
        <v>1009</v>
      </c>
      <c r="C287" s="131">
        <v>258</v>
      </c>
      <c r="D287" s="124">
        <v>150</v>
      </c>
      <c r="E287" s="124"/>
      <c r="F287" s="125"/>
      <c r="G287" s="126"/>
      <c r="H287" s="126"/>
      <c r="I287" s="126"/>
      <c r="J287" s="127"/>
      <c r="K287" s="127"/>
      <c r="L287" s="127"/>
      <c r="M287" s="126"/>
      <c r="N287" s="126"/>
      <c r="O287" s="126"/>
      <c r="P287" s="125"/>
      <c r="Q287" s="125"/>
      <c r="R287" s="125"/>
      <c r="S287" s="126"/>
      <c r="T287" s="126"/>
      <c r="U287" s="126"/>
      <c r="V287" s="127"/>
      <c r="W287" s="127"/>
      <c r="X287" s="127"/>
      <c r="Y287" s="126"/>
      <c r="Z287" s="126"/>
      <c r="AA287" s="126"/>
      <c r="AB287" s="125"/>
      <c r="AC287" s="125"/>
      <c r="AD287" s="125">
        <f t="shared" si="92"/>
        <v>0</v>
      </c>
      <c r="AE287" s="126"/>
      <c r="AF287" s="126"/>
      <c r="AG287" s="126"/>
      <c r="AH287" s="127"/>
      <c r="AI287" s="127"/>
      <c r="AJ287" s="127"/>
      <c r="AK287" s="126">
        <v>30</v>
      </c>
      <c r="AL287" s="126">
        <v>7.3</v>
      </c>
      <c r="AM287" s="126">
        <f>AK287*AL287</f>
        <v>219</v>
      </c>
      <c r="AN287" s="128">
        <v>30</v>
      </c>
      <c r="AO287" s="128">
        <v>7.8</v>
      </c>
      <c r="AP287" s="128">
        <f>AN287*AO287</f>
        <v>234</v>
      </c>
    </row>
    <row r="288" s="47" customFormat="1" spans="1:42">
      <c r="A288" s="129">
        <v>45737</v>
      </c>
      <c r="B288" s="130" t="s">
        <v>981</v>
      </c>
      <c r="C288" s="131">
        <v>171</v>
      </c>
      <c r="D288" s="124"/>
      <c r="E288" s="124"/>
      <c r="F288" s="125"/>
      <c r="G288" s="126"/>
      <c r="H288" s="126"/>
      <c r="I288" s="126"/>
      <c r="J288" s="127"/>
      <c r="K288" s="127"/>
      <c r="L288" s="127"/>
      <c r="M288" s="126"/>
      <c r="N288" s="126"/>
      <c r="O288" s="126"/>
      <c r="P288" s="125"/>
      <c r="Q288" s="125"/>
      <c r="R288" s="125"/>
      <c r="S288" s="126"/>
      <c r="T288" s="126"/>
      <c r="U288" s="126"/>
      <c r="V288" s="127"/>
      <c r="W288" s="127"/>
      <c r="X288" s="127"/>
      <c r="Y288" s="126">
        <v>21</v>
      </c>
      <c r="Z288" s="126">
        <v>10</v>
      </c>
      <c r="AA288" s="126">
        <f t="shared" ref="AA288:AA293" si="97">Y288*Z288</f>
        <v>210</v>
      </c>
      <c r="AB288" s="125">
        <v>30</v>
      </c>
      <c r="AC288" s="125">
        <v>6.4</v>
      </c>
      <c r="AD288" s="125">
        <f t="shared" si="92"/>
        <v>192</v>
      </c>
      <c r="AE288" s="126"/>
      <c r="AF288" s="126"/>
      <c r="AG288" s="126"/>
      <c r="AH288" s="127"/>
      <c r="AI288" s="127"/>
      <c r="AJ288" s="127"/>
      <c r="AK288" s="126"/>
      <c r="AL288" s="126"/>
      <c r="AM288" s="126"/>
      <c r="AN288" s="128"/>
      <c r="AO288" s="128"/>
      <c r="AP288" s="128"/>
    </row>
    <row r="289" s="47" customFormat="1" spans="1:42">
      <c r="A289" s="129">
        <v>45738</v>
      </c>
      <c r="B289" s="130" t="s">
        <v>935</v>
      </c>
      <c r="C289" s="131">
        <v>626</v>
      </c>
      <c r="D289" s="124"/>
      <c r="E289" s="124"/>
      <c r="F289" s="125"/>
      <c r="G289" s="126">
        <v>50</v>
      </c>
      <c r="H289" s="126">
        <v>0.9</v>
      </c>
      <c r="I289" s="126">
        <f>G289*H289</f>
        <v>45</v>
      </c>
      <c r="J289" s="127">
        <v>16</v>
      </c>
      <c r="K289" s="127">
        <v>17</v>
      </c>
      <c r="L289" s="127">
        <f>J289*K289</f>
        <v>272</v>
      </c>
      <c r="M289" s="126"/>
      <c r="N289" s="126"/>
      <c r="O289" s="126"/>
      <c r="P289" s="125"/>
      <c r="Q289" s="125"/>
      <c r="R289" s="125"/>
      <c r="S289" s="126"/>
      <c r="T289" s="126"/>
      <c r="U289" s="126"/>
      <c r="V289" s="127"/>
      <c r="W289" s="127"/>
      <c r="X289" s="127"/>
      <c r="Y289" s="126"/>
      <c r="Z289" s="126"/>
      <c r="AA289" s="126"/>
      <c r="AB289" s="125">
        <v>106</v>
      </c>
      <c r="AC289" s="125">
        <v>6.4</v>
      </c>
      <c r="AD289" s="125">
        <f t="shared" si="92"/>
        <v>678.4</v>
      </c>
      <c r="AE289" s="126">
        <v>130</v>
      </c>
      <c r="AF289" s="126">
        <v>3.7</v>
      </c>
      <c r="AG289" s="126">
        <f t="shared" ref="AG289:AG294" si="98">AE289*AF289</f>
        <v>481</v>
      </c>
      <c r="AH289" s="127"/>
      <c r="AI289" s="127"/>
      <c r="AJ289" s="127"/>
      <c r="AK289" s="126"/>
      <c r="AL289" s="126"/>
      <c r="AM289" s="126"/>
      <c r="AN289" s="128"/>
      <c r="AO289" s="128"/>
      <c r="AP289" s="128"/>
    </row>
    <row r="290" s="47" customFormat="1" spans="1:42">
      <c r="A290" s="129">
        <v>45740</v>
      </c>
      <c r="B290" s="130" t="s">
        <v>987</v>
      </c>
      <c r="C290" s="131">
        <v>1210</v>
      </c>
      <c r="D290" s="124"/>
      <c r="E290" s="124"/>
      <c r="F290" s="125"/>
      <c r="G290" s="126"/>
      <c r="H290" s="126"/>
      <c r="I290" s="126"/>
      <c r="J290" s="127"/>
      <c r="K290" s="127"/>
      <c r="L290" s="127"/>
      <c r="M290" s="126"/>
      <c r="N290" s="126"/>
      <c r="O290" s="126"/>
      <c r="P290" s="125"/>
      <c r="Q290" s="125"/>
      <c r="R290" s="125"/>
      <c r="S290" s="126"/>
      <c r="T290" s="126"/>
      <c r="U290" s="126"/>
      <c r="V290" s="127"/>
      <c r="W290" s="127"/>
      <c r="X290" s="127"/>
      <c r="Y290" s="126">
        <v>30</v>
      </c>
      <c r="Z290" s="126">
        <v>10</v>
      </c>
      <c r="AA290" s="126">
        <f t="shared" si="97"/>
        <v>300</v>
      </c>
      <c r="AB290" s="125">
        <v>149</v>
      </c>
      <c r="AC290" s="125">
        <v>6.4</v>
      </c>
      <c r="AD290" s="125">
        <f t="shared" si="92"/>
        <v>953.6</v>
      </c>
      <c r="AE290" s="126"/>
      <c r="AF290" s="126"/>
      <c r="AG290" s="126"/>
      <c r="AH290" s="127"/>
      <c r="AI290" s="127"/>
      <c r="AJ290" s="127"/>
      <c r="AK290" s="126">
        <v>83</v>
      </c>
      <c r="AL290" s="126">
        <v>7.3</v>
      </c>
      <c r="AM290" s="126">
        <f t="shared" ref="AM290:AM294" si="99">AK290*AL290</f>
        <v>605.9</v>
      </c>
      <c r="AN290" s="441"/>
      <c r="AO290" s="441"/>
      <c r="AP290" s="441"/>
    </row>
    <row r="291" s="47" customFormat="1" spans="1:42">
      <c r="A291" s="129">
        <v>45741</v>
      </c>
      <c r="B291" s="130" t="s">
        <v>1009</v>
      </c>
      <c r="C291" s="131">
        <v>258</v>
      </c>
      <c r="D291" s="124">
        <v>150</v>
      </c>
      <c r="E291" s="124"/>
      <c r="F291" s="125"/>
      <c r="G291" s="126"/>
      <c r="H291" s="126"/>
      <c r="I291" s="126"/>
      <c r="J291" s="127"/>
      <c r="K291" s="127"/>
      <c r="L291" s="127"/>
      <c r="M291" s="126"/>
      <c r="N291" s="126"/>
      <c r="O291" s="126"/>
      <c r="P291" s="125"/>
      <c r="Q291" s="125"/>
      <c r="R291" s="125"/>
      <c r="S291" s="126"/>
      <c r="T291" s="126"/>
      <c r="U291" s="126"/>
      <c r="V291" s="127"/>
      <c r="W291" s="127"/>
      <c r="X291" s="127"/>
      <c r="Y291" s="126"/>
      <c r="Z291" s="126"/>
      <c r="AA291" s="126"/>
      <c r="AB291" s="125"/>
      <c r="AC291" s="125"/>
      <c r="AD291" s="125">
        <f t="shared" si="92"/>
        <v>0</v>
      </c>
      <c r="AE291" s="126"/>
      <c r="AF291" s="126"/>
      <c r="AG291" s="126"/>
      <c r="AH291" s="127"/>
      <c r="AI291" s="127"/>
      <c r="AJ291" s="127"/>
      <c r="AK291" s="126">
        <v>30</v>
      </c>
      <c r="AL291" s="126">
        <v>7.3</v>
      </c>
      <c r="AM291" s="126">
        <f t="shared" si="99"/>
        <v>219</v>
      </c>
      <c r="AN291" s="128">
        <v>30</v>
      </c>
      <c r="AO291" s="128">
        <v>7.8</v>
      </c>
      <c r="AP291" s="128">
        <f>AN291*AO291</f>
        <v>234</v>
      </c>
    </row>
    <row r="292" s="47" customFormat="1" spans="1:42">
      <c r="A292" s="129">
        <v>45741</v>
      </c>
      <c r="B292" s="130" t="s">
        <v>1016</v>
      </c>
      <c r="C292" s="131">
        <v>597</v>
      </c>
      <c r="D292" s="124"/>
      <c r="E292" s="124"/>
      <c r="F292" s="125"/>
      <c r="G292" s="126"/>
      <c r="H292" s="126"/>
      <c r="I292" s="126"/>
      <c r="J292" s="127"/>
      <c r="K292" s="127"/>
      <c r="L292" s="127"/>
      <c r="M292" s="126"/>
      <c r="N292" s="126"/>
      <c r="O292" s="126"/>
      <c r="P292" s="125"/>
      <c r="Q292" s="125"/>
      <c r="R292" s="125"/>
      <c r="S292" s="126"/>
      <c r="T292" s="126"/>
      <c r="U292" s="126"/>
      <c r="V292" s="127"/>
      <c r="W292" s="127"/>
      <c r="X292" s="127"/>
      <c r="Y292" s="126"/>
      <c r="Z292" s="126"/>
      <c r="AA292" s="126"/>
      <c r="AB292" s="125">
        <v>95</v>
      </c>
      <c r="AC292" s="125">
        <v>6.4</v>
      </c>
      <c r="AD292" s="125">
        <f t="shared" si="92"/>
        <v>608</v>
      </c>
      <c r="AE292" s="126">
        <v>95</v>
      </c>
      <c r="AF292" s="126">
        <v>3.7</v>
      </c>
      <c r="AG292" s="126">
        <f t="shared" si="98"/>
        <v>351.5</v>
      </c>
      <c r="AH292" s="127"/>
      <c r="AI292" s="127"/>
      <c r="AJ292" s="127"/>
      <c r="AK292" s="126"/>
      <c r="AL292" s="126"/>
      <c r="AM292" s="126"/>
      <c r="AN292" s="128"/>
      <c r="AO292" s="128"/>
      <c r="AP292" s="128"/>
    </row>
    <row r="293" s="47" customFormat="1" spans="1:42">
      <c r="A293" s="129">
        <v>45743</v>
      </c>
      <c r="B293" s="130" t="s">
        <v>1017</v>
      </c>
      <c r="C293" s="131">
        <v>52</v>
      </c>
      <c r="D293" s="124"/>
      <c r="E293" s="124"/>
      <c r="F293" s="125"/>
      <c r="G293" s="126"/>
      <c r="H293" s="126"/>
      <c r="I293" s="126"/>
      <c r="J293" s="127"/>
      <c r="K293" s="127"/>
      <c r="L293" s="127"/>
      <c r="M293" s="126"/>
      <c r="N293" s="126"/>
      <c r="O293" s="126"/>
      <c r="P293" s="125"/>
      <c r="Q293" s="125"/>
      <c r="R293" s="125"/>
      <c r="S293" s="126"/>
      <c r="T293" s="126"/>
      <c r="U293" s="126"/>
      <c r="V293" s="127"/>
      <c r="W293" s="127"/>
      <c r="X293" s="127"/>
      <c r="Y293" s="126">
        <v>6</v>
      </c>
      <c r="Z293" s="126">
        <v>9.7</v>
      </c>
      <c r="AA293" s="126">
        <f t="shared" si="97"/>
        <v>58.2</v>
      </c>
      <c r="AB293" s="125">
        <v>10.5</v>
      </c>
      <c r="AC293" s="125">
        <v>6.4</v>
      </c>
      <c r="AD293" s="125">
        <f t="shared" si="92"/>
        <v>67.2</v>
      </c>
      <c r="AE293" s="126"/>
      <c r="AF293" s="126"/>
      <c r="AG293" s="126"/>
      <c r="AH293" s="127"/>
      <c r="AI293" s="127"/>
      <c r="AJ293" s="127"/>
      <c r="AK293" s="126"/>
      <c r="AL293" s="126"/>
      <c r="AM293" s="126"/>
      <c r="AN293" s="128"/>
      <c r="AO293" s="128"/>
      <c r="AP293" s="128"/>
    </row>
    <row r="294" s="47" customFormat="1" spans="1:42">
      <c r="A294" s="129">
        <v>45743</v>
      </c>
      <c r="B294" s="130" t="s">
        <v>930</v>
      </c>
      <c r="C294" s="131">
        <v>1052.5</v>
      </c>
      <c r="D294" s="124"/>
      <c r="E294" s="124"/>
      <c r="F294" s="125"/>
      <c r="G294" s="126">
        <v>50</v>
      </c>
      <c r="H294" s="126">
        <v>0.9</v>
      </c>
      <c r="I294" s="126">
        <f>G294*H294</f>
        <v>45</v>
      </c>
      <c r="J294" s="127">
        <v>25</v>
      </c>
      <c r="K294" s="127">
        <v>17</v>
      </c>
      <c r="L294" s="127">
        <f>J294*K294</f>
        <v>425</v>
      </c>
      <c r="M294" s="126"/>
      <c r="N294" s="126"/>
      <c r="O294" s="126"/>
      <c r="P294" s="125"/>
      <c r="Q294" s="125"/>
      <c r="R294" s="125"/>
      <c r="S294" s="126"/>
      <c r="T294" s="126"/>
      <c r="U294" s="126"/>
      <c r="V294" s="127"/>
      <c r="W294" s="127"/>
      <c r="X294" s="127"/>
      <c r="Y294" s="126"/>
      <c r="Z294" s="126"/>
      <c r="AA294" s="126"/>
      <c r="AB294" s="125">
        <v>59</v>
      </c>
      <c r="AC294" s="125">
        <v>6.4</v>
      </c>
      <c r="AD294" s="125">
        <f t="shared" si="92"/>
        <v>377.6</v>
      </c>
      <c r="AE294" s="126">
        <v>279</v>
      </c>
      <c r="AF294" s="126">
        <v>3.5</v>
      </c>
      <c r="AG294" s="126">
        <f t="shared" si="98"/>
        <v>976.5</v>
      </c>
      <c r="AH294" s="127"/>
      <c r="AI294" s="127"/>
      <c r="AJ294" s="127"/>
      <c r="AK294" s="126">
        <v>92</v>
      </c>
      <c r="AL294" s="126">
        <v>7.3</v>
      </c>
      <c r="AM294" s="126">
        <f t="shared" si="99"/>
        <v>671.6</v>
      </c>
      <c r="AN294" s="128"/>
      <c r="AO294" s="128"/>
      <c r="AP294" s="128"/>
    </row>
    <row r="295" s="47" customFormat="1" spans="1:42">
      <c r="A295" s="129"/>
      <c r="B295" s="130"/>
      <c r="C295" s="131"/>
      <c r="D295" s="124"/>
      <c r="E295" s="124"/>
      <c r="F295" s="125"/>
      <c r="G295" s="126"/>
      <c r="H295" s="126"/>
      <c r="I295" s="126"/>
      <c r="J295" s="127"/>
      <c r="K295" s="127"/>
      <c r="L295" s="127"/>
      <c r="M295" s="126"/>
      <c r="N295" s="126"/>
      <c r="O295" s="126"/>
      <c r="P295" s="125"/>
      <c r="Q295" s="125"/>
      <c r="R295" s="125"/>
      <c r="S295" s="126"/>
      <c r="T295" s="126"/>
      <c r="U295" s="126"/>
      <c r="V295" s="127"/>
      <c r="W295" s="127"/>
      <c r="X295" s="127"/>
      <c r="Y295" s="126"/>
      <c r="Z295" s="126"/>
      <c r="AA295" s="126"/>
      <c r="AB295" s="125"/>
      <c r="AC295" s="125"/>
      <c r="AD295" s="125"/>
      <c r="AE295" s="126"/>
      <c r="AF295" s="126"/>
      <c r="AG295" s="126"/>
      <c r="AH295" s="127"/>
      <c r="AI295" s="127"/>
      <c r="AJ295" s="127"/>
      <c r="AK295" s="126"/>
      <c r="AL295" s="126"/>
      <c r="AM295" s="126"/>
      <c r="AN295" s="128"/>
      <c r="AO295" s="128"/>
      <c r="AP295" s="128"/>
    </row>
    <row r="296" s="47" customFormat="1" spans="1:42">
      <c r="A296" s="129"/>
      <c r="B296" s="137"/>
      <c r="C296" s="131">
        <f>SUM(C268:C295)</f>
        <v>14203.8</v>
      </c>
      <c r="D296" s="146">
        <f>SUM(D267:D295)</f>
        <v>450</v>
      </c>
      <c r="E296" s="147"/>
      <c r="F296" s="146">
        <f>SUM(F267:F295)</f>
        <v>0</v>
      </c>
      <c r="G296" s="146">
        <f>SUM(G267:G295)</f>
        <v>176.5</v>
      </c>
      <c r="H296" s="81"/>
      <c r="I296" s="146">
        <f>SUM(I267:I295)</f>
        <v>158.85</v>
      </c>
      <c r="J296" s="146">
        <f>SUM(J267:J295)</f>
        <v>120.1</v>
      </c>
      <c r="K296" s="78"/>
      <c r="L296" s="146">
        <f>SUM(L267:L295)</f>
        <v>2001.7</v>
      </c>
      <c r="M296" s="146">
        <f>SUM(M267:M295)</f>
        <v>0</v>
      </c>
      <c r="N296" s="81"/>
      <c r="O296" s="146">
        <f>SUM(O267:O295)</f>
        <v>0</v>
      </c>
      <c r="P296" s="146">
        <f>SUM(P267:P295)</f>
        <v>25</v>
      </c>
      <c r="Q296" s="104"/>
      <c r="R296" s="146">
        <f>SUM(R267:R295)</f>
        <v>1875</v>
      </c>
      <c r="S296" s="146">
        <f>SUM(S267:S295)</f>
        <v>0</v>
      </c>
      <c r="T296" s="81"/>
      <c r="U296" s="146">
        <f>SUM(U267:U295)</f>
        <v>0</v>
      </c>
      <c r="V296" s="146">
        <f>SUM(V267:V295)</f>
        <v>0</v>
      </c>
      <c r="W296" s="78"/>
      <c r="X296" s="146">
        <f>SUM(X267:X295)</f>
        <v>0</v>
      </c>
      <c r="Y296" s="146">
        <f>SUM(Y267:Y295)</f>
        <v>1524</v>
      </c>
      <c r="Z296" s="81"/>
      <c r="AA296" s="146">
        <f>SUM(AA267:AA295)</f>
        <v>15238.2</v>
      </c>
      <c r="AB296" s="146">
        <f>SUM(AB267:AB295)</f>
        <v>1539</v>
      </c>
      <c r="AC296" s="104"/>
      <c r="AD296" s="146">
        <f>SUM(AD267:AD295)</f>
        <v>9849.6</v>
      </c>
      <c r="AE296" s="126">
        <f>SUM(AE267:AE295)</f>
        <v>1582</v>
      </c>
      <c r="AF296" s="126"/>
      <c r="AG296" s="126">
        <f>SUM(AG267:AG295)</f>
        <v>5797.6</v>
      </c>
      <c r="AH296" s="127">
        <f>SUM(AH267:AH295)</f>
        <v>0</v>
      </c>
      <c r="AI296" s="127"/>
      <c r="AJ296" s="127">
        <v>0</v>
      </c>
      <c r="AK296" s="146">
        <f>SUM(AK267:AK295)</f>
        <v>741</v>
      </c>
      <c r="AL296" s="81"/>
      <c r="AM296" s="146">
        <f>SUM(AM267:AM295)</f>
        <v>5528.3</v>
      </c>
      <c r="AN296" s="146">
        <f>SUM(AN267:AN295)</f>
        <v>132</v>
      </c>
      <c r="AO296" s="146"/>
      <c r="AP296" s="146">
        <f>SUM(AP267:AP295)</f>
        <v>1029.6</v>
      </c>
    </row>
    <row r="299" s="11" customFormat="1" ht="33" customHeight="1" spans="1:42">
      <c r="A299" s="66" t="s">
        <v>1018</v>
      </c>
      <c r="B299" s="66"/>
      <c r="C299" s="66"/>
      <c r="D299" s="74"/>
      <c r="E299" s="75"/>
      <c r="F299" s="75"/>
      <c r="G299" s="72" t="s">
        <v>908</v>
      </c>
      <c r="H299" s="72"/>
      <c r="I299" s="72"/>
      <c r="J299" s="76"/>
      <c r="K299" s="76"/>
      <c r="L299" s="77">
        <f>F316+I316+L316+O316+R316+U316+X316+AA316+AD316+AG316+AJ316+AM316+AP316</f>
        <v>4650.334</v>
      </c>
      <c r="M299" s="77"/>
      <c r="N299" s="72"/>
      <c r="O299" s="72"/>
      <c r="P299" s="75"/>
      <c r="Q299" s="75"/>
      <c r="R299" s="75"/>
      <c r="S299" s="72"/>
      <c r="T299" s="72"/>
      <c r="U299" s="72"/>
      <c r="V299" s="77"/>
      <c r="W299" s="77"/>
      <c r="X299" s="77"/>
      <c r="Y299" s="72"/>
      <c r="Z299" s="72"/>
      <c r="AA299" s="72"/>
      <c r="AB299" s="75"/>
      <c r="AC299" s="75"/>
      <c r="AD299" s="75"/>
      <c r="AE299" s="72"/>
      <c r="AF299" s="72"/>
      <c r="AG299" s="72"/>
      <c r="AH299" s="77"/>
      <c r="AI299" s="77"/>
      <c r="AJ299" s="78"/>
      <c r="AK299" s="79"/>
      <c r="AL299" s="79"/>
      <c r="AM299" s="80"/>
      <c r="AN299" s="79"/>
      <c r="AO299" s="79"/>
      <c r="AP299" s="79"/>
    </row>
    <row r="300" s="12" customFormat="1" ht="27" customHeight="1" spans="1:42">
      <c r="A300" s="81" t="s">
        <v>35</v>
      </c>
      <c r="B300" s="82" t="s">
        <v>909</v>
      </c>
      <c r="C300" s="83"/>
      <c r="D300" s="74" t="s">
        <v>289</v>
      </c>
      <c r="E300" s="74"/>
      <c r="F300" s="103"/>
      <c r="G300" s="81" t="s">
        <v>466</v>
      </c>
      <c r="H300" s="81"/>
      <c r="I300" s="81"/>
      <c r="J300" s="78" t="s">
        <v>910</v>
      </c>
      <c r="K300" s="78"/>
      <c r="L300" s="78"/>
      <c r="M300" s="81" t="s">
        <v>911</v>
      </c>
      <c r="N300" s="81"/>
      <c r="O300" s="81"/>
      <c r="P300" s="104" t="s">
        <v>912</v>
      </c>
      <c r="Q300" s="104"/>
      <c r="R300" s="104"/>
      <c r="S300" s="81" t="s">
        <v>984</v>
      </c>
      <c r="T300" s="81"/>
      <c r="U300" s="81"/>
      <c r="V300" s="78" t="s">
        <v>960</v>
      </c>
      <c r="W300" s="78"/>
      <c r="X300" s="78"/>
      <c r="Y300" s="81">
        <v>808</v>
      </c>
      <c r="Z300" s="81"/>
      <c r="AA300" s="81"/>
      <c r="AB300" s="104" t="s">
        <v>125</v>
      </c>
      <c r="AC300" s="104"/>
      <c r="AD300" s="104"/>
      <c r="AE300" s="81" t="s">
        <v>132</v>
      </c>
      <c r="AF300" s="81"/>
      <c r="AG300" s="81"/>
      <c r="AH300" s="78">
        <v>811</v>
      </c>
      <c r="AI300" s="78"/>
      <c r="AJ300" s="105"/>
      <c r="AK300" s="81" t="s">
        <v>152</v>
      </c>
      <c r="AL300" s="81"/>
      <c r="AM300" s="81"/>
      <c r="AN300" s="106" t="s">
        <v>12</v>
      </c>
      <c r="AO300" s="107"/>
      <c r="AP300" s="108"/>
    </row>
    <row r="301" s="12" customFormat="1" ht="27" customHeight="1" spans="1:42">
      <c r="A301" s="81"/>
      <c r="B301" s="82" t="s">
        <v>914</v>
      </c>
      <c r="C301" s="83" t="s">
        <v>915</v>
      </c>
      <c r="D301" s="117" t="s">
        <v>916</v>
      </c>
      <c r="E301" s="118" t="s">
        <v>917</v>
      </c>
      <c r="F301" s="81" t="s">
        <v>918</v>
      </c>
      <c r="G301" s="81" t="s">
        <v>916</v>
      </c>
      <c r="H301" s="81" t="s">
        <v>917</v>
      </c>
      <c r="I301" s="81" t="s">
        <v>918</v>
      </c>
      <c r="J301" s="78" t="s">
        <v>916</v>
      </c>
      <c r="K301" s="78" t="s">
        <v>917</v>
      </c>
      <c r="L301" s="78" t="s">
        <v>918</v>
      </c>
      <c r="M301" s="81" t="s">
        <v>916</v>
      </c>
      <c r="N301" s="81" t="s">
        <v>917</v>
      </c>
      <c r="O301" s="81" t="s">
        <v>918</v>
      </c>
      <c r="P301" s="104" t="s">
        <v>916</v>
      </c>
      <c r="Q301" s="104" t="s">
        <v>917</v>
      </c>
      <c r="R301" s="104" t="s">
        <v>918</v>
      </c>
      <c r="S301" s="81" t="s">
        <v>916</v>
      </c>
      <c r="T301" s="81" t="s">
        <v>917</v>
      </c>
      <c r="U301" s="81" t="s">
        <v>918</v>
      </c>
      <c r="V301" s="78" t="s">
        <v>916</v>
      </c>
      <c r="W301" s="78" t="s">
        <v>917</v>
      </c>
      <c r="X301" s="78" t="s">
        <v>918</v>
      </c>
      <c r="Y301" s="81" t="s">
        <v>916</v>
      </c>
      <c r="Z301" s="81" t="s">
        <v>917</v>
      </c>
      <c r="AA301" s="81" t="s">
        <v>918</v>
      </c>
      <c r="AB301" s="104" t="s">
        <v>916</v>
      </c>
      <c r="AC301" s="104" t="s">
        <v>917</v>
      </c>
      <c r="AD301" s="104" t="s">
        <v>918</v>
      </c>
      <c r="AE301" s="81" t="s">
        <v>916</v>
      </c>
      <c r="AF301" s="81" t="s">
        <v>917</v>
      </c>
      <c r="AG301" s="81" t="s">
        <v>918</v>
      </c>
      <c r="AH301" s="78" t="s">
        <v>916</v>
      </c>
      <c r="AI301" s="78" t="s">
        <v>917</v>
      </c>
      <c r="AJ301" s="105" t="s">
        <v>918</v>
      </c>
      <c r="AK301" s="81" t="s">
        <v>916</v>
      </c>
      <c r="AL301" s="81" t="s">
        <v>917</v>
      </c>
      <c r="AM301" s="81" t="s">
        <v>918</v>
      </c>
      <c r="AN301" s="104" t="s">
        <v>916</v>
      </c>
      <c r="AO301" s="104" t="s">
        <v>917</v>
      </c>
      <c r="AP301" s="104" t="s">
        <v>918</v>
      </c>
    </row>
    <row r="302" s="46" customFormat="1" spans="1:42">
      <c r="A302" s="119" t="s">
        <v>1019</v>
      </c>
      <c r="B302" s="120" t="s">
        <v>1007</v>
      </c>
      <c r="C302" s="121"/>
      <c r="D302" s="124"/>
      <c r="E302" s="124"/>
      <c r="F302" s="125"/>
      <c r="G302" s="126"/>
      <c r="H302" s="126"/>
      <c r="I302" s="126"/>
      <c r="J302" s="127"/>
      <c r="K302" s="127"/>
      <c r="L302" s="127"/>
      <c r="M302" s="126"/>
      <c r="N302" s="126"/>
      <c r="O302" s="126"/>
      <c r="P302" s="125"/>
      <c r="Q302" s="125"/>
      <c r="R302" s="125"/>
      <c r="S302" s="126"/>
      <c r="T302" s="126"/>
      <c r="U302" s="126"/>
      <c r="V302" s="127"/>
      <c r="W302" s="127"/>
      <c r="X302" s="127"/>
      <c r="Y302" s="126"/>
      <c r="Z302" s="126"/>
      <c r="AA302" s="126"/>
      <c r="AB302" s="125"/>
      <c r="AC302" s="125"/>
      <c r="AD302" s="125"/>
      <c r="AE302" s="126"/>
      <c r="AF302" s="126"/>
      <c r="AG302" s="126"/>
      <c r="AH302" s="127"/>
      <c r="AI302" s="127"/>
      <c r="AJ302" s="127"/>
      <c r="AK302" s="126"/>
      <c r="AL302" s="126"/>
      <c r="AM302" s="126"/>
      <c r="AN302" s="128"/>
      <c r="AO302" s="128"/>
      <c r="AP302" s="128"/>
    </row>
    <row r="303" s="47" customFormat="1" spans="1:42">
      <c r="A303" s="129">
        <v>45706</v>
      </c>
      <c r="B303" s="130" t="s">
        <v>1020</v>
      </c>
      <c r="C303" s="131">
        <v>600</v>
      </c>
      <c r="D303" s="124"/>
      <c r="E303" s="124"/>
      <c r="F303" s="125"/>
      <c r="G303" s="126"/>
      <c r="H303" s="126"/>
      <c r="I303" s="126"/>
      <c r="J303" s="127"/>
      <c r="K303" s="127"/>
      <c r="L303" s="127"/>
      <c r="M303" s="126"/>
      <c r="N303" s="126"/>
      <c r="O303" s="126"/>
      <c r="P303" s="125"/>
      <c r="Q303" s="125"/>
      <c r="R303" s="125"/>
      <c r="S303" s="126"/>
      <c r="T303" s="126"/>
      <c r="U303" s="126"/>
      <c r="V303" s="127"/>
      <c r="W303" s="127"/>
      <c r="X303" s="127"/>
      <c r="Y303" s="126">
        <v>60</v>
      </c>
      <c r="Z303" s="126">
        <v>10</v>
      </c>
      <c r="AA303" s="126">
        <f t="shared" ref="AA303:AA305" si="100">Y303*Z303</f>
        <v>600</v>
      </c>
      <c r="AB303" s="125">
        <v>130</v>
      </c>
      <c r="AC303" s="125">
        <v>6.2</v>
      </c>
      <c r="AD303" s="125">
        <f t="shared" ref="AD303:AD305" si="101">AB303*AC303</f>
        <v>806</v>
      </c>
      <c r="AE303" s="126"/>
      <c r="AF303" s="126"/>
      <c r="AG303" s="126"/>
      <c r="AH303" s="127"/>
      <c r="AI303" s="127"/>
      <c r="AJ303" s="127"/>
      <c r="AK303" s="126"/>
      <c r="AL303" s="126"/>
      <c r="AM303" s="126"/>
      <c r="AN303" s="128">
        <v>12</v>
      </c>
      <c r="AO303" s="128">
        <v>7.6</v>
      </c>
      <c r="AP303" s="128">
        <f t="shared" ref="AP303:AP307" si="102">AN303*AO303</f>
        <v>91.2</v>
      </c>
    </row>
    <row r="304" s="419" customFormat="1" spans="1:42">
      <c r="A304" s="449">
        <v>45706</v>
      </c>
      <c r="B304" s="450" t="s">
        <v>1021</v>
      </c>
      <c r="C304" s="451">
        <v>552</v>
      </c>
      <c r="D304" s="444"/>
      <c r="E304" s="444"/>
      <c r="F304" s="445"/>
      <c r="G304" s="446"/>
      <c r="H304" s="446"/>
      <c r="I304" s="446"/>
      <c r="J304" s="447"/>
      <c r="K304" s="447"/>
      <c r="L304" s="447"/>
      <c r="M304" s="446"/>
      <c r="N304" s="446"/>
      <c r="O304" s="446"/>
      <c r="P304" s="445"/>
      <c r="Q304" s="445"/>
      <c r="R304" s="445"/>
      <c r="S304" s="446"/>
      <c r="T304" s="446"/>
      <c r="U304" s="446"/>
      <c r="V304" s="447"/>
      <c r="W304" s="447"/>
      <c r="X304" s="447"/>
      <c r="Y304" s="446">
        <v>28.5</v>
      </c>
      <c r="Z304" s="446">
        <v>10</v>
      </c>
      <c r="AA304" s="126">
        <f t="shared" si="100"/>
        <v>285</v>
      </c>
      <c r="AB304" s="445">
        <v>65.5</v>
      </c>
      <c r="AC304" s="445">
        <v>6.2</v>
      </c>
      <c r="AD304" s="125">
        <f t="shared" si="101"/>
        <v>406.1</v>
      </c>
      <c r="AE304" s="446"/>
      <c r="AF304" s="446"/>
      <c r="AG304" s="446"/>
      <c r="AH304" s="447"/>
      <c r="AI304" s="447"/>
      <c r="AJ304" s="447"/>
      <c r="AK304" s="446"/>
      <c r="AL304" s="446"/>
      <c r="AM304" s="446"/>
      <c r="AN304" s="441"/>
      <c r="AO304" s="441"/>
      <c r="AP304" s="441"/>
    </row>
    <row r="305" s="47" customFormat="1" spans="1:42">
      <c r="A305" s="129">
        <v>45710</v>
      </c>
      <c r="B305" s="130" t="s">
        <v>1022</v>
      </c>
      <c r="C305" s="131">
        <v>770</v>
      </c>
      <c r="D305" s="124"/>
      <c r="E305" s="124"/>
      <c r="F305" s="125"/>
      <c r="G305" s="126">
        <v>65</v>
      </c>
      <c r="H305" s="126">
        <v>0.9</v>
      </c>
      <c r="I305" s="126">
        <f>G305*H305</f>
        <v>58.5</v>
      </c>
      <c r="J305" s="127">
        <v>20.5</v>
      </c>
      <c r="K305" s="127">
        <v>17</v>
      </c>
      <c r="L305" s="127">
        <f>J305*K305</f>
        <v>348.5</v>
      </c>
      <c r="M305" s="126"/>
      <c r="N305" s="126"/>
      <c r="O305" s="126"/>
      <c r="P305" s="125"/>
      <c r="Q305" s="125"/>
      <c r="R305" s="125"/>
      <c r="S305" s="126"/>
      <c r="T305" s="126"/>
      <c r="U305" s="126"/>
      <c r="V305" s="127"/>
      <c r="W305" s="127"/>
      <c r="X305" s="127"/>
      <c r="Y305" s="126"/>
      <c r="Z305" s="126"/>
      <c r="AA305" s="126">
        <f t="shared" si="100"/>
        <v>0</v>
      </c>
      <c r="AB305" s="125">
        <v>4.5</v>
      </c>
      <c r="AC305" s="125">
        <v>6.2</v>
      </c>
      <c r="AD305" s="125">
        <f t="shared" si="101"/>
        <v>27.9</v>
      </c>
      <c r="AE305" s="126">
        <v>4</v>
      </c>
      <c r="AF305" s="126">
        <v>3.7</v>
      </c>
      <c r="AG305" s="126">
        <f>AE305*AF305</f>
        <v>14.8</v>
      </c>
      <c r="AH305" s="127"/>
      <c r="AI305" s="127"/>
      <c r="AJ305" s="127"/>
      <c r="AK305" s="126"/>
      <c r="AL305" s="126"/>
      <c r="AM305" s="126"/>
      <c r="AN305" s="128"/>
      <c r="AO305" s="128"/>
      <c r="AP305" s="128"/>
    </row>
    <row r="306" s="47" customFormat="1" spans="1:42">
      <c r="A306" s="129">
        <v>45710</v>
      </c>
      <c r="B306" s="139" t="s">
        <v>1023</v>
      </c>
      <c r="C306" s="131">
        <v>262.5</v>
      </c>
      <c r="D306" s="124">
        <v>150</v>
      </c>
      <c r="E306" s="124"/>
      <c r="F306" s="125"/>
      <c r="G306" s="126"/>
      <c r="H306" s="126"/>
      <c r="I306" s="126"/>
      <c r="J306" s="127"/>
      <c r="K306" s="127"/>
      <c r="L306" s="127"/>
      <c r="M306" s="126"/>
      <c r="N306" s="126"/>
      <c r="O306" s="126"/>
      <c r="P306" s="125"/>
      <c r="Q306" s="125"/>
      <c r="R306" s="125"/>
      <c r="S306" s="126"/>
      <c r="T306" s="126"/>
      <c r="U306" s="126"/>
      <c r="V306" s="127"/>
      <c r="W306" s="127"/>
      <c r="X306" s="127"/>
      <c r="Y306" s="126"/>
      <c r="Z306" s="126"/>
      <c r="AA306" s="126"/>
      <c r="AB306" s="125"/>
      <c r="AC306" s="125"/>
      <c r="AD306" s="125"/>
      <c r="AE306" s="126"/>
      <c r="AF306" s="126"/>
      <c r="AG306" s="126"/>
      <c r="AH306" s="127"/>
      <c r="AI306" s="127"/>
      <c r="AJ306" s="127"/>
      <c r="AK306" s="126">
        <v>30</v>
      </c>
      <c r="AL306" s="126">
        <v>7.8</v>
      </c>
      <c r="AM306" s="126">
        <f t="shared" ref="AM306:AM309" si="103">AK306*AL306</f>
        <v>234</v>
      </c>
      <c r="AN306" s="128">
        <v>30</v>
      </c>
      <c r="AO306" s="128">
        <v>7.8</v>
      </c>
      <c r="AP306" s="128">
        <f t="shared" si="102"/>
        <v>234</v>
      </c>
    </row>
    <row r="307" s="47" customFormat="1" spans="1:42">
      <c r="A307" s="129">
        <v>45710</v>
      </c>
      <c r="B307" s="139" t="s">
        <v>1024</v>
      </c>
      <c r="C307" s="131">
        <v>129</v>
      </c>
      <c r="D307" s="124">
        <v>75</v>
      </c>
      <c r="E307" s="124"/>
      <c r="F307" s="125"/>
      <c r="G307" s="126"/>
      <c r="H307" s="126"/>
      <c r="I307" s="126"/>
      <c r="J307" s="127"/>
      <c r="K307" s="127"/>
      <c r="L307" s="127"/>
      <c r="M307" s="126"/>
      <c r="N307" s="126"/>
      <c r="O307" s="126"/>
      <c r="P307" s="125"/>
      <c r="Q307" s="125"/>
      <c r="R307" s="125"/>
      <c r="S307" s="126"/>
      <c r="T307" s="126"/>
      <c r="U307" s="126"/>
      <c r="V307" s="127"/>
      <c r="W307" s="127"/>
      <c r="X307" s="127"/>
      <c r="Y307" s="126"/>
      <c r="Z307" s="126"/>
      <c r="AA307" s="126">
        <f t="shared" ref="AA307:AA312" si="104">Y307*Z307</f>
        <v>0</v>
      </c>
      <c r="AB307" s="125"/>
      <c r="AC307" s="125"/>
      <c r="AD307" s="125">
        <f t="shared" ref="AD307:AD312" si="105">AB307*AC307</f>
        <v>0</v>
      </c>
      <c r="AE307" s="126"/>
      <c r="AF307" s="126"/>
      <c r="AG307" s="126"/>
      <c r="AH307" s="127"/>
      <c r="AI307" s="127"/>
      <c r="AJ307" s="127"/>
      <c r="AK307" s="126">
        <v>15</v>
      </c>
      <c r="AL307" s="126">
        <v>7.8</v>
      </c>
      <c r="AM307" s="126">
        <f t="shared" si="103"/>
        <v>117</v>
      </c>
      <c r="AN307" s="128">
        <v>15</v>
      </c>
      <c r="AO307" s="128">
        <v>7.8</v>
      </c>
      <c r="AP307" s="128">
        <f t="shared" si="102"/>
        <v>117</v>
      </c>
    </row>
    <row r="308" s="47" customFormat="1" spans="1:42">
      <c r="A308" s="129">
        <v>45710</v>
      </c>
      <c r="B308" s="453" t="s">
        <v>1025</v>
      </c>
      <c r="C308" s="131"/>
      <c r="D308" s="124"/>
      <c r="E308" s="124"/>
      <c r="F308" s="125"/>
      <c r="G308" s="126"/>
      <c r="H308" s="126"/>
      <c r="I308" s="126"/>
      <c r="J308" s="127"/>
      <c r="K308" s="127"/>
      <c r="L308" s="127"/>
      <c r="M308" s="126"/>
      <c r="N308" s="126"/>
      <c r="O308" s="126"/>
      <c r="P308" s="125"/>
      <c r="Q308" s="125"/>
      <c r="R308" s="125"/>
      <c r="S308" s="126"/>
      <c r="T308" s="126"/>
      <c r="U308" s="126"/>
      <c r="V308" s="127"/>
      <c r="W308" s="127"/>
      <c r="X308" s="127"/>
      <c r="Y308" s="126"/>
      <c r="Z308" s="126"/>
      <c r="AA308" s="126"/>
      <c r="AB308" s="125"/>
      <c r="AC308" s="125"/>
      <c r="AD308" s="125"/>
      <c r="AE308" s="126"/>
      <c r="AF308" s="126"/>
      <c r="AG308" s="126"/>
      <c r="AH308" s="127"/>
      <c r="AI308" s="127"/>
      <c r="AJ308" s="127"/>
      <c r="AK308" s="126"/>
      <c r="AL308" s="126"/>
      <c r="AM308" s="126"/>
      <c r="AN308" s="128"/>
      <c r="AO308" s="128"/>
      <c r="AP308" s="128"/>
    </row>
    <row r="309" s="47" customFormat="1" spans="1:42">
      <c r="A309" s="129" t="s">
        <v>573</v>
      </c>
      <c r="B309" s="130" t="s">
        <v>1026</v>
      </c>
      <c r="C309" s="131">
        <v>170</v>
      </c>
      <c r="D309" s="124"/>
      <c r="E309" s="124"/>
      <c r="F309" s="125"/>
      <c r="G309" s="126"/>
      <c r="H309" s="126"/>
      <c r="I309" s="126"/>
      <c r="J309" s="127"/>
      <c r="K309" s="127"/>
      <c r="L309" s="127"/>
      <c r="M309" s="126"/>
      <c r="N309" s="126"/>
      <c r="O309" s="126"/>
      <c r="P309" s="125"/>
      <c r="Q309" s="125"/>
      <c r="R309" s="125"/>
      <c r="S309" s="126"/>
      <c r="T309" s="126"/>
      <c r="U309" s="126"/>
      <c r="V309" s="127"/>
      <c r="W309" s="127"/>
      <c r="X309" s="127"/>
      <c r="Y309" s="126">
        <v>45</v>
      </c>
      <c r="Z309" s="126">
        <v>10</v>
      </c>
      <c r="AA309" s="126">
        <f t="shared" si="104"/>
        <v>450</v>
      </c>
      <c r="AB309" s="125">
        <v>50</v>
      </c>
      <c r="AC309" s="125">
        <v>6.2</v>
      </c>
      <c r="AD309" s="125">
        <f t="shared" si="105"/>
        <v>310</v>
      </c>
      <c r="AE309" s="126"/>
      <c r="AF309" s="126"/>
      <c r="AG309" s="126"/>
      <c r="AH309" s="127"/>
      <c r="AI309" s="127"/>
      <c r="AJ309" s="127"/>
      <c r="AK309" s="126"/>
      <c r="AL309" s="126"/>
      <c r="AM309" s="126">
        <f t="shared" si="103"/>
        <v>0</v>
      </c>
      <c r="AN309" s="128"/>
      <c r="AO309" s="128"/>
      <c r="AP309" s="128"/>
    </row>
    <row r="310" s="47" customFormat="1" spans="1:42">
      <c r="A310" s="129">
        <v>45712</v>
      </c>
      <c r="B310" s="130" t="s">
        <v>1027</v>
      </c>
      <c r="C310" s="131"/>
      <c r="D310" s="124"/>
      <c r="E310" s="124"/>
      <c r="F310" s="125"/>
      <c r="G310" s="126"/>
      <c r="H310" s="126"/>
      <c r="I310" s="126"/>
      <c r="J310" s="127"/>
      <c r="K310" s="127"/>
      <c r="L310" s="127"/>
      <c r="M310" s="126"/>
      <c r="N310" s="126"/>
      <c r="O310" s="126"/>
      <c r="P310" s="125"/>
      <c r="Q310" s="125"/>
      <c r="R310" s="125"/>
      <c r="S310" s="126"/>
      <c r="T310" s="126"/>
      <c r="U310" s="126"/>
      <c r="V310" s="127"/>
      <c r="W310" s="127"/>
      <c r="X310" s="127"/>
      <c r="Y310" s="126"/>
      <c r="Z310" s="126"/>
      <c r="AA310" s="126"/>
      <c r="AB310" s="125"/>
      <c r="AC310" s="125"/>
      <c r="AD310" s="125"/>
      <c r="AE310" s="126"/>
      <c r="AF310" s="126"/>
      <c r="AG310" s="126"/>
      <c r="AH310" s="127"/>
      <c r="AI310" s="127"/>
      <c r="AJ310" s="127"/>
      <c r="AK310" s="126"/>
      <c r="AL310" s="126"/>
      <c r="AM310" s="126"/>
      <c r="AN310" s="128"/>
      <c r="AO310" s="128"/>
      <c r="AP310" s="128"/>
    </row>
    <row r="311" s="47" customFormat="1" spans="1:42">
      <c r="A311" s="129">
        <v>45714</v>
      </c>
      <c r="B311" s="130" t="s">
        <v>1028</v>
      </c>
      <c r="C311" s="131">
        <v>54</v>
      </c>
      <c r="D311" s="124"/>
      <c r="E311" s="124"/>
      <c r="F311" s="125"/>
      <c r="G311" s="126"/>
      <c r="H311" s="126"/>
      <c r="I311" s="126"/>
      <c r="J311" s="127"/>
      <c r="K311" s="127"/>
      <c r="L311" s="127"/>
      <c r="M311" s="126"/>
      <c r="N311" s="126"/>
      <c r="O311" s="126"/>
      <c r="P311" s="125"/>
      <c r="Q311" s="125"/>
      <c r="R311" s="125"/>
      <c r="S311" s="126"/>
      <c r="T311" s="126"/>
      <c r="U311" s="126"/>
      <c r="V311" s="127"/>
      <c r="W311" s="127"/>
      <c r="X311" s="127"/>
      <c r="Y311" s="126">
        <v>1.35</v>
      </c>
      <c r="Z311" s="126">
        <v>10</v>
      </c>
      <c r="AA311" s="126">
        <f t="shared" si="104"/>
        <v>13.5</v>
      </c>
      <c r="AB311" s="125">
        <v>7.5</v>
      </c>
      <c r="AC311" s="125">
        <v>6.2</v>
      </c>
      <c r="AD311" s="125">
        <f t="shared" si="105"/>
        <v>46.5</v>
      </c>
      <c r="AE311" s="126"/>
      <c r="AF311" s="126"/>
      <c r="AG311" s="126"/>
      <c r="AH311" s="127"/>
      <c r="AI311" s="127"/>
      <c r="AJ311" s="127"/>
      <c r="AK311" s="126">
        <v>2.5</v>
      </c>
      <c r="AL311" s="126">
        <v>7.8</v>
      </c>
      <c r="AM311" s="126">
        <f>AK311*AL311</f>
        <v>19.5</v>
      </c>
      <c r="AN311" s="128"/>
      <c r="AO311" s="128"/>
      <c r="AP311" s="128">
        <f>AN311*AO311</f>
        <v>0</v>
      </c>
    </row>
    <row r="312" s="47" customFormat="1" spans="1:42">
      <c r="A312" s="129">
        <v>45714</v>
      </c>
      <c r="B312" s="130" t="s">
        <v>1029</v>
      </c>
      <c r="C312" s="131">
        <v>51</v>
      </c>
      <c r="D312" s="124"/>
      <c r="E312" s="124"/>
      <c r="F312" s="125"/>
      <c r="G312" s="126"/>
      <c r="H312" s="126"/>
      <c r="I312" s="126"/>
      <c r="J312" s="127"/>
      <c r="K312" s="127"/>
      <c r="L312" s="127"/>
      <c r="M312" s="126"/>
      <c r="N312" s="126"/>
      <c r="O312" s="126"/>
      <c r="P312" s="125"/>
      <c r="Q312" s="125"/>
      <c r="R312" s="125"/>
      <c r="S312" s="126"/>
      <c r="T312" s="126"/>
      <c r="U312" s="126"/>
      <c r="V312" s="127"/>
      <c r="W312" s="127"/>
      <c r="X312" s="127"/>
      <c r="Y312" s="126">
        <v>5.1</v>
      </c>
      <c r="Z312" s="126">
        <v>10</v>
      </c>
      <c r="AA312" s="126">
        <f t="shared" si="104"/>
        <v>51</v>
      </c>
      <c r="AB312" s="125">
        <v>12.07</v>
      </c>
      <c r="AC312" s="125">
        <v>6.2</v>
      </c>
      <c r="AD312" s="125">
        <f t="shared" si="105"/>
        <v>74.834</v>
      </c>
      <c r="AE312" s="126"/>
      <c r="AF312" s="126"/>
      <c r="AG312" s="126"/>
      <c r="AH312" s="127"/>
      <c r="AI312" s="127"/>
      <c r="AJ312" s="127"/>
      <c r="AK312" s="126"/>
      <c r="AL312" s="126"/>
      <c r="AM312" s="126"/>
      <c r="AN312" s="128"/>
      <c r="AO312" s="128"/>
      <c r="AP312" s="128"/>
    </row>
    <row r="313" s="47" customFormat="1" spans="1:42">
      <c r="A313" s="129">
        <v>45715</v>
      </c>
      <c r="B313" s="130" t="s">
        <v>1016</v>
      </c>
      <c r="C313" s="131">
        <v>186</v>
      </c>
      <c r="D313" s="124"/>
      <c r="E313" s="124"/>
      <c r="F313" s="125"/>
      <c r="G313" s="126"/>
      <c r="H313" s="126"/>
      <c r="I313" s="126">
        <f>G313*H313</f>
        <v>0</v>
      </c>
      <c r="J313" s="127"/>
      <c r="K313" s="127"/>
      <c r="L313" s="127">
        <f>J313*K313</f>
        <v>0</v>
      </c>
      <c r="M313" s="126"/>
      <c r="N313" s="126"/>
      <c r="O313" s="126"/>
      <c r="P313" s="125"/>
      <c r="Q313" s="125"/>
      <c r="R313" s="125"/>
      <c r="S313" s="126"/>
      <c r="T313" s="126"/>
      <c r="U313" s="126"/>
      <c r="V313" s="127"/>
      <c r="W313" s="127"/>
      <c r="X313" s="127"/>
      <c r="Y313" s="126"/>
      <c r="Z313" s="126"/>
      <c r="AA313" s="126"/>
      <c r="AB313" s="125"/>
      <c r="AC313" s="125"/>
      <c r="AD313" s="125"/>
      <c r="AE313" s="126">
        <v>30</v>
      </c>
      <c r="AF313" s="126">
        <v>3.7</v>
      </c>
      <c r="AG313" s="126">
        <f>AE313*AF313</f>
        <v>111</v>
      </c>
      <c r="AH313" s="127"/>
      <c r="AI313" s="127"/>
      <c r="AJ313" s="127"/>
      <c r="AK313" s="126">
        <v>30</v>
      </c>
      <c r="AL313" s="126">
        <v>7.8</v>
      </c>
      <c r="AM313" s="126">
        <f>AK313*AL313</f>
        <v>234</v>
      </c>
      <c r="AN313" s="128"/>
      <c r="AO313" s="128"/>
      <c r="AP313" s="128"/>
    </row>
    <row r="314" s="47" customFormat="1" ht="13" customHeight="1" spans="1:42">
      <c r="A314" s="129"/>
      <c r="B314" s="130"/>
      <c r="C314" s="131"/>
      <c r="D314" s="124"/>
      <c r="E314" s="124"/>
      <c r="F314" s="125"/>
      <c r="G314" s="126"/>
      <c r="H314" s="126"/>
      <c r="I314" s="126"/>
      <c r="J314" s="127"/>
      <c r="K314" s="127"/>
      <c r="L314" s="127"/>
      <c r="M314" s="126"/>
      <c r="N314" s="126"/>
      <c r="O314" s="126"/>
      <c r="P314" s="125"/>
      <c r="Q314" s="125"/>
      <c r="R314" s="125"/>
      <c r="S314" s="126"/>
      <c r="T314" s="126"/>
      <c r="U314" s="126"/>
      <c r="V314" s="127"/>
      <c r="W314" s="127"/>
      <c r="X314" s="127"/>
      <c r="Y314" s="126"/>
      <c r="Z314" s="126"/>
      <c r="AA314" s="126">
        <f>Y314*Z314</f>
        <v>0</v>
      </c>
      <c r="AB314" s="125"/>
      <c r="AC314" s="125"/>
      <c r="AD314" s="125">
        <f>AB314*AC314</f>
        <v>0</v>
      </c>
      <c r="AE314" s="126"/>
      <c r="AF314" s="126"/>
      <c r="AG314" s="126"/>
      <c r="AH314" s="127"/>
      <c r="AI314" s="127"/>
      <c r="AJ314" s="127"/>
      <c r="AK314" s="126"/>
      <c r="AL314" s="126"/>
      <c r="AM314" s="126">
        <f>AK314*AL314</f>
        <v>0</v>
      </c>
      <c r="AN314" s="128"/>
      <c r="AO314" s="128"/>
      <c r="AP314" s="128"/>
    </row>
    <row r="315" s="47" customFormat="1" spans="1:42">
      <c r="A315" s="129"/>
      <c r="B315" s="130"/>
      <c r="C315" s="131"/>
      <c r="D315" s="124"/>
      <c r="E315" s="124"/>
      <c r="F315" s="125"/>
      <c r="G315" s="126"/>
      <c r="H315" s="126"/>
      <c r="I315" s="126"/>
      <c r="J315" s="127"/>
      <c r="K315" s="127"/>
      <c r="L315" s="127"/>
      <c r="M315" s="126"/>
      <c r="N315" s="126"/>
      <c r="O315" s="126"/>
      <c r="P315" s="125"/>
      <c r="Q315" s="125"/>
      <c r="R315" s="125"/>
      <c r="S315" s="126"/>
      <c r="T315" s="126"/>
      <c r="U315" s="126"/>
      <c r="V315" s="127"/>
      <c r="W315" s="127"/>
      <c r="X315" s="127"/>
      <c r="Y315" s="126"/>
      <c r="Z315" s="126"/>
      <c r="AA315" s="126"/>
      <c r="AB315" s="125"/>
      <c r="AC315" s="125"/>
      <c r="AD315" s="125"/>
      <c r="AE315" s="126"/>
      <c r="AF315" s="126"/>
      <c r="AG315" s="126"/>
      <c r="AH315" s="127"/>
      <c r="AI315" s="127"/>
      <c r="AJ315" s="127"/>
      <c r="AK315" s="126"/>
      <c r="AL315" s="126"/>
      <c r="AM315" s="126"/>
      <c r="AN315" s="128"/>
      <c r="AO315" s="128"/>
      <c r="AP315" s="128"/>
    </row>
    <row r="316" s="47" customFormat="1" spans="1:42">
      <c r="A316" s="129"/>
      <c r="B316" s="137"/>
      <c r="C316" s="131">
        <f>SUM(C303:C315)</f>
        <v>2774.5</v>
      </c>
      <c r="D316" s="146">
        <f>SUM(D302:D315)</f>
        <v>225</v>
      </c>
      <c r="E316" s="147"/>
      <c r="F316" s="146">
        <f>SUM(F302:F315)</f>
        <v>0</v>
      </c>
      <c r="G316" s="146">
        <f>SUM(G302:G315)</f>
        <v>65</v>
      </c>
      <c r="H316" s="81"/>
      <c r="I316" s="146">
        <f>SUM(I302:I315)</f>
        <v>58.5</v>
      </c>
      <c r="J316" s="146">
        <f>SUM(J302:J315)</f>
        <v>20.5</v>
      </c>
      <c r="K316" s="78"/>
      <c r="L316" s="146">
        <f>SUM(L302:L315)</f>
        <v>348.5</v>
      </c>
      <c r="M316" s="146">
        <f>SUM(M302:M315)</f>
        <v>0</v>
      </c>
      <c r="N316" s="81"/>
      <c r="O316" s="146">
        <f>SUM(O302:O315)</f>
        <v>0</v>
      </c>
      <c r="P316" s="146">
        <f>SUM(P302:P315)</f>
        <v>0</v>
      </c>
      <c r="Q316" s="104"/>
      <c r="R316" s="146">
        <f>SUM(R302:R315)</f>
        <v>0</v>
      </c>
      <c r="S316" s="146">
        <f>SUM(S302:S315)</f>
        <v>0</v>
      </c>
      <c r="T316" s="81"/>
      <c r="U316" s="146">
        <f>SUM(U302:U315)</f>
        <v>0</v>
      </c>
      <c r="V316" s="146">
        <f>SUM(V302:V315)</f>
        <v>0</v>
      </c>
      <c r="W316" s="78"/>
      <c r="X316" s="146">
        <f>SUM(X302:X315)</f>
        <v>0</v>
      </c>
      <c r="Y316" s="146">
        <f>SUM(Y302:Y315)</f>
        <v>139.95</v>
      </c>
      <c r="Z316" s="81"/>
      <c r="AA316" s="146">
        <f>SUM(AA302:AA315)</f>
        <v>1399.5</v>
      </c>
      <c r="AB316" s="146">
        <f>SUM(AB302:AB315)</f>
        <v>269.57</v>
      </c>
      <c r="AC316" s="104"/>
      <c r="AD316" s="146">
        <f>SUM(AD302:AD315)</f>
        <v>1671.334</v>
      </c>
      <c r="AE316" s="146">
        <f>SUM(AE302:AE315)</f>
        <v>34</v>
      </c>
      <c r="AF316" s="81"/>
      <c r="AG316" s="146">
        <f>SUM(AG302:AG315)</f>
        <v>125.8</v>
      </c>
      <c r="AH316" s="146">
        <f>SUM(AH302:AH315)</f>
        <v>0</v>
      </c>
      <c r="AI316" s="78"/>
      <c r="AJ316" s="78">
        <v>0</v>
      </c>
      <c r="AK316" s="146">
        <f>SUM(AK302:AK315)</f>
        <v>77.5</v>
      </c>
      <c r="AL316" s="81"/>
      <c r="AM316" s="146">
        <f>SUM(AM302:AM315)</f>
        <v>604.5</v>
      </c>
      <c r="AN316" s="146">
        <f>SUM(AN302:AN315)</f>
        <v>57</v>
      </c>
      <c r="AO316" s="146"/>
      <c r="AP316" s="146">
        <f>SUM(AP302:AP315)</f>
        <v>442.2</v>
      </c>
    </row>
    <row r="318" s="11" customFormat="1" ht="33" customHeight="1" spans="1:42">
      <c r="A318" s="66" t="s">
        <v>1030</v>
      </c>
      <c r="B318" s="66"/>
      <c r="C318" s="66"/>
      <c r="D318" s="74"/>
      <c r="E318" s="75"/>
      <c r="F318" s="75"/>
      <c r="G318" s="72" t="s">
        <v>908</v>
      </c>
      <c r="H318" s="72"/>
      <c r="I318" s="72"/>
      <c r="J318" s="76"/>
      <c r="K318" s="76"/>
      <c r="L318" s="77">
        <f>F337+I337+L337+O337+R337+U337+X337+AA337+AD337+AG337+AJ337+AM337+AP337</f>
        <v>21778.7</v>
      </c>
      <c r="M318" s="77"/>
      <c r="N318" s="72"/>
      <c r="O318" s="72"/>
      <c r="P318" s="75"/>
      <c r="Q318" s="75"/>
      <c r="R318" s="75"/>
      <c r="S318" s="72"/>
      <c r="T318" s="72"/>
      <c r="U318" s="72"/>
      <c r="V318" s="77"/>
      <c r="W318" s="77"/>
      <c r="X318" s="77"/>
      <c r="Y318" s="72"/>
      <c r="Z318" s="72"/>
      <c r="AA318" s="72"/>
      <c r="AB318" s="75"/>
      <c r="AC318" s="75"/>
      <c r="AD318" s="75"/>
      <c r="AE318" s="72"/>
      <c r="AF318" s="72"/>
      <c r="AG318" s="72"/>
      <c r="AH318" s="77"/>
      <c r="AI318" s="77"/>
      <c r="AJ318" s="78"/>
      <c r="AK318" s="79"/>
      <c r="AL318" s="79"/>
      <c r="AM318" s="80"/>
      <c r="AN318" s="79"/>
      <c r="AO318" s="79"/>
      <c r="AP318" s="79"/>
    </row>
    <row r="319" s="12" customFormat="1" ht="27" customHeight="1" spans="1:42">
      <c r="A319" s="81" t="s">
        <v>35</v>
      </c>
      <c r="B319" s="82" t="s">
        <v>909</v>
      </c>
      <c r="C319" s="83"/>
      <c r="D319" s="74" t="s">
        <v>289</v>
      </c>
      <c r="E319" s="74"/>
      <c r="F319" s="103"/>
      <c r="G319" s="81" t="s">
        <v>466</v>
      </c>
      <c r="H319" s="81"/>
      <c r="I319" s="81"/>
      <c r="J319" s="78" t="s">
        <v>910</v>
      </c>
      <c r="K319" s="78"/>
      <c r="L319" s="78"/>
      <c r="M319" s="81" t="s">
        <v>911</v>
      </c>
      <c r="N319" s="81"/>
      <c r="O319" s="81"/>
      <c r="P319" s="104" t="s">
        <v>912</v>
      </c>
      <c r="Q319" s="104"/>
      <c r="R319" s="104"/>
      <c r="S319" s="81" t="s">
        <v>984</v>
      </c>
      <c r="T319" s="81"/>
      <c r="U319" s="81"/>
      <c r="V319" s="78" t="s">
        <v>960</v>
      </c>
      <c r="W319" s="78"/>
      <c r="X319" s="78"/>
      <c r="Y319" s="81">
        <v>808</v>
      </c>
      <c r="Z319" s="81"/>
      <c r="AA319" s="81"/>
      <c r="AB319" s="104" t="s">
        <v>125</v>
      </c>
      <c r="AC319" s="104"/>
      <c r="AD319" s="104"/>
      <c r="AE319" s="81" t="s">
        <v>132</v>
      </c>
      <c r="AF319" s="81"/>
      <c r="AG319" s="81"/>
      <c r="AH319" s="78">
        <v>811</v>
      </c>
      <c r="AI319" s="78"/>
      <c r="AJ319" s="105"/>
      <c r="AK319" s="81" t="s">
        <v>152</v>
      </c>
      <c r="AL319" s="81"/>
      <c r="AM319" s="81"/>
      <c r="AN319" s="106" t="s">
        <v>12</v>
      </c>
      <c r="AO319" s="107"/>
      <c r="AP319" s="108"/>
    </row>
    <row r="320" s="12" customFormat="1" ht="27" customHeight="1" spans="1:42">
      <c r="A320" s="81"/>
      <c r="B320" s="82" t="s">
        <v>914</v>
      </c>
      <c r="C320" s="83" t="s">
        <v>915</v>
      </c>
      <c r="D320" s="117" t="s">
        <v>916</v>
      </c>
      <c r="E320" s="118" t="s">
        <v>917</v>
      </c>
      <c r="F320" s="81" t="s">
        <v>918</v>
      </c>
      <c r="G320" s="81" t="s">
        <v>916</v>
      </c>
      <c r="H320" s="81" t="s">
        <v>917</v>
      </c>
      <c r="I320" s="81" t="s">
        <v>918</v>
      </c>
      <c r="J320" s="78" t="s">
        <v>916</v>
      </c>
      <c r="K320" s="78" t="s">
        <v>917</v>
      </c>
      <c r="L320" s="78" t="s">
        <v>918</v>
      </c>
      <c r="M320" s="81" t="s">
        <v>916</v>
      </c>
      <c r="N320" s="81" t="s">
        <v>917</v>
      </c>
      <c r="O320" s="81" t="s">
        <v>918</v>
      </c>
      <c r="P320" s="104" t="s">
        <v>916</v>
      </c>
      <c r="Q320" s="104" t="s">
        <v>917</v>
      </c>
      <c r="R320" s="104" t="s">
        <v>918</v>
      </c>
      <c r="S320" s="81" t="s">
        <v>916</v>
      </c>
      <c r="T320" s="81" t="s">
        <v>917</v>
      </c>
      <c r="U320" s="81" t="s">
        <v>918</v>
      </c>
      <c r="V320" s="78" t="s">
        <v>916</v>
      </c>
      <c r="W320" s="78" t="s">
        <v>917</v>
      </c>
      <c r="X320" s="78" t="s">
        <v>918</v>
      </c>
      <c r="Y320" s="81" t="s">
        <v>916</v>
      </c>
      <c r="Z320" s="81" t="s">
        <v>917</v>
      </c>
      <c r="AA320" s="81" t="s">
        <v>918</v>
      </c>
      <c r="AB320" s="104" t="s">
        <v>916</v>
      </c>
      <c r="AC320" s="104" t="s">
        <v>917</v>
      </c>
      <c r="AD320" s="104" t="s">
        <v>918</v>
      </c>
      <c r="AE320" s="81" t="s">
        <v>916</v>
      </c>
      <c r="AF320" s="81" t="s">
        <v>917</v>
      </c>
      <c r="AG320" s="81" t="s">
        <v>918</v>
      </c>
      <c r="AH320" s="78" t="s">
        <v>916</v>
      </c>
      <c r="AI320" s="78" t="s">
        <v>917</v>
      </c>
      <c r="AJ320" s="105" t="s">
        <v>918</v>
      </c>
      <c r="AK320" s="81" t="s">
        <v>916</v>
      </c>
      <c r="AL320" s="81" t="s">
        <v>917</v>
      </c>
      <c r="AM320" s="81" t="s">
        <v>918</v>
      </c>
      <c r="AN320" s="104" t="s">
        <v>916</v>
      </c>
      <c r="AO320" s="104" t="s">
        <v>917</v>
      </c>
      <c r="AP320" s="104" t="s">
        <v>918</v>
      </c>
    </row>
    <row r="321" s="46" customFormat="1" spans="1:42">
      <c r="A321" s="119" t="s">
        <v>1031</v>
      </c>
      <c r="B321" s="120" t="s">
        <v>1032</v>
      </c>
      <c r="C321" s="121"/>
      <c r="D321" s="124"/>
      <c r="E321" s="124"/>
      <c r="F321" s="125"/>
      <c r="G321" s="126"/>
      <c r="H321" s="126"/>
      <c r="I321" s="126"/>
      <c r="J321" s="127"/>
      <c r="K321" s="127"/>
      <c r="L321" s="127"/>
      <c r="M321" s="126"/>
      <c r="N321" s="126"/>
      <c r="O321" s="126"/>
      <c r="P321" s="125"/>
      <c r="Q321" s="125"/>
      <c r="R321" s="125"/>
      <c r="S321" s="126"/>
      <c r="T321" s="126"/>
      <c r="U321" s="126"/>
      <c r="V321" s="127"/>
      <c r="W321" s="127"/>
      <c r="X321" s="127"/>
      <c r="Y321" s="126"/>
      <c r="Z321" s="126"/>
      <c r="AA321" s="126"/>
      <c r="AB321" s="125"/>
      <c r="AC321" s="125"/>
      <c r="AD321" s="125"/>
      <c r="AE321" s="126"/>
      <c r="AF321" s="126"/>
      <c r="AG321" s="126"/>
      <c r="AH321" s="127"/>
      <c r="AI321" s="127"/>
      <c r="AJ321" s="127"/>
      <c r="AK321" s="126"/>
      <c r="AL321" s="126"/>
      <c r="AM321" s="126"/>
      <c r="AN321" s="128"/>
      <c r="AO321" s="128"/>
      <c r="AP321" s="128"/>
    </row>
    <row r="322" s="47" customFormat="1" spans="1:42">
      <c r="A322" s="129" t="s">
        <v>1033</v>
      </c>
      <c r="B322" s="130" t="s">
        <v>1034</v>
      </c>
      <c r="C322" s="131">
        <v>180</v>
      </c>
      <c r="D322" s="124"/>
      <c r="E322" s="124"/>
      <c r="F322" s="125"/>
      <c r="G322" s="126"/>
      <c r="H322" s="126"/>
      <c r="I322" s="126"/>
      <c r="J322" s="127"/>
      <c r="K322" s="127"/>
      <c r="L322" s="127"/>
      <c r="M322" s="126"/>
      <c r="N322" s="126"/>
      <c r="O322" s="126"/>
      <c r="P322" s="125"/>
      <c r="Q322" s="125"/>
      <c r="R322" s="125"/>
      <c r="S322" s="126"/>
      <c r="T322" s="126"/>
      <c r="U322" s="126"/>
      <c r="V322" s="127"/>
      <c r="W322" s="127"/>
      <c r="X322" s="127"/>
      <c r="Y322" s="126">
        <v>20</v>
      </c>
      <c r="Z322" s="126">
        <v>9.3</v>
      </c>
      <c r="AA322" s="126">
        <f t="shared" ref="AA322:AA327" si="106">Y322*Z322</f>
        <v>186</v>
      </c>
      <c r="AB322" s="125"/>
      <c r="AC322" s="125"/>
      <c r="AD322" s="125"/>
      <c r="AE322" s="126"/>
      <c r="AF322" s="126"/>
      <c r="AG322" s="126"/>
      <c r="AH322" s="127"/>
      <c r="AI322" s="127"/>
      <c r="AJ322" s="127"/>
      <c r="AK322" s="126"/>
      <c r="AL322" s="126"/>
      <c r="AM322" s="126"/>
      <c r="AN322" s="128">
        <v>20</v>
      </c>
      <c r="AO322" s="128">
        <v>7.8</v>
      </c>
      <c r="AP322" s="128">
        <f>AN322*AO322</f>
        <v>156</v>
      </c>
    </row>
    <row r="323" s="47" customFormat="1" spans="1:42">
      <c r="A323" s="129">
        <v>45660</v>
      </c>
      <c r="B323" s="130" t="s">
        <v>1035</v>
      </c>
      <c r="C323" s="131"/>
      <c r="D323" s="124"/>
      <c r="E323" s="124"/>
      <c r="F323" s="125"/>
      <c r="G323" s="126"/>
      <c r="H323" s="126"/>
      <c r="I323" s="126"/>
      <c r="J323" s="127"/>
      <c r="K323" s="127"/>
      <c r="L323" s="127"/>
      <c r="M323" s="126"/>
      <c r="N323" s="126"/>
      <c r="O323" s="126"/>
      <c r="P323" s="125"/>
      <c r="Q323" s="125"/>
      <c r="R323" s="125"/>
      <c r="S323" s="126"/>
      <c r="T323" s="126"/>
      <c r="U323" s="126"/>
      <c r="V323" s="127"/>
      <c r="W323" s="127"/>
      <c r="X323" s="127"/>
      <c r="Y323" s="126"/>
      <c r="Z323" s="126"/>
      <c r="AA323" s="126"/>
      <c r="AB323" s="125"/>
      <c r="AC323" s="125"/>
      <c r="AD323" s="125"/>
      <c r="AE323" s="126"/>
      <c r="AF323" s="126"/>
      <c r="AG323" s="126"/>
      <c r="AH323" s="127"/>
      <c r="AI323" s="127"/>
      <c r="AJ323" s="127"/>
      <c r="AK323" s="126"/>
      <c r="AL323" s="126"/>
      <c r="AM323" s="126"/>
      <c r="AN323" s="128"/>
      <c r="AO323" s="128"/>
      <c r="AP323" s="128"/>
    </row>
    <row r="324" s="47" customFormat="1" spans="1:42">
      <c r="A324" s="129">
        <v>45660</v>
      </c>
      <c r="B324" s="130" t="s">
        <v>1036</v>
      </c>
      <c r="C324" s="131">
        <v>750</v>
      </c>
      <c r="D324" s="124"/>
      <c r="E324" s="124"/>
      <c r="F324" s="125"/>
      <c r="G324" s="126"/>
      <c r="H324" s="126"/>
      <c r="I324" s="126"/>
      <c r="J324" s="127"/>
      <c r="K324" s="127"/>
      <c r="L324" s="127"/>
      <c r="M324" s="126"/>
      <c r="N324" s="126"/>
      <c r="O324" s="126"/>
      <c r="P324" s="125"/>
      <c r="Q324" s="125"/>
      <c r="R324" s="125"/>
      <c r="S324" s="126"/>
      <c r="T324" s="126"/>
      <c r="U324" s="126"/>
      <c r="V324" s="127"/>
      <c r="W324" s="127"/>
      <c r="X324" s="127"/>
      <c r="Y324" s="126">
        <v>450</v>
      </c>
      <c r="Z324" s="126">
        <v>10</v>
      </c>
      <c r="AA324" s="126">
        <f t="shared" si="106"/>
        <v>4500</v>
      </c>
      <c r="AB324" s="125"/>
      <c r="AC324" s="125"/>
      <c r="AD324" s="125"/>
      <c r="AE324" s="126"/>
      <c r="AF324" s="126"/>
      <c r="AG324" s="126"/>
      <c r="AH324" s="127"/>
      <c r="AI324" s="127"/>
      <c r="AJ324" s="127"/>
      <c r="AK324" s="126"/>
      <c r="AL324" s="126"/>
      <c r="AM324" s="126"/>
      <c r="AN324" s="128"/>
      <c r="AO324" s="128"/>
      <c r="AP324" s="128"/>
    </row>
    <row r="325" s="47" customFormat="1" spans="1:42">
      <c r="A325" s="129">
        <v>45660</v>
      </c>
      <c r="B325" s="139" t="s">
        <v>1037</v>
      </c>
      <c r="C325" s="131"/>
      <c r="D325" s="124"/>
      <c r="E325" s="124"/>
      <c r="F325" s="125"/>
      <c r="G325" s="126"/>
      <c r="H325" s="126"/>
      <c r="I325" s="126"/>
      <c r="J325" s="127"/>
      <c r="K325" s="127"/>
      <c r="L325" s="127"/>
      <c r="M325" s="126"/>
      <c r="N325" s="126"/>
      <c r="O325" s="126"/>
      <c r="P325" s="125"/>
      <c r="Q325" s="125"/>
      <c r="R325" s="125"/>
      <c r="S325" s="126"/>
      <c r="T325" s="126"/>
      <c r="U325" s="126"/>
      <c r="V325" s="127"/>
      <c r="W325" s="127"/>
      <c r="X325" s="127"/>
      <c r="Y325" s="126"/>
      <c r="Z325" s="126"/>
      <c r="AA325" s="126"/>
      <c r="AB325" s="125"/>
      <c r="AC325" s="125"/>
      <c r="AD325" s="125"/>
      <c r="AE325" s="126"/>
      <c r="AF325" s="126"/>
      <c r="AG325" s="126"/>
      <c r="AH325" s="127"/>
      <c r="AI325" s="127"/>
      <c r="AJ325" s="127"/>
      <c r="AK325" s="126"/>
      <c r="AL325" s="126"/>
      <c r="AM325" s="126"/>
      <c r="AN325" s="128"/>
      <c r="AO325" s="128"/>
      <c r="AP325" s="128"/>
    </row>
    <row r="326" s="47" customFormat="1" spans="1:42">
      <c r="A326" s="129">
        <v>45660</v>
      </c>
      <c r="B326" s="130" t="s">
        <v>1038</v>
      </c>
      <c r="C326" s="131">
        <v>311</v>
      </c>
      <c r="D326" s="124"/>
      <c r="E326" s="124"/>
      <c r="F326" s="125"/>
      <c r="G326" s="126"/>
      <c r="H326" s="126"/>
      <c r="I326" s="126"/>
      <c r="J326" s="127"/>
      <c r="K326" s="127"/>
      <c r="L326" s="127"/>
      <c r="M326" s="126"/>
      <c r="N326" s="126"/>
      <c r="O326" s="126"/>
      <c r="P326" s="125"/>
      <c r="Q326" s="125"/>
      <c r="R326" s="125"/>
      <c r="S326" s="126"/>
      <c r="T326" s="126"/>
      <c r="U326" s="126"/>
      <c r="V326" s="127"/>
      <c r="W326" s="127"/>
      <c r="X326" s="127"/>
      <c r="Y326" s="126">
        <v>16</v>
      </c>
      <c r="Z326" s="126">
        <v>10</v>
      </c>
      <c r="AA326" s="126">
        <f t="shared" si="106"/>
        <v>160</v>
      </c>
      <c r="AB326" s="125">
        <v>37</v>
      </c>
      <c r="AC326" s="125">
        <v>6</v>
      </c>
      <c r="AD326" s="125">
        <f t="shared" ref="AD326:AD333" si="107">AB326*AC326</f>
        <v>222</v>
      </c>
      <c r="AE326" s="126"/>
      <c r="AF326" s="126"/>
      <c r="AG326" s="126"/>
      <c r="AH326" s="127"/>
      <c r="AI326" s="127"/>
      <c r="AJ326" s="127"/>
      <c r="AK326" s="126"/>
      <c r="AL326" s="126"/>
      <c r="AM326" s="126"/>
      <c r="AN326" s="128"/>
      <c r="AO326" s="128"/>
      <c r="AP326" s="128"/>
    </row>
    <row r="327" s="47" customFormat="1" spans="1:42">
      <c r="A327" s="129">
        <v>45661</v>
      </c>
      <c r="B327" s="130" t="s">
        <v>1039</v>
      </c>
      <c r="C327" s="131">
        <v>1200</v>
      </c>
      <c r="D327" s="124"/>
      <c r="E327" s="124"/>
      <c r="F327" s="125"/>
      <c r="G327" s="126"/>
      <c r="H327" s="126"/>
      <c r="I327" s="126"/>
      <c r="J327" s="127"/>
      <c r="K327" s="127"/>
      <c r="L327" s="127"/>
      <c r="M327" s="126"/>
      <c r="N327" s="126"/>
      <c r="O327" s="126"/>
      <c r="P327" s="125"/>
      <c r="Q327" s="125"/>
      <c r="R327" s="125"/>
      <c r="S327" s="126"/>
      <c r="T327" s="126"/>
      <c r="U327" s="126"/>
      <c r="V327" s="127"/>
      <c r="W327" s="127"/>
      <c r="X327" s="127"/>
      <c r="Y327" s="126">
        <v>30</v>
      </c>
      <c r="Z327" s="126">
        <v>10</v>
      </c>
      <c r="AA327" s="126">
        <f t="shared" si="106"/>
        <v>300</v>
      </c>
      <c r="AB327" s="125">
        <v>139</v>
      </c>
      <c r="AC327" s="125">
        <v>6</v>
      </c>
      <c r="AD327" s="125">
        <f t="shared" si="107"/>
        <v>834</v>
      </c>
      <c r="AE327" s="126"/>
      <c r="AF327" s="126"/>
      <c r="AG327" s="126"/>
      <c r="AH327" s="127"/>
      <c r="AI327" s="127"/>
      <c r="AJ327" s="127"/>
      <c r="AK327" s="126">
        <v>60</v>
      </c>
      <c r="AL327" s="126">
        <v>7.1</v>
      </c>
      <c r="AM327" s="126">
        <f t="shared" ref="AM327:AM333" si="108">AK327*AL327</f>
        <v>426</v>
      </c>
      <c r="AN327" s="128"/>
      <c r="AO327" s="128"/>
      <c r="AP327" s="128"/>
    </row>
    <row r="328" s="47" customFormat="1" spans="1:42">
      <c r="A328" s="129" t="s">
        <v>563</v>
      </c>
      <c r="B328" s="130" t="s">
        <v>1040</v>
      </c>
      <c r="C328" s="131">
        <v>525</v>
      </c>
      <c r="D328" s="124"/>
      <c r="E328" s="124"/>
      <c r="F328" s="125"/>
      <c r="G328" s="126"/>
      <c r="H328" s="126"/>
      <c r="I328" s="126"/>
      <c r="J328" s="127"/>
      <c r="K328" s="127"/>
      <c r="L328" s="127"/>
      <c r="M328" s="126"/>
      <c r="N328" s="126"/>
      <c r="O328" s="126"/>
      <c r="P328" s="125"/>
      <c r="Q328" s="125"/>
      <c r="R328" s="125"/>
      <c r="S328" s="126"/>
      <c r="T328" s="126"/>
      <c r="U328" s="126"/>
      <c r="V328" s="127"/>
      <c r="W328" s="127"/>
      <c r="X328" s="127"/>
      <c r="Y328" s="126"/>
      <c r="Z328" s="126"/>
      <c r="AA328" s="126"/>
      <c r="AB328" s="125"/>
      <c r="AC328" s="125"/>
      <c r="AD328" s="125"/>
      <c r="AE328" s="126"/>
      <c r="AF328" s="126"/>
      <c r="AG328" s="126"/>
      <c r="AH328" s="127"/>
      <c r="AI328" s="127"/>
      <c r="AJ328" s="127"/>
      <c r="AK328" s="126">
        <v>60</v>
      </c>
      <c r="AL328" s="126">
        <v>7.1</v>
      </c>
      <c r="AM328" s="126">
        <f t="shared" si="108"/>
        <v>426</v>
      </c>
      <c r="AN328" s="128">
        <v>60</v>
      </c>
      <c r="AO328" s="128">
        <v>7.6</v>
      </c>
      <c r="AP328" s="128">
        <f>AN328*AO328</f>
        <v>456</v>
      </c>
    </row>
    <row r="329" s="47" customFormat="1" spans="1:42">
      <c r="A329" s="129" t="s">
        <v>563</v>
      </c>
      <c r="B329" s="130" t="s">
        <v>1041</v>
      </c>
      <c r="C329" s="131"/>
      <c r="D329" s="124"/>
      <c r="E329" s="124"/>
      <c r="F329" s="125"/>
      <c r="G329" s="126"/>
      <c r="H329" s="126"/>
      <c r="I329" s="126"/>
      <c r="J329" s="127"/>
      <c r="K329" s="127"/>
      <c r="L329" s="127"/>
      <c r="M329" s="126"/>
      <c r="N329" s="126"/>
      <c r="O329" s="126"/>
      <c r="P329" s="125"/>
      <c r="Q329" s="125"/>
      <c r="R329" s="125"/>
      <c r="S329" s="126"/>
      <c r="T329" s="126"/>
      <c r="U329" s="126"/>
      <c r="V329" s="127"/>
      <c r="W329" s="127"/>
      <c r="X329" s="127"/>
      <c r="Y329" s="126"/>
      <c r="Z329" s="126"/>
      <c r="AA329" s="126"/>
      <c r="AB329" s="125"/>
      <c r="AC329" s="125"/>
      <c r="AD329" s="125"/>
      <c r="AE329" s="126"/>
      <c r="AF329" s="126"/>
      <c r="AG329" s="126"/>
      <c r="AH329" s="127"/>
      <c r="AI329" s="127"/>
      <c r="AJ329" s="127"/>
      <c r="AK329" s="126"/>
      <c r="AL329" s="126"/>
      <c r="AM329" s="126"/>
      <c r="AN329" s="128"/>
      <c r="AO329" s="128"/>
      <c r="AP329" s="128"/>
    </row>
    <row r="330" s="47" customFormat="1" spans="1:42">
      <c r="A330" s="129">
        <v>45668</v>
      </c>
      <c r="B330" s="130" t="s">
        <v>1042</v>
      </c>
      <c r="C330" s="131">
        <v>1052.5</v>
      </c>
      <c r="D330" s="124"/>
      <c r="E330" s="124"/>
      <c r="F330" s="125"/>
      <c r="G330" s="126">
        <v>50</v>
      </c>
      <c r="H330" s="126">
        <v>0.9</v>
      </c>
      <c r="I330" s="126">
        <f>G330*H330</f>
        <v>45</v>
      </c>
      <c r="J330" s="127">
        <v>25</v>
      </c>
      <c r="K330" s="127">
        <v>17</v>
      </c>
      <c r="L330" s="127">
        <f>J330*K330</f>
        <v>425</v>
      </c>
      <c r="M330" s="126"/>
      <c r="N330" s="126"/>
      <c r="O330" s="126"/>
      <c r="P330" s="125"/>
      <c r="Q330" s="125"/>
      <c r="R330" s="125"/>
      <c r="S330" s="126"/>
      <c r="T330" s="126"/>
      <c r="U330" s="126"/>
      <c r="V330" s="127"/>
      <c r="W330" s="127"/>
      <c r="X330" s="127"/>
      <c r="Y330" s="126"/>
      <c r="Z330" s="126"/>
      <c r="AA330" s="126"/>
      <c r="AB330" s="125"/>
      <c r="AC330" s="125"/>
      <c r="AD330" s="125"/>
      <c r="AE330" s="126">
        <v>279</v>
      </c>
      <c r="AF330" s="126">
        <v>3.7</v>
      </c>
      <c r="AG330" s="126">
        <f>AE330*AF330</f>
        <v>1032.3</v>
      </c>
      <c r="AH330" s="127"/>
      <c r="AI330" s="127"/>
      <c r="AJ330" s="127"/>
      <c r="AK330" s="126"/>
      <c r="AL330" s="126"/>
      <c r="AM330" s="126"/>
      <c r="AN330" s="128"/>
      <c r="AO330" s="128"/>
      <c r="AP330" s="128"/>
    </row>
    <row r="331" s="47" customFormat="1" ht="13" customHeight="1" spans="1:42">
      <c r="A331" s="129" t="s">
        <v>564</v>
      </c>
      <c r="B331" s="130" t="s">
        <v>1043</v>
      </c>
      <c r="C331" s="131">
        <v>2400</v>
      </c>
      <c r="D331" s="124"/>
      <c r="E331" s="124"/>
      <c r="F331" s="125"/>
      <c r="G331" s="126"/>
      <c r="H331" s="126"/>
      <c r="I331" s="126"/>
      <c r="J331" s="127"/>
      <c r="K331" s="127"/>
      <c r="L331" s="127"/>
      <c r="M331" s="126"/>
      <c r="N331" s="126"/>
      <c r="O331" s="126"/>
      <c r="P331" s="125"/>
      <c r="Q331" s="125"/>
      <c r="R331" s="125"/>
      <c r="S331" s="126"/>
      <c r="T331" s="126"/>
      <c r="U331" s="126"/>
      <c r="V331" s="127"/>
      <c r="W331" s="127"/>
      <c r="X331" s="127"/>
      <c r="Y331" s="126">
        <v>60</v>
      </c>
      <c r="Z331" s="126">
        <v>10</v>
      </c>
      <c r="AA331" s="126">
        <f t="shared" ref="AA331:AA333" si="109">Y331*Z331</f>
        <v>600</v>
      </c>
      <c r="AB331" s="125">
        <v>278</v>
      </c>
      <c r="AC331" s="125">
        <v>6.2</v>
      </c>
      <c r="AD331" s="125">
        <f t="shared" si="107"/>
        <v>1723.6</v>
      </c>
      <c r="AE331" s="126"/>
      <c r="AF331" s="126"/>
      <c r="AG331" s="126"/>
      <c r="AH331" s="127"/>
      <c r="AI331" s="127"/>
      <c r="AJ331" s="127"/>
      <c r="AK331" s="126">
        <v>166</v>
      </c>
      <c r="AL331" s="126">
        <v>7.8</v>
      </c>
      <c r="AM331" s="126">
        <f t="shared" si="108"/>
        <v>1294.8</v>
      </c>
      <c r="AN331" s="128"/>
      <c r="AO331" s="128"/>
      <c r="AP331" s="128"/>
    </row>
    <row r="332" s="47" customFormat="1" spans="1:42">
      <c r="A332" s="129" t="s">
        <v>564</v>
      </c>
      <c r="B332" s="130" t="s">
        <v>1044</v>
      </c>
      <c r="C332" s="131">
        <v>2000</v>
      </c>
      <c r="D332" s="124"/>
      <c r="E332" s="124"/>
      <c r="F332" s="125"/>
      <c r="G332" s="126"/>
      <c r="H332" s="126"/>
      <c r="I332" s="126"/>
      <c r="J332" s="127"/>
      <c r="K332" s="127"/>
      <c r="L332" s="127"/>
      <c r="M332" s="126"/>
      <c r="N332" s="126"/>
      <c r="O332" s="126"/>
      <c r="P332" s="125"/>
      <c r="Q332" s="125"/>
      <c r="R332" s="125"/>
      <c r="S332" s="126"/>
      <c r="T332" s="126"/>
      <c r="U332" s="126"/>
      <c r="V332" s="127"/>
      <c r="W332" s="127"/>
      <c r="X332" s="127"/>
      <c r="Y332" s="126">
        <v>400</v>
      </c>
      <c r="Z332" s="126">
        <v>10</v>
      </c>
      <c r="AA332" s="126">
        <f t="shared" si="109"/>
        <v>4000</v>
      </c>
      <c r="AB332" s="125">
        <v>120</v>
      </c>
      <c r="AC332" s="125">
        <v>6.2</v>
      </c>
      <c r="AD332" s="125">
        <f t="shared" si="107"/>
        <v>744</v>
      </c>
      <c r="AE332" s="126"/>
      <c r="AF332" s="126"/>
      <c r="AG332" s="126"/>
      <c r="AH332" s="127"/>
      <c r="AI332" s="127"/>
      <c r="AJ332" s="127"/>
      <c r="AK332" s="126">
        <v>250</v>
      </c>
      <c r="AL332" s="126">
        <v>7.8</v>
      </c>
      <c r="AM332" s="126">
        <f t="shared" si="108"/>
        <v>1950</v>
      </c>
      <c r="AN332" s="128"/>
      <c r="AO332" s="128"/>
      <c r="AP332" s="128"/>
    </row>
    <row r="333" s="47" customFormat="1" spans="1:42">
      <c r="A333" s="129">
        <v>45673</v>
      </c>
      <c r="B333" s="130" t="s">
        <v>1045</v>
      </c>
      <c r="C333" s="131">
        <v>1000</v>
      </c>
      <c r="D333" s="124"/>
      <c r="E333" s="124"/>
      <c r="F333" s="125"/>
      <c r="G333" s="126"/>
      <c r="H333" s="126"/>
      <c r="I333" s="126"/>
      <c r="J333" s="127"/>
      <c r="K333" s="127"/>
      <c r="L333" s="127"/>
      <c r="M333" s="126"/>
      <c r="N333" s="126"/>
      <c r="O333" s="126"/>
      <c r="P333" s="125"/>
      <c r="Q333" s="125"/>
      <c r="R333" s="125"/>
      <c r="S333" s="126"/>
      <c r="T333" s="126"/>
      <c r="U333" s="126"/>
      <c r="V333" s="127"/>
      <c r="W333" s="127"/>
      <c r="X333" s="127"/>
      <c r="Y333" s="126">
        <v>50</v>
      </c>
      <c r="Z333" s="126">
        <v>10</v>
      </c>
      <c r="AA333" s="126">
        <f t="shared" si="109"/>
        <v>500</v>
      </c>
      <c r="AB333" s="125">
        <v>95</v>
      </c>
      <c r="AC333" s="125">
        <v>6.2</v>
      </c>
      <c r="AD333" s="125">
        <f t="shared" si="107"/>
        <v>589</v>
      </c>
      <c r="AE333" s="126"/>
      <c r="AF333" s="126"/>
      <c r="AG333" s="126"/>
      <c r="AH333" s="127"/>
      <c r="AI333" s="127"/>
      <c r="AJ333" s="127"/>
      <c r="AK333" s="126">
        <v>155</v>
      </c>
      <c r="AL333" s="126">
        <v>7.8</v>
      </c>
      <c r="AM333" s="126">
        <f t="shared" si="108"/>
        <v>1209</v>
      </c>
      <c r="AN333" s="128"/>
      <c r="AO333" s="128"/>
      <c r="AP333" s="128"/>
    </row>
    <row r="334" s="47" customFormat="1" spans="1:42">
      <c r="A334" s="129"/>
      <c r="B334" s="130"/>
      <c r="C334" s="131"/>
      <c r="D334" s="124"/>
      <c r="E334" s="124"/>
      <c r="F334" s="125"/>
      <c r="G334" s="126"/>
      <c r="H334" s="126"/>
      <c r="I334" s="126"/>
      <c r="J334" s="127"/>
      <c r="K334" s="127"/>
      <c r="L334" s="127"/>
      <c r="M334" s="126"/>
      <c r="N334" s="126"/>
      <c r="O334" s="126"/>
      <c r="P334" s="125"/>
      <c r="Q334" s="125"/>
      <c r="R334" s="125"/>
      <c r="S334" s="126"/>
      <c r="T334" s="126"/>
      <c r="U334" s="126"/>
      <c r="V334" s="127"/>
      <c r="W334" s="127"/>
      <c r="X334" s="127"/>
      <c r="Y334" s="126"/>
      <c r="Z334" s="126"/>
      <c r="AA334" s="126"/>
      <c r="AB334" s="125"/>
      <c r="AC334" s="125"/>
      <c r="AD334" s="125"/>
      <c r="AE334" s="126"/>
      <c r="AF334" s="126"/>
      <c r="AG334" s="126"/>
      <c r="AH334" s="127"/>
      <c r="AI334" s="127"/>
      <c r="AJ334" s="127"/>
      <c r="AK334" s="126"/>
      <c r="AL334" s="126"/>
      <c r="AM334" s="126"/>
      <c r="AN334" s="128"/>
      <c r="AO334" s="128"/>
      <c r="AP334" s="128"/>
    </row>
    <row r="335" s="47" customFormat="1" spans="1:42">
      <c r="A335" s="129"/>
      <c r="B335" s="130"/>
      <c r="C335" s="131"/>
      <c r="D335" s="124"/>
      <c r="E335" s="124"/>
      <c r="F335" s="125"/>
      <c r="G335" s="126"/>
      <c r="H335" s="126"/>
      <c r="I335" s="126"/>
      <c r="J335" s="127"/>
      <c r="K335" s="127"/>
      <c r="L335" s="127"/>
      <c r="M335" s="126"/>
      <c r="N335" s="126"/>
      <c r="O335" s="126"/>
      <c r="P335" s="125"/>
      <c r="Q335" s="125"/>
      <c r="R335" s="125"/>
      <c r="S335" s="126"/>
      <c r="T335" s="126"/>
      <c r="U335" s="126"/>
      <c r="V335" s="127"/>
      <c r="W335" s="127"/>
      <c r="X335" s="127"/>
      <c r="Y335" s="126"/>
      <c r="Z335" s="126"/>
      <c r="AA335" s="126"/>
      <c r="AB335" s="125"/>
      <c r="AC335" s="125"/>
      <c r="AD335" s="125"/>
      <c r="AE335" s="126"/>
      <c r="AF335" s="126"/>
      <c r="AG335" s="126"/>
      <c r="AH335" s="127"/>
      <c r="AI335" s="127"/>
      <c r="AJ335" s="127"/>
      <c r="AK335" s="126"/>
      <c r="AL335" s="126"/>
      <c r="AM335" s="126"/>
      <c r="AN335" s="128"/>
      <c r="AO335" s="128"/>
      <c r="AP335" s="128"/>
    </row>
    <row r="336" s="47" customFormat="1" spans="1:42">
      <c r="A336" s="129"/>
      <c r="B336" s="130"/>
      <c r="C336" s="131"/>
      <c r="D336" s="124"/>
      <c r="E336" s="124"/>
      <c r="F336" s="125"/>
      <c r="G336" s="126"/>
      <c r="H336" s="126"/>
      <c r="I336" s="126"/>
      <c r="J336" s="127"/>
      <c r="K336" s="127"/>
      <c r="L336" s="127"/>
      <c r="M336" s="126"/>
      <c r="N336" s="126"/>
      <c r="O336" s="126"/>
      <c r="P336" s="125"/>
      <c r="Q336" s="125"/>
      <c r="R336" s="125"/>
      <c r="S336" s="126"/>
      <c r="T336" s="126"/>
      <c r="U336" s="126"/>
      <c r="V336" s="127"/>
      <c r="W336" s="127"/>
      <c r="X336" s="127"/>
      <c r="Y336" s="126"/>
      <c r="Z336" s="126"/>
      <c r="AA336" s="126"/>
      <c r="AB336" s="125"/>
      <c r="AC336" s="125"/>
      <c r="AD336" s="125"/>
      <c r="AE336" s="126"/>
      <c r="AF336" s="126"/>
      <c r="AG336" s="126"/>
      <c r="AH336" s="127"/>
      <c r="AI336" s="127"/>
      <c r="AJ336" s="127"/>
      <c r="AK336" s="126"/>
      <c r="AL336" s="126"/>
      <c r="AM336" s="126"/>
      <c r="AN336" s="128"/>
      <c r="AO336" s="128"/>
      <c r="AP336" s="128"/>
    </row>
    <row r="337" s="47" customFormat="1" spans="1:42">
      <c r="A337" s="129"/>
      <c r="B337" s="137"/>
      <c r="C337" s="131">
        <f>SUM(C322:C336)</f>
        <v>9418.5</v>
      </c>
      <c r="D337" s="146">
        <f>SUM(D321:D336)</f>
        <v>0</v>
      </c>
      <c r="E337" s="147"/>
      <c r="F337" s="146">
        <f t="shared" ref="F337:J337" si="110">SUM(F321:F336)</f>
        <v>0</v>
      </c>
      <c r="G337" s="146">
        <f t="shared" si="110"/>
        <v>50</v>
      </c>
      <c r="H337" s="81"/>
      <c r="I337" s="146">
        <f t="shared" si="110"/>
        <v>45</v>
      </c>
      <c r="J337" s="146">
        <f t="shared" si="110"/>
        <v>25</v>
      </c>
      <c r="K337" s="78"/>
      <c r="L337" s="146">
        <f t="shared" ref="L337:P337" si="111">SUM(L321:L336)</f>
        <v>425</v>
      </c>
      <c r="M337" s="146">
        <f t="shared" si="111"/>
        <v>0</v>
      </c>
      <c r="N337" s="81"/>
      <c r="O337" s="146">
        <f t="shared" si="111"/>
        <v>0</v>
      </c>
      <c r="P337" s="146">
        <f t="shared" si="111"/>
        <v>0</v>
      </c>
      <c r="Q337" s="104"/>
      <c r="R337" s="146">
        <f t="shared" ref="R337:V337" si="112">SUM(R321:R336)</f>
        <v>0</v>
      </c>
      <c r="S337" s="146">
        <f t="shared" si="112"/>
        <v>0</v>
      </c>
      <c r="T337" s="81"/>
      <c r="U337" s="146">
        <f t="shared" si="112"/>
        <v>0</v>
      </c>
      <c r="V337" s="146">
        <f t="shared" si="112"/>
        <v>0</v>
      </c>
      <c r="W337" s="78"/>
      <c r="X337" s="146">
        <f t="shared" ref="X337:AB337" si="113">SUM(X321:X336)</f>
        <v>0</v>
      </c>
      <c r="Y337" s="146">
        <f t="shared" si="113"/>
        <v>1026</v>
      </c>
      <c r="Z337" s="81"/>
      <c r="AA337" s="146">
        <f t="shared" si="113"/>
        <v>10246</v>
      </c>
      <c r="AB337" s="146">
        <f t="shared" si="113"/>
        <v>669</v>
      </c>
      <c r="AC337" s="104"/>
      <c r="AD337" s="146">
        <f t="shared" ref="AD337:AH337" si="114">SUM(AD321:AD336)</f>
        <v>4112.6</v>
      </c>
      <c r="AE337" s="146">
        <f t="shared" si="114"/>
        <v>279</v>
      </c>
      <c r="AF337" s="81"/>
      <c r="AG337" s="146">
        <f t="shared" si="114"/>
        <v>1032.3</v>
      </c>
      <c r="AH337" s="146">
        <f t="shared" si="114"/>
        <v>0</v>
      </c>
      <c r="AI337" s="78"/>
      <c r="AJ337" s="78">
        <v>0</v>
      </c>
      <c r="AK337" s="146">
        <f t="shared" ref="AK337:AN337" si="115">SUM(AK321:AK336)</f>
        <v>691</v>
      </c>
      <c r="AL337" s="81"/>
      <c r="AM337" s="146">
        <f t="shared" si="115"/>
        <v>5305.8</v>
      </c>
      <c r="AN337" s="146">
        <f t="shared" si="115"/>
        <v>80</v>
      </c>
      <c r="AO337" s="146"/>
      <c r="AP337" s="146">
        <f>SUM(AP321:AP336)</f>
        <v>612</v>
      </c>
    </row>
  </sheetData>
  <mergeCells count="223">
    <mergeCell ref="A1:E1"/>
    <mergeCell ref="G1:K1"/>
    <mergeCell ref="L1:M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A22:AQ22"/>
    <mergeCell ref="A23:E23"/>
    <mergeCell ref="G23:K23"/>
    <mergeCell ref="L23:M23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46:E46"/>
    <mergeCell ref="G46:K46"/>
    <mergeCell ref="L46:M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70:E70"/>
    <mergeCell ref="G70:K70"/>
    <mergeCell ref="L70:M70"/>
    <mergeCell ref="D71:F71"/>
    <mergeCell ref="G71:I71"/>
    <mergeCell ref="J71:L71"/>
    <mergeCell ref="M71:O71"/>
    <mergeCell ref="P71:R71"/>
    <mergeCell ref="S71:U71"/>
    <mergeCell ref="V71:X71"/>
    <mergeCell ref="Y71:AA71"/>
    <mergeCell ref="AB71:AD71"/>
    <mergeCell ref="AE71:AG71"/>
    <mergeCell ref="AH71:AJ71"/>
    <mergeCell ref="AK71:AM71"/>
    <mergeCell ref="AN71:AP71"/>
    <mergeCell ref="A96:AP96"/>
    <mergeCell ref="A97:E97"/>
    <mergeCell ref="G97:K97"/>
    <mergeCell ref="L97:M97"/>
    <mergeCell ref="D98:F98"/>
    <mergeCell ref="G98:I98"/>
    <mergeCell ref="J98:L98"/>
    <mergeCell ref="M98:O98"/>
    <mergeCell ref="P98:R98"/>
    <mergeCell ref="S98:U98"/>
    <mergeCell ref="V98:X98"/>
    <mergeCell ref="Y98:AA98"/>
    <mergeCell ref="AB98:AD98"/>
    <mergeCell ref="AE98:AG98"/>
    <mergeCell ref="AH98:AJ98"/>
    <mergeCell ref="AK98:AM98"/>
    <mergeCell ref="AN98:AP98"/>
    <mergeCell ref="A123:E123"/>
    <mergeCell ref="G123:K123"/>
    <mergeCell ref="L123:M123"/>
    <mergeCell ref="D124:F124"/>
    <mergeCell ref="G124:I124"/>
    <mergeCell ref="J124:L124"/>
    <mergeCell ref="M124:O124"/>
    <mergeCell ref="P124:R124"/>
    <mergeCell ref="S124:U124"/>
    <mergeCell ref="V124:X124"/>
    <mergeCell ref="Y124:AA124"/>
    <mergeCell ref="AB124:AD124"/>
    <mergeCell ref="AE124:AG124"/>
    <mergeCell ref="AH124:AJ124"/>
    <mergeCell ref="AK124:AM124"/>
    <mergeCell ref="AN124:AP124"/>
    <mergeCell ref="A139:E139"/>
    <mergeCell ref="G139:K139"/>
    <mergeCell ref="L139:M139"/>
    <mergeCell ref="D140:F140"/>
    <mergeCell ref="G140:I140"/>
    <mergeCell ref="J140:L140"/>
    <mergeCell ref="M140:O140"/>
    <mergeCell ref="P140:R140"/>
    <mergeCell ref="S140:U140"/>
    <mergeCell ref="V140:X140"/>
    <mergeCell ref="Y140:AA140"/>
    <mergeCell ref="AB140:AD140"/>
    <mergeCell ref="AE140:AG140"/>
    <mergeCell ref="AH140:AJ140"/>
    <mergeCell ref="AK140:AM140"/>
    <mergeCell ref="AN140:AP140"/>
    <mergeCell ref="A163:E163"/>
    <mergeCell ref="G163:K163"/>
    <mergeCell ref="L163:M163"/>
    <mergeCell ref="D164:F164"/>
    <mergeCell ref="G164:I164"/>
    <mergeCell ref="J164:L164"/>
    <mergeCell ref="M164:O164"/>
    <mergeCell ref="P164:R164"/>
    <mergeCell ref="S164:U164"/>
    <mergeCell ref="V164:X164"/>
    <mergeCell ref="Y164:AA164"/>
    <mergeCell ref="AB164:AD164"/>
    <mergeCell ref="AE164:AG164"/>
    <mergeCell ref="AH164:AJ164"/>
    <mergeCell ref="AK164:AM164"/>
    <mergeCell ref="AN164:AP164"/>
    <mergeCell ref="A198:E198"/>
    <mergeCell ref="G198:K198"/>
    <mergeCell ref="L198:M198"/>
    <mergeCell ref="D199:F199"/>
    <mergeCell ref="G199:I199"/>
    <mergeCell ref="J199:L199"/>
    <mergeCell ref="M199:O199"/>
    <mergeCell ref="P199:R199"/>
    <mergeCell ref="S199:U199"/>
    <mergeCell ref="V199:X199"/>
    <mergeCell ref="Y199:AA199"/>
    <mergeCell ref="AB199:AD199"/>
    <mergeCell ref="AE199:AG199"/>
    <mergeCell ref="AH199:AJ199"/>
    <mergeCell ref="AK199:AM199"/>
    <mergeCell ref="AN199:AP199"/>
    <mergeCell ref="A222:E222"/>
    <mergeCell ref="G222:K222"/>
    <mergeCell ref="L222:M222"/>
    <mergeCell ref="D223:F223"/>
    <mergeCell ref="G223:I223"/>
    <mergeCell ref="J223:L223"/>
    <mergeCell ref="M223:O223"/>
    <mergeCell ref="P223:R223"/>
    <mergeCell ref="S223:U223"/>
    <mergeCell ref="V223:X223"/>
    <mergeCell ref="Y223:AA223"/>
    <mergeCell ref="AB223:AD223"/>
    <mergeCell ref="AE223:AG223"/>
    <mergeCell ref="AH223:AJ223"/>
    <mergeCell ref="AK223:AM223"/>
    <mergeCell ref="AN223:AP223"/>
    <mergeCell ref="A264:E264"/>
    <mergeCell ref="G264:K264"/>
    <mergeCell ref="L264:M264"/>
    <mergeCell ref="D265:F265"/>
    <mergeCell ref="G265:I265"/>
    <mergeCell ref="J265:L265"/>
    <mergeCell ref="M265:O265"/>
    <mergeCell ref="P265:R265"/>
    <mergeCell ref="S265:U265"/>
    <mergeCell ref="V265:X265"/>
    <mergeCell ref="Y265:AA265"/>
    <mergeCell ref="AB265:AD265"/>
    <mergeCell ref="AE265:AG265"/>
    <mergeCell ref="AH265:AJ265"/>
    <mergeCell ref="AK265:AM265"/>
    <mergeCell ref="AN265:AP265"/>
    <mergeCell ref="A299:C299"/>
    <mergeCell ref="G299:K299"/>
    <mergeCell ref="L299:M299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318:C318"/>
    <mergeCell ref="G318:K318"/>
    <mergeCell ref="L318:M318"/>
    <mergeCell ref="D319:F319"/>
    <mergeCell ref="G319:I319"/>
    <mergeCell ref="J319:L319"/>
    <mergeCell ref="M319:O319"/>
    <mergeCell ref="P319:R319"/>
    <mergeCell ref="S319:U319"/>
    <mergeCell ref="V319:X319"/>
    <mergeCell ref="Y319:AA319"/>
    <mergeCell ref="AB319:AD319"/>
    <mergeCell ref="AE319:AG319"/>
    <mergeCell ref="AH319:AJ319"/>
    <mergeCell ref="AK319:AM319"/>
    <mergeCell ref="AN319:AP319"/>
    <mergeCell ref="A2:A3"/>
    <mergeCell ref="A24:A25"/>
    <mergeCell ref="A47:A48"/>
    <mergeCell ref="A71:A72"/>
    <mergeCell ref="A98:A99"/>
    <mergeCell ref="A124:A125"/>
    <mergeCell ref="A140:A141"/>
    <mergeCell ref="A164:A165"/>
    <mergeCell ref="A199:A200"/>
    <mergeCell ref="A223:A224"/>
    <mergeCell ref="A265:A266"/>
    <mergeCell ref="A300:A301"/>
    <mergeCell ref="A319:A320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03"/>
  <sheetViews>
    <sheetView tabSelected="1" topLeftCell="A2" workbookViewId="0">
      <selection activeCell="M15" sqref="M15"/>
    </sheetView>
  </sheetViews>
  <sheetFormatPr defaultColWidth="9" defaultRowHeight="14.25"/>
  <cols>
    <col min="1" max="1" width="10.125" customWidth="1"/>
    <col min="2" max="2" width="8.75" customWidth="1"/>
    <col min="3" max="3" width="51.5" customWidth="1"/>
    <col min="4" max="4" width="8.5" customWidth="1"/>
    <col min="5" max="5" width="18.625" customWidth="1"/>
    <col min="6" max="6" width="18.5" customWidth="1"/>
    <col min="7" max="7" width="8.5" customWidth="1"/>
  </cols>
  <sheetData>
    <row r="1" ht="22.5" spans="1:7">
      <c r="A1" s="325" t="s">
        <v>1046</v>
      </c>
      <c r="B1" s="326"/>
      <c r="C1" s="327"/>
      <c r="D1" s="328"/>
      <c r="E1" s="329"/>
      <c r="F1" s="330"/>
      <c r="G1" s="329"/>
    </row>
    <row r="2" ht="26" customHeight="1" spans="1:7">
      <c r="A2" s="331" t="s">
        <v>1047</v>
      </c>
      <c r="B2" s="332" t="s">
        <v>1048</v>
      </c>
      <c r="C2" s="333"/>
      <c r="D2" s="332"/>
      <c r="E2" s="332" t="s">
        <v>1049</v>
      </c>
      <c r="F2" s="334" t="s">
        <v>1050</v>
      </c>
      <c r="G2" s="335" t="s">
        <v>9</v>
      </c>
    </row>
    <row r="3" ht="21" customHeight="1" spans="1:7">
      <c r="A3" s="331"/>
      <c r="B3" s="336">
        <f>SUM(D7:D34)</f>
        <v>39250.8</v>
      </c>
      <c r="C3" s="337"/>
      <c r="D3" s="336"/>
      <c r="E3" s="336">
        <f>SUM(E7:E34)</f>
        <v>84745</v>
      </c>
      <c r="F3" s="338">
        <f>B3-E3</f>
        <v>-45494.2</v>
      </c>
      <c r="G3" s="335"/>
    </row>
    <row r="4" ht="16" customHeight="1" spans="1:7">
      <c r="A4" s="331"/>
      <c r="B4" s="336"/>
      <c r="C4" s="337"/>
      <c r="D4" s="336"/>
      <c r="E4" s="336"/>
      <c r="F4" s="338"/>
      <c r="G4" s="335"/>
    </row>
    <row r="5" ht="22" customHeight="1" spans="1:7">
      <c r="A5" s="331"/>
      <c r="B5" s="339" t="s">
        <v>1051</v>
      </c>
      <c r="C5" s="339"/>
      <c r="D5" s="339"/>
      <c r="E5" s="339"/>
      <c r="F5" s="339"/>
      <c r="G5" s="335"/>
    </row>
    <row r="6" ht="20" customHeight="1" spans="1:7">
      <c r="A6" s="331"/>
      <c r="B6" s="340" t="s">
        <v>1052</v>
      </c>
      <c r="C6" s="341" t="s">
        <v>1053</v>
      </c>
      <c r="D6" s="342" t="s">
        <v>918</v>
      </c>
      <c r="E6" s="342" t="s">
        <v>1054</v>
      </c>
      <c r="F6" s="343" t="s">
        <v>1055</v>
      </c>
      <c r="G6" s="335"/>
    </row>
    <row r="7" ht="20" customHeight="1" spans="1:7">
      <c r="A7" s="344" t="s">
        <v>492</v>
      </c>
      <c r="B7" s="345"/>
      <c r="C7" s="346" t="s">
        <v>1007</v>
      </c>
      <c r="D7" s="342"/>
      <c r="E7" s="342">
        <v>57378</v>
      </c>
      <c r="F7" s="347">
        <f>D7-E7</f>
        <v>-57378</v>
      </c>
      <c r="G7" s="348"/>
    </row>
    <row r="8" s="5" customFormat="1" ht="23" customHeight="1" spans="1:7">
      <c r="A8" s="344">
        <v>46024</v>
      </c>
      <c r="B8" s="345">
        <v>2</v>
      </c>
      <c r="C8" s="346" t="s">
        <v>1056</v>
      </c>
      <c r="D8" s="349">
        <v>1885</v>
      </c>
      <c r="E8" s="342"/>
      <c r="F8" s="347">
        <f t="shared" ref="F8:F13" si="0">F7+D8-E8</f>
        <v>-55493</v>
      </c>
      <c r="G8" s="348"/>
    </row>
    <row r="9" s="5" customFormat="1" ht="23" customHeight="1" spans="1:7">
      <c r="A9" s="344">
        <v>46025</v>
      </c>
      <c r="B9" s="345">
        <v>8</v>
      </c>
      <c r="C9" s="346" t="s">
        <v>919</v>
      </c>
      <c r="D9" s="349">
        <v>2561.4</v>
      </c>
      <c r="E9" s="342"/>
      <c r="F9" s="347">
        <f t="shared" si="0"/>
        <v>-52931.6</v>
      </c>
      <c r="G9" s="348"/>
    </row>
    <row r="10" s="5" customFormat="1" ht="23" customHeight="1" spans="1:7">
      <c r="A10" s="344">
        <v>46031</v>
      </c>
      <c r="B10" s="345"/>
      <c r="C10" s="346" t="s">
        <v>1057</v>
      </c>
      <c r="D10" s="350">
        <v>14200</v>
      </c>
      <c r="E10" s="342"/>
      <c r="F10" s="347">
        <f t="shared" si="0"/>
        <v>-38731.6</v>
      </c>
      <c r="G10" s="348"/>
    </row>
    <row r="11" s="5" customFormat="1" ht="23" customHeight="1" spans="1:7">
      <c r="A11" s="344">
        <v>46032</v>
      </c>
      <c r="B11" s="345">
        <v>22</v>
      </c>
      <c r="C11" s="346" t="s">
        <v>704</v>
      </c>
      <c r="D11" s="349">
        <v>1556</v>
      </c>
      <c r="E11" s="342"/>
      <c r="F11" s="347">
        <f t="shared" si="0"/>
        <v>-37175.6</v>
      </c>
      <c r="G11" s="348"/>
    </row>
    <row r="12" s="5" customFormat="1" ht="23" customHeight="1" spans="1:7">
      <c r="A12" s="344">
        <v>46032</v>
      </c>
      <c r="B12" s="345">
        <v>28</v>
      </c>
      <c r="C12" s="346" t="s">
        <v>1058</v>
      </c>
      <c r="D12" s="349">
        <v>250.2</v>
      </c>
      <c r="E12" s="342"/>
      <c r="F12" s="347">
        <f t="shared" si="0"/>
        <v>-36925.4</v>
      </c>
      <c r="G12" s="348"/>
    </row>
    <row r="13" ht="23" customHeight="1" spans="1:7">
      <c r="A13" s="344">
        <v>46032</v>
      </c>
      <c r="B13" s="345">
        <v>29</v>
      </c>
      <c r="C13" s="346" t="s">
        <v>944</v>
      </c>
      <c r="D13" s="349">
        <v>1611.8</v>
      </c>
      <c r="E13" s="342"/>
      <c r="F13" s="347">
        <f t="shared" si="0"/>
        <v>-35313.6</v>
      </c>
      <c r="G13" s="348"/>
    </row>
    <row r="14" ht="23" customHeight="1" spans="1:7">
      <c r="A14" s="344">
        <v>46036</v>
      </c>
      <c r="B14" s="345"/>
      <c r="C14" s="346" t="s">
        <v>1059</v>
      </c>
      <c r="D14" s="349"/>
      <c r="E14" s="342">
        <v>2419</v>
      </c>
      <c r="F14" s="347">
        <f t="shared" ref="F14:F24" si="1">F13+D14-E14</f>
        <v>-37732.6</v>
      </c>
      <c r="G14" s="348"/>
    </row>
    <row r="15" ht="23" customHeight="1" spans="1:7">
      <c r="A15" s="344">
        <v>46035</v>
      </c>
      <c r="B15" s="345">
        <v>36</v>
      </c>
      <c r="C15" s="346" t="s">
        <v>939</v>
      </c>
      <c r="D15" s="349">
        <v>2296</v>
      </c>
      <c r="E15" s="342"/>
      <c r="F15" s="347">
        <f t="shared" si="1"/>
        <v>-35436.6</v>
      </c>
      <c r="G15" s="348"/>
    </row>
    <row r="16" ht="23" customHeight="1" spans="1:7">
      <c r="A16" s="344">
        <v>46038</v>
      </c>
      <c r="B16" s="345">
        <v>44</v>
      </c>
      <c r="C16" s="346" t="s">
        <v>924</v>
      </c>
      <c r="D16" s="349">
        <v>1423</v>
      </c>
      <c r="E16" s="342"/>
      <c r="F16" s="347">
        <f t="shared" si="1"/>
        <v>-34013.6</v>
      </c>
      <c r="G16" s="348"/>
    </row>
    <row r="17" ht="23" customHeight="1" spans="1:7">
      <c r="A17" s="344">
        <v>46038</v>
      </c>
      <c r="B17" s="345"/>
      <c r="C17" s="346" t="s">
        <v>1060</v>
      </c>
      <c r="D17" s="350"/>
      <c r="E17" s="351">
        <v>24948</v>
      </c>
      <c r="F17" s="347">
        <f t="shared" si="1"/>
        <v>-58961.6</v>
      </c>
      <c r="G17" s="348"/>
    </row>
    <row r="18" ht="23" customHeight="1" spans="1:7">
      <c r="A18" s="344">
        <v>46041</v>
      </c>
      <c r="B18" s="345">
        <v>50</v>
      </c>
      <c r="C18" s="352" t="s">
        <v>1061</v>
      </c>
      <c r="D18" s="353">
        <v>6178</v>
      </c>
      <c r="E18" s="342"/>
      <c r="F18" s="347">
        <f t="shared" si="1"/>
        <v>-52783.6</v>
      </c>
      <c r="G18" s="348"/>
    </row>
    <row r="19" ht="23" customHeight="1" spans="1:7">
      <c r="A19" s="344">
        <v>46043</v>
      </c>
      <c r="B19" s="345" t="s">
        <v>187</v>
      </c>
      <c r="C19" s="346" t="s">
        <v>937</v>
      </c>
      <c r="D19" s="349">
        <v>3634</v>
      </c>
      <c r="E19" s="342"/>
      <c r="F19" s="347">
        <f t="shared" si="1"/>
        <v>-49149.6</v>
      </c>
      <c r="G19" s="348"/>
    </row>
    <row r="20" ht="23" customHeight="1" spans="1:7">
      <c r="A20" s="354">
        <v>46044</v>
      </c>
      <c r="B20" s="345">
        <v>61</v>
      </c>
      <c r="C20" s="355" t="s">
        <v>934</v>
      </c>
      <c r="D20" s="356">
        <v>1547.4</v>
      </c>
      <c r="E20" s="357"/>
      <c r="F20" s="347">
        <f t="shared" si="1"/>
        <v>-47602.2</v>
      </c>
      <c r="G20" s="348"/>
    </row>
    <row r="21" ht="23" customHeight="1" spans="1:7">
      <c r="A21" s="354">
        <v>46044</v>
      </c>
      <c r="B21" s="345">
        <v>62</v>
      </c>
      <c r="C21" s="355" t="s">
        <v>939</v>
      </c>
      <c r="D21" s="356">
        <v>2108</v>
      </c>
      <c r="E21" s="357"/>
      <c r="F21" s="347">
        <f t="shared" si="1"/>
        <v>-45494.2</v>
      </c>
      <c r="G21" s="348"/>
    </row>
    <row r="22" ht="23" customHeight="1" spans="1:7">
      <c r="A22" s="354"/>
      <c r="B22" s="345"/>
      <c r="C22" s="355"/>
      <c r="D22" s="356"/>
      <c r="E22" s="357"/>
      <c r="F22" s="347">
        <f t="shared" si="1"/>
        <v>-45494.2</v>
      </c>
      <c r="G22" s="348"/>
    </row>
    <row r="23" ht="23" customHeight="1" spans="1:7">
      <c r="A23" s="344"/>
      <c r="B23" s="345"/>
      <c r="C23" s="346"/>
      <c r="D23" s="349"/>
      <c r="E23" s="342"/>
      <c r="F23" s="347">
        <f t="shared" si="1"/>
        <v>-45494.2</v>
      </c>
      <c r="G23" s="348"/>
    </row>
    <row r="24" ht="23" customHeight="1" spans="1:7">
      <c r="A24" s="344"/>
      <c r="B24" s="345"/>
      <c r="C24" s="346"/>
      <c r="D24" s="349"/>
      <c r="E24" s="342"/>
      <c r="F24" s="347">
        <f t="shared" si="1"/>
        <v>-45494.2</v>
      </c>
      <c r="G24" s="348"/>
    </row>
    <row r="25" ht="23" customHeight="1" spans="1:7">
      <c r="A25" s="344"/>
      <c r="B25" s="345"/>
      <c r="C25" s="346"/>
      <c r="D25" s="349"/>
      <c r="E25" s="342"/>
      <c r="F25" s="347">
        <f t="shared" ref="F15:F33" si="2">F24+D25-E25</f>
        <v>-45494.2</v>
      </c>
      <c r="G25" s="348"/>
    </row>
    <row r="26" ht="23" customHeight="1" spans="1:7">
      <c r="A26" s="344"/>
      <c r="B26" s="345"/>
      <c r="C26" s="346"/>
      <c r="D26" s="349"/>
      <c r="E26" s="358"/>
      <c r="F26" s="347">
        <f t="shared" si="2"/>
        <v>-45494.2</v>
      </c>
      <c r="G26" s="348"/>
    </row>
    <row r="27" ht="23" customHeight="1" spans="1:7">
      <c r="A27" s="344"/>
      <c r="B27" s="345"/>
      <c r="C27" s="352"/>
      <c r="D27" s="353"/>
      <c r="E27" s="342"/>
      <c r="F27" s="347">
        <f t="shared" si="2"/>
        <v>-45494.2</v>
      </c>
      <c r="G27" s="348"/>
    </row>
    <row r="28" ht="23" customHeight="1" spans="1:7">
      <c r="A28" s="344"/>
      <c r="B28" s="345"/>
      <c r="C28" s="359"/>
      <c r="D28" s="349"/>
      <c r="E28" s="351"/>
      <c r="F28" s="347">
        <f t="shared" si="2"/>
        <v>-45494.2</v>
      </c>
      <c r="G28" s="348"/>
    </row>
    <row r="29" ht="23" customHeight="1" spans="1:7">
      <c r="A29" s="344"/>
      <c r="B29" s="345"/>
      <c r="C29" s="355"/>
      <c r="D29" s="356"/>
      <c r="E29" s="357"/>
      <c r="F29" s="347">
        <f t="shared" si="2"/>
        <v>-45494.2</v>
      </c>
      <c r="G29" s="348"/>
    </row>
    <row r="30" ht="23" customHeight="1" spans="1:7">
      <c r="A30" s="344"/>
      <c r="B30" s="345"/>
      <c r="C30" s="346"/>
      <c r="D30" s="349"/>
      <c r="E30" s="342"/>
      <c r="F30" s="347">
        <f t="shared" si="2"/>
        <v>-45494.2</v>
      </c>
      <c r="G30" s="348"/>
    </row>
    <row r="31" ht="23" customHeight="1" spans="1:7">
      <c r="A31" s="344"/>
      <c r="B31" s="346"/>
      <c r="C31" s="359"/>
      <c r="D31" s="350"/>
      <c r="E31" s="351"/>
      <c r="F31" s="347">
        <f t="shared" si="2"/>
        <v>-45494.2</v>
      </c>
      <c r="G31" s="348"/>
    </row>
    <row r="32" ht="23" customHeight="1" spans="1:7">
      <c r="A32" s="344"/>
      <c r="B32" s="345"/>
      <c r="C32" s="346"/>
      <c r="D32" s="349"/>
      <c r="E32" s="342"/>
      <c r="F32" s="347">
        <f t="shared" si="2"/>
        <v>-45494.2</v>
      </c>
      <c r="G32" s="348"/>
    </row>
    <row r="33" ht="23" customHeight="1" spans="1:7">
      <c r="A33" s="344"/>
      <c r="B33" s="345"/>
      <c r="C33" s="359"/>
      <c r="D33" s="349"/>
      <c r="E33" s="351"/>
      <c r="F33" s="347">
        <f t="shared" si="2"/>
        <v>-45494.2</v>
      </c>
      <c r="G33" s="348"/>
    </row>
    <row r="34" ht="23" customHeight="1" spans="1:7">
      <c r="A34" s="360"/>
      <c r="B34" s="360"/>
      <c r="C34" s="360"/>
      <c r="D34" s="360"/>
      <c r="E34" s="360"/>
      <c r="F34" s="360"/>
      <c r="G34" s="360"/>
    </row>
    <row r="35" ht="23" customHeight="1" spans="1:7">
      <c r="A35" s="361" t="s">
        <v>1062</v>
      </c>
      <c r="B35" s="361"/>
      <c r="C35" s="361"/>
      <c r="D35" s="361"/>
      <c r="E35" s="361"/>
      <c r="F35" s="361"/>
      <c r="G35" s="361"/>
    </row>
    <row r="36" ht="23" customHeight="1" spans="1:7">
      <c r="A36" s="362" t="s">
        <v>1047</v>
      </c>
      <c r="B36" s="362"/>
      <c r="C36" s="363" t="s">
        <v>1053</v>
      </c>
      <c r="D36" s="364" t="s">
        <v>1063</v>
      </c>
      <c r="E36" s="365" t="s">
        <v>1064</v>
      </c>
      <c r="F36" s="332" t="s">
        <v>39</v>
      </c>
      <c r="G36" s="332"/>
    </row>
    <row r="37" ht="23" customHeight="1" spans="1:7">
      <c r="A37" s="362" t="s">
        <v>1065</v>
      </c>
      <c r="B37" s="362"/>
      <c r="C37" s="366" t="s">
        <v>1066</v>
      </c>
      <c r="D37" s="364"/>
      <c r="E37" s="367">
        <v>50</v>
      </c>
      <c r="F37" s="368"/>
      <c r="G37" s="368"/>
    </row>
    <row r="38" ht="23" customHeight="1" spans="1:7">
      <c r="A38" s="362" t="s">
        <v>1067</v>
      </c>
      <c r="B38" s="362"/>
      <c r="C38" s="366" t="s">
        <v>1068</v>
      </c>
      <c r="D38" s="369"/>
      <c r="E38" s="367">
        <v>1000</v>
      </c>
      <c r="F38" s="370"/>
      <c r="G38" s="370"/>
    </row>
    <row r="39" ht="23" customHeight="1" spans="1:7">
      <c r="A39" s="362" t="s">
        <v>1069</v>
      </c>
      <c r="B39" s="362"/>
      <c r="C39" s="366" t="s">
        <v>1070</v>
      </c>
      <c r="D39" s="369"/>
      <c r="E39" s="367">
        <v>-200</v>
      </c>
      <c r="F39" s="368"/>
      <c r="G39" s="368"/>
    </row>
    <row r="40" ht="23" customHeight="1" spans="1:7">
      <c r="A40" s="362"/>
      <c r="B40" s="362"/>
      <c r="C40" s="366"/>
      <c r="D40" s="364"/>
      <c r="E40" s="367"/>
      <c r="F40" s="368"/>
      <c r="G40" s="368"/>
    </row>
    <row r="41" ht="26" customHeight="1" spans="1:7">
      <c r="A41" s="362"/>
      <c r="B41" s="362"/>
      <c r="C41" s="366"/>
      <c r="D41" s="364"/>
      <c r="E41" s="367"/>
      <c r="F41" s="368"/>
      <c r="G41" s="368"/>
    </row>
    <row r="42" ht="26" customHeight="1" spans="1:7">
      <c r="A42" s="362"/>
      <c r="B42" s="362"/>
      <c r="C42" s="366"/>
      <c r="D42" s="364"/>
      <c r="E42" s="367"/>
      <c r="F42" s="368"/>
      <c r="G42" s="368"/>
    </row>
    <row r="43" spans="1:7">
      <c r="A43" s="362"/>
      <c r="B43" s="362"/>
      <c r="C43" s="366"/>
      <c r="D43" s="364"/>
      <c r="E43" s="367"/>
      <c r="F43" s="368"/>
      <c r="G43" s="368"/>
    </row>
    <row r="44" ht="26" customHeight="1" spans="1:7">
      <c r="A44" s="371" t="s">
        <v>1071</v>
      </c>
      <c r="B44" s="371"/>
      <c r="C44" s="371"/>
      <c r="D44" s="371"/>
      <c r="E44" s="372">
        <f>SUM(E37:E43)</f>
        <v>850</v>
      </c>
      <c r="F44" s="373"/>
      <c r="G44" s="373"/>
    </row>
    <row r="45" ht="21" customHeight="1"/>
    <row r="46" ht="24" customHeight="1" spans="1:7">
      <c r="A46" s="325" t="s">
        <v>1072</v>
      </c>
      <c r="B46" s="326"/>
      <c r="C46" s="327"/>
      <c r="D46" s="328"/>
      <c r="E46" s="329"/>
      <c r="F46" s="330"/>
      <c r="G46" s="329"/>
    </row>
    <row r="47" ht="7" customHeight="1" spans="1:7">
      <c r="A47" s="331" t="s">
        <v>1047</v>
      </c>
      <c r="B47" s="332" t="s">
        <v>1048</v>
      </c>
      <c r="C47" s="333"/>
      <c r="D47" s="332"/>
      <c r="E47" s="332" t="s">
        <v>1049</v>
      </c>
      <c r="F47" s="334" t="s">
        <v>1050</v>
      </c>
      <c r="G47" s="335" t="s">
        <v>9</v>
      </c>
    </row>
    <row r="48" ht="20" customHeight="1" spans="1:7">
      <c r="A48" s="331"/>
      <c r="B48" s="336">
        <f>SUM(D52:D77)</f>
        <v>47636.6</v>
      </c>
      <c r="C48" s="337"/>
      <c r="D48" s="336"/>
      <c r="E48" s="336">
        <f>SUM(E52:E77)</f>
        <v>105015</v>
      </c>
      <c r="F48" s="338">
        <f>B48-E48</f>
        <v>-57378.4</v>
      </c>
      <c r="G48" s="335"/>
    </row>
    <row r="49" ht="20" customHeight="1" spans="1:7">
      <c r="A49" s="331"/>
      <c r="B49" s="336"/>
      <c r="C49" s="337"/>
      <c r="D49" s="336"/>
      <c r="E49" s="336"/>
      <c r="F49" s="338"/>
      <c r="G49" s="335"/>
    </row>
    <row r="50" ht="23" customHeight="1" spans="1:7">
      <c r="A50" s="331"/>
      <c r="B50" s="339" t="s">
        <v>1051</v>
      </c>
      <c r="C50" s="339"/>
      <c r="D50" s="339"/>
      <c r="E50" s="339"/>
      <c r="F50" s="339"/>
      <c r="G50" s="335"/>
    </row>
    <row r="51" ht="23" customHeight="1" spans="1:7">
      <c r="A51" s="331"/>
      <c r="B51" s="340" t="s">
        <v>1052</v>
      </c>
      <c r="C51" s="341" t="s">
        <v>1053</v>
      </c>
      <c r="D51" s="342" t="s">
        <v>918</v>
      </c>
      <c r="E51" s="342" t="s">
        <v>1054</v>
      </c>
      <c r="F51" s="343" t="s">
        <v>1055</v>
      </c>
      <c r="G51" s="335"/>
    </row>
    <row r="52" ht="23" customHeight="1" spans="1:7">
      <c r="A52" s="344" t="s">
        <v>492</v>
      </c>
      <c r="B52" s="345"/>
      <c r="C52" s="346" t="s">
        <v>1007</v>
      </c>
      <c r="D52" s="342">
        <v>2439</v>
      </c>
      <c r="E52" s="342"/>
      <c r="F52" s="347">
        <f>D52-E52</f>
        <v>2439</v>
      </c>
      <c r="G52" s="348"/>
    </row>
    <row r="53" ht="23" customHeight="1" spans="1:7">
      <c r="A53" s="344">
        <v>45993</v>
      </c>
      <c r="B53" s="345" t="s">
        <v>643</v>
      </c>
      <c r="C53" s="346" t="s">
        <v>921</v>
      </c>
      <c r="D53" s="349">
        <v>636</v>
      </c>
      <c r="E53" s="357"/>
      <c r="F53" s="347">
        <f>F52+D53-E53</f>
        <v>3075</v>
      </c>
      <c r="G53" s="348"/>
    </row>
    <row r="54" ht="23" customHeight="1" spans="1:7">
      <c r="A54" s="344">
        <v>45997</v>
      </c>
      <c r="B54" s="345">
        <v>13</v>
      </c>
      <c r="C54" s="346" t="s">
        <v>919</v>
      </c>
      <c r="D54" s="349">
        <v>2895</v>
      </c>
      <c r="E54" s="358"/>
      <c r="F54" s="347">
        <f t="shared" ref="F54:F69" si="3">F53+D54-E54</f>
        <v>5970</v>
      </c>
      <c r="G54" s="348"/>
    </row>
    <row r="55" ht="23" customHeight="1" spans="1:7">
      <c r="A55" s="344">
        <v>45997</v>
      </c>
      <c r="B55" s="345">
        <v>14</v>
      </c>
      <c r="C55" s="346" t="s">
        <v>1073</v>
      </c>
      <c r="D55" s="349">
        <v>1685</v>
      </c>
      <c r="E55" s="342"/>
      <c r="F55" s="347">
        <f t="shared" si="3"/>
        <v>7655</v>
      </c>
      <c r="G55" s="348"/>
    </row>
    <row r="56" ht="23" customHeight="1" spans="1:7">
      <c r="A56" s="354">
        <v>45999</v>
      </c>
      <c r="B56" s="374"/>
      <c r="C56" s="355" t="s">
        <v>1060</v>
      </c>
      <c r="D56" s="356"/>
      <c r="E56" s="357">
        <v>12520</v>
      </c>
      <c r="F56" s="347">
        <f t="shared" si="3"/>
        <v>-4865</v>
      </c>
      <c r="G56" s="348"/>
    </row>
    <row r="57" ht="23" customHeight="1" spans="1:7">
      <c r="A57" s="344">
        <v>46000</v>
      </c>
      <c r="B57" s="345">
        <v>21</v>
      </c>
      <c r="C57" s="346" t="s">
        <v>342</v>
      </c>
      <c r="D57" s="349">
        <v>1460</v>
      </c>
      <c r="E57" s="342"/>
      <c r="F57" s="347">
        <f t="shared" si="3"/>
        <v>-3405</v>
      </c>
      <c r="G57" s="348"/>
    </row>
    <row r="58" ht="23" customHeight="1" spans="1:7">
      <c r="A58" s="344">
        <v>46000</v>
      </c>
      <c r="B58" s="345">
        <v>22</v>
      </c>
      <c r="C58" s="346" t="s">
        <v>922</v>
      </c>
      <c r="D58" s="349">
        <v>1057.4</v>
      </c>
      <c r="E58" s="342"/>
      <c r="F58" s="347">
        <f t="shared" si="3"/>
        <v>-2347.6</v>
      </c>
      <c r="G58" s="348"/>
    </row>
    <row r="59" ht="23" customHeight="1" spans="1:7">
      <c r="A59" s="344">
        <v>46001</v>
      </c>
      <c r="B59" s="345">
        <v>25</v>
      </c>
      <c r="C59" s="346" t="s">
        <v>923</v>
      </c>
      <c r="D59" s="349">
        <v>10550</v>
      </c>
      <c r="E59" s="342"/>
      <c r="F59" s="347">
        <f t="shared" si="3"/>
        <v>8202.4</v>
      </c>
      <c r="G59" s="348"/>
    </row>
    <row r="60" ht="23" customHeight="1" spans="1:7">
      <c r="A60" s="344">
        <v>46002</v>
      </c>
      <c r="B60" s="345">
        <v>30</v>
      </c>
      <c r="C60" s="346" t="s">
        <v>1074</v>
      </c>
      <c r="D60" s="350">
        <v>2905</v>
      </c>
      <c r="E60" s="351"/>
      <c r="F60" s="347">
        <f t="shared" si="3"/>
        <v>11107.4</v>
      </c>
      <c r="G60" s="348"/>
    </row>
    <row r="61" ht="23" customHeight="1" spans="1:7">
      <c r="A61" s="344">
        <v>46007</v>
      </c>
      <c r="B61" s="345">
        <v>40</v>
      </c>
      <c r="C61" s="352" t="s">
        <v>1075</v>
      </c>
      <c r="D61" s="353">
        <v>1808</v>
      </c>
      <c r="E61" s="342"/>
      <c r="F61" s="347">
        <f t="shared" si="3"/>
        <v>12915.4</v>
      </c>
      <c r="G61" s="348"/>
    </row>
    <row r="62" ht="23" customHeight="1" spans="1:7">
      <c r="A62" s="344">
        <v>46007</v>
      </c>
      <c r="B62" s="345"/>
      <c r="C62" s="346" t="s">
        <v>1076</v>
      </c>
      <c r="D62" s="349">
        <v>6</v>
      </c>
      <c r="E62" s="375"/>
      <c r="F62" s="347">
        <f t="shared" si="3"/>
        <v>12921.4</v>
      </c>
      <c r="G62" s="348"/>
    </row>
    <row r="63" ht="23" customHeight="1" spans="1:7">
      <c r="A63" s="354">
        <v>46008</v>
      </c>
      <c r="B63" s="345"/>
      <c r="C63" s="355" t="s">
        <v>1060</v>
      </c>
      <c r="D63" s="356"/>
      <c r="E63" s="357">
        <v>9486</v>
      </c>
      <c r="F63" s="347">
        <f t="shared" si="3"/>
        <v>3435.4</v>
      </c>
      <c r="G63" s="348"/>
    </row>
    <row r="64" ht="23" customHeight="1" spans="1:7">
      <c r="A64" s="354">
        <v>46011</v>
      </c>
      <c r="B64" s="345"/>
      <c r="C64" s="355" t="s">
        <v>1077</v>
      </c>
      <c r="D64" s="356"/>
      <c r="E64" s="357">
        <v>60000</v>
      </c>
      <c r="F64" s="347">
        <f t="shared" si="3"/>
        <v>-56564.6</v>
      </c>
      <c r="G64" s="348"/>
    </row>
    <row r="65" ht="23" customHeight="1" spans="1:10">
      <c r="A65" s="354">
        <v>46011</v>
      </c>
      <c r="B65" s="345"/>
      <c r="C65" s="355" t="s">
        <v>1078</v>
      </c>
      <c r="D65" s="356">
        <v>1800</v>
      </c>
      <c r="E65" s="357"/>
      <c r="F65" s="347">
        <f t="shared" si="3"/>
        <v>-54764.6</v>
      </c>
      <c r="G65" s="348"/>
    </row>
    <row r="66" ht="23" customHeight="1" spans="1:10">
      <c r="A66" s="344">
        <v>46014</v>
      </c>
      <c r="B66" s="345" t="s">
        <v>187</v>
      </c>
      <c r="C66" s="346" t="s">
        <v>1079</v>
      </c>
      <c r="D66" s="349">
        <v>1356</v>
      </c>
      <c r="E66" s="342"/>
      <c r="F66" s="347">
        <f t="shared" si="3"/>
        <v>-53408.6</v>
      </c>
      <c r="G66" s="348"/>
    </row>
    <row r="67" ht="23" customHeight="1" spans="1:10">
      <c r="A67" s="344">
        <v>46014</v>
      </c>
      <c r="B67" s="345">
        <v>60</v>
      </c>
      <c r="C67" s="346" t="s">
        <v>926</v>
      </c>
      <c r="D67" s="349">
        <v>1435</v>
      </c>
      <c r="E67" s="342"/>
      <c r="F67" s="347">
        <f t="shared" si="3"/>
        <v>-51973.6</v>
      </c>
      <c r="G67" s="348"/>
    </row>
    <row r="68" ht="23" customHeight="1" spans="1:10">
      <c r="A68" s="344">
        <v>46014</v>
      </c>
      <c r="B68" s="345">
        <v>61</v>
      </c>
      <c r="C68" s="346" t="s">
        <v>935</v>
      </c>
      <c r="D68" s="349">
        <v>1330</v>
      </c>
      <c r="E68" s="342"/>
      <c r="F68" s="347">
        <f t="shared" si="3"/>
        <v>-50643.6</v>
      </c>
      <c r="G68" s="348"/>
    </row>
    <row r="69" ht="23" customHeight="1" spans="1:10">
      <c r="A69" s="344">
        <v>46015</v>
      </c>
      <c r="B69" s="345">
        <v>62</v>
      </c>
      <c r="C69" s="346" t="s">
        <v>1061</v>
      </c>
      <c r="D69" s="349">
        <v>9893</v>
      </c>
      <c r="E69" s="358"/>
      <c r="F69" s="347">
        <f t="shared" si="3"/>
        <v>-40750.6</v>
      </c>
      <c r="G69" s="348"/>
    </row>
    <row r="70" ht="23" customHeight="1" spans="1:10">
      <c r="A70" s="344">
        <v>46017</v>
      </c>
      <c r="B70" s="345">
        <v>71</v>
      </c>
      <c r="C70" s="352" t="s">
        <v>929</v>
      </c>
      <c r="D70" s="353">
        <v>885</v>
      </c>
      <c r="E70" s="342"/>
      <c r="F70" s="347">
        <f t="shared" ref="F66:F80" si="4">F69+D70-E70</f>
        <v>-39865.6</v>
      </c>
      <c r="G70" s="348"/>
    </row>
    <row r="71" ht="23" customHeight="1" spans="1:10">
      <c r="A71" s="344">
        <v>46020</v>
      </c>
      <c r="B71" s="345">
        <v>80</v>
      </c>
      <c r="C71" s="359" t="s">
        <v>845</v>
      </c>
      <c r="D71" s="349">
        <v>526.2</v>
      </c>
      <c r="E71" s="351"/>
      <c r="F71" s="347">
        <f t="shared" si="4"/>
        <v>-39339.4</v>
      </c>
      <c r="G71" s="348"/>
    </row>
    <row r="72" ht="23" customHeight="1" spans="1:10">
      <c r="A72" s="344">
        <v>46020</v>
      </c>
      <c r="B72" s="345"/>
      <c r="C72" s="355" t="s">
        <v>1060</v>
      </c>
      <c r="D72" s="356"/>
      <c r="E72" s="357">
        <v>23009</v>
      </c>
      <c r="F72" s="347">
        <f t="shared" si="4"/>
        <v>-62348.4</v>
      </c>
      <c r="G72" s="348"/>
    </row>
    <row r="73" customFormat="1" ht="23" customHeight="1" spans="1:10">
      <c r="A73" s="344">
        <v>46021</v>
      </c>
      <c r="B73" s="345">
        <v>85</v>
      </c>
      <c r="C73" s="346" t="s">
        <v>704</v>
      </c>
      <c r="D73" s="349">
        <v>1192</v>
      </c>
      <c r="E73" s="342"/>
      <c r="F73" s="347">
        <f t="shared" si="4"/>
        <v>-61156.4</v>
      </c>
      <c r="G73" s="348"/>
    </row>
    <row r="74" s="5" customFormat="1" ht="23" customHeight="1" spans="1:10">
      <c r="A74" s="344">
        <v>46022</v>
      </c>
      <c r="B74" s="346">
        <v>87</v>
      </c>
      <c r="C74" s="359" t="s">
        <v>930</v>
      </c>
      <c r="D74" s="350">
        <v>3144</v>
      </c>
      <c r="E74" s="351"/>
      <c r="F74" s="347">
        <f t="shared" si="4"/>
        <v>-58012.4</v>
      </c>
      <c r="G74" s="348"/>
      <c r="J74"/>
    </row>
    <row r="75" ht="23" customHeight="1" spans="1:10">
      <c r="A75" s="344">
        <v>46022</v>
      </c>
      <c r="B75" s="345">
        <v>88</v>
      </c>
      <c r="C75" s="346" t="s">
        <v>931</v>
      </c>
      <c r="D75" s="349">
        <v>634</v>
      </c>
      <c r="E75" s="342"/>
      <c r="F75" s="347">
        <f t="shared" si="4"/>
        <v>-57378.4</v>
      </c>
      <c r="G75" s="348"/>
    </row>
    <row r="76" ht="23" customHeight="1" spans="1:10">
      <c r="A76" s="344"/>
      <c r="B76" s="345"/>
      <c r="C76" s="359"/>
      <c r="D76" s="349"/>
      <c r="E76" s="351"/>
      <c r="F76" s="347">
        <f t="shared" si="4"/>
        <v>-57378.4</v>
      </c>
      <c r="G76" s="348"/>
    </row>
    <row r="77" ht="23" customHeight="1" spans="1:10">
      <c r="A77" s="360"/>
      <c r="B77" s="360"/>
      <c r="C77" s="360"/>
      <c r="D77" s="360"/>
      <c r="E77" s="360"/>
      <c r="F77" s="360"/>
      <c r="G77" s="360"/>
    </row>
    <row r="78" ht="23" customHeight="1" spans="1:10">
      <c r="A78" s="361" t="s">
        <v>1062</v>
      </c>
      <c r="B78" s="361"/>
      <c r="C78" s="361"/>
      <c r="D78" s="361"/>
      <c r="E78" s="361"/>
      <c r="F78" s="361"/>
      <c r="G78" s="361"/>
    </row>
    <row r="79" ht="23" customHeight="1" spans="1:10">
      <c r="A79" s="362" t="s">
        <v>1047</v>
      </c>
      <c r="B79" s="362"/>
      <c r="C79" s="363" t="s">
        <v>1053</v>
      </c>
      <c r="D79" s="364" t="s">
        <v>1063</v>
      </c>
      <c r="E79" s="365" t="s">
        <v>1064</v>
      </c>
      <c r="F79" s="332" t="s">
        <v>39</v>
      </c>
      <c r="G79" s="332"/>
    </row>
    <row r="80" ht="23" customHeight="1" spans="1:10">
      <c r="A80" s="362" t="s">
        <v>1080</v>
      </c>
      <c r="B80" s="362"/>
      <c r="C80" s="363" t="s">
        <v>1081</v>
      </c>
      <c r="D80" s="364"/>
      <c r="E80" s="367">
        <v>1000</v>
      </c>
      <c r="F80" s="368" t="s">
        <v>1082</v>
      </c>
      <c r="G80" s="368"/>
    </row>
    <row r="81" ht="23" customHeight="1" spans="1:7">
      <c r="A81" s="362" t="s">
        <v>1083</v>
      </c>
      <c r="B81" s="362"/>
      <c r="C81" s="366" t="s">
        <v>985</v>
      </c>
      <c r="D81" s="369"/>
      <c r="E81" s="367">
        <v>-150</v>
      </c>
      <c r="F81" s="370"/>
      <c r="G81" s="370"/>
    </row>
    <row r="82" ht="23" customHeight="1" spans="1:7">
      <c r="A82" s="362" t="s">
        <v>1084</v>
      </c>
      <c r="B82" s="362"/>
      <c r="C82" s="366" t="s">
        <v>985</v>
      </c>
      <c r="D82" s="369"/>
      <c r="E82" s="367">
        <v>-150</v>
      </c>
      <c r="F82" s="368"/>
      <c r="G82" s="368"/>
    </row>
    <row r="83" ht="23" customHeight="1" spans="1:7">
      <c r="A83" s="362" t="s">
        <v>1085</v>
      </c>
      <c r="B83" s="362"/>
      <c r="C83" s="366" t="s">
        <v>985</v>
      </c>
      <c r="D83" s="364"/>
      <c r="E83" s="367">
        <v>-150</v>
      </c>
      <c r="F83" s="368"/>
      <c r="G83" s="368"/>
    </row>
    <row r="84" ht="23" customHeight="1" spans="1:7">
      <c r="A84" s="362" t="s">
        <v>1086</v>
      </c>
      <c r="B84" s="362"/>
      <c r="C84" s="366" t="s">
        <v>985</v>
      </c>
      <c r="D84" s="364"/>
      <c r="E84" s="367">
        <v>-150</v>
      </c>
      <c r="F84" s="368"/>
      <c r="G84" s="368"/>
    </row>
    <row r="85" ht="26" customHeight="1" spans="1:7">
      <c r="A85" s="362" t="s">
        <v>1087</v>
      </c>
      <c r="B85" s="362"/>
      <c r="C85" s="366" t="s">
        <v>985</v>
      </c>
      <c r="D85" s="364"/>
      <c r="E85" s="367">
        <v>-200</v>
      </c>
      <c r="F85" s="368"/>
      <c r="G85" s="368"/>
    </row>
    <row r="86" ht="30" customHeight="1" spans="1:7">
      <c r="A86" s="362" t="s">
        <v>1088</v>
      </c>
      <c r="B86" s="362"/>
      <c r="C86" s="366" t="s">
        <v>985</v>
      </c>
      <c r="D86" s="364"/>
      <c r="E86" s="367">
        <v>-150</v>
      </c>
      <c r="F86" s="368"/>
      <c r="G86" s="368"/>
    </row>
    <row r="87" ht="26" customHeight="1" spans="1:7">
      <c r="A87" s="371" t="s">
        <v>1071</v>
      </c>
      <c r="B87" s="371"/>
      <c r="C87" s="371"/>
      <c r="D87" s="371"/>
      <c r="E87" s="372">
        <f>SUM(E80:E86)</f>
        <v>50</v>
      </c>
      <c r="F87" s="373"/>
      <c r="G87" s="373"/>
    </row>
    <row r="88" ht="20" customHeight="1"/>
    <row r="89" ht="7" customHeight="1" spans="1:7">
      <c r="A89" s="325" t="s">
        <v>1089</v>
      </c>
      <c r="B89" s="326"/>
      <c r="C89" s="327"/>
      <c r="D89" s="328"/>
      <c r="E89" s="329"/>
      <c r="F89" s="330"/>
      <c r="G89" s="329"/>
    </row>
    <row r="90" ht="23" customHeight="1" spans="1:7">
      <c r="A90" s="331" t="s">
        <v>1047</v>
      </c>
      <c r="B90" s="332" t="s">
        <v>1048</v>
      </c>
      <c r="C90" s="333"/>
      <c r="D90" s="332"/>
      <c r="E90" s="332" t="s">
        <v>1049</v>
      </c>
      <c r="F90" s="334" t="s">
        <v>1050</v>
      </c>
      <c r="G90" s="335" t="s">
        <v>9</v>
      </c>
    </row>
    <row r="91" ht="23" customHeight="1" spans="1:7">
      <c r="A91" s="331"/>
      <c r="B91" s="336">
        <f>SUM(D95:D121)</f>
        <v>75842.7</v>
      </c>
      <c r="C91" s="337"/>
      <c r="D91" s="336"/>
      <c r="E91" s="336">
        <f>SUM(E95:E121)</f>
        <v>73404</v>
      </c>
      <c r="F91" s="343">
        <f>B91-E91</f>
        <v>2438.7</v>
      </c>
      <c r="G91" s="335"/>
    </row>
    <row r="92" ht="23" customHeight="1" spans="1:7">
      <c r="A92" s="331"/>
      <c r="B92" s="336"/>
      <c r="C92" s="337"/>
      <c r="D92" s="336"/>
      <c r="E92" s="336"/>
      <c r="F92" s="343"/>
      <c r="G92" s="335"/>
    </row>
    <row r="93" ht="23" customHeight="1" spans="1:7">
      <c r="A93" s="331"/>
      <c r="B93" s="339" t="s">
        <v>1051</v>
      </c>
      <c r="C93" s="339"/>
      <c r="D93" s="339"/>
      <c r="E93" s="339"/>
      <c r="F93" s="339"/>
      <c r="G93" s="335"/>
    </row>
    <row r="94" ht="23" customHeight="1" spans="1:7">
      <c r="A94" s="331"/>
      <c r="B94" s="340" t="s">
        <v>1052</v>
      </c>
      <c r="C94" s="341" t="s">
        <v>1053</v>
      </c>
      <c r="D94" s="342" t="s">
        <v>918</v>
      </c>
      <c r="E94" s="342" t="s">
        <v>1054</v>
      </c>
      <c r="F94" s="343" t="s">
        <v>1055</v>
      </c>
      <c r="G94" s="335"/>
    </row>
    <row r="95" ht="23" customHeight="1" spans="1:7">
      <c r="A95" s="344" t="s">
        <v>454</v>
      </c>
      <c r="B95" s="345"/>
      <c r="C95" s="346" t="s">
        <v>1007</v>
      </c>
      <c r="D95" s="357"/>
      <c r="E95" s="342">
        <v>11370</v>
      </c>
      <c r="F95" s="347">
        <f>D95-E95</f>
        <v>-11370</v>
      </c>
      <c r="G95" s="348"/>
    </row>
    <row r="96" ht="23" customHeight="1" spans="1:7">
      <c r="A96" s="344">
        <v>45962</v>
      </c>
      <c r="B96" s="345">
        <v>2</v>
      </c>
      <c r="C96" s="346" t="s">
        <v>924</v>
      </c>
      <c r="D96" s="349">
        <v>1788</v>
      </c>
      <c r="E96" s="357"/>
      <c r="F96" s="347">
        <f>F95+D96-E96</f>
        <v>-9582</v>
      </c>
      <c r="G96" s="348"/>
    </row>
    <row r="97" ht="23" customHeight="1" spans="1:7">
      <c r="A97" s="344">
        <v>45962</v>
      </c>
      <c r="B97" s="345">
        <v>3</v>
      </c>
      <c r="C97" s="346" t="s">
        <v>922</v>
      </c>
      <c r="D97" s="349">
        <v>1197.2</v>
      </c>
      <c r="E97" s="358"/>
      <c r="F97" s="347">
        <f>F96+D97-E97</f>
        <v>-8384.8</v>
      </c>
      <c r="G97" s="348"/>
    </row>
    <row r="98" ht="23" customHeight="1" spans="1:7">
      <c r="A98" s="344">
        <v>45966</v>
      </c>
      <c r="B98" s="345">
        <v>12</v>
      </c>
      <c r="C98" s="346" t="s">
        <v>1090</v>
      </c>
      <c r="D98" s="349">
        <v>2531.5</v>
      </c>
      <c r="E98" s="342"/>
      <c r="F98" s="347">
        <f>F97+D98-E98</f>
        <v>-5853.3</v>
      </c>
      <c r="G98" s="348"/>
    </row>
    <row r="99" ht="23" customHeight="1" spans="1:7">
      <c r="A99" s="344">
        <v>45968</v>
      </c>
      <c r="B99" s="345">
        <v>17</v>
      </c>
      <c r="C99" s="346" t="s">
        <v>1091</v>
      </c>
      <c r="D99" s="349">
        <v>1871</v>
      </c>
      <c r="E99" s="342"/>
      <c r="F99" s="347">
        <f>F98+D99-E99</f>
        <v>-3982.3</v>
      </c>
      <c r="G99" s="348"/>
    </row>
    <row r="100" ht="23" customHeight="1" spans="1:7">
      <c r="A100" s="344">
        <v>45969</v>
      </c>
      <c r="B100" s="345">
        <v>21</v>
      </c>
      <c r="C100" s="346" t="s">
        <v>1092</v>
      </c>
      <c r="D100" s="349">
        <v>4763</v>
      </c>
      <c r="E100" s="342"/>
      <c r="F100" s="347">
        <f>F99+D100-E100</f>
        <v>780.700000000001</v>
      </c>
      <c r="G100" s="348"/>
    </row>
    <row r="101" ht="23" customHeight="1" spans="1:7">
      <c r="A101" s="344">
        <v>45969</v>
      </c>
      <c r="B101" s="345">
        <v>22</v>
      </c>
      <c r="C101" s="346" t="s">
        <v>935</v>
      </c>
      <c r="D101" s="349">
        <v>1634</v>
      </c>
      <c r="E101" s="342"/>
      <c r="F101" s="347">
        <f t="shared" ref="F101:F109" si="5">F100+D101-E101</f>
        <v>2414.7</v>
      </c>
      <c r="G101" s="348"/>
    </row>
    <row r="102" ht="23" customHeight="1" spans="1:7">
      <c r="A102" s="344">
        <v>45971</v>
      </c>
      <c r="B102" s="345"/>
      <c r="C102" s="359" t="s">
        <v>1060</v>
      </c>
      <c r="D102" s="350"/>
      <c r="E102" s="351">
        <v>23729</v>
      </c>
      <c r="F102" s="347">
        <f t="shared" si="5"/>
        <v>-21314.3</v>
      </c>
      <c r="G102" s="348"/>
    </row>
    <row r="103" ht="23" customHeight="1" spans="1:7">
      <c r="A103" s="344">
        <v>45975</v>
      </c>
      <c r="B103" s="345">
        <v>35</v>
      </c>
      <c r="C103" s="352" t="s">
        <v>937</v>
      </c>
      <c r="D103" s="353">
        <v>3918</v>
      </c>
      <c r="E103" s="342"/>
      <c r="F103" s="347">
        <f t="shared" si="5"/>
        <v>-17396.3</v>
      </c>
      <c r="G103" s="348"/>
    </row>
    <row r="104" ht="23" customHeight="1" spans="1:7">
      <c r="A104" s="344">
        <v>45975</v>
      </c>
      <c r="B104" s="345">
        <v>36</v>
      </c>
      <c r="C104" s="346" t="s">
        <v>923</v>
      </c>
      <c r="D104" s="349">
        <v>10593</v>
      </c>
      <c r="E104" s="342"/>
      <c r="F104" s="347">
        <f t="shared" si="5"/>
        <v>-6803.3</v>
      </c>
      <c r="G104" s="348"/>
    </row>
    <row r="105" ht="23" customHeight="1" spans="1:7">
      <c r="A105" s="344">
        <v>45975</v>
      </c>
      <c r="B105" s="345">
        <v>40</v>
      </c>
      <c r="C105" s="355" t="s">
        <v>1093</v>
      </c>
      <c r="D105" s="349">
        <v>2167</v>
      </c>
      <c r="E105" s="342"/>
      <c r="F105" s="347">
        <f t="shared" si="5"/>
        <v>-4636.3</v>
      </c>
      <c r="G105" s="348"/>
    </row>
    <row r="106" ht="23" customHeight="1" spans="1:7">
      <c r="A106" s="344">
        <v>45976</v>
      </c>
      <c r="B106" s="345">
        <v>43</v>
      </c>
      <c r="C106" s="346" t="s">
        <v>704</v>
      </c>
      <c r="D106" s="349">
        <v>1580</v>
      </c>
      <c r="E106" s="342"/>
      <c r="F106" s="347">
        <f t="shared" ref="F106:F126" si="6">F105+D106-E106</f>
        <v>-3056.3</v>
      </c>
      <c r="G106" s="348"/>
    </row>
    <row r="107" ht="23" customHeight="1" spans="1:7">
      <c r="A107" s="344">
        <v>45976</v>
      </c>
      <c r="B107" s="345">
        <v>44</v>
      </c>
      <c r="C107" s="346" t="s">
        <v>919</v>
      </c>
      <c r="D107" s="349">
        <v>2921</v>
      </c>
      <c r="E107" s="342"/>
      <c r="F107" s="347">
        <f t="shared" si="6"/>
        <v>-135.299999999999</v>
      </c>
      <c r="G107" s="348"/>
    </row>
    <row r="108" ht="23" customHeight="1" spans="1:7">
      <c r="A108" s="344">
        <v>45979</v>
      </c>
      <c r="B108" s="345">
        <v>49</v>
      </c>
      <c r="C108" s="346" t="s">
        <v>939</v>
      </c>
      <c r="D108" s="349">
        <v>3429</v>
      </c>
      <c r="E108" s="342"/>
      <c r="F108" s="347">
        <f t="shared" si="6"/>
        <v>3293.7</v>
      </c>
      <c r="G108" s="348"/>
    </row>
    <row r="109" ht="23" customHeight="1" spans="1:7">
      <c r="A109" s="344">
        <v>45979</v>
      </c>
      <c r="B109" s="345">
        <v>50</v>
      </c>
      <c r="C109" s="346" t="s">
        <v>930</v>
      </c>
      <c r="D109" s="349">
        <v>2877</v>
      </c>
      <c r="E109" s="358"/>
      <c r="F109" s="347">
        <f t="shared" si="6"/>
        <v>6170.7</v>
      </c>
      <c r="G109" s="348"/>
    </row>
    <row r="110" ht="23" customHeight="1" spans="1:7">
      <c r="A110" s="344">
        <v>45981</v>
      </c>
      <c r="B110" s="345">
        <v>56</v>
      </c>
      <c r="C110" s="352" t="s">
        <v>1094</v>
      </c>
      <c r="D110" s="353">
        <v>2981</v>
      </c>
      <c r="E110" s="342"/>
      <c r="F110" s="347">
        <f t="shared" si="6"/>
        <v>9151.7</v>
      </c>
      <c r="G110" s="348"/>
    </row>
    <row r="111" ht="23" customHeight="1" spans="1:7">
      <c r="A111" s="344">
        <v>45982</v>
      </c>
      <c r="B111" s="345">
        <v>60</v>
      </c>
      <c r="C111" s="359" t="s">
        <v>938</v>
      </c>
      <c r="D111" s="349">
        <v>2690</v>
      </c>
      <c r="E111" s="351"/>
      <c r="F111" s="347">
        <f t="shared" si="6"/>
        <v>11841.7</v>
      </c>
      <c r="G111" s="348"/>
    </row>
    <row r="112" ht="23" customHeight="1" spans="1:7">
      <c r="A112" s="344">
        <v>45982</v>
      </c>
      <c r="B112" s="345">
        <v>61</v>
      </c>
      <c r="C112" s="346" t="s">
        <v>345</v>
      </c>
      <c r="D112" s="349">
        <v>2914</v>
      </c>
      <c r="E112" s="342"/>
      <c r="F112" s="347">
        <f t="shared" si="6"/>
        <v>14755.7</v>
      </c>
      <c r="G112" s="348"/>
    </row>
    <row r="113" ht="23" customHeight="1" spans="1:7">
      <c r="A113" s="344">
        <v>45982</v>
      </c>
      <c r="B113" s="345" t="s">
        <v>192</v>
      </c>
      <c r="C113" s="346" t="s">
        <v>962</v>
      </c>
      <c r="D113" s="349">
        <v>1502</v>
      </c>
      <c r="E113" s="342"/>
      <c r="F113" s="347">
        <f t="shared" si="6"/>
        <v>16257.7</v>
      </c>
      <c r="G113" s="348"/>
    </row>
    <row r="114" ht="26" customHeight="1" spans="1:7">
      <c r="A114" s="344">
        <v>45985</v>
      </c>
      <c r="B114" s="346"/>
      <c r="C114" s="359" t="s">
        <v>1060</v>
      </c>
      <c r="D114" s="350"/>
      <c r="E114" s="351">
        <v>28549</v>
      </c>
      <c r="F114" s="347">
        <f t="shared" si="6"/>
        <v>-12291.3</v>
      </c>
      <c r="G114" s="348"/>
    </row>
    <row r="115" ht="26" customHeight="1" spans="1:7">
      <c r="A115" s="344">
        <v>45986</v>
      </c>
      <c r="B115" s="345"/>
      <c r="C115" s="346" t="s">
        <v>902</v>
      </c>
      <c r="D115" s="353">
        <v>10791</v>
      </c>
      <c r="E115" s="342"/>
      <c r="F115" s="347">
        <f t="shared" si="6"/>
        <v>-1500.3</v>
      </c>
      <c r="G115" s="348"/>
    </row>
    <row r="116" ht="30" customHeight="1" spans="1:7">
      <c r="A116" s="344">
        <v>45988</v>
      </c>
      <c r="B116" s="345"/>
      <c r="C116" s="359" t="s">
        <v>1060</v>
      </c>
      <c r="D116" s="349"/>
      <c r="E116" s="351">
        <v>9000</v>
      </c>
      <c r="F116" s="347">
        <f t="shared" si="6"/>
        <v>-10500.3</v>
      </c>
      <c r="G116" s="348"/>
    </row>
    <row r="117" ht="22" customHeight="1" spans="1:7">
      <c r="A117" s="344">
        <v>45988</v>
      </c>
      <c r="B117" s="345">
        <v>82</v>
      </c>
      <c r="C117" s="346" t="s">
        <v>924</v>
      </c>
      <c r="D117" s="349">
        <v>1530</v>
      </c>
      <c r="E117" s="342"/>
      <c r="F117" s="347">
        <f t="shared" si="6"/>
        <v>-8970.3</v>
      </c>
      <c r="G117" s="348"/>
    </row>
    <row r="118" ht="22" customHeight="1" spans="1:7">
      <c r="A118" s="344">
        <v>45989</v>
      </c>
      <c r="B118" s="345">
        <v>89</v>
      </c>
      <c r="C118" s="346" t="s">
        <v>149</v>
      </c>
      <c r="D118" s="349">
        <v>12165</v>
      </c>
      <c r="E118" s="342"/>
      <c r="F118" s="347">
        <f t="shared" si="6"/>
        <v>3194.7</v>
      </c>
      <c r="G118" s="348"/>
    </row>
    <row r="119" ht="22" customHeight="1" spans="1:7">
      <c r="A119" s="354">
        <v>45981</v>
      </c>
      <c r="B119" s="374"/>
      <c r="C119" s="355" t="s">
        <v>1095</v>
      </c>
      <c r="D119" s="356"/>
      <c r="E119" s="357">
        <v>756</v>
      </c>
      <c r="F119" s="347">
        <f t="shared" si="6"/>
        <v>2438.7</v>
      </c>
      <c r="G119" s="348"/>
    </row>
    <row r="120" ht="22" customHeight="1" spans="1:7">
      <c r="A120" s="344"/>
      <c r="B120" s="345"/>
      <c r="C120" s="346"/>
      <c r="D120" s="349"/>
      <c r="E120" s="342"/>
      <c r="F120" s="347">
        <f t="shared" si="6"/>
        <v>2438.7</v>
      </c>
      <c r="G120" s="348"/>
    </row>
    <row r="121" ht="22" customHeight="1" spans="1:7">
      <c r="A121" s="360"/>
      <c r="B121" s="360"/>
      <c r="C121" s="360"/>
      <c r="D121" s="360"/>
      <c r="E121" s="360"/>
      <c r="F121" s="360"/>
      <c r="G121" s="360"/>
    </row>
    <row r="122" ht="22" customHeight="1" spans="1:7">
      <c r="A122" s="361" t="s">
        <v>1062</v>
      </c>
      <c r="B122" s="361"/>
      <c r="C122" s="361"/>
      <c r="D122" s="361"/>
      <c r="E122" s="361"/>
      <c r="F122" s="361"/>
      <c r="G122" s="361"/>
    </row>
    <row r="123" ht="22" customHeight="1" spans="1:7">
      <c r="A123" s="362" t="s">
        <v>1047</v>
      </c>
      <c r="B123" s="362"/>
      <c r="C123" s="363" t="s">
        <v>1053</v>
      </c>
      <c r="D123" s="364" t="s">
        <v>1063</v>
      </c>
      <c r="E123" s="365" t="s">
        <v>1064</v>
      </c>
      <c r="F123" s="332" t="s">
        <v>39</v>
      </c>
      <c r="G123" s="332"/>
    </row>
    <row r="124" ht="22" customHeight="1" spans="1:7">
      <c r="A124" s="362" t="s">
        <v>1080</v>
      </c>
      <c r="B124" s="362"/>
      <c r="C124" s="363" t="s">
        <v>1081</v>
      </c>
      <c r="D124" s="364"/>
      <c r="E124" s="367">
        <v>1000</v>
      </c>
      <c r="F124" s="368" t="s">
        <v>1082</v>
      </c>
      <c r="G124" s="368"/>
    </row>
    <row r="125" ht="22" customHeight="1" spans="1:7">
      <c r="A125" s="362" t="s">
        <v>1083</v>
      </c>
      <c r="B125" s="362"/>
      <c r="C125" s="366" t="s">
        <v>985</v>
      </c>
      <c r="D125" s="369"/>
      <c r="E125" s="367">
        <v>-150</v>
      </c>
      <c r="F125" s="370"/>
      <c r="G125" s="370"/>
    </row>
    <row r="126" ht="22" customHeight="1" spans="1:7">
      <c r="A126" s="362" t="s">
        <v>1084</v>
      </c>
      <c r="B126" s="362"/>
      <c r="C126" s="366" t="s">
        <v>985</v>
      </c>
      <c r="D126" s="369"/>
      <c r="E126" s="367">
        <v>-150</v>
      </c>
      <c r="F126" s="368"/>
      <c r="G126" s="368"/>
    </row>
    <row r="127" ht="22" customHeight="1" spans="1:7">
      <c r="A127" s="362" t="s">
        <v>1085</v>
      </c>
      <c r="B127" s="362"/>
      <c r="C127" s="366" t="s">
        <v>985</v>
      </c>
      <c r="D127" s="364"/>
      <c r="E127" s="367">
        <v>-150</v>
      </c>
      <c r="F127" s="368"/>
      <c r="G127" s="368"/>
    </row>
    <row r="128" ht="22" customHeight="1" spans="1:7">
      <c r="A128" s="362" t="s">
        <v>1086</v>
      </c>
      <c r="B128" s="362"/>
      <c r="C128" s="366" t="s">
        <v>985</v>
      </c>
      <c r="D128" s="364"/>
      <c r="E128" s="367">
        <v>-150</v>
      </c>
      <c r="F128" s="368"/>
      <c r="G128" s="368"/>
    </row>
    <row r="129" ht="22" customHeight="1" spans="1:9">
      <c r="A129" s="362" t="s">
        <v>1087</v>
      </c>
      <c r="B129" s="362"/>
      <c r="C129" s="366" t="s">
        <v>985</v>
      </c>
      <c r="D129" s="364"/>
      <c r="E129" s="367">
        <v>-200</v>
      </c>
      <c r="F129" s="368"/>
      <c r="G129" s="368"/>
    </row>
    <row r="130" ht="22" customHeight="1" spans="1:9">
      <c r="A130" s="371" t="s">
        <v>1096</v>
      </c>
      <c r="B130" s="371"/>
      <c r="C130" s="371"/>
      <c r="D130" s="371"/>
      <c r="E130" s="372">
        <f>SUM(E124:E129)</f>
        <v>200</v>
      </c>
      <c r="F130" s="373"/>
      <c r="G130" s="373"/>
    </row>
    <row r="131" ht="22" customHeight="1" spans="1:9">
      <c r="A131" s="325" t="s">
        <v>1097</v>
      </c>
      <c r="B131" s="326"/>
      <c r="C131" s="327"/>
      <c r="D131" s="328"/>
      <c r="E131" s="329"/>
      <c r="F131" s="330"/>
      <c r="G131" s="329"/>
      <c r="I131">
        <f>SUM(D254:D277)</f>
        <v>41637.8</v>
      </c>
    </row>
    <row r="132" ht="22" customHeight="1" spans="1:9">
      <c r="A132" s="331" t="s">
        <v>1047</v>
      </c>
      <c r="B132" s="332" t="s">
        <v>1048</v>
      </c>
      <c r="C132" s="333"/>
      <c r="D132" s="332"/>
      <c r="E132" s="332" t="s">
        <v>1049</v>
      </c>
      <c r="F132" s="334" t="s">
        <v>1050</v>
      </c>
      <c r="G132" s="335" t="s">
        <v>9</v>
      </c>
    </row>
    <row r="133" ht="22" customHeight="1" spans="1:9">
      <c r="A133" s="331"/>
      <c r="B133" s="336">
        <f>SUM(D137:D175)</f>
        <v>83296.9</v>
      </c>
      <c r="C133" s="337"/>
      <c r="D133" s="336"/>
      <c r="E133" s="336">
        <f>SUM(E137:E167)</f>
        <v>94667</v>
      </c>
      <c r="F133" s="338">
        <f>B133-E133</f>
        <v>-11370.1</v>
      </c>
      <c r="G133" s="335"/>
    </row>
    <row r="134" ht="22" customHeight="1" spans="1:9">
      <c r="A134" s="331"/>
      <c r="B134" s="336"/>
      <c r="C134" s="337"/>
      <c r="D134" s="336"/>
      <c r="E134" s="336"/>
      <c r="F134" s="338"/>
      <c r="G134" s="335"/>
    </row>
    <row r="135" ht="22" customHeight="1" spans="1:9">
      <c r="A135" s="331"/>
      <c r="B135" s="339" t="s">
        <v>1051</v>
      </c>
      <c r="C135" s="339"/>
      <c r="D135" s="339"/>
      <c r="E135" s="339"/>
      <c r="F135" s="339"/>
      <c r="G135" s="335"/>
    </row>
    <row r="136" ht="22" customHeight="1" spans="1:9">
      <c r="A136" s="331"/>
      <c r="B136" s="340" t="s">
        <v>1052</v>
      </c>
      <c r="C136" s="341" t="s">
        <v>1053</v>
      </c>
      <c r="D136" s="342" t="s">
        <v>918</v>
      </c>
      <c r="E136" s="342" t="s">
        <v>1054</v>
      </c>
      <c r="F136" s="343" t="s">
        <v>1055</v>
      </c>
      <c r="G136" s="335"/>
    </row>
    <row r="137" ht="22" customHeight="1" spans="1:9">
      <c r="A137" s="344" t="s">
        <v>418</v>
      </c>
      <c r="B137" s="345"/>
      <c r="C137" s="346" t="s">
        <v>1007</v>
      </c>
      <c r="D137" s="357">
        <v>28077</v>
      </c>
      <c r="E137" s="342"/>
      <c r="F137" s="347">
        <f>D137-E137</f>
        <v>28077</v>
      </c>
      <c r="G137" s="348"/>
    </row>
    <row r="138" ht="22" customHeight="1" spans="1:9">
      <c r="A138" s="354">
        <v>45951</v>
      </c>
      <c r="B138" s="374"/>
      <c r="C138" s="355" t="s">
        <v>1098</v>
      </c>
      <c r="D138" s="356"/>
      <c r="E138" s="357">
        <v>28077</v>
      </c>
      <c r="F138" s="347">
        <f>F137+D138-E138</f>
        <v>0</v>
      </c>
      <c r="G138" s="348"/>
    </row>
    <row r="139" ht="22" customHeight="1" spans="1:9">
      <c r="A139" s="344">
        <v>45938</v>
      </c>
      <c r="B139" s="345" t="s">
        <v>644</v>
      </c>
      <c r="C139" s="346" t="s">
        <v>933</v>
      </c>
      <c r="D139" s="349">
        <v>1287</v>
      </c>
      <c r="E139" s="358"/>
      <c r="F139" s="347">
        <f t="shared" ref="F139:F166" si="7">F138+D139-E139</f>
        <v>1287</v>
      </c>
      <c r="G139" s="348"/>
    </row>
    <row r="140" ht="22" customHeight="1" spans="1:9">
      <c r="A140" s="344">
        <v>45940</v>
      </c>
      <c r="B140" s="345">
        <v>13</v>
      </c>
      <c r="C140" s="346" t="s">
        <v>704</v>
      </c>
      <c r="D140" s="349">
        <v>1194</v>
      </c>
      <c r="E140" s="342"/>
      <c r="F140" s="347">
        <f t="shared" si="7"/>
        <v>2481</v>
      </c>
      <c r="G140" s="348"/>
    </row>
    <row r="141" ht="22" customHeight="1" spans="1:9">
      <c r="A141" s="344">
        <v>45941</v>
      </c>
      <c r="B141" s="345">
        <v>16</v>
      </c>
      <c r="C141" s="346" t="s">
        <v>944</v>
      </c>
      <c r="D141" s="349">
        <v>1856</v>
      </c>
      <c r="E141" s="342"/>
      <c r="F141" s="347">
        <f t="shared" si="7"/>
        <v>4337</v>
      </c>
      <c r="G141" s="348"/>
    </row>
    <row r="142" ht="22" customHeight="1" spans="1:9">
      <c r="A142" s="344">
        <v>45943</v>
      </c>
      <c r="B142" s="345"/>
      <c r="C142" s="359" t="s">
        <v>1060</v>
      </c>
      <c r="D142" s="349"/>
      <c r="E142" s="342">
        <v>31846</v>
      </c>
      <c r="F142" s="347">
        <f t="shared" si="7"/>
        <v>-27509</v>
      </c>
      <c r="G142" s="348"/>
    </row>
    <row r="143" ht="22" customHeight="1" spans="1:9">
      <c r="A143" s="344">
        <v>45944</v>
      </c>
      <c r="B143" s="345">
        <v>29</v>
      </c>
      <c r="C143" s="346" t="s">
        <v>934</v>
      </c>
      <c r="D143" s="349">
        <v>1891</v>
      </c>
      <c r="E143" s="342"/>
      <c r="F143" s="347">
        <f t="shared" si="7"/>
        <v>-25618</v>
      </c>
      <c r="G143" s="348"/>
    </row>
    <row r="144" ht="22" customHeight="1" spans="1:9">
      <c r="A144" s="344">
        <v>45945</v>
      </c>
      <c r="B144" s="345">
        <v>32</v>
      </c>
      <c r="C144" s="352" t="s">
        <v>978</v>
      </c>
      <c r="D144" s="353">
        <v>1433.2</v>
      </c>
      <c r="E144" s="342"/>
      <c r="F144" s="347">
        <f t="shared" si="7"/>
        <v>-24184.8</v>
      </c>
      <c r="G144" s="348"/>
    </row>
    <row r="145" ht="22" customHeight="1" spans="1:7">
      <c r="A145" s="344">
        <v>45946</v>
      </c>
      <c r="B145" s="345">
        <v>37</v>
      </c>
      <c r="C145" s="346" t="s">
        <v>923</v>
      </c>
      <c r="D145" s="349">
        <v>10630</v>
      </c>
      <c r="E145" s="375"/>
      <c r="F145" s="347">
        <f t="shared" si="7"/>
        <v>-13554.8</v>
      </c>
      <c r="G145" s="348"/>
    </row>
    <row r="146" ht="22" customHeight="1" spans="1:7">
      <c r="A146" s="344">
        <v>45946</v>
      </c>
      <c r="B146" s="345">
        <v>38</v>
      </c>
      <c r="C146" s="355" t="s">
        <v>1099</v>
      </c>
      <c r="D146" s="349">
        <v>555</v>
      </c>
      <c r="E146" s="342"/>
      <c r="F146" s="347">
        <f t="shared" si="7"/>
        <v>-12999.8</v>
      </c>
      <c r="G146" s="348"/>
    </row>
    <row r="147" ht="22" customHeight="1" spans="1:7">
      <c r="A147" s="344">
        <v>45946</v>
      </c>
      <c r="B147" s="345">
        <v>39</v>
      </c>
      <c r="C147" s="346" t="s">
        <v>342</v>
      </c>
      <c r="D147" s="349">
        <v>1473</v>
      </c>
      <c r="E147" s="342"/>
      <c r="F147" s="347">
        <f t="shared" si="7"/>
        <v>-11526.8</v>
      </c>
      <c r="G147" s="348"/>
    </row>
    <row r="148" ht="22" customHeight="1" spans="1:7">
      <c r="A148" s="344">
        <v>45946</v>
      </c>
      <c r="B148" s="345">
        <v>40</v>
      </c>
      <c r="C148" s="346" t="s">
        <v>919</v>
      </c>
      <c r="D148" s="349">
        <v>2955</v>
      </c>
      <c r="E148" s="342"/>
      <c r="F148" s="347">
        <f t="shared" si="7"/>
        <v>-8571.8</v>
      </c>
      <c r="G148" s="348"/>
    </row>
    <row r="149" ht="22" customHeight="1" spans="1:7">
      <c r="A149" s="344">
        <v>45948</v>
      </c>
      <c r="B149" s="345">
        <v>47</v>
      </c>
      <c r="C149" s="346" t="s">
        <v>542</v>
      </c>
      <c r="D149" s="349">
        <v>1385</v>
      </c>
      <c r="E149" s="342"/>
      <c r="F149" s="347">
        <f t="shared" si="7"/>
        <v>-7186.8</v>
      </c>
      <c r="G149" s="348"/>
    </row>
    <row r="150" ht="22" customHeight="1" spans="1:7">
      <c r="A150" s="344">
        <v>45948</v>
      </c>
      <c r="B150" s="345" t="s">
        <v>168</v>
      </c>
      <c r="C150" s="346" t="s">
        <v>922</v>
      </c>
      <c r="D150" s="349">
        <v>1106</v>
      </c>
      <c r="E150" s="358"/>
      <c r="F150" s="347">
        <f t="shared" si="7"/>
        <v>-6080.8</v>
      </c>
      <c r="G150" s="348"/>
    </row>
    <row r="151" spans="1:7">
      <c r="A151" s="344">
        <v>45948</v>
      </c>
      <c r="B151" s="345"/>
      <c r="C151" s="352" t="s">
        <v>1100</v>
      </c>
      <c r="D151" s="353">
        <v>3256</v>
      </c>
      <c r="E151" s="342"/>
      <c r="F151" s="347">
        <f t="shared" si="7"/>
        <v>-2824.8</v>
      </c>
      <c r="G151" s="348"/>
    </row>
    <row r="152" spans="1:7">
      <c r="A152" s="344">
        <v>45950</v>
      </c>
      <c r="B152" s="345"/>
      <c r="C152" s="359" t="s">
        <v>1060</v>
      </c>
      <c r="D152" s="349"/>
      <c r="E152" s="351">
        <v>9656</v>
      </c>
      <c r="F152" s="347">
        <f t="shared" si="7"/>
        <v>-12480.8</v>
      </c>
      <c r="G152" s="348"/>
    </row>
    <row r="153" spans="1:7">
      <c r="A153" s="344">
        <v>45950</v>
      </c>
      <c r="B153" s="345" t="s">
        <v>85</v>
      </c>
      <c r="C153" s="346" t="s">
        <v>930</v>
      </c>
      <c r="D153" s="349">
        <v>3309</v>
      </c>
      <c r="E153" s="342"/>
      <c r="F153" s="347">
        <f t="shared" si="7"/>
        <v>-9171.8</v>
      </c>
      <c r="G153" s="348"/>
    </row>
    <row r="154" spans="1:7">
      <c r="A154" s="344">
        <v>45951</v>
      </c>
      <c r="B154" s="345">
        <v>60</v>
      </c>
      <c r="C154" s="346" t="s">
        <v>1101</v>
      </c>
      <c r="D154" s="349">
        <v>2250</v>
      </c>
      <c r="E154" s="342"/>
      <c r="F154" s="347">
        <f t="shared" si="7"/>
        <v>-6921.8</v>
      </c>
      <c r="G154" s="348"/>
    </row>
    <row r="155" ht="21" customHeight="1" spans="1:7">
      <c r="A155" s="354">
        <v>45952</v>
      </c>
      <c r="B155" s="374"/>
      <c r="C155" s="355" t="s">
        <v>1102</v>
      </c>
      <c r="D155" s="356"/>
      <c r="E155" s="357">
        <v>6342</v>
      </c>
      <c r="F155" s="347">
        <f t="shared" si="7"/>
        <v>-13263.8</v>
      </c>
      <c r="G155" s="348"/>
    </row>
    <row r="156" spans="1:7">
      <c r="A156" s="344">
        <v>45953</v>
      </c>
      <c r="B156" s="345" t="s">
        <v>203</v>
      </c>
      <c r="C156" s="346" t="s">
        <v>345</v>
      </c>
      <c r="D156" s="349">
        <v>2355</v>
      </c>
      <c r="E156" s="342"/>
      <c r="F156" s="347">
        <f t="shared" si="7"/>
        <v>-10908.8</v>
      </c>
      <c r="G156" s="348"/>
    </row>
    <row r="157" spans="1:7">
      <c r="A157" s="344">
        <v>45954</v>
      </c>
      <c r="B157" s="345">
        <v>71</v>
      </c>
      <c r="C157" s="346" t="s">
        <v>925</v>
      </c>
      <c r="D157" s="349">
        <v>503</v>
      </c>
      <c r="E157" s="342"/>
      <c r="F157" s="347">
        <f t="shared" si="7"/>
        <v>-10405.8</v>
      </c>
      <c r="G157" s="348"/>
    </row>
    <row r="158" ht="20" customHeight="1" spans="1:7">
      <c r="A158" s="344">
        <v>45955</v>
      </c>
      <c r="B158" s="345" t="s">
        <v>655</v>
      </c>
      <c r="C158" s="346" t="s">
        <v>924</v>
      </c>
      <c r="D158" s="349">
        <v>1526.2</v>
      </c>
      <c r="E158" s="342"/>
      <c r="F158" s="347">
        <f t="shared" si="7"/>
        <v>-8879.6</v>
      </c>
      <c r="G158" s="348"/>
    </row>
    <row r="159" ht="22" customHeight="1" spans="1:7">
      <c r="A159" s="344">
        <v>45955</v>
      </c>
      <c r="B159" s="345">
        <v>80</v>
      </c>
      <c r="C159" s="346" t="s">
        <v>240</v>
      </c>
      <c r="D159" s="349">
        <v>4170</v>
      </c>
      <c r="E159" s="342"/>
      <c r="F159" s="347">
        <f t="shared" si="7"/>
        <v>-4709.6</v>
      </c>
      <c r="G159" s="348"/>
    </row>
    <row r="160" ht="22" customHeight="1" spans="1:7">
      <c r="A160" s="344">
        <v>45955</v>
      </c>
      <c r="B160" s="345">
        <v>81</v>
      </c>
      <c r="C160" s="346" t="s">
        <v>937</v>
      </c>
      <c r="D160" s="349">
        <v>4428</v>
      </c>
      <c r="E160" s="342"/>
      <c r="F160" s="347">
        <f t="shared" si="7"/>
        <v>-281.599999999999</v>
      </c>
      <c r="G160" s="348"/>
    </row>
    <row r="161" ht="22" customHeight="1" spans="1:7">
      <c r="A161" s="344">
        <v>45955</v>
      </c>
      <c r="B161" s="345"/>
      <c r="C161" s="359" t="s">
        <v>1060</v>
      </c>
      <c r="D161" s="349"/>
      <c r="E161" s="351">
        <v>11420</v>
      </c>
      <c r="F161" s="347">
        <f t="shared" si="7"/>
        <v>-11701.6</v>
      </c>
      <c r="G161" s="348"/>
    </row>
    <row r="162" ht="22" customHeight="1" spans="1:7">
      <c r="A162" s="344">
        <v>45957</v>
      </c>
      <c r="B162" s="345">
        <v>87</v>
      </c>
      <c r="C162" s="346" t="s">
        <v>1103</v>
      </c>
      <c r="D162" s="349">
        <v>160</v>
      </c>
      <c r="E162" s="342"/>
      <c r="F162" s="347">
        <f t="shared" si="7"/>
        <v>-11541.6</v>
      </c>
      <c r="G162" s="348"/>
    </row>
    <row r="163" ht="22" customHeight="1" spans="1:7">
      <c r="A163" s="344">
        <v>45958</v>
      </c>
      <c r="B163" s="345">
        <v>93</v>
      </c>
      <c r="C163" s="346" t="s">
        <v>456</v>
      </c>
      <c r="D163" s="349">
        <v>1191</v>
      </c>
      <c r="E163" s="342"/>
      <c r="F163" s="347">
        <f t="shared" si="7"/>
        <v>-10350.6</v>
      </c>
      <c r="G163" s="348"/>
    </row>
    <row r="164" ht="22" customHeight="1" spans="1:7">
      <c r="A164" s="360">
        <v>45961</v>
      </c>
      <c r="B164" s="376"/>
      <c r="C164" s="359" t="s">
        <v>1060</v>
      </c>
      <c r="D164" s="350"/>
      <c r="E164" s="351">
        <v>7326</v>
      </c>
      <c r="F164" s="347">
        <f t="shared" si="7"/>
        <v>-17676.6</v>
      </c>
      <c r="G164" s="348"/>
    </row>
    <row r="165" ht="22" customHeight="1" spans="1:7">
      <c r="A165" s="344">
        <v>45961</v>
      </c>
      <c r="B165" s="345">
        <v>94</v>
      </c>
      <c r="C165" s="346" t="s">
        <v>724</v>
      </c>
      <c r="D165" s="349">
        <v>2937</v>
      </c>
      <c r="E165" s="342"/>
      <c r="F165" s="347">
        <f t="shared" si="7"/>
        <v>-14739.6</v>
      </c>
      <c r="G165" s="348"/>
    </row>
    <row r="166" ht="22" customHeight="1" spans="1:7">
      <c r="A166" s="344">
        <v>45961</v>
      </c>
      <c r="B166" s="345">
        <v>99</v>
      </c>
      <c r="C166" s="346" t="s">
        <v>939</v>
      </c>
      <c r="D166" s="349">
        <v>3369.5</v>
      </c>
      <c r="E166" s="342"/>
      <c r="F166" s="347">
        <f t="shared" si="7"/>
        <v>-11370.1</v>
      </c>
      <c r="G166" s="348"/>
    </row>
    <row r="167" ht="22" customHeight="1" spans="1:7">
      <c r="A167" s="360"/>
      <c r="B167" s="360"/>
      <c r="C167" s="360"/>
      <c r="D167" s="360"/>
      <c r="E167" s="360"/>
      <c r="F167" s="360"/>
      <c r="G167" s="360"/>
    </row>
    <row r="168" ht="22" customHeight="1" spans="1:7">
      <c r="A168" s="361" t="s">
        <v>1062</v>
      </c>
      <c r="B168" s="361"/>
      <c r="C168" s="361"/>
      <c r="D168" s="361"/>
      <c r="E168" s="361"/>
      <c r="F168" s="361"/>
      <c r="G168" s="361"/>
    </row>
    <row r="169" ht="22" customHeight="1" spans="1:7">
      <c r="A169" s="362" t="s">
        <v>1047</v>
      </c>
      <c r="B169" s="362"/>
      <c r="C169" s="363" t="s">
        <v>1053</v>
      </c>
      <c r="D169" s="364" t="s">
        <v>1063</v>
      </c>
      <c r="E169" s="365" t="s">
        <v>1064</v>
      </c>
      <c r="F169" s="332" t="s">
        <v>39</v>
      </c>
      <c r="G169" s="332"/>
    </row>
    <row r="170" ht="22" customHeight="1" spans="1:7">
      <c r="A170" s="362" t="s">
        <v>1080</v>
      </c>
      <c r="B170" s="362"/>
      <c r="C170" s="363" t="s">
        <v>1081</v>
      </c>
      <c r="D170" s="364"/>
      <c r="E170" s="367">
        <v>1000</v>
      </c>
      <c r="F170" s="368" t="s">
        <v>1082</v>
      </c>
      <c r="G170" s="368"/>
    </row>
    <row r="171" ht="22" customHeight="1" spans="1:7">
      <c r="A171" s="362" t="s">
        <v>1083</v>
      </c>
      <c r="B171" s="362"/>
      <c r="C171" s="366" t="s">
        <v>985</v>
      </c>
      <c r="D171" s="369"/>
      <c r="E171" s="367">
        <v>-150</v>
      </c>
      <c r="F171" s="370"/>
      <c r="G171" s="370"/>
    </row>
    <row r="172" ht="22" customHeight="1" spans="1:7">
      <c r="A172" s="362" t="s">
        <v>1084</v>
      </c>
      <c r="B172" s="362"/>
      <c r="C172" s="366" t="s">
        <v>985</v>
      </c>
      <c r="D172" s="369"/>
      <c r="E172" s="367">
        <v>-150</v>
      </c>
      <c r="F172" s="368"/>
      <c r="G172" s="368"/>
    </row>
    <row r="173" ht="22" customHeight="1" spans="1:7">
      <c r="A173" s="362" t="s">
        <v>1085</v>
      </c>
      <c r="B173" s="362"/>
      <c r="C173" s="366" t="s">
        <v>985</v>
      </c>
      <c r="D173" s="364"/>
      <c r="E173" s="367">
        <v>-150</v>
      </c>
      <c r="F173" s="368"/>
      <c r="G173" s="368"/>
    </row>
    <row r="174" ht="22" customHeight="1" spans="1:7">
      <c r="A174" s="362" t="s">
        <v>1086</v>
      </c>
      <c r="B174" s="362">
        <v>45957</v>
      </c>
      <c r="C174" s="366" t="s">
        <v>985</v>
      </c>
      <c r="D174" s="364"/>
      <c r="E174" s="367">
        <v>-150</v>
      </c>
      <c r="F174" s="368"/>
      <c r="G174" s="368"/>
    </row>
    <row r="175" ht="22" customHeight="1" spans="1:7">
      <c r="A175" s="371" t="s">
        <v>1104</v>
      </c>
      <c r="B175" s="371"/>
      <c r="C175" s="371"/>
      <c r="D175" s="371"/>
      <c r="E175" s="372">
        <f>SUM(E170:E174)</f>
        <v>400</v>
      </c>
      <c r="F175" s="373"/>
      <c r="G175" s="373"/>
    </row>
    <row r="176" ht="22" customHeight="1"/>
    <row r="177" ht="22" customHeight="1" spans="1:7">
      <c r="A177" s="325" t="s">
        <v>1105</v>
      </c>
      <c r="B177" s="326"/>
      <c r="C177" s="327"/>
      <c r="D177" s="328"/>
      <c r="E177" s="329"/>
      <c r="F177" s="330"/>
      <c r="G177" s="329"/>
    </row>
    <row r="178" ht="22" customHeight="1" spans="1:7">
      <c r="A178" s="331" t="s">
        <v>1047</v>
      </c>
      <c r="B178" s="332" t="s">
        <v>1048</v>
      </c>
      <c r="C178" s="333"/>
      <c r="D178" s="332"/>
      <c r="E178" s="332" t="s">
        <v>1049</v>
      </c>
      <c r="F178" s="334" t="s">
        <v>1050</v>
      </c>
      <c r="G178" s="335" t="s">
        <v>9</v>
      </c>
    </row>
    <row r="179" ht="22" customHeight="1" spans="1:7">
      <c r="A179" s="331"/>
      <c r="B179" s="336">
        <f>SUM(D183:D216)</f>
        <v>69726.9</v>
      </c>
      <c r="C179" s="337"/>
      <c r="D179" s="336"/>
      <c r="E179" s="336">
        <f>SUM(E183:E208)</f>
        <v>41650</v>
      </c>
      <c r="F179" s="338">
        <f>B179-E179</f>
        <v>28076.9</v>
      </c>
      <c r="G179" s="335"/>
    </row>
    <row r="180" ht="22" customHeight="1" spans="1:7">
      <c r="A180" s="331"/>
      <c r="B180" s="336"/>
      <c r="C180" s="337"/>
      <c r="D180" s="336"/>
      <c r="E180" s="336"/>
      <c r="F180" s="338"/>
      <c r="G180" s="335"/>
    </row>
    <row r="181" ht="22" customHeight="1" spans="1:7">
      <c r="A181" s="331"/>
      <c r="B181" s="339" t="s">
        <v>1051</v>
      </c>
      <c r="C181" s="339"/>
      <c r="D181" s="339"/>
      <c r="E181" s="339"/>
      <c r="F181" s="339"/>
      <c r="G181" s="335"/>
    </row>
    <row r="182" ht="22" customHeight="1" spans="1:7">
      <c r="A182" s="331"/>
      <c r="B182" s="340" t="s">
        <v>1052</v>
      </c>
      <c r="C182" s="341" t="s">
        <v>1053</v>
      </c>
      <c r="D182" s="342" t="s">
        <v>918</v>
      </c>
      <c r="E182" s="342" t="s">
        <v>1054</v>
      </c>
      <c r="F182" s="343" t="s">
        <v>1055</v>
      </c>
      <c r="G182" s="335"/>
    </row>
    <row r="183" ht="22" customHeight="1" spans="1:7">
      <c r="A183" s="344" t="s">
        <v>778</v>
      </c>
      <c r="B183" s="345"/>
      <c r="C183" s="346" t="s">
        <v>1007</v>
      </c>
      <c r="D183" s="357">
        <v>20530</v>
      </c>
      <c r="E183" s="342"/>
      <c r="F183" s="347">
        <f>D183-E183</f>
        <v>20530</v>
      </c>
      <c r="G183" s="348"/>
    </row>
    <row r="184" ht="22" customHeight="1" spans="1:7">
      <c r="A184" s="344">
        <v>45901</v>
      </c>
      <c r="B184" s="345">
        <v>1</v>
      </c>
      <c r="C184" s="346" t="s">
        <v>937</v>
      </c>
      <c r="D184" s="349">
        <v>4453</v>
      </c>
      <c r="E184" s="358"/>
      <c r="F184" s="347">
        <f>F183+D184-E184</f>
        <v>24983</v>
      </c>
      <c r="G184" s="348"/>
    </row>
    <row r="185" ht="22" customHeight="1" spans="1:7">
      <c r="A185" s="344">
        <v>45901</v>
      </c>
      <c r="B185" s="345">
        <v>2</v>
      </c>
      <c r="C185" s="346" t="s">
        <v>927</v>
      </c>
      <c r="D185" s="349">
        <v>1728</v>
      </c>
      <c r="E185" s="342"/>
      <c r="F185" s="347">
        <f t="shared" ref="F185:F209" si="8">F184+D185-E185</f>
        <v>26711</v>
      </c>
      <c r="G185" s="348"/>
    </row>
    <row r="186" ht="22" customHeight="1" spans="1:7">
      <c r="A186" s="344">
        <v>45905</v>
      </c>
      <c r="B186" s="345">
        <v>12</v>
      </c>
      <c r="C186" s="346" t="s">
        <v>938</v>
      </c>
      <c r="D186" s="349">
        <v>2735.2</v>
      </c>
      <c r="E186" s="342"/>
      <c r="F186" s="347">
        <f t="shared" si="8"/>
        <v>29446.2</v>
      </c>
      <c r="G186" s="348"/>
    </row>
    <row r="187" ht="22" customHeight="1" spans="1:7">
      <c r="A187" s="360">
        <v>45905</v>
      </c>
      <c r="B187" s="376"/>
      <c r="C187" s="359" t="s">
        <v>1060</v>
      </c>
      <c r="D187" s="350"/>
      <c r="E187" s="342">
        <v>9084</v>
      </c>
      <c r="F187" s="347">
        <f t="shared" si="8"/>
        <v>20362.2</v>
      </c>
      <c r="G187" s="348"/>
    </row>
    <row r="188" ht="22" customHeight="1" spans="1:7">
      <c r="A188" s="344">
        <v>45910</v>
      </c>
      <c r="B188" s="345">
        <v>24</v>
      </c>
      <c r="C188" s="352" t="s">
        <v>1106</v>
      </c>
      <c r="D188" s="353">
        <v>166</v>
      </c>
      <c r="E188" s="342"/>
      <c r="F188" s="347">
        <f t="shared" si="8"/>
        <v>20528.2</v>
      </c>
      <c r="G188" s="348"/>
    </row>
    <row r="189" ht="22" customHeight="1" spans="1:7">
      <c r="A189" s="344">
        <v>45910</v>
      </c>
      <c r="B189" s="345">
        <v>25</v>
      </c>
      <c r="C189" s="346" t="s">
        <v>933</v>
      </c>
      <c r="D189" s="349">
        <v>1286.5</v>
      </c>
      <c r="F189" s="347">
        <f t="shared" si="8"/>
        <v>21814.7</v>
      </c>
      <c r="G189" s="348"/>
    </row>
    <row r="190" ht="22" customHeight="1" spans="1:7">
      <c r="A190" s="344">
        <v>45912</v>
      </c>
      <c r="B190" s="345">
        <v>34</v>
      </c>
      <c r="C190" s="346" t="s">
        <v>930</v>
      </c>
      <c r="D190" s="349">
        <v>3333.2</v>
      </c>
      <c r="E190" s="342"/>
      <c r="F190" s="347">
        <f t="shared" si="8"/>
        <v>25147.9</v>
      </c>
      <c r="G190" s="348"/>
    </row>
    <row r="191" spans="1:7">
      <c r="A191" s="344">
        <v>45912</v>
      </c>
      <c r="B191" s="345">
        <v>35</v>
      </c>
      <c r="C191" s="346" t="s">
        <v>924</v>
      </c>
      <c r="D191" s="349">
        <v>1538</v>
      </c>
      <c r="E191" s="342"/>
      <c r="F191" s="347">
        <f t="shared" si="8"/>
        <v>26685.9</v>
      </c>
      <c r="G191" s="348"/>
    </row>
    <row r="192" spans="1:7">
      <c r="A192" s="344">
        <v>45913</v>
      </c>
      <c r="B192" s="345">
        <v>37</v>
      </c>
      <c r="C192" s="346" t="s">
        <v>950</v>
      </c>
      <c r="D192" s="349">
        <v>1915</v>
      </c>
      <c r="E192" s="342"/>
      <c r="F192" s="347">
        <f t="shared" si="8"/>
        <v>28600.9</v>
      </c>
      <c r="G192" s="348"/>
    </row>
    <row r="193" spans="1:7">
      <c r="A193" s="360">
        <v>45912</v>
      </c>
      <c r="B193" s="376"/>
      <c r="C193" s="359" t="s">
        <v>1060</v>
      </c>
      <c r="D193" s="350"/>
      <c r="E193" s="342">
        <v>26698</v>
      </c>
      <c r="F193" s="347">
        <f t="shared" si="8"/>
        <v>1902.9</v>
      </c>
      <c r="G193" s="348"/>
    </row>
    <row r="194" ht="27" customHeight="1" spans="1:7">
      <c r="A194" s="344">
        <v>45913</v>
      </c>
      <c r="B194" s="345">
        <v>39</v>
      </c>
      <c r="C194" s="346" t="s">
        <v>929</v>
      </c>
      <c r="D194" s="349">
        <v>929</v>
      </c>
      <c r="E194" s="358"/>
      <c r="F194" s="347">
        <f t="shared" si="8"/>
        <v>2831.9</v>
      </c>
      <c r="G194" s="348"/>
    </row>
    <row r="195" spans="1:7">
      <c r="A195" s="344">
        <v>45914</v>
      </c>
      <c r="B195" s="345">
        <v>40</v>
      </c>
      <c r="C195" s="346" t="s">
        <v>951</v>
      </c>
      <c r="D195" s="349">
        <v>960</v>
      </c>
      <c r="E195" s="342"/>
      <c r="F195" s="347">
        <f t="shared" si="8"/>
        <v>3791.9</v>
      </c>
      <c r="G195" s="348"/>
    </row>
    <row r="196" ht="25" customHeight="1" spans="1:7">
      <c r="A196" s="344">
        <v>45922</v>
      </c>
      <c r="B196" s="345">
        <v>60</v>
      </c>
      <c r="C196" s="346" t="s">
        <v>952</v>
      </c>
      <c r="D196" s="349">
        <v>1534</v>
      </c>
      <c r="E196" s="358"/>
      <c r="F196" s="347">
        <f t="shared" si="8"/>
        <v>5325.9</v>
      </c>
      <c r="G196" s="348"/>
    </row>
    <row r="197" spans="1:7">
      <c r="A197" s="344">
        <v>45923</v>
      </c>
      <c r="B197" s="345">
        <v>61</v>
      </c>
      <c r="C197" s="346" t="s">
        <v>953</v>
      </c>
      <c r="D197" s="349">
        <v>501</v>
      </c>
      <c r="E197" s="342"/>
      <c r="F197" s="347">
        <f t="shared" si="8"/>
        <v>5826.9</v>
      </c>
      <c r="G197" s="348"/>
    </row>
    <row r="198" spans="1:7">
      <c r="A198" s="344">
        <v>45923</v>
      </c>
      <c r="B198" s="345">
        <v>62</v>
      </c>
      <c r="C198" s="346" t="s">
        <v>954</v>
      </c>
      <c r="D198" s="349">
        <v>650.1</v>
      </c>
      <c r="E198" s="342"/>
      <c r="F198" s="347">
        <f t="shared" si="8"/>
        <v>6477</v>
      </c>
      <c r="G198" s="348"/>
    </row>
    <row r="199" ht="20" customHeight="1" spans="1:7">
      <c r="A199" s="344">
        <v>45925</v>
      </c>
      <c r="B199" s="345">
        <v>76</v>
      </c>
      <c r="C199" s="346" t="s">
        <v>955</v>
      </c>
      <c r="D199" s="349">
        <v>4596.5</v>
      </c>
      <c r="E199" s="342"/>
      <c r="F199" s="347">
        <f t="shared" si="8"/>
        <v>11073.5</v>
      </c>
      <c r="G199" s="348"/>
    </row>
    <row r="200" ht="24" customHeight="1" spans="1:7">
      <c r="A200" s="344">
        <v>45925</v>
      </c>
      <c r="B200" s="345">
        <v>77</v>
      </c>
      <c r="C200" s="346" t="s">
        <v>345</v>
      </c>
      <c r="D200" s="349">
        <v>1477</v>
      </c>
      <c r="E200" s="342"/>
      <c r="F200" s="347">
        <f t="shared" si="8"/>
        <v>12550.5</v>
      </c>
      <c r="G200" s="348"/>
    </row>
    <row r="201" ht="22" customHeight="1" spans="1:7">
      <c r="A201" s="344">
        <v>45926</v>
      </c>
      <c r="B201" s="345">
        <v>79</v>
      </c>
      <c r="C201" s="346" t="s">
        <v>924</v>
      </c>
      <c r="D201" s="349">
        <v>1563</v>
      </c>
      <c r="E201" s="342"/>
      <c r="F201" s="347">
        <f t="shared" si="8"/>
        <v>14113.5</v>
      </c>
      <c r="G201" s="348"/>
    </row>
    <row r="202" ht="20" customHeight="1" spans="1:7">
      <c r="A202" s="354">
        <v>45926</v>
      </c>
      <c r="B202" s="374"/>
      <c r="C202" s="355" t="s">
        <v>902</v>
      </c>
      <c r="D202" s="356">
        <v>8631</v>
      </c>
      <c r="E202" s="342"/>
      <c r="F202" s="347">
        <f t="shared" si="8"/>
        <v>22744.5</v>
      </c>
      <c r="G202" s="348"/>
    </row>
    <row r="203" ht="20" customHeight="1" spans="1:7">
      <c r="A203" s="344">
        <v>45926</v>
      </c>
      <c r="B203" s="345">
        <v>80</v>
      </c>
      <c r="C203" s="346" t="s">
        <v>956</v>
      </c>
      <c r="D203" s="349">
        <v>5470.4</v>
      </c>
      <c r="E203" s="342"/>
      <c r="F203" s="347">
        <f t="shared" si="8"/>
        <v>28214.9</v>
      </c>
      <c r="G203" s="348"/>
    </row>
    <row r="204" ht="20" customHeight="1" spans="1:7">
      <c r="A204" s="360">
        <v>45927</v>
      </c>
      <c r="B204" s="376"/>
      <c r="C204" s="359" t="s">
        <v>1060</v>
      </c>
      <c r="D204" s="350"/>
      <c r="E204" s="342">
        <v>5868</v>
      </c>
      <c r="F204" s="347">
        <f t="shared" si="8"/>
        <v>22346.9</v>
      </c>
      <c r="G204" s="348"/>
    </row>
    <row r="205" ht="20" customHeight="1" spans="1:7">
      <c r="A205" s="344">
        <v>45927</v>
      </c>
      <c r="B205" s="345">
        <v>83</v>
      </c>
      <c r="C205" s="346" t="s">
        <v>939</v>
      </c>
      <c r="D205" s="349">
        <v>2904</v>
      </c>
      <c r="E205" s="342"/>
      <c r="F205" s="347">
        <f t="shared" si="8"/>
        <v>25250.9</v>
      </c>
      <c r="G205" s="348"/>
    </row>
    <row r="206" ht="20" customHeight="1" spans="1:7">
      <c r="A206" s="344">
        <v>45928</v>
      </c>
      <c r="B206" s="345">
        <v>84</v>
      </c>
      <c r="C206" s="346" t="s">
        <v>957</v>
      </c>
      <c r="D206" s="349">
        <v>1453</v>
      </c>
      <c r="E206" s="342"/>
      <c r="F206" s="347">
        <f t="shared" si="8"/>
        <v>26703.9</v>
      </c>
      <c r="G206" s="348"/>
    </row>
    <row r="207" ht="20" customHeight="1" spans="1:7">
      <c r="A207" s="344">
        <v>45929</v>
      </c>
      <c r="B207" s="345">
        <v>85</v>
      </c>
      <c r="C207" s="346" t="s">
        <v>958</v>
      </c>
      <c r="D207" s="349">
        <v>1373</v>
      </c>
      <c r="E207" s="342"/>
      <c r="F207" s="347">
        <f t="shared" si="8"/>
        <v>28076.9</v>
      </c>
      <c r="G207" s="348"/>
    </row>
    <row r="208" ht="20" customHeight="1" spans="1:7">
      <c r="A208" s="377"/>
      <c r="B208" s="378"/>
      <c r="C208" s="378"/>
      <c r="D208" s="378"/>
      <c r="E208" s="378"/>
      <c r="F208" s="378"/>
      <c r="G208" s="379"/>
    </row>
    <row r="209" ht="20" customHeight="1" spans="1:13">
      <c r="A209" s="361" t="s">
        <v>1062</v>
      </c>
      <c r="B209" s="361"/>
      <c r="C209" s="361"/>
      <c r="D209" s="361"/>
      <c r="E209" s="361"/>
      <c r="F209" s="361"/>
      <c r="G209" s="361"/>
    </row>
    <row r="210" ht="20" customHeight="1" spans="1:13">
      <c r="A210" s="362" t="s">
        <v>1047</v>
      </c>
      <c r="B210" s="362"/>
      <c r="C210" s="363" t="s">
        <v>1053</v>
      </c>
      <c r="D210" s="364" t="s">
        <v>1063</v>
      </c>
      <c r="E210" s="365" t="s">
        <v>1064</v>
      </c>
      <c r="F210" s="332" t="s">
        <v>39</v>
      </c>
      <c r="G210" s="332"/>
    </row>
    <row r="211" ht="20" customHeight="1" spans="1:13">
      <c r="A211" s="362" t="s">
        <v>1080</v>
      </c>
      <c r="B211" s="362"/>
      <c r="C211" s="363" t="s">
        <v>1081</v>
      </c>
      <c r="D211" s="364"/>
      <c r="E211" s="367">
        <v>1000</v>
      </c>
      <c r="F211" s="368" t="s">
        <v>1082</v>
      </c>
      <c r="G211" s="368"/>
    </row>
    <row r="212" ht="20" customHeight="1" spans="1:13">
      <c r="A212" s="380" t="s">
        <v>1083</v>
      </c>
      <c r="B212" s="381"/>
      <c r="C212" s="366" t="s">
        <v>985</v>
      </c>
      <c r="D212" s="369"/>
      <c r="E212" s="382">
        <v>-150</v>
      </c>
      <c r="F212" s="370"/>
      <c r="G212" s="370"/>
    </row>
    <row r="213" ht="20" customHeight="1" spans="1:13">
      <c r="A213" s="380" t="s">
        <v>1084</v>
      </c>
      <c r="B213" s="381"/>
      <c r="C213" s="366" t="s">
        <v>985</v>
      </c>
      <c r="D213" s="369"/>
      <c r="E213" s="382">
        <v>-150</v>
      </c>
      <c r="F213" s="368"/>
      <c r="G213" s="368"/>
    </row>
    <row r="214" ht="20" customHeight="1" spans="1:13">
      <c r="A214" s="380"/>
      <c r="B214" s="383"/>
      <c r="C214" s="383"/>
      <c r="D214" s="383"/>
      <c r="E214" s="383"/>
      <c r="F214" s="383"/>
      <c r="G214" s="381"/>
    </row>
    <row r="215" ht="20" customHeight="1" spans="1:13">
      <c r="A215" s="371" t="s">
        <v>1107</v>
      </c>
      <c r="B215" s="371"/>
      <c r="C215" s="371"/>
      <c r="D215" s="371"/>
      <c r="E215" s="372">
        <f>SUM(E211:E214)</f>
        <v>700</v>
      </c>
      <c r="F215" s="373"/>
      <c r="G215" s="373"/>
    </row>
    <row r="216" ht="20" customHeight="1" spans="1:13">
      <c r="A216" s="11"/>
      <c r="B216" s="11"/>
      <c r="C216" s="11"/>
      <c r="D216" s="11"/>
      <c r="E216" s="11"/>
      <c r="F216" s="11"/>
      <c r="G216" s="11"/>
    </row>
    <row r="217" ht="20" customHeight="1" spans="1:13">
      <c r="A217" s="325" t="s">
        <v>1108</v>
      </c>
      <c r="B217" s="326"/>
      <c r="C217" s="327"/>
      <c r="D217" s="328"/>
      <c r="E217" s="329"/>
      <c r="F217" s="330"/>
      <c r="G217" s="329"/>
      <c r="I217">
        <f>SUM(D337:D355)</f>
        <v>35614.2</v>
      </c>
    </row>
    <row r="218" ht="20" customHeight="1" spans="1:13">
      <c r="A218" s="331" t="s">
        <v>1047</v>
      </c>
      <c r="B218" s="332" t="s">
        <v>1048</v>
      </c>
      <c r="C218" s="333"/>
      <c r="D218" s="332"/>
      <c r="E218" s="332" t="s">
        <v>1049</v>
      </c>
      <c r="F218" s="334" t="s">
        <v>1050</v>
      </c>
      <c r="G218" s="335" t="s">
        <v>9</v>
      </c>
    </row>
    <row r="219" ht="20" customHeight="1" spans="1:13">
      <c r="A219" s="331"/>
      <c r="B219" s="336">
        <f>SUM(D223:D246)</f>
        <v>73697.7</v>
      </c>
      <c r="C219" s="337"/>
      <c r="D219" s="336"/>
      <c r="E219" s="336">
        <f>SUM(E223:E238)</f>
        <v>53168</v>
      </c>
      <c r="F219" s="338">
        <f>B219-E219</f>
        <v>20529.7</v>
      </c>
      <c r="G219" s="335"/>
    </row>
    <row r="220" ht="20" customHeight="1" spans="1:13">
      <c r="A220" s="331"/>
      <c r="B220" s="336"/>
      <c r="C220" s="337"/>
      <c r="D220" s="336"/>
      <c r="E220" s="336"/>
      <c r="F220" s="338"/>
      <c r="G220" s="335"/>
    </row>
    <row r="221" ht="20" customHeight="1" spans="1:13">
      <c r="A221" s="331"/>
      <c r="B221" s="339" t="s">
        <v>1051</v>
      </c>
      <c r="C221" s="339"/>
      <c r="D221" s="339"/>
      <c r="E221" s="339"/>
      <c r="F221" s="339"/>
      <c r="G221" s="335"/>
      <c r="J221" s="384" t="s">
        <v>35</v>
      </c>
      <c r="K221" s="11" t="s">
        <v>533</v>
      </c>
      <c r="L221" s="11" t="s">
        <v>547</v>
      </c>
      <c r="M221" t="s">
        <v>1109</v>
      </c>
    </row>
    <row r="222" ht="20" customHeight="1" spans="1:13">
      <c r="A222" s="331"/>
      <c r="B222" s="340" t="s">
        <v>1052</v>
      </c>
      <c r="C222" s="341" t="s">
        <v>1053</v>
      </c>
      <c r="D222" s="342" t="s">
        <v>918</v>
      </c>
      <c r="E222" s="342" t="s">
        <v>1054</v>
      </c>
      <c r="F222" s="343" t="s">
        <v>1055</v>
      </c>
      <c r="G222" s="335"/>
      <c r="J222" s="385">
        <v>45737</v>
      </c>
      <c r="K222">
        <v>2000</v>
      </c>
      <c r="L222">
        <v>2035</v>
      </c>
      <c r="M222">
        <v>1000</v>
      </c>
    </row>
    <row r="223" ht="20" customHeight="1" spans="1:13">
      <c r="A223" s="344" t="s">
        <v>750</v>
      </c>
      <c r="B223" s="345"/>
      <c r="C223" s="346" t="s">
        <v>1007</v>
      </c>
      <c r="D223" s="357">
        <v>37772</v>
      </c>
      <c r="E223" s="342"/>
      <c r="F223" s="347">
        <f>D223-E223</f>
        <v>37772</v>
      </c>
      <c r="G223" s="348"/>
    </row>
    <row r="224" ht="20" customHeight="1" spans="1:13">
      <c r="A224" s="344">
        <v>45873</v>
      </c>
      <c r="B224" s="345"/>
      <c r="C224" s="386" t="s">
        <v>1060</v>
      </c>
      <c r="D224" s="387"/>
      <c r="E224" s="358">
        <v>34436</v>
      </c>
      <c r="F224" s="347">
        <f>F223+D224-E224</f>
        <v>3336</v>
      </c>
      <c r="G224" s="348"/>
    </row>
    <row r="225" ht="20" customHeight="1" spans="1:7">
      <c r="A225" s="344">
        <v>45876</v>
      </c>
      <c r="B225" s="345">
        <v>12</v>
      </c>
      <c r="C225" s="346" t="s">
        <v>938</v>
      </c>
      <c r="D225" s="349">
        <v>2762</v>
      </c>
      <c r="E225" s="342"/>
      <c r="F225" s="347">
        <f t="shared" ref="F225:F238" si="9">F224+D225-E225</f>
        <v>6098</v>
      </c>
      <c r="G225" s="348"/>
    </row>
    <row r="226" ht="20" customHeight="1" spans="1:7">
      <c r="A226" s="344">
        <v>45876</v>
      </c>
      <c r="B226" s="345">
        <v>13</v>
      </c>
      <c r="C226" s="346" t="s">
        <v>961</v>
      </c>
      <c r="D226" s="349">
        <v>1833</v>
      </c>
      <c r="E226" s="342"/>
      <c r="F226" s="347">
        <f t="shared" si="9"/>
        <v>7931</v>
      </c>
      <c r="G226" s="348"/>
    </row>
    <row r="227" ht="20" customHeight="1" spans="1:7">
      <c r="A227" s="344">
        <v>45876</v>
      </c>
      <c r="B227" s="345"/>
      <c r="C227" s="352" t="s">
        <v>902</v>
      </c>
      <c r="D227" s="353">
        <v>5522</v>
      </c>
      <c r="E227" s="342"/>
      <c r="F227" s="347">
        <f t="shared" si="9"/>
        <v>13453</v>
      </c>
      <c r="G227" s="348"/>
    </row>
    <row r="228" ht="20" customHeight="1" spans="1:7">
      <c r="A228" s="344">
        <v>45877</v>
      </c>
      <c r="B228" s="345">
        <v>16</v>
      </c>
      <c r="C228" s="346" t="s">
        <v>919</v>
      </c>
      <c r="D228" s="349">
        <v>3001</v>
      </c>
      <c r="E228" s="342"/>
      <c r="F228" s="347">
        <f t="shared" si="9"/>
        <v>16454</v>
      </c>
      <c r="G228" s="348"/>
    </row>
    <row r="229" ht="17" customHeight="1" spans="1:7">
      <c r="A229" s="344">
        <v>45880</v>
      </c>
      <c r="B229" s="345">
        <v>25</v>
      </c>
      <c r="C229" s="346" t="s">
        <v>345</v>
      </c>
      <c r="D229" s="349">
        <v>1491</v>
      </c>
      <c r="E229" s="342"/>
      <c r="F229" s="347">
        <f t="shared" si="9"/>
        <v>17945</v>
      </c>
      <c r="G229" s="348"/>
    </row>
    <row r="230" spans="1:7">
      <c r="A230" s="344">
        <v>45881</v>
      </c>
      <c r="B230" s="345">
        <v>26</v>
      </c>
      <c r="C230" s="346" t="s">
        <v>962</v>
      </c>
      <c r="D230" s="349">
        <v>1552</v>
      </c>
      <c r="E230" s="342"/>
      <c r="F230" s="347">
        <f t="shared" si="9"/>
        <v>19497</v>
      </c>
      <c r="G230" s="348"/>
    </row>
    <row r="231" ht="25" customHeight="1" spans="1:7">
      <c r="A231" s="344">
        <v>45881</v>
      </c>
      <c r="B231" s="345">
        <v>27</v>
      </c>
      <c r="C231" s="346" t="s">
        <v>922</v>
      </c>
      <c r="D231" s="349">
        <v>1114</v>
      </c>
      <c r="E231" s="342"/>
      <c r="F231" s="347">
        <f t="shared" si="9"/>
        <v>20611</v>
      </c>
      <c r="G231" s="348"/>
    </row>
    <row r="232" ht="21" customHeight="1" spans="1:7">
      <c r="A232" s="344">
        <v>45890</v>
      </c>
      <c r="B232" s="345">
        <v>51</v>
      </c>
      <c r="C232" s="346" t="s">
        <v>938</v>
      </c>
      <c r="D232" s="349">
        <v>2751</v>
      </c>
      <c r="E232" s="342"/>
      <c r="F232" s="347">
        <f t="shared" si="9"/>
        <v>23362</v>
      </c>
      <c r="G232" s="348"/>
    </row>
    <row r="233" spans="1:7">
      <c r="A233" s="344">
        <v>45890</v>
      </c>
      <c r="B233" s="345"/>
      <c r="C233" s="386" t="s">
        <v>1060</v>
      </c>
      <c r="D233" s="387"/>
      <c r="E233" s="358">
        <v>7068</v>
      </c>
      <c r="F233" s="347">
        <f t="shared" si="9"/>
        <v>16294</v>
      </c>
      <c r="G233" s="348"/>
    </row>
    <row r="234" spans="1:7">
      <c r="A234" s="344">
        <v>45895</v>
      </c>
      <c r="B234" s="345">
        <v>71</v>
      </c>
      <c r="C234" s="346" t="s">
        <v>923</v>
      </c>
      <c r="D234" s="349">
        <v>10733</v>
      </c>
      <c r="E234" s="342"/>
      <c r="F234" s="347">
        <f t="shared" si="9"/>
        <v>27027</v>
      </c>
      <c r="G234" s="348"/>
    </row>
    <row r="235" spans="1:7">
      <c r="A235" s="344">
        <v>45896</v>
      </c>
      <c r="B235" s="345"/>
      <c r="C235" s="386" t="s">
        <v>1060</v>
      </c>
      <c r="D235" s="387"/>
      <c r="E235" s="358">
        <v>11664</v>
      </c>
      <c r="F235" s="347">
        <f t="shared" si="9"/>
        <v>15363</v>
      </c>
      <c r="G235" s="348"/>
    </row>
    <row r="236" spans="1:7">
      <c r="A236" s="344">
        <v>45899</v>
      </c>
      <c r="B236" s="345">
        <v>88</v>
      </c>
      <c r="C236" s="346" t="s">
        <v>1110</v>
      </c>
      <c r="D236" s="349">
        <v>4054.3</v>
      </c>
      <c r="E236" s="342"/>
      <c r="F236" s="347">
        <f t="shared" si="9"/>
        <v>19417.3</v>
      </c>
      <c r="G236" s="348"/>
    </row>
    <row r="237" ht="20" customHeight="1" spans="1:7">
      <c r="A237" s="344">
        <v>45899</v>
      </c>
      <c r="B237" s="345">
        <v>89</v>
      </c>
      <c r="C237" s="346" t="s">
        <v>922</v>
      </c>
      <c r="D237" s="349">
        <v>1112.4</v>
      </c>
      <c r="E237" s="342"/>
      <c r="F237" s="347">
        <f t="shared" si="9"/>
        <v>20529.7</v>
      </c>
      <c r="G237" s="348"/>
    </row>
    <row r="238" ht="20" customHeight="1" spans="1:7">
      <c r="A238" s="360"/>
      <c r="B238" s="376"/>
      <c r="C238" s="359"/>
      <c r="D238" s="350"/>
      <c r="E238" s="342"/>
      <c r="F238" s="347">
        <f t="shared" si="9"/>
        <v>20529.7</v>
      </c>
      <c r="G238" s="348"/>
    </row>
    <row r="239" ht="20" customHeight="1" spans="1:7">
      <c r="A239" s="361" t="s">
        <v>1062</v>
      </c>
      <c r="B239" s="361"/>
      <c r="C239" s="361"/>
      <c r="D239" s="361"/>
      <c r="E239" s="361"/>
      <c r="F239" s="361"/>
      <c r="G239" s="361"/>
    </row>
    <row r="240" ht="20" customHeight="1" spans="1:7">
      <c r="A240" s="362" t="s">
        <v>1047</v>
      </c>
      <c r="B240" s="362"/>
      <c r="C240" s="363" t="s">
        <v>1053</v>
      </c>
      <c r="D240" s="364" t="s">
        <v>1063</v>
      </c>
      <c r="E240" s="365" t="s">
        <v>1064</v>
      </c>
      <c r="F240" s="332" t="s">
        <v>39</v>
      </c>
      <c r="G240" s="332"/>
    </row>
    <row r="241" ht="20" customHeight="1" spans="1:11">
      <c r="A241" s="362" t="s">
        <v>1080</v>
      </c>
      <c r="B241" s="362"/>
      <c r="C241" s="363" t="s">
        <v>1081</v>
      </c>
      <c r="D241" s="364"/>
      <c r="E241" s="367">
        <v>1000</v>
      </c>
      <c r="F241" s="368" t="s">
        <v>1082</v>
      </c>
      <c r="G241" s="368"/>
    </row>
    <row r="242" ht="20" customHeight="1" spans="1:11">
      <c r="A242" s="380" t="s">
        <v>1083</v>
      </c>
      <c r="B242" s="381"/>
      <c r="C242" s="366" t="s">
        <v>985</v>
      </c>
      <c r="D242" s="369"/>
      <c r="E242" s="382">
        <v>-150</v>
      </c>
      <c r="F242" s="370"/>
      <c r="G242" s="370"/>
    </row>
    <row r="243" ht="20" customHeight="1" spans="1:11">
      <c r="A243" s="380"/>
      <c r="B243" s="381"/>
      <c r="C243" s="366"/>
      <c r="D243" s="369"/>
      <c r="E243" s="382"/>
      <c r="F243" s="368"/>
      <c r="G243" s="368"/>
    </row>
    <row r="244" ht="20" customHeight="1" spans="1:11">
      <c r="A244" s="388"/>
      <c r="B244" s="388"/>
      <c r="C244" s="388"/>
      <c r="D244" s="364"/>
      <c r="E244" s="367"/>
      <c r="F244" s="389"/>
      <c r="G244" s="390"/>
    </row>
    <row r="245" ht="20" customHeight="1" spans="1:11">
      <c r="A245" s="371" t="s">
        <v>1111</v>
      </c>
      <c r="B245" s="371"/>
      <c r="C245" s="371"/>
      <c r="D245" s="371"/>
      <c r="E245" s="372">
        <f>SUM(E241:E244)</f>
        <v>850</v>
      </c>
      <c r="F245" s="373"/>
      <c r="G245" s="373"/>
    </row>
    <row r="246" ht="20" customHeight="1" spans="1:11">
      <c r="A246" s="11"/>
      <c r="B246" s="11"/>
      <c r="C246" s="11"/>
      <c r="D246" s="11"/>
      <c r="E246" s="11"/>
      <c r="F246" s="11"/>
      <c r="G246" s="11"/>
    </row>
    <row r="247" ht="20" customHeight="1" spans="1:11">
      <c r="A247" s="325" t="s">
        <v>1112</v>
      </c>
      <c r="B247" s="326"/>
      <c r="C247" s="327"/>
      <c r="D247" s="328"/>
      <c r="E247" s="329"/>
      <c r="F247" s="330"/>
      <c r="G247" s="329"/>
    </row>
    <row r="248" ht="20" customHeight="1" spans="1:11">
      <c r="A248" s="331" t="s">
        <v>1047</v>
      </c>
      <c r="B248" s="332" t="s">
        <v>1048</v>
      </c>
      <c r="C248" s="333"/>
      <c r="D248" s="332"/>
      <c r="E248" s="332" t="s">
        <v>1049</v>
      </c>
      <c r="F248" s="334" t="s">
        <v>1050</v>
      </c>
      <c r="G248" s="335" t="s">
        <v>9</v>
      </c>
      <c r="H248" t="s">
        <v>1113</v>
      </c>
    </row>
    <row r="249" ht="20" customHeight="1" spans="1:11">
      <c r="A249" s="331"/>
      <c r="B249" s="336">
        <f>SUM(D253:D286)</f>
        <v>78305.8</v>
      </c>
      <c r="C249" s="337"/>
      <c r="D249" s="336"/>
      <c r="E249" s="336">
        <f>SUM(E253:E277)</f>
        <v>40534</v>
      </c>
      <c r="F249" s="338">
        <f>B249-E249</f>
        <v>37771.8</v>
      </c>
      <c r="G249" s="335"/>
    </row>
    <row r="250" ht="20" customHeight="1" spans="1:11">
      <c r="A250" s="331"/>
      <c r="B250" s="336"/>
      <c r="C250" s="337"/>
      <c r="D250" s="336"/>
      <c r="E250" s="336"/>
      <c r="F250" s="338"/>
      <c r="G250" s="335"/>
    </row>
    <row r="251" ht="20" customHeight="1" spans="1:11">
      <c r="A251" s="331"/>
      <c r="B251" s="339" t="s">
        <v>1114</v>
      </c>
      <c r="C251" s="339"/>
      <c r="D251" s="339"/>
      <c r="E251" s="339"/>
      <c r="F251" s="339"/>
      <c r="G251" s="335"/>
    </row>
    <row r="252" ht="20" customHeight="1" spans="1:11">
      <c r="A252" s="331"/>
      <c r="B252" s="340" t="s">
        <v>1052</v>
      </c>
      <c r="C252" s="341" t="s">
        <v>1053</v>
      </c>
      <c r="D252" s="342" t="s">
        <v>918</v>
      </c>
      <c r="E252" s="342" t="s">
        <v>1054</v>
      </c>
      <c r="F252" s="343" t="s">
        <v>1055</v>
      </c>
      <c r="G252" s="335"/>
    </row>
    <row r="253" ht="20" customHeight="1" spans="1:11">
      <c r="A253" s="344" t="s">
        <v>708</v>
      </c>
      <c r="B253" s="345"/>
      <c r="C253" s="346" t="s">
        <v>1007</v>
      </c>
      <c r="D253" s="357">
        <v>36668</v>
      </c>
      <c r="E253" s="342"/>
      <c r="F253" s="347">
        <f>D253-E253</f>
        <v>36668</v>
      </c>
      <c r="G253" s="348"/>
    </row>
    <row r="254" ht="20" customHeight="1" spans="1:11">
      <c r="A254" s="344">
        <v>45839</v>
      </c>
      <c r="B254" s="345">
        <v>9</v>
      </c>
      <c r="C254" s="346" t="s">
        <v>704</v>
      </c>
      <c r="D254" s="349">
        <v>3633</v>
      </c>
      <c r="E254" s="342"/>
      <c r="F254" s="347">
        <f t="shared" ref="F254:F264" si="10">F253+D254-E254</f>
        <v>40301</v>
      </c>
      <c r="G254" s="348"/>
    </row>
    <row r="255" ht="20" customHeight="1" spans="1:11">
      <c r="A255" s="344">
        <v>45840</v>
      </c>
      <c r="B255" s="345"/>
      <c r="C255" s="346" t="s">
        <v>1060</v>
      </c>
      <c r="D255" s="349"/>
      <c r="E255" s="342">
        <v>11510</v>
      </c>
      <c r="F255" s="347">
        <f t="shared" si="10"/>
        <v>28791</v>
      </c>
      <c r="G255" s="348"/>
    </row>
    <row r="256" ht="20" customHeight="1" spans="1:11">
      <c r="A256" s="344">
        <v>45841</v>
      </c>
      <c r="B256" s="345"/>
      <c r="C256" s="346" t="s">
        <v>1115</v>
      </c>
      <c r="D256" s="349"/>
      <c r="E256" s="342">
        <v>28708</v>
      </c>
      <c r="F256" s="347">
        <f t="shared" si="10"/>
        <v>83</v>
      </c>
      <c r="G256" s="348"/>
      <c r="K256">
        <f>SUM(E372:E392)</f>
        <v>76474</v>
      </c>
    </row>
    <row r="257" ht="20" customHeight="1" spans="1:13">
      <c r="A257" s="344">
        <v>45842</v>
      </c>
      <c r="B257" s="345">
        <v>10</v>
      </c>
      <c r="C257" s="346" t="s">
        <v>965</v>
      </c>
      <c r="D257" s="349">
        <v>50.4</v>
      </c>
      <c r="E257" s="342"/>
      <c r="F257" s="347">
        <f t="shared" si="10"/>
        <v>133.4</v>
      </c>
      <c r="G257" s="348"/>
    </row>
    <row r="258" ht="20" customHeight="1" spans="1:13">
      <c r="A258" s="344">
        <v>45842</v>
      </c>
      <c r="B258" s="345">
        <v>11</v>
      </c>
      <c r="C258" s="346" t="s">
        <v>966</v>
      </c>
      <c r="D258" s="349">
        <v>50.4</v>
      </c>
      <c r="E258" s="342"/>
      <c r="F258" s="347">
        <f t="shared" si="10"/>
        <v>183.8</v>
      </c>
      <c r="G258" s="348"/>
    </row>
    <row r="259" ht="20" customHeight="1" spans="1:13">
      <c r="A259" s="344">
        <v>45842</v>
      </c>
      <c r="B259" s="345">
        <v>12</v>
      </c>
      <c r="C259" s="346" t="s">
        <v>967</v>
      </c>
      <c r="D259" s="349">
        <v>96</v>
      </c>
      <c r="E259" s="342"/>
      <c r="F259" s="347">
        <f t="shared" si="10"/>
        <v>279.8</v>
      </c>
      <c r="G259" s="348"/>
    </row>
    <row r="260" ht="20" customHeight="1" spans="1:13">
      <c r="A260" s="344">
        <v>45846</v>
      </c>
      <c r="B260" s="345">
        <v>28</v>
      </c>
      <c r="C260" s="346" t="s">
        <v>939</v>
      </c>
      <c r="D260" s="349">
        <v>2476</v>
      </c>
      <c r="E260" s="342"/>
      <c r="F260" s="347">
        <f t="shared" si="10"/>
        <v>2755.8</v>
      </c>
      <c r="G260" s="348"/>
    </row>
    <row r="261" ht="20" customHeight="1" spans="1:13">
      <c r="A261" s="344">
        <v>45847</v>
      </c>
      <c r="B261" s="345">
        <v>32</v>
      </c>
      <c r="C261" s="346" t="s">
        <v>284</v>
      </c>
      <c r="D261" s="349">
        <v>1605</v>
      </c>
      <c r="E261" s="342"/>
      <c r="F261" s="347">
        <f t="shared" si="10"/>
        <v>4360.8</v>
      </c>
      <c r="G261" s="348"/>
    </row>
    <row r="262" ht="20" customHeight="1" spans="1:13">
      <c r="A262" s="344">
        <v>45848</v>
      </c>
      <c r="B262" s="345">
        <v>35</v>
      </c>
      <c r="C262" s="346" t="s">
        <v>968</v>
      </c>
      <c r="D262" s="349">
        <v>202</v>
      </c>
      <c r="E262" s="342"/>
      <c r="F262" s="347">
        <f t="shared" si="10"/>
        <v>4562.8</v>
      </c>
      <c r="G262" s="348"/>
    </row>
    <row r="263" ht="20" customHeight="1" spans="1:13">
      <c r="A263" s="344">
        <v>45848</v>
      </c>
      <c r="B263" s="345">
        <v>36</v>
      </c>
      <c r="C263" s="346" t="s">
        <v>969</v>
      </c>
      <c r="D263" s="349">
        <v>360</v>
      </c>
      <c r="E263" s="342"/>
      <c r="F263" s="347">
        <f t="shared" si="10"/>
        <v>4922.8</v>
      </c>
      <c r="G263" s="348"/>
    </row>
    <row r="264" ht="20" customHeight="1" spans="1:13">
      <c r="A264" s="344">
        <v>45848</v>
      </c>
      <c r="B264" s="345">
        <v>37</v>
      </c>
      <c r="C264" s="346" t="s">
        <v>1116</v>
      </c>
      <c r="D264" s="349">
        <v>64</v>
      </c>
      <c r="E264" s="342"/>
      <c r="F264" s="347">
        <f t="shared" si="10"/>
        <v>4986.8</v>
      </c>
      <c r="G264" s="348"/>
      <c r="J264" s="384" t="s">
        <v>35</v>
      </c>
      <c r="K264" s="11" t="s">
        <v>533</v>
      </c>
      <c r="L264" s="11" t="s">
        <v>547</v>
      </c>
      <c r="M264" t="s">
        <v>1109</v>
      </c>
    </row>
    <row r="265" ht="20" customHeight="1" spans="1:13">
      <c r="A265" s="344">
        <v>45848</v>
      </c>
      <c r="B265" s="345">
        <v>38</v>
      </c>
      <c r="C265" s="346" t="s">
        <v>970</v>
      </c>
      <c r="D265" s="349">
        <v>1078</v>
      </c>
      <c r="E265" s="342"/>
      <c r="F265" s="347">
        <f t="shared" ref="F265:F282" si="11">F264+D265-E265</f>
        <v>6064.8</v>
      </c>
      <c r="G265" s="348"/>
      <c r="J265" s="385">
        <v>45737</v>
      </c>
      <c r="K265">
        <v>2000</v>
      </c>
      <c r="L265">
        <v>2035</v>
      </c>
      <c r="M265">
        <v>1000</v>
      </c>
    </row>
    <row r="266" ht="20" customHeight="1" spans="1:13">
      <c r="A266" s="344">
        <v>45849</v>
      </c>
      <c r="B266" s="345">
        <v>43</v>
      </c>
      <c r="C266" s="346" t="s">
        <v>922</v>
      </c>
      <c r="D266" s="349">
        <v>747</v>
      </c>
      <c r="E266" s="342"/>
      <c r="F266" s="347">
        <f t="shared" si="11"/>
        <v>6811.8</v>
      </c>
      <c r="G266" s="348"/>
    </row>
    <row r="267" ht="20" customHeight="1" spans="1:13">
      <c r="A267" s="344">
        <v>45850</v>
      </c>
      <c r="B267" s="345">
        <v>47</v>
      </c>
      <c r="C267" s="346" t="s">
        <v>971</v>
      </c>
      <c r="D267" s="349">
        <v>681</v>
      </c>
      <c r="E267" s="342"/>
      <c r="F267" s="347">
        <f t="shared" si="11"/>
        <v>7492.8</v>
      </c>
      <c r="G267" s="348"/>
    </row>
    <row r="268" ht="20" customHeight="1" spans="1:13">
      <c r="A268" s="344">
        <v>45853</v>
      </c>
      <c r="B268" s="345">
        <v>60</v>
      </c>
      <c r="C268" s="346" t="s">
        <v>924</v>
      </c>
      <c r="D268" s="349">
        <v>1569</v>
      </c>
      <c r="E268" s="342"/>
      <c r="F268" s="347">
        <f t="shared" si="11"/>
        <v>9061.8</v>
      </c>
      <c r="G268" s="348"/>
    </row>
    <row r="269" ht="20" customHeight="1" spans="1:13">
      <c r="A269" s="354">
        <v>45855</v>
      </c>
      <c r="B269" s="374"/>
      <c r="C269" s="355" t="s">
        <v>1117</v>
      </c>
      <c r="D269" s="356"/>
      <c r="E269" s="357">
        <v>316</v>
      </c>
      <c r="F269" s="347">
        <f t="shared" si="11"/>
        <v>8745.8</v>
      </c>
      <c r="G269" s="348"/>
    </row>
    <row r="270" ht="20" customHeight="1" spans="1:13">
      <c r="A270" s="344">
        <v>45860</v>
      </c>
      <c r="B270" s="345">
        <v>78</v>
      </c>
      <c r="C270" s="346" t="s">
        <v>938</v>
      </c>
      <c r="D270" s="349">
        <v>2258</v>
      </c>
      <c r="E270" s="342"/>
      <c r="F270" s="347">
        <f t="shared" si="11"/>
        <v>11003.8</v>
      </c>
      <c r="G270" s="348"/>
    </row>
    <row r="271" ht="20" customHeight="1" spans="1:13">
      <c r="A271" s="344">
        <v>45860</v>
      </c>
      <c r="B271" s="345">
        <v>79</v>
      </c>
      <c r="C271" s="346" t="s">
        <v>704</v>
      </c>
      <c r="D271" s="349">
        <v>1200</v>
      </c>
      <c r="E271" s="342"/>
      <c r="F271" s="347">
        <f t="shared" si="11"/>
        <v>12203.8</v>
      </c>
      <c r="G271" s="348"/>
    </row>
    <row r="272" ht="20" customHeight="1" spans="1:13">
      <c r="A272" s="344">
        <v>45861</v>
      </c>
      <c r="B272" s="345">
        <v>80</v>
      </c>
      <c r="C272" s="346" t="s">
        <v>939</v>
      </c>
      <c r="D272" s="349">
        <v>2640</v>
      </c>
      <c r="E272" s="342"/>
      <c r="F272" s="347">
        <f t="shared" si="11"/>
        <v>14843.8</v>
      </c>
      <c r="G272" s="348"/>
    </row>
    <row r="273" ht="20" customHeight="1" spans="1:7">
      <c r="A273" s="344">
        <v>45862</v>
      </c>
      <c r="B273" s="345">
        <v>83</v>
      </c>
      <c r="C273" s="346" t="s">
        <v>972</v>
      </c>
      <c r="D273" s="349">
        <v>803</v>
      </c>
      <c r="E273" s="342"/>
      <c r="F273" s="347">
        <f t="shared" si="11"/>
        <v>15646.8</v>
      </c>
      <c r="G273" s="348"/>
    </row>
    <row r="274" ht="20" customHeight="1" spans="1:7">
      <c r="A274" s="344">
        <v>45864</v>
      </c>
      <c r="B274" s="345">
        <v>88</v>
      </c>
      <c r="C274" s="346" t="s">
        <v>1118</v>
      </c>
      <c r="D274" s="349">
        <v>3970</v>
      </c>
      <c r="E274" s="342"/>
      <c r="F274" s="347">
        <f t="shared" si="11"/>
        <v>19616.8</v>
      </c>
      <c r="G274" s="348"/>
    </row>
    <row r="275" ht="20" customHeight="1" spans="1:7">
      <c r="A275" s="344">
        <v>45864</v>
      </c>
      <c r="B275" s="345">
        <v>89</v>
      </c>
      <c r="C275" s="346" t="s">
        <v>936</v>
      </c>
      <c r="D275" s="349">
        <v>10733</v>
      </c>
      <c r="E275" s="342"/>
      <c r="F275" s="347">
        <f t="shared" si="11"/>
        <v>30349.8</v>
      </c>
      <c r="G275" s="348"/>
    </row>
    <row r="276" ht="20" customHeight="1" spans="1:7">
      <c r="A276" s="344">
        <v>45867</v>
      </c>
      <c r="B276" s="345">
        <v>93</v>
      </c>
      <c r="C276" s="346" t="s">
        <v>937</v>
      </c>
      <c r="D276" s="349">
        <v>4313</v>
      </c>
      <c r="E276" s="342"/>
      <c r="F276" s="347">
        <f t="shared" si="11"/>
        <v>34662.8</v>
      </c>
      <c r="G276" s="348"/>
    </row>
    <row r="277" ht="20" customHeight="1" spans="1:7">
      <c r="A277" s="344">
        <v>45867</v>
      </c>
      <c r="B277" s="345">
        <v>94</v>
      </c>
      <c r="C277" s="346" t="s">
        <v>973</v>
      </c>
      <c r="D277" s="349">
        <v>3109</v>
      </c>
      <c r="E277" s="342"/>
      <c r="F277" s="347">
        <f t="shared" si="11"/>
        <v>37771.8</v>
      </c>
      <c r="G277" s="348"/>
    </row>
    <row r="278" ht="20" customHeight="1" spans="1:7">
      <c r="A278" s="360"/>
      <c r="B278" s="360"/>
      <c r="C278" s="360"/>
      <c r="D278" s="360"/>
      <c r="E278" s="360"/>
      <c r="F278" s="360"/>
      <c r="G278" s="360"/>
    </row>
    <row r="279" ht="20" customHeight="1" spans="1:7">
      <c r="A279" s="361" t="s">
        <v>1119</v>
      </c>
      <c r="B279" s="361"/>
      <c r="C279" s="361"/>
      <c r="D279" s="361"/>
      <c r="E279" s="361"/>
      <c r="F279" s="361"/>
      <c r="G279" s="361"/>
    </row>
    <row r="280" ht="20" customHeight="1" spans="1:7">
      <c r="A280" s="391" t="s">
        <v>1062</v>
      </c>
      <c r="B280" s="391"/>
      <c r="C280" s="391"/>
      <c r="D280" s="391"/>
      <c r="E280" s="391"/>
      <c r="F280" s="391"/>
      <c r="G280" s="391"/>
    </row>
    <row r="281" ht="20" customHeight="1" spans="1:7">
      <c r="A281" s="362" t="s">
        <v>1047</v>
      </c>
      <c r="B281" s="362"/>
      <c r="C281" s="363" t="s">
        <v>1053</v>
      </c>
      <c r="D281" s="364" t="s">
        <v>1063</v>
      </c>
      <c r="E281" s="365" t="s">
        <v>1064</v>
      </c>
      <c r="F281" s="332" t="s">
        <v>39</v>
      </c>
      <c r="G281" s="332"/>
    </row>
    <row r="282" ht="20" customHeight="1" spans="1:7">
      <c r="A282" s="362" t="s">
        <v>1080</v>
      </c>
      <c r="B282" s="362"/>
      <c r="C282" s="363" t="s">
        <v>1057</v>
      </c>
      <c r="D282" s="364"/>
      <c r="E282" s="367">
        <v>1000</v>
      </c>
      <c r="F282" s="392" t="s">
        <v>1120</v>
      </c>
      <c r="G282" s="392"/>
    </row>
    <row r="283" ht="20" customHeight="1" spans="1:7">
      <c r="A283" s="362" t="s">
        <v>1083</v>
      </c>
      <c r="B283" s="362"/>
      <c r="C283" s="366" t="s">
        <v>985</v>
      </c>
      <c r="D283" s="369"/>
      <c r="E283" s="367">
        <v>-150</v>
      </c>
      <c r="F283" s="370"/>
      <c r="G283" s="370"/>
    </row>
    <row r="284" ht="20" customHeight="1" spans="1:7">
      <c r="A284" s="388"/>
      <c r="B284" s="388"/>
      <c r="C284" s="388"/>
      <c r="D284" s="364"/>
      <c r="E284" s="367"/>
      <c r="F284" s="389"/>
      <c r="G284" s="390"/>
    </row>
    <row r="285" ht="20" customHeight="1" spans="1:7">
      <c r="A285" s="371" t="s">
        <v>1121</v>
      </c>
      <c r="B285" s="371"/>
      <c r="C285" s="371"/>
      <c r="D285" s="371"/>
      <c r="E285" s="372">
        <f>SUM(E282:E284)</f>
        <v>850</v>
      </c>
      <c r="F285" s="373"/>
      <c r="G285" s="373"/>
    </row>
    <row r="286" ht="27" customHeight="1"/>
    <row r="289" ht="22.5" spans="1:7">
      <c r="A289" s="325" t="s">
        <v>1122</v>
      </c>
      <c r="B289" s="326"/>
      <c r="C289" s="327"/>
      <c r="D289" s="328"/>
      <c r="E289" s="329"/>
      <c r="F289" s="330"/>
      <c r="G289" s="329"/>
    </row>
    <row r="290" spans="1:7">
      <c r="A290" s="331" t="s">
        <v>1047</v>
      </c>
      <c r="B290" s="332" t="s">
        <v>1048</v>
      </c>
      <c r="C290" s="333"/>
      <c r="D290" s="332"/>
      <c r="E290" s="332" t="s">
        <v>1049</v>
      </c>
      <c r="F290" s="334" t="s">
        <v>1050</v>
      </c>
      <c r="G290" s="335" t="s">
        <v>9</v>
      </c>
    </row>
    <row r="291" spans="1:7">
      <c r="A291" s="331"/>
      <c r="B291" s="336">
        <f>SUM(D295:D329)</f>
        <v>72791.8</v>
      </c>
      <c r="C291" s="337"/>
      <c r="D291" s="336"/>
      <c r="E291" s="336">
        <f>SUM(E295:E329)</f>
        <v>36124</v>
      </c>
      <c r="F291" s="338">
        <f>B291-E291</f>
        <v>36667.8</v>
      </c>
      <c r="G291" s="335"/>
    </row>
    <row r="292" ht="26" customHeight="1" spans="1:7">
      <c r="A292" s="331"/>
      <c r="B292" s="336"/>
      <c r="C292" s="337"/>
      <c r="D292" s="336"/>
      <c r="E292" s="336"/>
      <c r="F292" s="338"/>
      <c r="G292" s="335"/>
    </row>
    <row r="293" ht="18.75" spans="1:7">
      <c r="A293" s="331"/>
      <c r="B293" s="339" t="s">
        <v>1123</v>
      </c>
      <c r="C293" s="339"/>
      <c r="D293" s="339"/>
      <c r="E293" s="339"/>
      <c r="F293" s="339"/>
      <c r="G293" s="335"/>
    </row>
    <row r="294" spans="1:7">
      <c r="A294" s="331"/>
      <c r="B294" s="340" t="s">
        <v>1052</v>
      </c>
      <c r="C294" s="341" t="s">
        <v>1053</v>
      </c>
      <c r="D294" s="342" t="s">
        <v>918</v>
      </c>
      <c r="E294" s="342" t="s">
        <v>1054</v>
      </c>
      <c r="F294" s="343" t="s">
        <v>1055</v>
      </c>
      <c r="G294" s="335"/>
    </row>
    <row r="295" spans="1:7">
      <c r="A295" s="344" t="s">
        <v>235</v>
      </c>
      <c r="B295" s="345"/>
      <c r="C295" s="346" t="s">
        <v>1007</v>
      </c>
      <c r="D295" s="357">
        <v>2920.2</v>
      </c>
      <c r="E295" s="342"/>
      <c r="F295" s="347">
        <f>D295-E295</f>
        <v>2920.2</v>
      </c>
      <c r="G295" s="348"/>
    </row>
    <row r="296" ht="21" customHeight="1" spans="1:7">
      <c r="A296" s="344">
        <v>45812</v>
      </c>
      <c r="B296" s="345">
        <v>10</v>
      </c>
      <c r="C296" s="346" t="s">
        <v>937</v>
      </c>
      <c r="D296" s="349">
        <v>4609.5</v>
      </c>
      <c r="E296" s="342"/>
      <c r="F296" s="347">
        <f>F295+D296-E296</f>
        <v>7529.7</v>
      </c>
      <c r="G296" s="348"/>
    </row>
    <row r="297" ht="20" customHeight="1" spans="1:7">
      <c r="A297" s="344">
        <v>45812</v>
      </c>
      <c r="B297" s="345">
        <v>11</v>
      </c>
      <c r="C297" s="346" t="s">
        <v>975</v>
      </c>
      <c r="D297" s="349">
        <v>524</v>
      </c>
      <c r="E297" s="342"/>
      <c r="F297" s="347">
        <f>F296+D297-E297</f>
        <v>8053.7</v>
      </c>
      <c r="G297" s="348"/>
    </row>
    <row r="298" ht="20" customHeight="1" spans="1:7">
      <c r="A298" s="344">
        <v>45813</v>
      </c>
      <c r="B298" s="345"/>
      <c r="C298" s="346" t="s">
        <v>1060</v>
      </c>
      <c r="D298" s="349"/>
      <c r="E298" s="342">
        <v>36124</v>
      </c>
      <c r="F298" s="347">
        <f t="shared" ref="F298:F305" si="12">F297+D298-E298</f>
        <v>-28070.3</v>
      </c>
      <c r="G298" s="348"/>
    </row>
    <row r="299" ht="20" customHeight="1" spans="1:7">
      <c r="A299" s="344">
        <v>45814</v>
      </c>
      <c r="B299" s="345">
        <v>16</v>
      </c>
      <c r="C299" s="346" t="s">
        <v>919</v>
      </c>
      <c r="D299" s="349">
        <v>2964.3</v>
      </c>
      <c r="E299" s="342"/>
      <c r="F299" s="347">
        <f t="shared" si="12"/>
        <v>-25106</v>
      </c>
      <c r="G299" s="348"/>
    </row>
    <row r="300" ht="20" customHeight="1" spans="1:7">
      <c r="A300" s="344">
        <v>45814</v>
      </c>
      <c r="B300" s="345">
        <v>17</v>
      </c>
      <c r="C300" s="346" t="s">
        <v>938</v>
      </c>
      <c r="D300" s="349">
        <v>2681</v>
      </c>
      <c r="E300" s="342"/>
      <c r="F300" s="347">
        <f t="shared" si="12"/>
        <v>-22425</v>
      </c>
      <c r="G300" s="348"/>
    </row>
    <row r="301" ht="20" customHeight="1" spans="1:7">
      <c r="A301" s="344">
        <v>45816</v>
      </c>
      <c r="B301" s="345">
        <v>20</v>
      </c>
      <c r="C301" s="346" t="s">
        <v>936</v>
      </c>
      <c r="D301" s="349">
        <v>10843</v>
      </c>
      <c r="E301" s="342"/>
      <c r="F301" s="347">
        <f t="shared" si="12"/>
        <v>-11582</v>
      </c>
      <c r="G301" s="348"/>
    </row>
    <row r="302" ht="20" customHeight="1" spans="1:7">
      <c r="A302" s="344">
        <v>45817</v>
      </c>
      <c r="B302" s="345">
        <v>24</v>
      </c>
      <c r="C302" s="346" t="s">
        <v>1124</v>
      </c>
      <c r="D302" s="349">
        <v>2990</v>
      </c>
      <c r="E302" s="342"/>
      <c r="F302" s="347">
        <f t="shared" si="12"/>
        <v>-8592</v>
      </c>
      <c r="G302" s="348"/>
    </row>
    <row r="303" ht="20" customHeight="1" spans="1:7">
      <c r="A303" s="344">
        <v>45817</v>
      </c>
      <c r="B303" s="345">
        <v>25</v>
      </c>
      <c r="C303" s="346" t="s">
        <v>1125</v>
      </c>
      <c r="D303" s="349">
        <v>1743</v>
      </c>
      <c r="E303" s="342"/>
      <c r="F303" s="347">
        <f t="shared" si="12"/>
        <v>-6849</v>
      </c>
      <c r="G303" s="348"/>
    </row>
    <row r="304" ht="20" customHeight="1" spans="1:7">
      <c r="A304" s="344">
        <v>45818</v>
      </c>
      <c r="B304" s="345">
        <v>33</v>
      </c>
      <c r="C304" s="346" t="s">
        <v>922</v>
      </c>
      <c r="D304" s="349">
        <v>1154</v>
      </c>
      <c r="E304" s="342"/>
      <c r="F304" s="347">
        <f t="shared" si="12"/>
        <v>-5695</v>
      </c>
      <c r="G304" s="348"/>
    </row>
    <row r="305" ht="20" customHeight="1" spans="1:13">
      <c r="A305" s="344">
        <v>45822</v>
      </c>
      <c r="B305" s="345">
        <v>43</v>
      </c>
      <c r="C305" s="346" t="s">
        <v>724</v>
      </c>
      <c r="D305" s="349">
        <v>3540.7</v>
      </c>
      <c r="E305" s="342"/>
      <c r="F305" s="347">
        <f t="shared" si="12"/>
        <v>-2154.3</v>
      </c>
      <c r="G305" s="348"/>
    </row>
    <row r="306" ht="20" customHeight="1" spans="1:13">
      <c r="A306" s="344">
        <v>45824</v>
      </c>
      <c r="B306" s="345">
        <v>49</v>
      </c>
      <c r="C306" s="346" t="s">
        <v>342</v>
      </c>
      <c r="D306" s="349">
        <v>1507.5</v>
      </c>
      <c r="E306" s="342"/>
      <c r="F306" s="347">
        <f t="shared" ref="F299:F325" si="13">F305+D306-E306</f>
        <v>-646.8</v>
      </c>
      <c r="G306" s="348"/>
    </row>
    <row r="307" ht="20" customHeight="1" spans="1:13">
      <c r="A307" s="344">
        <v>45824</v>
      </c>
      <c r="B307" s="345">
        <v>50</v>
      </c>
      <c r="C307" s="346" t="s">
        <v>962</v>
      </c>
      <c r="D307" s="349">
        <v>1418.7</v>
      </c>
      <c r="E307" s="342"/>
      <c r="F307" s="347">
        <f t="shared" si="13"/>
        <v>771.9</v>
      </c>
      <c r="G307" s="348"/>
    </row>
    <row r="308" ht="20" customHeight="1" spans="1:13">
      <c r="A308" s="344">
        <v>45825</v>
      </c>
      <c r="B308" s="345">
        <v>54</v>
      </c>
      <c r="C308" s="346" t="s">
        <v>938</v>
      </c>
      <c r="D308" s="349">
        <v>2158.6</v>
      </c>
      <c r="E308" s="342"/>
      <c r="F308" s="347">
        <f t="shared" si="13"/>
        <v>2930.5</v>
      </c>
      <c r="G308" s="348"/>
    </row>
    <row r="309" ht="20" customHeight="1" spans="1:13">
      <c r="A309" s="344">
        <v>45825</v>
      </c>
      <c r="B309" s="345">
        <v>56</v>
      </c>
      <c r="C309" s="346" t="s">
        <v>1126</v>
      </c>
      <c r="D309" s="349">
        <v>766</v>
      </c>
      <c r="E309" s="342"/>
      <c r="F309" s="347">
        <f t="shared" si="13"/>
        <v>3696.5</v>
      </c>
      <c r="G309" s="348"/>
    </row>
    <row r="310" ht="20" customHeight="1" spans="1:13">
      <c r="A310" s="344">
        <v>45827</v>
      </c>
      <c r="B310" s="345">
        <v>60</v>
      </c>
      <c r="C310" s="346" t="s">
        <v>957</v>
      </c>
      <c r="D310" s="349">
        <v>1507.6</v>
      </c>
      <c r="E310" s="342"/>
      <c r="F310" s="347">
        <f t="shared" si="13"/>
        <v>5204.1</v>
      </c>
      <c r="G310" s="348"/>
    </row>
    <row r="311" ht="20" customHeight="1" spans="1:13">
      <c r="A311" s="344">
        <v>45829</v>
      </c>
      <c r="B311" s="345">
        <v>61</v>
      </c>
      <c r="C311" s="346" t="s">
        <v>958</v>
      </c>
      <c r="D311" s="349">
        <v>1328.2</v>
      </c>
      <c r="E311" s="342"/>
      <c r="F311" s="347">
        <f t="shared" si="13"/>
        <v>6532.3</v>
      </c>
      <c r="G311" s="348"/>
    </row>
    <row r="312" ht="20" customHeight="1" spans="1:13">
      <c r="A312" s="344">
        <v>45829</v>
      </c>
      <c r="B312" s="345" t="s">
        <v>192</v>
      </c>
      <c r="C312" s="346" t="s">
        <v>345</v>
      </c>
      <c r="D312" s="349">
        <v>1542</v>
      </c>
      <c r="E312" s="342"/>
      <c r="F312" s="347">
        <f t="shared" si="13"/>
        <v>8074.3</v>
      </c>
      <c r="G312" s="348"/>
    </row>
    <row r="313" ht="20" customHeight="1" spans="1:13">
      <c r="A313" s="344">
        <v>45829</v>
      </c>
      <c r="B313" s="345">
        <v>65</v>
      </c>
      <c r="C313" s="346" t="s">
        <v>924</v>
      </c>
      <c r="D313" s="349">
        <v>1634.2</v>
      </c>
      <c r="E313" s="342"/>
      <c r="F313" s="347">
        <f t="shared" si="13"/>
        <v>9708.5</v>
      </c>
      <c r="G313" s="348"/>
    </row>
    <row r="314" ht="20" customHeight="1" spans="1:13">
      <c r="A314" s="344">
        <v>45829</v>
      </c>
      <c r="B314" s="345">
        <v>66</v>
      </c>
      <c r="C314" s="346" t="s">
        <v>937</v>
      </c>
      <c r="D314" s="349">
        <v>4456</v>
      </c>
      <c r="E314" s="342"/>
      <c r="F314" s="347">
        <f t="shared" si="13"/>
        <v>14164.5</v>
      </c>
      <c r="G314" s="348"/>
    </row>
    <row r="315" ht="20" customHeight="1" spans="1:13">
      <c r="A315" s="344">
        <v>45829</v>
      </c>
      <c r="B315" s="345">
        <v>67</v>
      </c>
      <c r="C315" s="346" t="s">
        <v>1127</v>
      </c>
      <c r="D315" s="349">
        <v>1185.2</v>
      </c>
      <c r="E315" s="342"/>
      <c r="F315" s="347">
        <f t="shared" si="13"/>
        <v>15349.7</v>
      </c>
      <c r="G315" s="348"/>
    </row>
    <row r="316" ht="20" customHeight="1" spans="1:13">
      <c r="A316" s="360">
        <v>45831</v>
      </c>
      <c r="B316" s="376"/>
      <c r="C316" s="359" t="s">
        <v>902</v>
      </c>
      <c r="D316" s="350">
        <v>6479</v>
      </c>
      <c r="E316" s="342"/>
      <c r="F316" s="347">
        <f t="shared" si="13"/>
        <v>21828.7</v>
      </c>
      <c r="G316" s="348"/>
    </row>
    <row r="317" ht="20" customHeight="1" spans="1:13">
      <c r="A317" s="344">
        <v>45833</v>
      </c>
      <c r="B317" s="345">
        <v>80</v>
      </c>
      <c r="C317" s="346" t="s">
        <v>933</v>
      </c>
      <c r="D317" s="349">
        <v>1301.1</v>
      </c>
      <c r="E317" s="342"/>
      <c r="F317" s="347">
        <f t="shared" si="13"/>
        <v>23129.8</v>
      </c>
      <c r="G317" s="348"/>
    </row>
    <row r="318" ht="20" customHeight="1" spans="1:13">
      <c r="A318" s="344">
        <v>45833</v>
      </c>
      <c r="B318" s="345">
        <v>81</v>
      </c>
      <c r="C318" s="346" t="s">
        <v>981</v>
      </c>
      <c r="D318" s="349">
        <v>1418</v>
      </c>
      <c r="E318" s="342"/>
      <c r="F318" s="347">
        <f t="shared" si="13"/>
        <v>24547.8</v>
      </c>
      <c r="G318" s="348"/>
    </row>
    <row r="319" ht="20" customHeight="1" spans="1:13">
      <c r="A319" s="344">
        <v>45834</v>
      </c>
      <c r="B319" s="345">
        <v>85</v>
      </c>
      <c r="C319" s="346" t="s">
        <v>704</v>
      </c>
      <c r="D319" s="349">
        <v>3633</v>
      </c>
      <c r="E319" s="342"/>
      <c r="F319" s="347">
        <f t="shared" si="13"/>
        <v>28180.8</v>
      </c>
      <c r="G319" s="348"/>
    </row>
    <row r="320" ht="20" customHeight="1" spans="1:13">
      <c r="A320" s="344">
        <v>45834</v>
      </c>
      <c r="B320" s="345">
        <v>86</v>
      </c>
      <c r="C320" s="346" t="s">
        <v>982</v>
      </c>
      <c r="D320" s="349">
        <v>109.5</v>
      </c>
      <c r="E320" s="342"/>
      <c r="F320" s="347">
        <f t="shared" si="13"/>
        <v>28290.3</v>
      </c>
      <c r="G320" s="348"/>
      <c r="J320" s="384" t="s">
        <v>35</v>
      </c>
      <c r="K320" s="11" t="s">
        <v>533</v>
      </c>
      <c r="L320" s="11" t="s">
        <v>547</v>
      </c>
      <c r="M320" t="s">
        <v>1109</v>
      </c>
    </row>
    <row r="321" ht="20" customHeight="1" spans="1:13">
      <c r="A321" s="344">
        <v>45835</v>
      </c>
      <c r="B321" s="345">
        <v>89</v>
      </c>
      <c r="C321" s="346" t="s">
        <v>845</v>
      </c>
      <c r="D321" s="349">
        <v>1652.5</v>
      </c>
      <c r="E321" s="342"/>
      <c r="F321" s="347">
        <f t="shared" si="13"/>
        <v>29942.8</v>
      </c>
      <c r="G321" s="348"/>
      <c r="J321" s="385">
        <v>45737</v>
      </c>
      <c r="K321">
        <v>2000</v>
      </c>
      <c r="L321">
        <v>2035</v>
      </c>
      <c r="M321">
        <v>1000</v>
      </c>
    </row>
    <row r="322" ht="20" customHeight="1" spans="1:13">
      <c r="A322" s="344">
        <v>45835</v>
      </c>
      <c r="B322" s="345">
        <v>90</v>
      </c>
      <c r="C322" s="346" t="s">
        <v>937</v>
      </c>
      <c r="D322" s="349">
        <v>174</v>
      </c>
      <c r="E322" s="342"/>
      <c r="F322" s="347">
        <f t="shared" si="13"/>
        <v>30116.8</v>
      </c>
      <c r="G322" s="348"/>
    </row>
    <row r="323" ht="20" customHeight="1" spans="1:13">
      <c r="A323" s="344">
        <v>45836</v>
      </c>
      <c r="B323" s="345">
        <v>95</v>
      </c>
      <c r="C323" s="346" t="s">
        <v>930</v>
      </c>
      <c r="D323" s="349">
        <v>2610.1</v>
      </c>
      <c r="E323" s="342"/>
      <c r="F323" s="347">
        <f t="shared" si="13"/>
        <v>32726.9</v>
      </c>
      <c r="G323" s="348"/>
    </row>
    <row r="324" ht="20" customHeight="1" spans="1:13">
      <c r="A324" s="344">
        <v>45836</v>
      </c>
      <c r="B324" s="345">
        <v>96</v>
      </c>
      <c r="C324" s="346" t="s">
        <v>931</v>
      </c>
      <c r="D324" s="349">
        <v>1782.3</v>
      </c>
      <c r="E324" s="342"/>
      <c r="F324" s="347">
        <f t="shared" si="13"/>
        <v>34509.2</v>
      </c>
      <c r="G324" s="348"/>
    </row>
    <row r="325" ht="20" customHeight="1" spans="1:13">
      <c r="A325" s="344">
        <v>45838</v>
      </c>
      <c r="B325" s="345">
        <v>100</v>
      </c>
      <c r="C325" s="346" t="s">
        <v>938</v>
      </c>
      <c r="D325" s="349">
        <v>2158.6</v>
      </c>
      <c r="E325" s="342"/>
      <c r="F325" s="347">
        <f t="shared" si="13"/>
        <v>36667.8</v>
      </c>
      <c r="G325" s="348"/>
    </row>
    <row r="326" ht="20" customHeight="1" spans="1:13">
      <c r="A326" s="344"/>
      <c r="B326" s="345"/>
      <c r="C326" s="346"/>
      <c r="D326" s="349"/>
      <c r="E326" s="342"/>
      <c r="F326" s="347"/>
      <c r="G326" s="348"/>
    </row>
    <row r="327" ht="20" customHeight="1" spans="1:13">
      <c r="A327" s="344"/>
      <c r="B327" s="345"/>
      <c r="C327" s="346"/>
      <c r="D327" s="349"/>
      <c r="E327" s="342"/>
      <c r="F327" s="347"/>
      <c r="G327" s="348"/>
    </row>
    <row r="328" ht="20" customHeight="1" spans="1:13">
      <c r="A328" s="344"/>
      <c r="B328" s="345"/>
      <c r="C328" s="346"/>
      <c r="D328" s="349"/>
      <c r="E328" s="342"/>
      <c r="F328" s="347"/>
      <c r="G328" s="348"/>
    </row>
    <row r="329" ht="20" customHeight="1" spans="1:13">
      <c r="A329" s="344"/>
      <c r="B329" s="345"/>
      <c r="C329" s="346"/>
      <c r="D329" s="349"/>
      <c r="E329" s="342"/>
      <c r="F329" s="347"/>
      <c r="G329" s="348"/>
    </row>
    <row r="330" ht="20" customHeight="1" spans="1:13">
      <c r="A330" s="325" t="s">
        <v>1128</v>
      </c>
      <c r="B330" s="326"/>
      <c r="C330" s="327"/>
      <c r="D330" s="328"/>
      <c r="E330" s="329"/>
      <c r="F330" s="330"/>
      <c r="G330" s="329"/>
    </row>
    <row r="331" ht="20" customHeight="1" spans="1:13">
      <c r="A331" s="331" t="s">
        <v>1047</v>
      </c>
      <c r="B331" s="332" t="s">
        <v>1048</v>
      </c>
      <c r="C331" s="333"/>
      <c r="D331" s="332"/>
      <c r="E331" s="332" t="s">
        <v>1049</v>
      </c>
      <c r="F331" s="334" t="s">
        <v>1050</v>
      </c>
      <c r="G331" s="335" t="s">
        <v>9</v>
      </c>
    </row>
    <row r="332" ht="20" customHeight="1" spans="1:13">
      <c r="A332" s="331"/>
      <c r="B332" s="336">
        <f>SUM(D336:D356)</f>
        <v>51980.2</v>
      </c>
      <c r="C332" s="337"/>
      <c r="D332" s="336"/>
      <c r="E332" s="336">
        <f>SUM(E336:E356)</f>
        <v>49060</v>
      </c>
      <c r="F332" s="338">
        <f>B332-E332</f>
        <v>2920.2</v>
      </c>
      <c r="G332" s="335"/>
    </row>
    <row r="333" ht="20" customHeight="1" spans="1:13">
      <c r="A333" s="331"/>
      <c r="B333" s="336"/>
      <c r="C333" s="337"/>
      <c r="D333" s="336"/>
      <c r="E333" s="336"/>
      <c r="F333" s="338"/>
      <c r="G333" s="335"/>
    </row>
    <row r="334" ht="20" customHeight="1" spans="1:13">
      <c r="A334" s="331"/>
      <c r="B334" s="339" t="s">
        <v>1123</v>
      </c>
      <c r="C334" s="339"/>
      <c r="D334" s="339"/>
      <c r="E334" s="339"/>
      <c r="F334" s="339"/>
      <c r="G334" s="335"/>
    </row>
    <row r="335" ht="20" customHeight="1" spans="1:13">
      <c r="A335" s="331"/>
      <c r="B335" s="340" t="s">
        <v>1052</v>
      </c>
      <c r="C335" s="341" t="s">
        <v>1053</v>
      </c>
      <c r="D335" s="342" t="s">
        <v>918</v>
      </c>
      <c r="E335" s="342" t="s">
        <v>1054</v>
      </c>
      <c r="F335" s="343" t="s">
        <v>1055</v>
      </c>
      <c r="G335" s="335"/>
    </row>
    <row r="336" ht="20" customHeight="1" spans="1:13">
      <c r="A336" s="344" t="s">
        <v>141</v>
      </c>
      <c r="B336" s="345"/>
      <c r="C336" s="346" t="s">
        <v>1007</v>
      </c>
      <c r="D336" s="357">
        <v>16366</v>
      </c>
      <c r="E336" s="342"/>
      <c r="F336" s="347">
        <f>D336-E336</f>
        <v>16366</v>
      </c>
      <c r="G336" s="348"/>
    </row>
    <row r="337" ht="20" customHeight="1" spans="1:7">
      <c r="A337" s="344">
        <v>45783</v>
      </c>
      <c r="B337" s="345">
        <v>3</v>
      </c>
      <c r="C337" s="346" t="s">
        <v>985</v>
      </c>
      <c r="D337" s="349">
        <v>1188</v>
      </c>
      <c r="E337" s="342"/>
      <c r="F337" s="347">
        <f>F336+D337-E337</f>
        <v>17554</v>
      </c>
      <c r="G337" s="348"/>
    </row>
    <row r="338" ht="20" customHeight="1" spans="1:7">
      <c r="A338" s="344">
        <v>45783</v>
      </c>
      <c r="B338" s="345">
        <v>4</v>
      </c>
      <c r="C338" s="346" t="s">
        <v>986</v>
      </c>
      <c r="D338" s="349">
        <v>3556.2</v>
      </c>
      <c r="E338" s="342"/>
      <c r="F338" s="347">
        <f>F337+D338-E338</f>
        <v>21110.2</v>
      </c>
      <c r="G338" s="348"/>
    </row>
    <row r="339" ht="20" customHeight="1" spans="1:7">
      <c r="A339" s="344">
        <v>45783</v>
      </c>
      <c r="B339" s="345">
        <v>5</v>
      </c>
      <c r="C339" s="346" t="s">
        <v>987</v>
      </c>
      <c r="D339" s="349">
        <v>3012.6</v>
      </c>
      <c r="E339" s="342"/>
      <c r="F339" s="347">
        <f>F338+D339-E339</f>
        <v>24122.8</v>
      </c>
      <c r="G339" s="348"/>
    </row>
    <row r="340" ht="20" customHeight="1" spans="1:7">
      <c r="A340" s="344">
        <v>45783</v>
      </c>
      <c r="B340" s="345">
        <v>6</v>
      </c>
      <c r="C340" s="346" t="s">
        <v>240</v>
      </c>
      <c r="D340" s="349">
        <v>4755</v>
      </c>
      <c r="E340" s="342"/>
      <c r="F340" s="347">
        <f>F339+D340-E340</f>
        <v>28877.8</v>
      </c>
      <c r="G340" s="348"/>
    </row>
    <row r="341" ht="20" customHeight="1" spans="1:7">
      <c r="A341" s="344">
        <v>45783</v>
      </c>
      <c r="B341" s="345"/>
      <c r="C341" s="346" t="s">
        <v>1060</v>
      </c>
      <c r="D341" s="349"/>
      <c r="E341" s="342">
        <v>40618</v>
      </c>
      <c r="F341" s="347">
        <f t="shared" ref="F341:F349" si="14">F340+D341-E341</f>
        <v>-11740.2</v>
      </c>
      <c r="G341" s="348"/>
    </row>
    <row r="342" ht="20" customHeight="1" spans="1:7">
      <c r="A342" s="344">
        <v>45785</v>
      </c>
      <c r="B342" s="345">
        <v>13</v>
      </c>
      <c r="C342" s="346" t="s">
        <v>988</v>
      </c>
      <c r="D342" s="349">
        <v>3131.2</v>
      </c>
      <c r="E342" s="357"/>
      <c r="F342" s="347">
        <f t="shared" si="14"/>
        <v>-8609</v>
      </c>
      <c r="G342" s="348"/>
    </row>
    <row r="343" ht="18" customHeight="1" spans="1:7">
      <c r="A343" s="344">
        <v>45790</v>
      </c>
      <c r="B343" s="345">
        <v>25</v>
      </c>
      <c r="C343" s="346" t="s">
        <v>924</v>
      </c>
      <c r="D343" s="349">
        <v>1672.8</v>
      </c>
      <c r="E343" s="357"/>
      <c r="F343" s="347">
        <f t="shared" si="14"/>
        <v>-6936.2</v>
      </c>
      <c r="G343" s="348"/>
    </row>
    <row r="344" ht="29" customHeight="1" spans="1:7">
      <c r="A344" s="344">
        <v>45791</v>
      </c>
      <c r="B344" s="345">
        <v>39</v>
      </c>
      <c r="C344" s="346" t="s">
        <v>631</v>
      </c>
      <c r="D344" s="349">
        <v>1412.5</v>
      </c>
      <c r="E344" s="357"/>
      <c r="F344" s="347">
        <f t="shared" si="14"/>
        <v>-5523.7</v>
      </c>
      <c r="G344" s="348"/>
    </row>
    <row r="345" ht="29" customHeight="1" spans="1:7">
      <c r="A345" s="344">
        <v>45793</v>
      </c>
      <c r="B345" s="345">
        <v>46</v>
      </c>
      <c r="C345" s="346" t="s">
        <v>1129</v>
      </c>
      <c r="D345" s="349">
        <v>2256.4</v>
      </c>
      <c r="E345" s="357"/>
      <c r="F345" s="347">
        <f t="shared" si="14"/>
        <v>-3267.3</v>
      </c>
      <c r="G345" s="348"/>
    </row>
    <row r="346" ht="25" customHeight="1" spans="1:7">
      <c r="A346" s="344">
        <v>45793</v>
      </c>
      <c r="B346" s="345">
        <v>47</v>
      </c>
      <c r="C346" s="346" t="s">
        <v>985</v>
      </c>
      <c r="D346" s="349">
        <v>1188</v>
      </c>
      <c r="E346" s="342"/>
      <c r="F346" s="347">
        <f t="shared" si="14"/>
        <v>-2079.3</v>
      </c>
      <c r="G346" s="348"/>
    </row>
    <row r="347" ht="25" customHeight="1" spans="1:7">
      <c r="A347" s="344">
        <v>45797</v>
      </c>
      <c r="B347" s="345">
        <v>55</v>
      </c>
      <c r="C347" s="346" t="s">
        <v>939</v>
      </c>
      <c r="D347" s="349">
        <v>490.4</v>
      </c>
      <c r="E347" s="342"/>
      <c r="F347" s="347">
        <f t="shared" si="14"/>
        <v>-1588.9</v>
      </c>
      <c r="G347" s="348"/>
    </row>
    <row r="348" ht="25" customHeight="1" spans="1:7">
      <c r="A348" s="344">
        <v>45799</v>
      </c>
      <c r="B348" s="345">
        <v>58</v>
      </c>
      <c r="C348" s="346" t="s">
        <v>1130</v>
      </c>
      <c r="D348" s="349">
        <v>650.5</v>
      </c>
      <c r="E348" s="342"/>
      <c r="F348" s="347">
        <f t="shared" si="14"/>
        <v>-938.4</v>
      </c>
      <c r="G348" s="348"/>
    </row>
    <row r="349" ht="25" customHeight="1" spans="1:7">
      <c r="A349" s="344">
        <v>45801</v>
      </c>
      <c r="B349" s="345" t="s">
        <v>192</v>
      </c>
      <c r="C349" s="346" t="s">
        <v>1131</v>
      </c>
      <c r="D349" s="349">
        <v>1396.5</v>
      </c>
      <c r="E349" s="342"/>
      <c r="F349" s="347">
        <f t="shared" ref="F349:F361" si="15">F348+D349-E349</f>
        <v>458.1</v>
      </c>
      <c r="G349" s="348"/>
    </row>
    <row r="350" ht="25" customHeight="1" spans="1:7">
      <c r="A350" s="344">
        <v>45803</v>
      </c>
      <c r="B350" s="345"/>
      <c r="C350" s="346" t="s">
        <v>1060</v>
      </c>
      <c r="D350" s="349"/>
      <c r="E350" s="342">
        <v>8442</v>
      </c>
      <c r="F350" s="347">
        <f t="shared" si="15"/>
        <v>-7983.9</v>
      </c>
      <c r="G350" s="348"/>
    </row>
    <row r="351" ht="25" customHeight="1" spans="1:7">
      <c r="A351" s="344">
        <v>45804</v>
      </c>
      <c r="B351" s="345">
        <v>66</v>
      </c>
      <c r="C351" s="346" t="s">
        <v>939</v>
      </c>
      <c r="D351" s="349">
        <v>2544.2</v>
      </c>
      <c r="E351" s="342"/>
      <c r="F351" s="347">
        <f t="shared" si="15"/>
        <v>-5439.7</v>
      </c>
      <c r="G351" s="348"/>
    </row>
    <row r="352" ht="25" customHeight="1" spans="1:7">
      <c r="A352" s="344">
        <v>45805</v>
      </c>
      <c r="B352" s="345">
        <v>73</v>
      </c>
      <c r="C352" s="346" t="s">
        <v>345</v>
      </c>
      <c r="D352" s="349">
        <v>1552</v>
      </c>
      <c r="E352" s="342"/>
      <c r="F352" s="347">
        <f t="shared" si="15"/>
        <v>-3887.7</v>
      </c>
      <c r="G352" s="348"/>
    </row>
    <row r="353" ht="25" customHeight="1" spans="1:7">
      <c r="A353" s="344">
        <v>45805</v>
      </c>
      <c r="B353" s="345">
        <v>74</v>
      </c>
      <c r="C353" s="346" t="s">
        <v>924</v>
      </c>
      <c r="D353" s="349">
        <v>1655.8</v>
      </c>
      <c r="E353" s="342"/>
      <c r="F353" s="347">
        <f t="shared" si="15"/>
        <v>-2231.9</v>
      </c>
      <c r="G353" s="348"/>
    </row>
    <row r="354" ht="25" customHeight="1" spans="1:7">
      <c r="A354" s="344">
        <v>45805</v>
      </c>
      <c r="B354" s="345">
        <v>75</v>
      </c>
      <c r="C354" s="346" t="s">
        <v>1132</v>
      </c>
      <c r="D354" s="349">
        <v>4833</v>
      </c>
      <c r="E354" s="342"/>
      <c r="F354" s="347">
        <f t="shared" si="15"/>
        <v>2601.1</v>
      </c>
      <c r="G354" s="348"/>
    </row>
    <row r="355" ht="25" customHeight="1" spans="1:7">
      <c r="A355" s="344">
        <v>45807</v>
      </c>
      <c r="B355" s="345">
        <v>80</v>
      </c>
      <c r="C355" s="346" t="s">
        <v>1133</v>
      </c>
      <c r="D355" s="349">
        <v>319.1</v>
      </c>
      <c r="E355" s="342"/>
      <c r="F355" s="347">
        <f t="shared" si="15"/>
        <v>2920.2</v>
      </c>
      <c r="G355" s="348"/>
    </row>
    <row r="356" ht="25" customHeight="1" spans="1:7">
      <c r="A356" s="393"/>
      <c r="B356" s="394"/>
      <c r="C356" s="394"/>
      <c r="D356" s="394"/>
      <c r="E356" s="394"/>
      <c r="F356" s="394"/>
      <c r="G356" s="395"/>
    </row>
    <row r="357" ht="25" customHeight="1" spans="1:7">
      <c r="A357" s="391" t="s">
        <v>1062</v>
      </c>
      <c r="B357" s="391"/>
      <c r="C357" s="391"/>
      <c r="D357" s="391"/>
      <c r="E357" s="391"/>
      <c r="F357" s="391"/>
      <c r="G357" s="391"/>
    </row>
    <row r="358" ht="25" customHeight="1" spans="1:7">
      <c r="A358" s="362" t="s">
        <v>1047</v>
      </c>
      <c r="B358" s="362"/>
      <c r="C358" s="363" t="s">
        <v>1053</v>
      </c>
      <c r="D358" s="364" t="s">
        <v>1063</v>
      </c>
      <c r="E358" s="365" t="s">
        <v>1064</v>
      </c>
      <c r="F358" s="332" t="s">
        <v>39</v>
      </c>
      <c r="G358" s="332"/>
    </row>
    <row r="359" ht="25" customHeight="1" spans="1:7">
      <c r="A359" s="362" t="s">
        <v>1134</v>
      </c>
      <c r="B359" s="362"/>
      <c r="C359" s="363" t="s">
        <v>1135</v>
      </c>
      <c r="D359" s="364"/>
      <c r="E359" s="367">
        <v>225</v>
      </c>
      <c r="F359" s="368"/>
      <c r="G359" s="368"/>
    </row>
    <row r="360" ht="25" customHeight="1" spans="1:7">
      <c r="A360" s="380" t="s">
        <v>1136</v>
      </c>
      <c r="B360" s="381"/>
      <c r="C360" s="366" t="s">
        <v>985</v>
      </c>
      <c r="D360" s="369"/>
      <c r="E360" s="382">
        <v>-150</v>
      </c>
      <c r="F360" s="370"/>
      <c r="G360" s="370"/>
    </row>
    <row r="361" ht="25" customHeight="1" spans="1:7">
      <c r="A361" s="380" t="s">
        <v>1137</v>
      </c>
      <c r="B361" s="381"/>
      <c r="C361" s="366" t="s">
        <v>985</v>
      </c>
      <c r="D361" s="369"/>
      <c r="E361" s="382">
        <v>-150</v>
      </c>
      <c r="F361" s="368"/>
      <c r="G361" s="368"/>
    </row>
    <row r="362" ht="25" customHeight="1" spans="1:7">
      <c r="A362" s="388"/>
      <c r="B362" s="388"/>
      <c r="C362" s="388"/>
      <c r="D362" s="364"/>
      <c r="E362" s="367"/>
      <c r="F362" s="389"/>
      <c r="G362" s="390"/>
    </row>
    <row r="363" ht="25" customHeight="1" spans="1:7">
      <c r="A363" s="371" t="s">
        <v>1138</v>
      </c>
      <c r="B363" s="371"/>
      <c r="C363" s="371"/>
      <c r="D363" s="371"/>
      <c r="E363" s="372">
        <f>SUM(E359:E362)</f>
        <v>-75</v>
      </c>
      <c r="F363" s="373" t="s">
        <v>1139</v>
      </c>
      <c r="G363" s="373"/>
    </row>
    <row r="364" ht="25" customHeight="1" spans="1:7">
      <c r="A364" s="396"/>
      <c r="B364" s="397"/>
      <c r="C364" s="397"/>
      <c r="D364" s="397"/>
      <c r="E364" s="397"/>
      <c r="F364" s="397"/>
      <c r="G364" s="398"/>
    </row>
    <row r="365" ht="25" customHeight="1" spans="1:7">
      <c r="A365" s="399"/>
      <c r="B365" s="400"/>
      <c r="C365" s="400"/>
      <c r="D365" s="400"/>
      <c r="E365" s="400"/>
      <c r="F365" s="400"/>
      <c r="G365" s="401"/>
    </row>
    <row r="366" ht="25" customHeight="1" spans="1:7">
      <c r="A366" s="325" t="s">
        <v>1140</v>
      </c>
      <c r="B366" s="326"/>
      <c r="C366" s="327"/>
      <c r="D366" s="328"/>
      <c r="E366" s="329"/>
      <c r="F366" s="330"/>
      <c r="G366" s="329"/>
    </row>
    <row r="367" ht="25" customHeight="1" spans="1:7">
      <c r="A367" s="331" t="s">
        <v>1047</v>
      </c>
      <c r="B367" s="332" t="s">
        <v>1048</v>
      </c>
      <c r="C367" s="333"/>
      <c r="D367" s="332"/>
      <c r="E367" s="332" t="s">
        <v>1049</v>
      </c>
      <c r="F367" s="334" t="s">
        <v>1050</v>
      </c>
      <c r="G367" s="335" t="s">
        <v>9</v>
      </c>
    </row>
    <row r="368" ht="25" customHeight="1" spans="1:7">
      <c r="A368" s="331"/>
      <c r="B368" s="336">
        <f>SUM(D372:D412)</f>
        <v>92840.12</v>
      </c>
      <c r="C368" s="337"/>
      <c r="D368" s="336"/>
      <c r="E368" s="336">
        <f>SUM(E372:E412)</f>
        <v>76474</v>
      </c>
      <c r="F368" s="338">
        <f>B368-E368</f>
        <v>16366.12</v>
      </c>
      <c r="G368" s="335"/>
    </row>
    <row r="369" ht="25" customHeight="1" spans="1:7">
      <c r="A369" s="331"/>
      <c r="B369" s="336"/>
      <c r="C369" s="337"/>
      <c r="D369" s="336"/>
      <c r="E369" s="336"/>
      <c r="F369" s="338"/>
      <c r="G369" s="335"/>
    </row>
    <row r="370" ht="18.75" spans="1:7">
      <c r="A370" s="331"/>
      <c r="B370" s="339" t="s">
        <v>1123</v>
      </c>
      <c r="C370" s="339"/>
      <c r="D370" s="339"/>
      <c r="E370" s="339"/>
      <c r="F370" s="339"/>
      <c r="G370" s="335"/>
    </row>
    <row r="371" spans="1:7">
      <c r="A371" s="331"/>
      <c r="B371" s="340" t="s">
        <v>1052</v>
      </c>
      <c r="C371" s="341" t="s">
        <v>1053</v>
      </c>
      <c r="D371" s="342" t="s">
        <v>918</v>
      </c>
      <c r="E371" s="342" t="s">
        <v>1054</v>
      </c>
      <c r="F371" s="343" t="s">
        <v>1055</v>
      </c>
      <c r="G371" s="335"/>
    </row>
    <row r="372" spans="1:7">
      <c r="A372" s="344" t="s">
        <v>27</v>
      </c>
      <c r="B372" s="345"/>
      <c r="C372" s="346" t="s">
        <v>1007</v>
      </c>
      <c r="D372" s="349"/>
      <c r="E372" s="342">
        <v>27170.8</v>
      </c>
      <c r="F372" s="347">
        <f>D372-E372</f>
        <v>-27170.8</v>
      </c>
      <c r="G372" s="348"/>
    </row>
    <row r="373" spans="1:7">
      <c r="A373" s="344" t="s">
        <v>993</v>
      </c>
      <c r="B373" s="345">
        <v>3</v>
      </c>
      <c r="C373" s="359" t="s">
        <v>994</v>
      </c>
      <c r="D373" s="349">
        <v>2406</v>
      </c>
      <c r="E373" s="342"/>
      <c r="F373" s="347">
        <f t="shared" ref="F373:F392" si="16">F372+D373-E373</f>
        <v>-24764.8</v>
      </c>
      <c r="G373" s="348"/>
    </row>
    <row r="374" spans="1:7">
      <c r="A374" s="344">
        <v>45748</v>
      </c>
      <c r="B374" s="345">
        <v>4</v>
      </c>
      <c r="C374" s="346" t="s">
        <v>987</v>
      </c>
      <c r="D374" s="349">
        <v>2986.5</v>
      </c>
      <c r="E374" s="342"/>
      <c r="F374" s="347">
        <f t="shared" si="16"/>
        <v>-21778.3</v>
      </c>
      <c r="G374" s="348"/>
    </row>
    <row r="375" spans="1:7">
      <c r="A375" s="344">
        <v>45748</v>
      </c>
      <c r="B375" s="345">
        <v>5</v>
      </c>
      <c r="C375" s="346" t="s">
        <v>944</v>
      </c>
      <c r="D375" s="349">
        <v>2120.1</v>
      </c>
      <c r="E375" s="342"/>
      <c r="F375" s="347">
        <f t="shared" si="16"/>
        <v>-19658.2</v>
      </c>
      <c r="G375" s="348"/>
    </row>
    <row r="376" spans="1:7">
      <c r="A376" s="344">
        <v>45748</v>
      </c>
      <c r="B376" s="345">
        <v>6</v>
      </c>
      <c r="C376" s="346" t="s">
        <v>240</v>
      </c>
      <c r="D376" s="349">
        <v>5115</v>
      </c>
      <c r="E376" s="342"/>
      <c r="F376" s="347">
        <f t="shared" si="16"/>
        <v>-14543.2</v>
      </c>
      <c r="G376" s="348"/>
    </row>
    <row r="377" spans="1:7">
      <c r="A377" s="344">
        <v>45748</v>
      </c>
      <c r="B377" s="345">
        <v>7</v>
      </c>
      <c r="C377" s="346" t="s">
        <v>922</v>
      </c>
      <c r="D377" s="349">
        <v>1137.2</v>
      </c>
      <c r="E377" s="357"/>
      <c r="F377" s="347">
        <f t="shared" si="16"/>
        <v>-13406</v>
      </c>
      <c r="G377" s="348"/>
    </row>
    <row r="378" spans="1:7">
      <c r="A378" s="344">
        <v>45748</v>
      </c>
      <c r="B378" s="345">
        <v>11</v>
      </c>
      <c r="C378" s="346" t="s">
        <v>962</v>
      </c>
      <c r="D378" s="349">
        <v>2098</v>
      </c>
      <c r="E378" s="357"/>
      <c r="F378" s="347">
        <f t="shared" si="16"/>
        <v>-11308</v>
      </c>
      <c r="G378" s="348"/>
    </row>
    <row r="379" spans="1:7">
      <c r="A379" s="344">
        <v>45748</v>
      </c>
      <c r="B379" s="345"/>
      <c r="C379" s="346" t="s">
        <v>1060</v>
      </c>
      <c r="D379" s="349"/>
      <c r="E379" s="357">
        <v>15298</v>
      </c>
      <c r="F379" s="347">
        <f t="shared" si="16"/>
        <v>-26606</v>
      </c>
      <c r="G379" s="348"/>
    </row>
    <row r="380" spans="1:7">
      <c r="A380" s="344">
        <v>45748</v>
      </c>
      <c r="B380" s="345"/>
      <c r="C380" s="346" t="s">
        <v>1060</v>
      </c>
      <c r="D380" s="349"/>
      <c r="E380" s="357">
        <v>409.2</v>
      </c>
      <c r="F380" s="347">
        <f t="shared" si="16"/>
        <v>-27015.2</v>
      </c>
      <c r="G380" s="348"/>
    </row>
    <row r="381" spans="1:7">
      <c r="A381" s="344">
        <v>45749</v>
      </c>
      <c r="B381" s="345">
        <v>15</v>
      </c>
      <c r="C381" s="359" t="s">
        <v>995</v>
      </c>
      <c r="D381" s="349">
        <v>1203</v>
      </c>
      <c r="E381" s="342"/>
      <c r="F381" s="347">
        <f t="shared" si="16"/>
        <v>-25812.2</v>
      </c>
      <c r="G381" s="348"/>
    </row>
    <row r="382" spans="1:7">
      <c r="A382" s="344">
        <v>45750</v>
      </c>
      <c r="B382" s="345">
        <v>17</v>
      </c>
      <c r="C382" s="346" t="s">
        <v>996</v>
      </c>
      <c r="D382" s="349">
        <v>6007.7</v>
      </c>
      <c r="E382" s="342"/>
      <c r="F382" s="347">
        <f t="shared" si="16"/>
        <v>-19804.5</v>
      </c>
      <c r="G382" s="348"/>
    </row>
    <row r="383" spans="1:7">
      <c r="A383" s="344">
        <v>45755</v>
      </c>
      <c r="B383" s="345">
        <v>23</v>
      </c>
      <c r="C383" s="346" t="s">
        <v>937</v>
      </c>
      <c r="D383" s="349">
        <v>4340.6</v>
      </c>
      <c r="E383" s="342"/>
      <c r="F383" s="347">
        <f t="shared" si="16"/>
        <v>-15463.9</v>
      </c>
      <c r="G383" s="348"/>
    </row>
    <row r="384" spans="1:7">
      <c r="A384" s="344">
        <v>45755</v>
      </c>
      <c r="B384" s="345">
        <v>24</v>
      </c>
      <c r="C384" s="346" t="s">
        <v>342</v>
      </c>
      <c r="D384" s="349">
        <v>1542.5</v>
      </c>
      <c r="E384" s="342"/>
      <c r="F384" s="347">
        <f t="shared" si="16"/>
        <v>-13921.4</v>
      </c>
      <c r="G384" s="348"/>
    </row>
    <row r="385" spans="1:7">
      <c r="A385" s="344">
        <v>45756</v>
      </c>
      <c r="B385" s="345">
        <v>27</v>
      </c>
      <c r="C385" s="346" t="s">
        <v>922</v>
      </c>
      <c r="D385" s="349">
        <v>1193.7</v>
      </c>
      <c r="E385" s="342"/>
      <c r="F385" s="347">
        <f t="shared" si="16"/>
        <v>-12727.7</v>
      </c>
      <c r="G385" s="348"/>
    </row>
    <row r="386" spans="1:7">
      <c r="A386" s="344">
        <v>45756</v>
      </c>
      <c r="B386" s="345">
        <v>28</v>
      </c>
      <c r="C386" s="346" t="s">
        <v>997</v>
      </c>
      <c r="D386" s="349">
        <v>4565.5</v>
      </c>
      <c r="E386" s="342"/>
      <c r="F386" s="347">
        <f t="shared" si="16"/>
        <v>-8162.2</v>
      </c>
      <c r="G386" s="348"/>
    </row>
    <row r="387" spans="1:7">
      <c r="A387" s="344">
        <v>45756</v>
      </c>
      <c r="B387" s="345">
        <v>29</v>
      </c>
      <c r="C387" s="346" t="s">
        <v>921</v>
      </c>
      <c r="D387" s="349">
        <v>225.4</v>
      </c>
      <c r="E387" s="342"/>
      <c r="F387" s="347">
        <f t="shared" si="16"/>
        <v>-7936.8</v>
      </c>
      <c r="G387" s="348"/>
    </row>
    <row r="388" spans="1:7">
      <c r="A388" s="344">
        <v>45756</v>
      </c>
      <c r="B388" s="345">
        <v>30</v>
      </c>
      <c r="C388" s="346" t="s">
        <v>249</v>
      </c>
      <c r="D388" s="349">
        <v>1396.1</v>
      </c>
      <c r="E388" s="342"/>
      <c r="F388" s="347">
        <f t="shared" si="16"/>
        <v>-6540.7</v>
      </c>
      <c r="G388" s="348"/>
    </row>
    <row r="389" spans="1:7">
      <c r="A389" s="344">
        <v>45757</v>
      </c>
      <c r="B389" s="345">
        <v>32</v>
      </c>
      <c r="C389" s="346" t="s">
        <v>988</v>
      </c>
      <c r="D389" s="349">
        <v>3215</v>
      </c>
      <c r="E389" s="342"/>
      <c r="F389" s="347">
        <f t="shared" si="16"/>
        <v>-3325.7</v>
      </c>
      <c r="G389" s="348"/>
    </row>
    <row r="390" spans="1:7">
      <c r="A390" s="344">
        <v>45757</v>
      </c>
      <c r="B390" s="345">
        <v>33</v>
      </c>
      <c r="C390" s="346" t="s">
        <v>998</v>
      </c>
      <c r="D390" s="349">
        <v>796.6</v>
      </c>
      <c r="E390" s="342"/>
      <c r="F390" s="347">
        <f t="shared" si="16"/>
        <v>-2529.1</v>
      </c>
      <c r="G390" s="348"/>
    </row>
    <row r="391" spans="1:7">
      <c r="A391" s="344">
        <v>45757</v>
      </c>
      <c r="B391" s="345">
        <v>34</v>
      </c>
      <c r="C391" s="346" t="s">
        <v>1141</v>
      </c>
      <c r="D391" s="349">
        <v>1923.5</v>
      </c>
      <c r="E391" s="342"/>
      <c r="F391" s="347">
        <f t="shared" si="16"/>
        <v>-605.599999999999</v>
      </c>
      <c r="G391" s="348"/>
    </row>
    <row r="392" spans="1:7">
      <c r="A392" s="344">
        <v>45758</v>
      </c>
      <c r="B392" s="345"/>
      <c r="C392" s="346" t="s">
        <v>1060</v>
      </c>
      <c r="D392" s="349"/>
      <c r="E392" s="357">
        <v>33596</v>
      </c>
      <c r="F392" s="347">
        <f t="shared" si="16"/>
        <v>-34201.6</v>
      </c>
      <c r="G392" s="348"/>
    </row>
    <row r="393" spans="1:7">
      <c r="A393" s="344">
        <v>45761</v>
      </c>
      <c r="B393" s="345">
        <v>45</v>
      </c>
      <c r="C393" s="359" t="s">
        <v>995</v>
      </c>
      <c r="D393" s="349">
        <v>1353</v>
      </c>
      <c r="E393" s="342"/>
      <c r="F393" s="347">
        <f t="shared" ref="F393:F412" si="17">F392+D393-E393</f>
        <v>-32848.6</v>
      </c>
      <c r="G393" s="348"/>
    </row>
    <row r="394" spans="1:7">
      <c r="A394" s="344">
        <v>45763</v>
      </c>
      <c r="B394" s="345">
        <v>48</v>
      </c>
      <c r="C394" s="346" t="s">
        <v>986</v>
      </c>
      <c r="D394" s="349">
        <v>3542.3</v>
      </c>
      <c r="E394" s="342"/>
      <c r="F394" s="347">
        <f t="shared" si="17"/>
        <v>-29306.3</v>
      </c>
      <c r="G394" s="348"/>
    </row>
    <row r="395" spans="1:7">
      <c r="A395" s="344">
        <v>45763</v>
      </c>
      <c r="B395" s="345">
        <v>49</v>
      </c>
      <c r="C395" s="346" t="s">
        <v>1000</v>
      </c>
      <c r="D395" s="349">
        <v>784.9</v>
      </c>
      <c r="E395" s="342"/>
      <c r="F395" s="347">
        <f t="shared" si="17"/>
        <v>-28521.4</v>
      </c>
      <c r="G395" s="348"/>
    </row>
    <row r="396" spans="1:7">
      <c r="A396" s="344">
        <v>45763</v>
      </c>
      <c r="B396" s="345">
        <v>50</v>
      </c>
      <c r="C396" s="346" t="s">
        <v>1001</v>
      </c>
      <c r="D396" s="349">
        <v>2016.3</v>
      </c>
      <c r="E396" s="342"/>
      <c r="F396" s="347">
        <f t="shared" si="17"/>
        <v>-26505.1</v>
      </c>
      <c r="G396" s="348"/>
    </row>
    <row r="397" spans="1:7">
      <c r="A397" s="344">
        <v>45763</v>
      </c>
      <c r="B397" s="345">
        <v>51</v>
      </c>
      <c r="C397" s="346" t="s">
        <v>631</v>
      </c>
      <c r="D397" s="349">
        <v>1412.5</v>
      </c>
      <c r="E397" s="342"/>
      <c r="F397" s="347">
        <f t="shared" si="17"/>
        <v>-25092.6</v>
      </c>
      <c r="G397" s="348"/>
    </row>
    <row r="398" spans="1:7">
      <c r="A398" s="344">
        <v>45767</v>
      </c>
      <c r="B398" s="345">
        <v>58</v>
      </c>
      <c r="C398" s="346" t="s">
        <v>921</v>
      </c>
      <c r="D398" s="349">
        <v>751.32</v>
      </c>
      <c r="E398" s="342"/>
      <c r="F398" s="347">
        <f t="shared" si="17"/>
        <v>-24341.28</v>
      </c>
      <c r="G398" s="348"/>
    </row>
    <row r="399" spans="1:7">
      <c r="A399" s="344">
        <v>45769</v>
      </c>
      <c r="B399" s="345">
        <v>70</v>
      </c>
      <c r="C399" s="359" t="s">
        <v>995</v>
      </c>
      <c r="D399" s="349">
        <v>1203</v>
      </c>
      <c r="E399" s="342"/>
      <c r="F399" s="347">
        <f t="shared" si="17"/>
        <v>-23138.28</v>
      </c>
      <c r="G399" s="348"/>
    </row>
    <row r="400" spans="1:7">
      <c r="A400" s="344">
        <v>45770</v>
      </c>
      <c r="B400" s="345">
        <v>72</v>
      </c>
      <c r="C400" s="346" t="s">
        <v>1142</v>
      </c>
      <c r="D400" s="349">
        <v>708.6</v>
      </c>
      <c r="E400" s="342"/>
      <c r="F400" s="347">
        <f t="shared" si="17"/>
        <v>-22429.68</v>
      </c>
      <c r="G400" s="348"/>
    </row>
    <row r="401" spans="1:7">
      <c r="A401" s="344">
        <v>45770</v>
      </c>
      <c r="B401" s="345">
        <v>73</v>
      </c>
      <c r="C401" s="346" t="s">
        <v>936</v>
      </c>
      <c r="D401" s="349">
        <v>11197.5</v>
      </c>
      <c r="E401" s="342"/>
      <c r="F401" s="347">
        <f t="shared" si="17"/>
        <v>-11232.18</v>
      </c>
      <c r="G401" s="348"/>
    </row>
    <row r="402" spans="1:7">
      <c r="A402" s="344">
        <v>45770</v>
      </c>
      <c r="B402" s="345">
        <v>74</v>
      </c>
      <c r="C402" s="346" t="s">
        <v>1003</v>
      </c>
      <c r="D402" s="349">
        <v>3222.6</v>
      </c>
      <c r="E402" s="342"/>
      <c r="F402" s="347">
        <f t="shared" si="17"/>
        <v>-8009.58</v>
      </c>
      <c r="G402" s="348"/>
    </row>
    <row r="403" spans="1:7">
      <c r="A403" s="344">
        <v>45771</v>
      </c>
      <c r="B403" s="345">
        <v>75</v>
      </c>
      <c r="C403" s="346" t="s">
        <v>997</v>
      </c>
      <c r="D403" s="349">
        <v>4418</v>
      </c>
      <c r="E403" s="342"/>
      <c r="F403" s="347">
        <f t="shared" si="17"/>
        <v>-3591.58</v>
      </c>
      <c r="G403" s="348"/>
    </row>
    <row r="404" spans="1:7">
      <c r="A404" s="344">
        <v>45771</v>
      </c>
      <c r="B404" s="345">
        <v>76</v>
      </c>
      <c r="C404" s="346" t="s">
        <v>345</v>
      </c>
      <c r="D404" s="349">
        <v>1611.5</v>
      </c>
      <c r="E404" s="342"/>
      <c r="F404" s="347">
        <f t="shared" si="17"/>
        <v>-1980.08</v>
      </c>
      <c r="G404" s="348"/>
    </row>
    <row r="405" spans="1:7">
      <c r="A405" s="344">
        <v>45771</v>
      </c>
      <c r="B405" s="345">
        <v>77</v>
      </c>
      <c r="C405" s="346" t="s">
        <v>924</v>
      </c>
      <c r="D405" s="349">
        <v>2147.5</v>
      </c>
      <c r="E405" s="342"/>
      <c r="F405" s="347">
        <f t="shared" si="17"/>
        <v>167.42</v>
      </c>
      <c r="G405" s="348"/>
    </row>
    <row r="406" spans="1:7">
      <c r="A406" s="344">
        <v>45771</v>
      </c>
      <c r="B406" s="345">
        <v>78</v>
      </c>
      <c r="C406" s="346" t="s">
        <v>949</v>
      </c>
      <c r="D406" s="349">
        <v>1106</v>
      </c>
      <c r="E406" s="342"/>
      <c r="F406" s="347">
        <f t="shared" si="17"/>
        <v>1273.42</v>
      </c>
      <c r="G406" s="348"/>
    </row>
    <row r="407" spans="1:7">
      <c r="A407" s="360">
        <v>45771</v>
      </c>
      <c r="B407" s="376"/>
      <c r="C407" s="359" t="s">
        <v>1143</v>
      </c>
      <c r="D407" s="350">
        <v>9515</v>
      </c>
      <c r="E407" s="342"/>
      <c r="F407" s="347">
        <f t="shared" si="17"/>
        <v>10788.42</v>
      </c>
      <c r="G407" s="348"/>
    </row>
    <row r="408" spans="1:7">
      <c r="A408" s="344">
        <v>45772</v>
      </c>
      <c r="B408" s="345">
        <v>81</v>
      </c>
      <c r="C408" s="346" t="s">
        <v>1004</v>
      </c>
      <c r="D408" s="349">
        <v>1048.3</v>
      </c>
      <c r="E408" s="342"/>
      <c r="F408" s="347">
        <f t="shared" si="17"/>
        <v>11836.72</v>
      </c>
      <c r="G408" s="348"/>
    </row>
    <row r="409" spans="1:7">
      <c r="A409" s="344">
        <v>45772</v>
      </c>
      <c r="B409" s="345">
        <v>82</v>
      </c>
      <c r="C409" s="346" t="s">
        <v>1005</v>
      </c>
      <c r="D409" s="349">
        <v>3893.2</v>
      </c>
      <c r="E409" s="342"/>
      <c r="F409" s="347">
        <f t="shared" si="17"/>
        <v>15729.92</v>
      </c>
      <c r="G409" s="348"/>
    </row>
    <row r="410" spans="1:7">
      <c r="A410" s="360">
        <v>45771</v>
      </c>
      <c r="B410" s="376"/>
      <c r="C410" s="359" t="s">
        <v>1143</v>
      </c>
      <c r="D410" s="350">
        <v>350</v>
      </c>
      <c r="E410" s="342"/>
      <c r="F410" s="347">
        <f t="shared" si="17"/>
        <v>16079.92</v>
      </c>
      <c r="G410" s="348"/>
    </row>
    <row r="411" spans="1:7">
      <c r="A411" s="344">
        <v>45777</v>
      </c>
      <c r="B411" s="345">
        <v>99</v>
      </c>
      <c r="C411" s="346" t="s">
        <v>953</v>
      </c>
      <c r="D411" s="349">
        <v>286.2</v>
      </c>
      <c r="E411" s="342"/>
      <c r="F411" s="347">
        <f t="shared" si="17"/>
        <v>16366.12</v>
      </c>
      <c r="G411" s="348"/>
    </row>
    <row r="412" spans="1:7">
      <c r="A412" s="344"/>
      <c r="B412" s="345"/>
      <c r="C412" s="346"/>
      <c r="D412" s="349"/>
      <c r="E412" s="342"/>
      <c r="F412" s="347">
        <f t="shared" si="17"/>
        <v>16366.12</v>
      </c>
      <c r="G412" s="348"/>
    </row>
    <row r="413" ht="18.75" spans="1:7">
      <c r="A413" s="391" t="s">
        <v>1062</v>
      </c>
      <c r="B413" s="391"/>
      <c r="C413" s="391"/>
      <c r="D413" s="391"/>
      <c r="E413" s="391"/>
      <c r="F413" s="391"/>
      <c r="G413" s="391"/>
    </row>
    <row r="414" spans="1:7">
      <c r="A414" s="362" t="s">
        <v>1047</v>
      </c>
      <c r="B414" s="362"/>
      <c r="C414" s="363" t="s">
        <v>1053</v>
      </c>
      <c r="D414" s="364" t="s">
        <v>1063</v>
      </c>
      <c r="E414" s="365" t="s">
        <v>1064</v>
      </c>
      <c r="F414" s="332" t="s">
        <v>39</v>
      </c>
      <c r="G414" s="332"/>
    </row>
    <row r="415" spans="1:7">
      <c r="A415" s="362" t="s">
        <v>1144</v>
      </c>
      <c r="B415" s="362"/>
      <c r="C415" s="363" t="s">
        <v>1135</v>
      </c>
      <c r="D415" s="364"/>
      <c r="E415" s="367">
        <v>975</v>
      </c>
      <c r="F415" s="368"/>
      <c r="G415" s="368"/>
    </row>
    <row r="416" spans="1:7">
      <c r="A416" s="380" t="s">
        <v>1145</v>
      </c>
      <c r="B416" s="381"/>
      <c r="C416" s="366" t="s">
        <v>1146</v>
      </c>
      <c r="D416" s="369"/>
      <c r="E416" s="382">
        <v>-300</v>
      </c>
      <c r="F416" s="370"/>
      <c r="G416" s="370"/>
    </row>
    <row r="417" spans="1:7">
      <c r="A417" s="380" t="s">
        <v>1147</v>
      </c>
      <c r="B417" s="381"/>
      <c r="C417" s="366" t="s">
        <v>985</v>
      </c>
      <c r="D417" s="402"/>
      <c r="E417" s="382">
        <v>-150</v>
      </c>
      <c r="F417" s="368"/>
      <c r="G417" s="368"/>
    </row>
    <row r="418" spans="1:7">
      <c r="A418" s="380" t="s">
        <v>1148</v>
      </c>
      <c r="B418" s="381"/>
      <c r="C418" s="366" t="s">
        <v>985</v>
      </c>
      <c r="D418" s="402"/>
      <c r="E418" s="382">
        <v>-150</v>
      </c>
      <c r="F418" s="368"/>
      <c r="G418" s="368"/>
    </row>
    <row r="419" spans="1:7">
      <c r="A419" s="380" t="s">
        <v>1149</v>
      </c>
      <c r="B419" s="381"/>
      <c r="C419" s="366" t="s">
        <v>985</v>
      </c>
      <c r="D419" s="402"/>
      <c r="E419" s="382">
        <v>-150</v>
      </c>
      <c r="F419" s="368"/>
      <c r="G419" s="368"/>
    </row>
    <row r="420" spans="1:7">
      <c r="A420" s="388"/>
      <c r="B420" s="388"/>
      <c r="C420" s="388"/>
      <c r="D420" s="364"/>
      <c r="E420" s="367"/>
      <c r="F420" s="389"/>
      <c r="G420" s="390"/>
    </row>
    <row r="421" spans="1:7">
      <c r="A421" s="403" t="s">
        <v>1150</v>
      </c>
      <c r="B421" s="403"/>
      <c r="C421" s="403"/>
      <c r="D421" s="403"/>
      <c r="E421" s="404">
        <f>SUM(E415:E420)</f>
        <v>225</v>
      </c>
      <c r="F421" s="368"/>
      <c r="G421" s="368"/>
    </row>
    <row r="426" ht="22.5" spans="1:7">
      <c r="A426" s="325" t="s">
        <v>1151</v>
      </c>
      <c r="B426" s="326"/>
      <c r="C426" s="327"/>
      <c r="D426" s="328"/>
      <c r="E426" s="329"/>
      <c r="F426" s="330"/>
      <c r="G426" s="329"/>
    </row>
    <row r="427" spans="1:7">
      <c r="A427" s="331" t="s">
        <v>1047</v>
      </c>
      <c r="B427" s="332" t="s">
        <v>1048</v>
      </c>
      <c r="C427" s="333"/>
      <c r="D427" s="332"/>
      <c r="E427" s="332" t="s">
        <v>1049</v>
      </c>
      <c r="F427" s="334" t="s">
        <v>1050</v>
      </c>
      <c r="G427" s="335" t="s">
        <v>9</v>
      </c>
    </row>
    <row r="428" spans="1:7">
      <c r="A428" s="331"/>
      <c r="B428" s="336">
        <f>SUM(D432:D468)</f>
        <v>82582.7</v>
      </c>
      <c r="C428" s="337"/>
      <c r="D428" s="336"/>
      <c r="E428" s="336">
        <f>SUM(E432:E468)</f>
        <v>109753.5</v>
      </c>
      <c r="F428" s="338">
        <f>B428-E428</f>
        <v>-27170.8</v>
      </c>
      <c r="G428" s="335"/>
    </row>
    <row r="429" spans="1:7">
      <c r="A429" s="331"/>
      <c r="B429" s="336"/>
      <c r="C429" s="337"/>
      <c r="D429" s="336"/>
      <c r="E429" s="336"/>
      <c r="F429" s="338"/>
      <c r="G429" s="335"/>
    </row>
    <row r="430" ht="18.75" spans="1:7">
      <c r="A430" s="331"/>
      <c r="B430" s="339" t="s">
        <v>1123</v>
      </c>
      <c r="C430" s="339"/>
      <c r="D430" s="339"/>
      <c r="E430" s="339"/>
      <c r="F430" s="339"/>
      <c r="G430" s="335"/>
    </row>
    <row r="431" spans="1:7">
      <c r="A431" s="331"/>
      <c r="B431" s="340" t="s">
        <v>1052</v>
      </c>
      <c r="C431" s="341" t="s">
        <v>1053</v>
      </c>
      <c r="D431" s="342" t="s">
        <v>918</v>
      </c>
      <c r="E431" s="342" t="s">
        <v>1054</v>
      </c>
      <c r="F431" s="343" t="s">
        <v>1055</v>
      </c>
      <c r="G431" s="335"/>
    </row>
    <row r="432" spans="1:7">
      <c r="A432" s="344" t="s">
        <v>1152</v>
      </c>
      <c r="B432" s="345"/>
      <c r="C432" s="346" t="s">
        <v>1007</v>
      </c>
      <c r="D432" s="349"/>
      <c r="E432" s="342">
        <v>39052</v>
      </c>
      <c r="F432" s="347">
        <f>D432-E432</f>
        <v>-39052</v>
      </c>
      <c r="G432" s="348"/>
    </row>
    <row r="433" spans="1:7">
      <c r="A433" s="344">
        <v>45722</v>
      </c>
      <c r="B433" s="345">
        <v>19</v>
      </c>
      <c r="C433" s="346" t="s">
        <v>1153</v>
      </c>
      <c r="D433" s="349">
        <v>3251.5</v>
      </c>
      <c r="E433" s="342"/>
      <c r="F433" s="347">
        <f t="shared" ref="F433:F439" si="18">F432+D433-E433</f>
        <v>-35800.5</v>
      </c>
      <c r="G433" s="348"/>
    </row>
    <row r="434" spans="1:7">
      <c r="A434" s="344">
        <v>45722</v>
      </c>
      <c r="B434" s="345"/>
      <c r="C434" s="359" t="s">
        <v>1154</v>
      </c>
      <c r="D434" s="350">
        <v>7</v>
      </c>
      <c r="E434" s="342"/>
      <c r="F434" s="347">
        <f t="shared" si="18"/>
        <v>-35793.5</v>
      </c>
      <c r="G434" s="348"/>
    </row>
    <row r="435" spans="1:7">
      <c r="A435" s="344">
        <v>45726</v>
      </c>
      <c r="B435" s="345">
        <v>33</v>
      </c>
      <c r="C435" s="346" t="s">
        <v>1155</v>
      </c>
      <c r="D435" s="349">
        <v>1274</v>
      </c>
      <c r="E435" s="342"/>
      <c r="F435" s="347">
        <f t="shared" si="18"/>
        <v>-34519.5</v>
      </c>
      <c r="G435" s="348"/>
    </row>
    <row r="436" spans="1:7">
      <c r="A436" s="344">
        <v>45726</v>
      </c>
      <c r="B436" s="345"/>
      <c r="C436" s="359" t="s">
        <v>902</v>
      </c>
      <c r="D436" s="350">
        <v>6116</v>
      </c>
      <c r="E436" s="342"/>
      <c r="F436" s="347">
        <f t="shared" si="18"/>
        <v>-28403.5</v>
      </c>
      <c r="G436" s="348"/>
    </row>
    <row r="437" spans="1:7">
      <c r="A437" s="344">
        <v>45726</v>
      </c>
      <c r="B437" s="345"/>
      <c r="C437" s="355" t="s">
        <v>1115</v>
      </c>
      <c r="D437" s="356"/>
      <c r="E437" s="357">
        <v>35944</v>
      </c>
      <c r="F437" s="347">
        <f t="shared" si="18"/>
        <v>-64347.5</v>
      </c>
      <c r="G437" s="348"/>
    </row>
    <row r="438" spans="1:7">
      <c r="A438" s="344">
        <v>45727</v>
      </c>
      <c r="B438" s="345">
        <v>38</v>
      </c>
      <c r="C438" s="346" t="s">
        <v>939</v>
      </c>
      <c r="D438" s="349">
        <v>3162</v>
      </c>
      <c r="E438" s="342"/>
      <c r="F438" s="347">
        <f t="shared" si="18"/>
        <v>-61185.5</v>
      </c>
      <c r="G438" s="348"/>
    </row>
    <row r="439" spans="1:7">
      <c r="A439" s="344">
        <v>45727</v>
      </c>
      <c r="B439" s="345">
        <v>39</v>
      </c>
      <c r="C439" s="346" t="s">
        <v>997</v>
      </c>
      <c r="D439" s="349">
        <v>4546.5</v>
      </c>
      <c r="E439" s="342"/>
      <c r="F439" s="347">
        <f t="shared" si="18"/>
        <v>-56639</v>
      </c>
      <c r="G439" s="348"/>
    </row>
    <row r="440" spans="1:7">
      <c r="A440" s="344">
        <v>45728</v>
      </c>
      <c r="B440" s="345">
        <v>40</v>
      </c>
      <c r="C440" s="346" t="s">
        <v>944</v>
      </c>
      <c r="D440" s="349">
        <v>2201.6</v>
      </c>
      <c r="E440" s="342"/>
      <c r="F440" s="347">
        <f t="shared" ref="F438:F459" si="19">F439+D440-E440</f>
        <v>-54437.4</v>
      </c>
      <c r="G440" s="348"/>
    </row>
    <row r="441" spans="1:7">
      <c r="A441" s="344">
        <v>45728</v>
      </c>
      <c r="B441" s="345">
        <v>43</v>
      </c>
      <c r="C441" s="346" t="s">
        <v>1156</v>
      </c>
      <c r="D441" s="349">
        <v>4536</v>
      </c>
      <c r="E441" s="342"/>
      <c r="F441" s="347">
        <f t="shared" si="19"/>
        <v>-49901.4</v>
      </c>
      <c r="G441" s="348"/>
    </row>
    <row r="442" spans="1:7">
      <c r="A442" s="344">
        <v>45728</v>
      </c>
      <c r="B442" s="345"/>
      <c r="C442" s="359" t="s">
        <v>902</v>
      </c>
      <c r="D442" s="350">
        <v>6952</v>
      </c>
      <c r="E442" s="342"/>
      <c r="F442" s="347">
        <f t="shared" si="19"/>
        <v>-42949.4</v>
      </c>
      <c r="G442" s="348"/>
    </row>
    <row r="443" spans="1:7">
      <c r="A443" s="344">
        <v>45729</v>
      </c>
      <c r="B443" s="345">
        <v>45</v>
      </c>
      <c r="C443" s="346" t="s">
        <v>1157</v>
      </c>
      <c r="D443" s="349">
        <v>3297</v>
      </c>
      <c r="E443" s="342"/>
      <c r="F443" s="347">
        <f t="shared" si="19"/>
        <v>-39652.4</v>
      </c>
      <c r="G443" s="348"/>
    </row>
    <row r="444" spans="1:7">
      <c r="A444" s="344">
        <v>45729</v>
      </c>
      <c r="B444" s="345">
        <v>46</v>
      </c>
      <c r="C444" s="346" t="s">
        <v>240</v>
      </c>
      <c r="D444" s="349">
        <v>5250</v>
      </c>
      <c r="E444" s="342"/>
      <c r="F444" s="347">
        <f t="shared" si="19"/>
        <v>-34402.4</v>
      </c>
      <c r="G444" s="348"/>
    </row>
    <row r="445" spans="1:7">
      <c r="A445" s="344">
        <v>45729</v>
      </c>
      <c r="B445" s="345">
        <v>47</v>
      </c>
      <c r="C445" s="346" t="s">
        <v>1158</v>
      </c>
      <c r="D445" s="349">
        <v>179.2</v>
      </c>
      <c r="E445" s="342"/>
      <c r="F445" s="347">
        <f t="shared" si="19"/>
        <v>-34223.2</v>
      </c>
      <c r="G445" s="348"/>
    </row>
    <row r="446" spans="1:7">
      <c r="A446" s="344">
        <v>45729</v>
      </c>
      <c r="B446" s="345">
        <v>50</v>
      </c>
      <c r="C446" s="346" t="s">
        <v>249</v>
      </c>
      <c r="D446" s="349">
        <v>1402.5</v>
      </c>
      <c r="E446" s="342"/>
      <c r="F446" s="347">
        <f t="shared" si="19"/>
        <v>-32820.7</v>
      </c>
      <c r="G446" s="348"/>
    </row>
    <row r="447" spans="1:7">
      <c r="A447" s="344">
        <v>45729</v>
      </c>
      <c r="B447" s="345">
        <v>51</v>
      </c>
      <c r="C447" s="346" t="s">
        <v>962</v>
      </c>
      <c r="D447" s="349">
        <v>2125.6</v>
      </c>
      <c r="E447" s="342"/>
      <c r="F447" s="347">
        <f t="shared" si="19"/>
        <v>-30695.1</v>
      </c>
      <c r="G447" s="348"/>
    </row>
    <row r="448" spans="1:7">
      <c r="A448" s="344">
        <v>45729</v>
      </c>
      <c r="B448" s="345">
        <v>52</v>
      </c>
      <c r="C448" s="346" t="s">
        <v>1011</v>
      </c>
      <c r="D448" s="349">
        <v>125.5</v>
      </c>
      <c r="E448" s="342"/>
      <c r="F448" s="347">
        <f t="shared" si="19"/>
        <v>-30569.6</v>
      </c>
      <c r="G448" s="348"/>
    </row>
    <row r="449" spans="1:7">
      <c r="A449" s="344">
        <v>45729</v>
      </c>
      <c r="B449" s="345">
        <v>53</v>
      </c>
      <c r="C449" s="346" t="s">
        <v>923</v>
      </c>
      <c r="D449" s="349">
        <v>11300</v>
      </c>
      <c r="E449" s="342"/>
      <c r="F449" s="347">
        <f t="shared" si="19"/>
        <v>-19269.6</v>
      </c>
      <c r="G449" s="348"/>
    </row>
    <row r="450" spans="1:7">
      <c r="A450" s="344">
        <v>45730</v>
      </c>
      <c r="B450" s="345">
        <v>56</v>
      </c>
      <c r="C450" s="346" t="s">
        <v>937</v>
      </c>
      <c r="D450" s="349">
        <v>4293.3</v>
      </c>
      <c r="E450" s="342"/>
      <c r="F450" s="347">
        <f t="shared" si="19"/>
        <v>-14976.3</v>
      </c>
      <c r="G450" s="348"/>
    </row>
    <row r="451" spans="1:7">
      <c r="A451" s="344">
        <v>45730</v>
      </c>
      <c r="B451" s="345">
        <v>57</v>
      </c>
      <c r="C451" s="346" t="s">
        <v>1127</v>
      </c>
      <c r="D451" s="349">
        <v>1557</v>
      </c>
      <c r="E451" s="342"/>
      <c r="F451" s="347">
        <f t="shared" si="19"/>
        <v>-13419.3</v>
      </c>
      <c r="G451" s="348"/>
    </row>
    <row r="452" spans="1:7">
      <c r="A452" s="344">
        <v>45735</v>
      </c>
      <c r="B452" s="345">
        <v>75</v>
      </c>
      <c r="C452" s="346" t="s">
        <v>1159</v>
      </c>
      <c r="D452" s="349">
        <v>655.5</v>
      </c>
      <c r="E452" s="342"/>
      <c r="F452" s="347">
        <f t="shared" si="19"/>
        <v>-12763.8</v>
      </c>
      <c r="G452" s="348"/>
    </row>
    <row r="453" spans="1:7">
      <c r="A453" s="344">
        <v>45735</v>
      </c>
      <c r="B453" s="345">
        <v>76</v>
      </c>
      <c r="C453" s="346" t="s">
        <v>284</v>
      </c>
      <c r="D453" s="349">
        <v>1295</v>
      </c>
      <c r="E453" s="342"/>
      <c r="F453" s="347">
        <f t="shared" si="19"/>
        <v>-11468.8</v>
      </c>
      <c r="G453" s="348"/>
    </row>
    <row r="454" spans="1:7">
      <c r="A454" s="344">
        <v>45736</v>
      </c>
      <c r="B454" s="345">
        <v>79</v>
      </c>
      <c r="C454" s="346" t="s">
        <v>1160</v>
      </c>
      <c r="D454" s="349">
        <v>1600</v>
      </c>
      <c r="E454" s="342"/>
      <c r="F454" s="347">
        <f t="shared" si="19"/>
        <v>-9868.80000000001</v>
      </c>
      <c r="G454" s="348"/>
    </row>
    <row r="455" spans="1:7">
      <c r="A455" s="344">
        <v>45736</v>
      </c>
      <c r="B455" s="345">
        <v>80</v>
      </c>
      <c r="C455" s="346" t="s">
        <v>1161</v>
      </c>
      <c r="D455" s="349">
        <v>1145</v>
      </c>
      <c r="E455" s="342"/>
      <c r="F455" s="347">
        <f t="shared" si="19"/>
        <v>-8723.80000000001</v>
      </c>
      <c r="G455" s="348"/>
    </row>
    <row r="456" spans="1:7">
      <c r="A456" s="344">
        <v>45736</v>
      </c>
      <c r="B456" s="345">
        <v>81</v>
      </c>
      <c r="C456" s="346" t="s">
        <v>342</v>
      </c>
      <c r="D456" s="349">
        <v>1884</v>
      </c>
      <c r="E456" s="342"/>
      <c r="F456" s="347">
        <f t="shared" si="19"/>
        <v>-6839.80000000001</v>
      </c>
      <c r="G456" s="348"/>
    </row>
    <row r="457" spans="1:7">
      <c r="A457" s="344">
        <v>45736</v>
      </c>
      <c r="B457" s="345"/>
      <c r="C457" s="355" t="s">
        <v>1060</v>
      </c>
      <c r="D457" s="349"/>
      <c r="E457" s="342">
        <v>34757.5</v>
      </c>
      <c r="F457" s="347">
        <f t="shared" si="19"/>
        <v>-41597.3</v>
      </c>
      <c r="G457" s="348"/>
    </row>
    <row r="458" spans="1:7">
      <c r="A458" s="344">
        <v>45737</v>
      </c>
      <c r="B458" s="345">
        <v>83</v>
      </c>
      <c r="C458" s="346" t="s">
        <v>1009</v>
      </c>
      <c r="D458" s="349">
        <v>1227</v>
      </c>
      <c r="E458" s="342"/>
      <c r="F458" s="347">
        <f t="shared" si="19"/>
        <v>-40370.3</v>
      </c>
      <c r="G458" s="348"/>
    </row>
    <row r="459" spans="1:7">
      <c r="A459" s="344">
        <v>45737</v>
      </c>
      <c r="B459" s="345">
        <v>84</v>
      </c>
      <c r="C459" s="346" t="s">
        <v>981</v>
      </c>
      <c r="D459" s="349">
        <v>573</v>
      </c>
      <c r="E459" s="342"/>
      <c r="F459" s="347">
        <f t="shared" si="19"/>
        <v>-39797.3</v>
      </c>
      <c r="G459" s="348"/>
    </row>
    <row r="460" spans="1:7">
      <c r="A460" s="344">
        <v>45738</v>
      </c>
      <c r="B460" s="345">
        <v>89</v>
      </c>
      <c r="C460" s="346" t="s">
        <v>935</v>
      </c>
      <c r="D460" s="349">
        <v>2102.4</v>
      </c>
      <c r="E460" s="342"/>
      <c r="F460" s="347">
        <f t="shared" ref="F458:F468" si="20">F459+D460-E460</f>
        <v>-37694.9</v>
      </c>
      <c r="G460" s="348"/>
    </row>
    <row r="461" spans="1:7">
      <c r="A461" s="344">
        <v>45740</v>
      </c>
      <c r="B461" s="345">
        <v>93</v>
      </c>
      <c r="C461" s="346" t="s">
        <v>1162</v>
      </c>
      <c r="D461" s="349">
        <v>3389.5</v>
      </c>
      <c r="E461" s="342"/>
      <c r="F461" s="347">
        <f t="shared" si="20"/>
        <v>-34305.4</v>
      </c>
      <c r="G461" s="348"/>
    </row>
    <row r="462" spans="1:7">
      <c r="A462" s="344">
        <v>45741</v>
      </c>
      <c r="B462" s="345">
        <v>97</v>
      </c>
      <c r="C462" s="346" t="s">
        <v>1009</v>
      </c>
      <c r="D462" s="349">
        <v>1227</v>
      </c>
      <c r="E462" s="342"/>
      <c r="F462" s="347">
        <f t="shared" si="20"/>
        <v>-33078.4</v>
      </c>
      <c r="G462" s="348"/>
    </row>
    <row r="463" spans="1:7">
      <c r="A463" s="344">
        <v>45742</v>
      </c>
      <c r="B463" s="345">
        <v>101</v>
      </c>
      <c r="C463" s="346" t="s">
        <v>1016</v>
      </c>
      <c r="D463" s="349">
        <v>1556.5</v>
      </c>
      <c r="E463" s="342"/>
      <c r="F463" s="347">
        <f t="shared" si="20"/>
        <v>-31521.9</v>
      </c>
      <c r="G463" s="348"/>
    </row>
    <row r="464" spans="1:7">
      <c r="A464" s="344">
        <v>45743</v>
      </c>
      <c r="B464" s="345">
        <v>115</v>
      </c>
      <c r="C464" s="346" t="s">
        <v>1163</v>
      </c>
      <c r="D464" s="349">
        <v>355.5</v>
      </c>
      <c r="E464" s="342"/>
      <c r="F464" s="347">
        <f t="shared" si="20"/>
        <v>-31166.4</v>
      </c>
      <c r="G464" s="348"/>
    </row>
    <row r="465" spans="1:7">
      <c r="A465" s="344">
        <v>45743</v>
      </c>
      <c r="B465" s="345">
        <v>116</v>
      </c>
      <c r="C465" s="346" t="s">
        <v>1158</v>
      </c>
      <c r="D465" s="349">
        <v>177.4</v>
      </c>
      <c r="E465" s="342"/>
      <c r="F465" s="347">
        <f t="shared" si="20"/>
        <v>-30989</v>
      </c>
      <c r="G465" s="348"/>
    </row>
    <row r="466" spans="1:7">
      <c r="A466" s="344">
        <v>45743</v>
      </c>
      <c r="B466" s="345">
        <v>117</v>
      </c>
      <c r="C466" s="346" t="s">
        <v>930</v>
      </c>
      <c r="D466" s="349">
        <v>3548.2</v>
      </c>
      <c r="E466" s="342"/>
      <c r="F466" s="347">
        <f t="shared" si="20"/>
        <v>-27440.8</v>
      </c>
      <c r="G466" s="348"/>
    </row>
    <row r="467" spans="1:7">
      <c r="A467" s="344">
        <v>45744</v>
      </c>
      <c r="B467" s="345">
        <v>124</v>
      </c>
      <c r="C467" s="346" t="s">
        <v>631</v>
      </c>
      <c r="D467" s="349">
        <v>270</v>
      </c>
      <c r="E467" s="342"/>
      <c r="F467" s="347">
        <f t="shared" si="20"/>
        <v>-27170.8</v>
      </c>
      <c r="G467" s="348"/>
    </row>
    <row r="468" spans="1:7">
      <c r="A468" s="393"/>
      <c r="B468" s="394"/>
      <c r="C468" s="394"/>
      <c r="D468" s="394"/>
      <c r="E468" s="394"/>
      <c r="F468" s="395"/>
      <c r="G468" s="348"/>
    </row>
    <row r="469" ht="18.75" spans="1:7">
      <c r="A469" s="391" t="s">
        <v>1062</v>
      </c>
      <c r="B469" s="391"/>
      <c r="C469" s="391"/>
      <c r="D469" s="391"/>
      <c r="E469" s="391"/>
      <c r="F469" s="391"/>
      <c r="G469" s="391"/>
    </row>
    <row r="470" spans="1:7">
      <c r="A470" s="362" t="s">
        <v>1047</v>
      </c>
      <c r="B470" s="362"/>
      <c r="C470" s="363" t="s">
        <v>1053</v>
      </c>
      <c r="D470" s="364" t="s">
        <v>1063</v>
      </c>
      <c r="E470" s="365" t="s">
        <v>1064</v>
      </c>
      <c r="F470" s="332" t="s">
        <v>39</v>
      </c>
      <c r="G470" s="332"/>
    </row>
    <row r="471" spans="1:7">
      <c r="A471" s="362" t="s">
        <v>1164</v>
      </c>
      <c r="B471" s="362"/>
      <c r="C471" s="363" t="s">
        <v>1135</v>
      </c>
      <c r="D471" s="364">
        <v>66</v>
      </c>
      <c r="E471" s="367">
        <f>D471*25</f>
        <v>1650</v>
      </c>
      <c r="F471" s="368"/>
      <c r="G471" s="368"/>
    </row>
    <row r="472" spans="1:7">
      <c r="A472" s="362" t="s">
        <v>1165</v>
      </c>
      <c r="B472" s="362"/>
      <c r="C472" s="363" t="s">
        <v>1070</v>
      </c>
      <c r="D472" s="364"/>
      <c r="E472" s="367">
        <v>-225</v>
      </c>
      <c r="F472" s="370"/>
      <c r="G472" s="370"/>
    </row>
    <row r="473" spans="1:7">
      <c r="A473" s="362" t="s">
        <v>1166</v>
      </c>
      <c r="B473" s="362"/>
      <c r="C473" s="366" t="s">
        <v>985</v>
      </c>
      <c r="D473" s="402"/>
      <c r="E473" s="382">
        <v>-150</v>
      </c>
      <c r="F473" s="368"/>
      <c r="G473" s="368"/>
    </row>
    <row r="474" spans="1:7">
      <c r="A474" s="362" t="s">
        <v>1167</v>
      </c>
      <c r="B474" s="362"/>
      <c r="C474" s="366" t="s">
        <v>985</v>
      </c>
      <c r="D474" s="402"/>
      <c r="E474" s="382">
        <v>-150</v>
      </c>
      <c r="F474" s="368"/>
      <c r="G474" s="368"/>
    </row>
    <row r="475" spans="1:7">
      <c r="A475" s="362" t="s">
        <v>1168</v>
      </c>
      <c r="B475" s="362"/>
      <c r="C475" s="366" t="s">
        <v>985</v>
      </c>
      <c r="D475" s="402"/>
      <c r="E475" s="382">
        <v>-150</v>
      </c>
      <c r="F475" s="368"/>
      <c r="G475" s="368"/>
    </row>
    <row r="476" spans="1:7">
      <c r="A476" s="380"/>
      <c r="B476" s="383"/>
      <c r="C476" s="383"/>
      <c r="D476" s="383"/>
      <c r="E476" s="383"/>
      <c r="F476" s="383"/>
      <c r="G476" s="381"/>
    </row>
    <row r="477" spans="1:7">
      <c r="A477" s="403" t="s">
        <v>1169</v>
      </c>
      <c r="B477" s="403"/>
      <c r="C477" s="403"/>
      <c r="D477" s="403"/>
      <c r="E477" s="404">
        <f>SUM(E471:E476)</f>
        <v>975</v>
      </c>
      <c r="F477" s="368"/>
      <c r="G477" s="368"/>
    </row>
    <row r="478" spans="1:7">
      <c r="A478" s="405"/>
      <c r="B478" s="406"/>
      <c r="C478" s="406"/>
      <c r="D478" s="406"/>
      <c r="E478" s="406"/>
      <c r="F478" s="406"/>
      <c r="G478" s="407"/>
    </row>
    <row r="479" ht="22.5" spans="1:7">
      <c r="A479" s="325" t="s">
        <v>1170</v>
      </c>
      <c r="B479" s="326"/>
      <c r="C479" s="327"/>
      <c r="D479" s="328"/>
      <c r="E479" s="329"/>
      <c r="F479" s="330"/>
      <c r="G479" s="329"/>
    </row>
    <row r="480" spans="1:7">
      <c r="A480" s="331" t="s">
        <v>1047</v>
      </c>
      <c r="B480" s="332" t="s">
        <v>1048</v>
      </c>
      <c r="C480" s="333"/>
      <c r="D480" s="332"/>
      <c r="E480" s="332" t="s">
        <v>1049</v>
      </c>
      <c r="F480" s="334" t="s">
        <v>1050</v>
      </c>
      <c r="G480" s="335" t="s">
        <v>9</v>
      </c>
    </row>
    <row r="481" spans="1:7">
      <c r="A481" s="331"/>
      <c r="B481" s="336">
        <f>SUM(D485:D495)</f>
        <v>8954.3</v>
      </c>
      <c r="C481" s="337"/>
      <c r="D481" s="336"/>
      <c r="E481" s="336">
        <f>SUM(E485:E496)</f>
        <v>48006.6</v>
      </c>
      <c r="F481" s="343">
        <f>B481-E481</f>
        <v>-39052.3</v>
      </c>
      <c r="G481" s="335"/>
    </row>
    <row r="482" spans="1:7">
      <c r="A482" s="331"/>
      <c r="B482" s="336"/>
      <c r="C482" s="337"/>
      <c r="D482" s="336"/>
      <c r="E482" s="336"/>
      <c r="F482" s="343"/>
      <c r="G482" s="335"/>
    </row>
    <row r="483" ht="18.75" spans="1:7">
      <c r="A483" s="331"/>
      <c r="B483" s="339" t="s">
        <v>1123</v>
      </c>
      <c r="C483" s="339"/>
      <c r="D483" s="339"/>
      <c r="E483" s="339"/>
      <c r="F483" s="339"/>
      <c r="G483" s="335"/>
    </row>
    <row r="484" spans="1:7">
      <c r="A484" s="331"/>
      <c r="B484" s="340" t="s">
        <v>1052</v>
      </c>
      <c r="C484" s="341" t="s">
        <v>1053</v>
      </c>
      <c r="D484" s="342" t="s">
        <v>918</v>
      </c>
      <c r="E484" s="342" t="s">
        <v>1054</v>
      </c>
      <c r="F484" s="343" t="s">
        <v>1055</v>
      </c>
      <c r="G484" s="335"/>
    </row>
    <row r="485" ht="18.75" spans="1:7">
      <c r="A485" s="408" t="s">
        <v>1019</v>
      </c>
      <c r="B485" s="409"/>
      <c r="C485" s="410" t="s">
        <v>1007</v>
      </c>
      <c r="D485" s="411"/>
      <c r="E485" s="412">
        <v>48006.6</v>
      </c>
      <c r="F485" s="413">
        <f>D485-E485</f>
        <v>-48006.6</v>
      </c>
      <c r="G485" s="414"/>
    </row>
    <row r="486" ht="18.75" spans="1:7">
      <c r="A486" s="408">
        <v>45707</v>
      </c>
      <c r="B486" s="409">
        <v>13</v>
      </c>
      <c r="C486" s="410" t="s">
        <v>922</v>
      </c>
      <c r="D486" s="411">
        <v>1243.1</v>
      </c>
      <c r="E486" s="412"/>
      <c r="F486" s="413">
        <f t="shared" ref="F486:F495" si="21">F485+D486-E486</f>
        <v>-46763.5</v>
      </c>
      <c r="G486" s="414"/>
    </row>
    <row r="487" ht="18.75" spans="1:7">
      <c r="A487" s="408">
        <v>45707</v>
      </c>
      <c r="B487" s="409">
        <v>14</v>
      </c>
      <c r="C487" s="410" t="s">
        <v>978</v>
      </c>
      <c r="D487" s="411">
        <v>2099.6</v>
      </c>
      <c r="E487" s="412"/>
      <c r="F487" s="413">
        <f t="shared" si="21"/>
        <v>-44663.9</v>
      </c>
      <c r="G487" s="414"/>
    </row>
    <row r="488" ht="18.75" spans="1:7">
      <c r="A488" s="408">
        <v>45710</v>
      </c>
      <c r="B488" s="409">
        <v>35</v>
      </c>
      <c r="C488" s="410" t="s">
        <v>927</v>
      </c>
      <c r="D488" s="411">
        <v>1269.7</v>
      </c>
      <c r="E488" s="412"/>
      <c r="F488" s="413">
        <f t="shared" si="21"/>
        <v>-43394.2</v>
      </c>
      <c r="G488" s="414"/>
    </row>
    <row r="489" ht="18.75" spans="1:7">
      <c r="A489" s="408">
        <v>45711</v>
      </c>
      <c r="B489" s="409">
        <v>36</v>
      </c>
      <c r="C489" s="410" t="s">
        <v>1009</v>
      </c>
      <c r="D489" s="411">
        <v>1255.5</v>
      </c>
      <c r="E489" s="412"/>
      <c r="F489" s="413">
        <f t="shared" si="21"/>
        <v>-42138.7</v>
      </c>
      <c r="G489" s="414"/>
    </row>
    <row r="490" ht="18.75" spans="1:7">
      <c r="A490" s="408">
        <v>45711</v>
      </c>
      <c r="B490" s="409">
        <v>37</v>
      </c>
      <c r="C490" s="410" t="s">
        <v>1009</v>
      </c>
      <c r="D490" s="411">
        <v>621</v>
      </c>
      <c r="E490" s="412"/>
      <c r="F490" s="413">
        <f t="shared" si="21"/>
        <v>-41517.7</v>
      </c>
      <c r="G490" s="414"/>
    </row>
    <row r="491" ht="18.75" spans="1:7">
      <c r="A491" s="408">
        <v>45712</v>
      </c>
      <c r="B491" s="409">
        <v>39</v>
      </c>
      <c r="C491" s="410" t="s">
        <v>345</v>
      </c>
      <c r="D491" s="411">
        <v>1624</v>
      </c>
      <c r="E491" s="412"/>
      <c r="F491" s="413">
        <f t="shared" si="21"/>
        <v>-39893.7</v>
      </c>
      <c r="G491" s="414"/>
    </row>
    <row r="492" ht="18.75" spans="1:7">
      <c r="A492" s="408">
        <v>45714</v>
      </c>
      <c r="B492" s="409">
        <v>44</v>
      </c>
      <c r="C492" s="410" t="s">
        <v>1171</v>
      </c>
      <c r="D492" s="411">
        <v>176.8</v>
      </c>
      <c r="E492" s="412"/>
      <c r="F492" s="413">
        <f t="shared" si="21"/>
        <v>-39716.9</v>
      </c>
      <c r="G492" s="414"/>
    </row>
    <row r="493" ht="18.75" spans="1:7">
      <c r="A493" s="408">
        <v>45714</v>
      </c>
      <c r="B493" s="409">
        <v>45</v>
      </c>
      <c r="C493" s="410" t="s">
        <v>975</v>
      </c>
      <c r="D493" s="411">
        <v>133.6</v>
      </c>
      <c r="E493" s="412"/>
      <c r="F493" s="413">
        <f t="shared" si="21"/>
        <v>-39583.3</v>
      </c>
      <c r="G493" s="414"/>
    </row>
    <row r="494" ht="18.75" spans="1:7">
      <c r="A494" s="408">
        <v>45715</v>
      </c>
      <c r="B494" s="409">
        <v>46</v>
      </c>
      <c r="C494" s="410" t="s">
        <v>1016</v>
      </c>
      <c r="D494" s="411">
        <v>531</v>
      </c>
      <c r="E494" s="412"/>
      <c r="F494" s="413">
        <f t="shared" si="21"/>
        <v>-39052.3</v>
      </c>
      <c r="G494" s="414"/>
    </row>
    <row r="495" ht="18.75" spans="1:7">
      <c r="A495" s="408"/>
      <c r="B495" s="409"/>
      <c r="C495" s="410"/>
      <c r="D495" s="411"/>
      <c r="E495" s="412"/>
      <c r="F495" s="413">
        <f t="shared" si="21"/>
        <v>-39052.3</v>
      </c>
      <c r="G495" s="414"/>
    </row>
    <row r="496" ht="18.75" spans="1:7">
      <c r="A496" s="408"/>
      <c r="B496" s="409"/>
      <c r="C496" s="410"/>
      <c r="D496" s="411"/>
      <c r="E496" s="412"/>
      <c r="F496" s="413"/>
      <c r="G496" s="414"/>
    </row>
    <row r="497" ht="18.75" spans="1:7">
      <c r="A497" s="391" t="s">
        <v>1062</v>
      </c>
      <c r="B497" s="391"/>
      <c r="C497" s="391"/>
      <c r="D497" s="391"/>
      <c r="E497" s="391"/>
      <c r="F497" s="391"/>
      <c r="G497" s="391"/>
    </row>
    <row r="498" ht="18.75" spans="1:7">
      <c r="A498" s="408" t="s">
        <v>1047</v>
      </c>
      <c r="B498" s="408"/>
      <c r="C498" s="410" t="s">
        <v>1053</v>
      </c>
      <c r="D498" s="411" t="s">
        <v>1063</v>
      </c>
      <c r="E498" s="414" t="s">
        <v>1172</v>
      </c>
      <c r="F498" s="412" t="s">
        <v>39</v>
      </c>
      <c r="G498" s="412"/>
    </row>
    <row r="499" ht="18.75" spans="1:7">
      <c r="A499" s="408" t="s">
        <v>1164</v>
      </c>
      <c r="B499" s="408"/>
      <c r="C499" s="410" t="s">
        <v>1135</v>
      </c>
      <c r="D499" s="411">
        <v>66</v>
      </c>
      <c r="E499" s="415">
        <f>D499*25</f>
        <v>1650</v>
      </c>
      <c r="F499" s="413"/>
      <c r="G499" s="413"/>
    </row>
    <row r="500" ht="18.75" spans="1:7">
      <c r="A500" s="408" t="s">
        <v>1165</v>
      </c>
      <c r="B500" s="408"/>
      <c r="C500" s="410" t="s">
        <v>1070</v>
      </c>
      <c r="D500" s="411"/>
      <c r="E500" s="415">
        <v>-225</v>
      </c>
      <c r="F500" s="416"/>
      <c r="G500" s="416"/>
    </row>
    <row r="501" spans="1:7">
      <c r="A501" s="362"/>
      <c r="B501" s="362"/>
      <c r="C501" s="366"/>
      <c r="D501" s="402"/>
      <c r="E501" s="417"/>
      <c r="F501" s="370"/>
      <c r="G501" s="370"/>
    </row>
    <row r="502" spans="1:7">
      <c r="A502" s="388"/>
      <c r="B502" s="388"/>
      <c r="C502" s="388"/>
      <c r="D502" s="364"/>
      <c r="E502" s="367"/>
      <c r="F502" s="389"/>
      <c r="G502" s="390"/>
    </row>
    <row r="503" spans="1:7">
      <c r="A503" s="403" t="s">
        <v>1173</v>
      </c>
      <c r="B503" s="403"/>
      <c r="C503" s="403"/>
      <c r="D503" s="403"/>
      <c r="E503" s="404">
        <f>SUM(E499:E502)</f>
        <v>1425</v>
      </c>
      <c r="F503" s="368"/>
      <c r="G503" s="368"/>
    </row>
  </sheetData>
  <mergeCells count="274">
    <mergeCell ref="A1:G1"/>
    <mergeCell ref="B2:D2"/>
    <mergeCell ref="B5:F5"/>
    <mergeCell ref="A34:G34"/>
    <mergeCell ref="A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41:B41"/>
    <mergeCell ref="F41:G41"/>
    <mergeCell ref="A42:B42"/>
    <mergeCell ref="F42:G42"/>
    <mergeCell ref="A43:B43"/>
    <mergeCell ref="F43:G43"/>
    <mergeCell ref="A44:D44"/>
    <mergeCell ref="F44:G44"/>
    <mergeCell ref="A46:G46"/>
    <mergeCell ref="B47:D47"/>
    <mergeCell ref="B50:F50"/>
    <mergeCell ref="A77:G77"/>
    <mergeCell ref="A78:G78"/>
    <mergeCell ref="A79:B79"/>
    <mergeCell ref="F79:G79"/>
    <mergeCell ref="A80:B80"/>
    <mergeCell ref="F80:G80"/>
    <mergeCell ref="A81:B81"/>
    <mergeCell ref="F81:G81"/>
    <mergeCell ref="A82:B82"/>
    <mergeCell ref="F82:G82"/>
    <mergeCell ref="A83:B83"/>
    <mergeCell ref="F83:G83"/>
    <mergeCell ref="A84:B84"/>
    <mergeCell ref="F84:G84"/>
    <mergeCell ref="A85:B85"/>
    <mergeCell ref="F85:G85"/>
    <mergeCell ref="A86:B86"/>
    <mergeCell ref="F86:G86"/>
    <mergeCell ref="A87:D87"/>
    <mergeCell ref="F87:G87"/>
    <mergeCell ref="A89:G89"/>
    <mergeCell ref="B90:D90"/>
    <mergeCell ref="B93:F93"/>
    <mergeCell ref="A121:G121"/>
    <mergeCell ref="A122:G122"/>
    <mergeCell ref="A123:B123"/>
    <mergeCell ref="F123:G123"/>
    <mergeCell ref="A124:B124"/>
    <mergeCell ref="F124:G124"/>
    <mergeCell ref="A125:B125"/>
    <mergeCell ref="F125:G125"/>
    <mergeCell ref="A126:B126"/>
    <mergeCell ref="F126:G126"/>
    <mergeCell ref="A127:B127"/>
    <mergeCell ref="F127:G127"/>
    <mergeCell ref="A128:B128"/>
    <mergeCell ref="F128:G128"/>
    <mergeCell ref="A129:B129"/>
    <mergeCell ref="F129:G129"/>
    <mergeCell ref="A130:D130"/>
    <mergeCell ref="F130:G130"/>
    <mergeCell ref="A131:G131"/>
    <mergeCell ref="B132:D132"/>
    <mergeCell ref="B135:F135"/>
    <mergeCell ref="A167:G167"/>
    <mergeCell ref="A168:G168"/>
    <mergeCell ref="A169:B169"/>
    <mergeCell ref="F169:G169"/>
    <mergeCell ref="A170:B170"/>
    <mergeCell ref="F170:G170"/>
    <mergeCell ref="A171:B171"/>
    <mergeCell ref="F171:G171"/>
    <mergeCell ref="A172:B172"/>
    <mergeCell ref="F172:G172"/>
    <mergeCell ref="A173:B173"/>
    <mergeCell ref="F173:G173"/>
    <mergeCell ref="A174:B174"/>
    <mergeCell ref="F174:G174"/>
    <mergeCell ref="A175:D175"/>
    <mergeCell ref="F175:G175"/>
    <mergeCell ref="A177:G177"/>
    <mergeCell ref="B178:D178"/>
    <mergeCell ref="B181:F181"/>
    <mergeCell ref="A208:G208"/>
    <mergeCell ref="A209:G209"/>
    <mergeCell ref="A210:B210"/>
    <mergeCell ref="F210:G210"/>
    <mergeCell ref="A211:B211"/>
    <mergeCell ref="F211:G211"/>
    <mergeCell ref="A212:B212"/>
    <mergeCell ref="F212:G212"/>
    <mergeCell ref="A213:B213"/>
    <mergeCell ref="F213:G213"/>
    <mergeCell ref="A214:G214"/>
    <mergeCell ref="A215:D215"/>
    <mergeCell ref="F215:G215"/>
    <mergeCell ref="A216:G216"/>
    <mergeCell ref="A217:G217"/>
    <mergeCell ref="B218:D218"/>
    <mergeCell ref="B221:F221"/>
    <mergeCell ref="A239:G239"/>
    <mergeCell ref="A240:B240"/>
    <mergeCell ref="F240:G240"/>
    <mergeCell ref="A241:B241"/>
    <mergeCell ref="F241:G241"/>
    <mergeCell ref="A242:B242"/>
    <mergeCell ref="F242:G242"/>
    <mergeCell ref="A243:B243"/>
    <mergeCell ref="F243:G243"/>
    <mergeCell ref="A244:C244"/>
    <mergeCell ref="F244:G244"/>
    <mergeCell ref="A245:D245"/>
    <mergeCell ref="F245:G245"/>
    <mergeCell ref="A246:G246"/>
    <mergeCell ref="A247:G247"/>
    <mergeCell ref="B248:D248"/>
    <mergeCell ref="B251:F251"/>
    <mergeCell ref="A278:G278"/>
    <mergeCell ref="A279:G279"/>
    <mergeCell ref="A280:G280"/>
    <mergeCell ref="A281:B281"/>
    <mergeCell ref="F281:G281"/>
    <mergeCell ref="A282:B282"/>
    <mergeCell ref="F282:G282"/>
    <mergeCell ref="A283:B283"/>
    <mergeCell ref="F283:G283"/>
    <mergeCell ref="A284:C284"/>
    <mergeCell ref="F284:G284"/>
    <mergeCell ref="A285:D285"/>
    <mergeCell ref="F285:G285"/>
    <mergeCell ref="A289:G289"/>
    <mergeCell ref="B290:D290"/>
    <mergeCell ref="B293:F293"/>
    <mergeCell ref="A330:G330"/>
    <mergeCell ref="B331:D331"/>
    <mergeCell ref="B334:F334"/>
    <mergeCell ref="A356:G356"/>
    <mergeCell ref="A357:G357"/>
    <mergeCell ref="A358:B358"/>
    <mergeCell ref="F358:G358"/>
    <mergeCell ref="A359:B359"/>
    <mergeCell ref="F359:G359"/>
    <mergeCell ref="A360:B360"/>
    <mergeCell ref="F360:G360"/>
    <mergeCell ref="A361:B361"/>
    <mergeCell ref="F361:G361"/>
    <mergeCell ref="A362:C362"/>
    <mergeCell ref="F362:G362"/>
    <mergeCell ref="A363:D363"/>
    <mergeCell ref="F363:G363"/>
    <mergeCell ref="A366:G366"/>
    <mergeCell ref="B367:D367"/>
    <mergeCell ref="B370:F370"/>
    <mergeCell ref="A413:G413"/>
    <mergeCell ref="A414:B414"/>
    <mergeCell ref="F414:G414"/>
    <mergeCell ref="A415:B415"/>
    <mergeCell ref="F415:G415"/>
    <mergeCell ref="A416:B416"/>
    <mergeCell ref="F416:G416"/>
    <mergeCell ref="A417:B417"/>
    <mergeCell ref="F417:G417"/>
    <mergeCell ref="A418:B418"/>
    <mergeCell ref="F418:G418"/>
    <mergeCell ref="A419:B419"/>
    <mergeCell ref="F419:G419"/>
    <mergeCell ref="A420:C420"/>
    <mergeCell ref="F420:G420"/>
    <mergeCell ref="A421:D421"/>
    <mergeCell ref="F421:G421"/>
    <mergeCell ref="A426:G426"/>
    <mergeCell ref="B427:D427"/>
    <mergeCell ref="B430:F430"/>
    <mergeCell ref="A468:F468"/>
    <mergeCell ref="A469:G469"/>
    <mergeCell ref="A470:B470"/>
    <mergeCell ref="F470:G470"/>
    <mergeCell ref="A471:B471"/>
    <mergeCell ref="F471:G471"/>
    <mergeCell ref="A472:B472"/>
    <mergeCell ref="F472:G472"/>
    <mergeCell ref="A473:B473"/>
    <mergeCell ref="F473:G473"/>
    <mergeCell ref="A474:B474"/>
    <mergeCell ref="F474:G474"/>
    <mergeCell ref="A475:B475"/>
    <mergeCell ref="F475:G475"/>
    <mergeCell ref="A476:G476"/>
    <mergeCell ref="A477:D477"/>
    <mergeCell ref="F477:G477"/>
    <mergeCell ref="A478:G478"/>
    <mergeCell ref="A479:G479"/>
    <mergeCell ref="B480:D480"/>
    <mergeCell ref="B483:F483"/>
    <mergeCell ref="A497:G497"/>
    <mergeCell ref="A498:B498"/>
    <mergeCell ref="F498:G498"/>
    <mergeCell ref="A499:B499"/>
    <mergeCell ref="F499:G499"/>
    <mergeCell ref="A500:B500"/>
    <mergeCell ref="F500:G500"/>
    <mergeCell ref="A501:B501"/>
    <mergeCell ref="F501:G501"/>
    <mergeCell ref="A502:C502"/>
    <mergeCell ref="F502:G502"/>
    <mergeCell ref="A503:D503"/>
    <mergeCell ref="F503:G503"/>
    <mergeCell ref="A2:A6"/>
    <mergeCell ref="A47:A51"/>
    <mergeCell ref="A90:A94"/>
    <mergeCell ref="A132:A136"/>
    <mergeCell ref="A178:A182"/>
    <mergeCell ref="A218:A222"/>
    <mergeCell ref="A248:A252"/>
    <mergeCell ref="A290:A294"/>
    <mergeCell ref="A331:A335"/>
    <mergeCell ref="A367:A371"/>
    <mergeCell ref="A427:A431"/>
    <mergeCell ref="A480:A484"/>
    <mergeCell ref="E3:E4"/>
    <mergeCell ref="E48:E49"/>
    <mergeCell ref="E91:E92"/>
    <mergeCell ref="E133:E134"/>
    <mergeCell ref="E179:E180"/>
    <mergeCell ref="E219:E220"/>
    <mergeCell ref="E249:E250"/>
    <mergeCell ref="E291:E292"/>
    <mergeCell ref="E332:E333"/>
    <mergeCell ref="E368:E369"/>
    <mergeCell ref="E428:E429"/>
    <mergeCell ref="E481:E482"/>
    <mergeCell ref="F3:F4"/>
    <mergeCell ref="F48:F49"/>
    <mergeCell ref="F91:F92"/>
    <mergeCell ref="F133:F134"/>
    <mergeCell ref="F179:F180"/>
    <mergeCell ref="F219:F220"/>
    <mergeCell ref="F249:F250"/>
    <mergeCell ref="F291:F292"/>
    <mergeCell ref="F332:F333"/>
    <mergeCell ref="F368:F369"/>
    <mergeCell ref="F428:F429"/>
    <mergeCell ref="F481:F482"/>
    <mergeCell ref="G2:G6"/>
    <mergeCell ref="G47:G51"/>
    <mergeCell ref="G90:G94"/>
    <mergeCell ref="G132:G136"/>
    <mergeCell ref="G178:G182"/>
    <mergeCell ref="G218:G222"/>
    <mergeCell ref="G248:G252"/>
    <mergeCell ref="G290:G294"/>
    <mergeCell ref="G331:G335"/>
    <mergeCell ref="G367:G371"/>
    <mergeCell ref="G427:G431"/>
    <mergeCell ref="G480:G484"/>
    <mergeCell ref="B3:D4"/>
    <mergeCell ref="B48:D49"/>
    <mergeCell ref="B91:D92"/>
    <mergeCell ref="B249:D250"/>
    <mergeCell ref="B133:D134"/>
    <mergeCell ref="B179:D180"/>
    <mergeCell ref="B219:D220"/>
    <mergeCell ref="B291:D292"/>
    <mergeCell ref="B332:D333"/>
    <mergeCell ref="B368:D369"/>
    <mergeCell ref="A364:G365"/>
    <mergeCell ref="B428:D429"/>
    <mergeCell ref="B481:D482"/>
  </mergeCells>
  <conditionalFormatting sqref="H16">
    <cfRule type="duplicateValues" dxfId="0" priority="12"/>
  </conditionalFormatting>
  <conditionalFormatting sqref="H17">
    <cfRule type="duplicateValues" dxfId="0" priority="7"/>
  </conditionalFormatting>
  <conditionalFormatting sqref="H58">
    <cfRule type="duplicateValues" dxfId="0" priority="30"/>
  </conditionalFormatting>
  <conditionalFormatting sqref="H59">
    <cfRule type="duplicateValues" dxfId="0" priority="25"/>
  </conditionalFormatting>
  <conditionalFormatting sqref="H12:H15">
    <cfRule type="duplicateValues" dxfId="0" priority="13"/>
  </conditionalFormatting>
  <conditionalFormatting sqref="H12:H16">
    <cfRule type="duplicateValues" dxfId="0" priority="10"/>
  </conditionalFormatting>
  <conditionalFormatting sqref="H12:H17">
    <cfRule type="duplicateValues" dxfId="0" priority="6"/>
  </conditionalFormatting>
  <conditionalFormatting sqref="H14:H16">
    <cfRule type="duplicateValues" dxfId="0" priority="11"/>
  </conditionalFormatting>
  <conditionalFormatting sqref="H54:H57">
    <cfRule type="duplicateValues" dxfId="0" priority="31"/>
  </conditionalFormatting>
  <conditionalFormatting sqref="H54:H58">
    <cfRule type="duplicateValues" dxfId="0" priority="28"/>
  </conditionalFormatting>
  <conditionalFormatting sqref="H54:H59">
    <cfRule type="duplicateValues" dxfId="0" priority="24"/>
  </conditionalFormatting>
  <conditionalFormatting sqref="H56:H58">
    <cfRule type="duplicateValues" dxfId="0" priority="29"/>
  </conditionalFormatting>
  <conditionalFormatting sqref="H9 H18:H32">
    <cfRule type="duplicateValues" dxfId="0" priority="2"/>
  </conditionalFormatting>
  <conditionalFormatting sqref="H9 H12:H32">
    <cfRule type="duplicateValues" dxfId="0" priority="1"/>
  </conditionalFormatting>
  <conditionalFormatting sqref="H51 H54:H74">
    <cfRule type="duplicateValues" dxfId="0" priority="19"/>
  </conditionalFormatting>
  <conditionalFormatting sqref="H51 H60:H74">
    <cfRule type="duplicateValues" dxfId="0" priority="20"/>
  </conditionalFormatting>
  <pageMargins left="0.196527777777778" right="0.236111111111111" top="0.2125" bottom="0.2125" header="0.5" footer="0.5"/>
  <pageSetup paperSize="9" scale="74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L17" sqref="L17"/>
    </sheetView>
  </sheetViews>
  <sheetFormatPr defaultColWidth="9" defaultRowHeight="14.25" outlineLevelCol="6"/>
  <cols>
    <col min="1" max="1" width="11" customWidth="1"/>
    <col min="2" max="2" width="16.25" style="11" customWidth="1"/>
    <col min="3" max="3" width="10.125" customWidth="1"/>
    <col min="4" max="4" width="4.25" customWidth="1"/>
    <col min="5" max="5" width="13.75" customWidth="1"/>
    <col min="6" max="6" width="18.25" style="11" customWidth="1"/>
    <col min="11" max="11" width="12.875"/>
  </cols>
  <sheetData>
    <row r="1" s="1" customFormat="1" ht="32" customHeight="1" spans="1:7">
      <c r="A1" s="320" t="s">
        <v>1174</v>
      </c>
      <c r="B1" s="320"/>
      <c r="C1" s="320"/>
      <c r="D1" s="320"/>
      <c r="E1" s="320"/>
      <c r="F1" s="320"/>
      <c r="G1" s="320"/>
    </row>
    <row r="2" s="1" customFormat="1" ht="24" customHeight="1" spans="1:7">
      <c r="A2" s="81" t="s">
        <v>1175</v>
      </c>
      <c r="B2" s="81" t="s">
        <v>1176</v>
      </c>
      <c r="C2" s="81" t="s">
        <v>5</v>
      </c>
      <c r="D2" s="81"/>
      <c r="E2" s="81" t="s">
        <v>1175</v>
      </c>
      <c r="F2" s="81" t="s">
        <v>1176</v>
      </c>
      <c r="G2" s="321" t="s">
        <v>1177</v>
      </c>
    </row>
    <row r="3" s="2" customFormat="1" ht="20" customHeight="1" spans="1:7">
      <c r="A3" s="322" t="s">
        <v>1178</v>
      </c>
      <c r="B3" s="322" t="s">
        <v>988</v>
      </c>
      <c r="C3" s="322">
        <v>17</v>
      </c>
      <c r="D3" s="322"/>
      <c r="E3" s="322">
        <v>115</v>
      </c>
      <c r="F3" s="322" t="s">
        <v>1179</v>
      </c>
      <c r="G3" s="322">
        <v>17</v>
      </c>
    </row>
    <row r="4" s="1" customFormat="1" ht="20" customHeight="1" spans="1:7">
      <c r="A4" s="81">
        <v>101</v>
      </c>
      <c r="B4" s="81" t="s">
        <v>997</v>
      </c>
      <c r="C4" s="81">
        <v>17</v>
      </c>
      <c r="D4" s="81"/>
      <c r="E4" s="81">
        <v>116</v>
      </c>
      <c r="F4" s="81" t="s">
        <v>1180</v>
      </c>
      <c r="G4" s="81">
        <v>17</v>
      </c>
    </row>
    <row r="5" s="2" customFormat="1" ht="20" customHeight="1" spans="1:7">
      <c r="A5" s="322">
        <v>102</v>
      </c>
      <c r="B5" s="322" t="s">
        <v>937</v>
      </c>
      <c r="C5" s="322">
        <v>17</v>
      </c>
      <c r="D5" s="322"/>
      <c r="E5" s="322">
        <v>117</v>
      </c>
      <c r="F5" s="322" t="s">
        <v>1181</v>
      </c>
      <c r="G5" s="322">
        <v>17</v>
      </c>
    </row>
    <row r="6" s="1" customFormat="1" ht="20" customHeight="1" spans="1:7">
      <c r="A6" s="81">
        <v>103</v>
      </c>
      <c r="B6" s="81" t="s">
        <v>1182</v>
      </c>
      <c r="C6" s="81">
        <v>18</v>
      </c>
      <c r="D6" s="81"/>
      <c r="E6" s="81">
        <v>118</v>
      </c>
      <c r="F6" s="81" t="s">
        <v>1004</v>
      </c>
      <c r="G6" s="81">
        <v>17</v>
      </c>
    </row>
    <row r="7" s="2" customFormat="1" ht="20" customHeight="1" spans="1:7">
      <c r="A7" s="322">
        <v>104</v>
      </c>
      <c r="B7" s="322" t="s">
        <v>1183</v>
      </c>
      <c r="C7" s="322">
        <v>18</v>
      </c>
      <c r="D7" s="322"/>
      <c r="E7" s="322">
        <v>119</v>
      </c>
      <c r="F7" s="322" t="s">
        <v>931</v>
      </c>
      <c r="G7" s="322">
        <v>17</v>
      </c>
    </row>
    <row r="8" s="1" customFormat="1" ht="20" customHeight="1" spans="1:7">
      <c r="A8" s="81">
        <v>105</v>
      </c>
      <c r="B8" s="81" t="s">
        <v>924</v>
      </c>
      <c r="C8" s="81">
        <v>17</v>
      </c>
      <c r="D8" s="81"/>
      <c r="E8" s="81">
        <v>120</v>
      </c>
      <c r="F8" s="81" t="s">
        <v>1184</v>
      </c>
      <c r="G8" s="81">
        <v>17</v>
      </c>
    </row>
    <row r="9" s="2" customFormat="1" ht="20" customHeight="1" spans="1:7">
      <c r="A9" s="322">
        <v>106</v>
      </c>
      <c r="B9" s="322" t="s">
        <v>950</v>
      </c>
      <c r="C9" s="322">
        <v>18</v>
      </c>
      <c r="D9" s="322"/>
      <c r="E9" s="322">
        <v>121</v>
      </c>
      <c r="F9" s="322" t="s">
        <v>1185</v>
      </c>
      <c r="G9" s="322">
        <v>17</v>
      </c>
    </row>
    <row r="10" s="1" customFormat="1" ht="20" customHeight="1" spans="1:7">
      <c r="A10" s="81">
        <v>107</v>
      </c>
      <c r="B10" s="81" t="s">
        <v>1186</v>
      </c>
      <c r="C10" s="81">
        <v>18</v>
      </c>
      <c r="D10" s="81"/>
      <c r="E10" s="81">
        <v>122</v>
      </c>
      <c r="F10" s="81" t="s">
        <v>1001</v>
      </c>
      <c r="G10" s="81">
        <v>17</v>
      </c>
    </row>
    <row r="11" s="2" customFormat="1" ht="20" customHeight="1" spans="1:7">
      <c r="A11" s="322">
        <v>108</v>
      </c>
      <c r="B11" s="322" t="s">
        <v>1187</v>
      </c>
      <c r="C11" s="322">
        <v>18</v>
      </c>
      <c r="D11" s="322"/>
      <c r="E11" s="322">
        <v>123</v>
      </c>
      <c r="F11" s="322" t="s">
        <v>998</v>
      </c>
      <c r="G11" s="322">
        <v>18</v>
      </c>
    </row>
    <row r="12" s="1" customFormat="1" ht="20" customHeight="1" spans="1:7">
      <c r="A12" s="81">
        <v>109</v>
      </c>
      <c r="B12" s="81" t="s">
        <v>1188</v>
      </c>
      <c r="C12" s="81"/>
      <c r="D12" s="81"/>
      <c r="E12" s="81">
        <v>124</v>
      </c>
      <c r="F12" s="81" t="s">
        <v>921</v>
      </c>
      <c r="G12" s="81">
        <v>17</v>
      </c>
    </row>
    <row r="13" s="2" customFormat="1" ht="20" customHeight="1" spans="1:7">
      <c r="A13" s="322">
        <v>110</v>
      </c>
      <c r="B13" s="322" t="s">
        <v>944</v>
      </c>
      <c r="C13" s="322">
        <v>17</v>
      </c>
      <c r="D13" s="322"/>
      <c r="E13" s="322">
        <v>125</v>
      </c>
      <c r="F13" s="322" t="s">
        <v>1189</v>
      </c>
      <c r="G13" s="322">
        <v>17</v>
      </c>
    </row>
    <row r="14" s="1" customFormat="1" ht="20" customHeight="1" spans="1:7">
      <c r="A14" s="81">
        <v>111</v>
      </c>
      <c r="B14" s="81" t="s">
        <v>845</v>
      </c>
      <c r="C14" s="81">
        <v>17</v>
      </c>
      <c r="D14" s="81"/>
      <c r="E14" s="81">
        <v>126</v>
      </c>
      <c r="F14" s="81" t="s">
        <v>1141</v>
      </c>
      <c r="G14" s="81">
        <v>17</v>
      </c>
    </row>
    <row r="15" s="2" customFormat="1" ht="20" customHeight="1" spans="1:7">
      <c r="A15" s="322">
        <v>112</v>
      </c>
      <c r="B15" s="322" t="s">
        <v>1190</v>
      </c>
      <c r="C15" s="322">
        <v>18</v>
      </c>
      <c r="D15" s="322"/>
      <c r="E15" s="322">
        <v>127</v>
      </c>
      <c r="F15" s="322" t="s">
        <v>724</v>
      </c>
      <c r="G15" s="322">
        <v>17</v>
      </c>
    </row>
    <row r="16" s="1" customFormat="1" ht="20" customHeight="1" spans="1:7">
      <c r="A16" s="81">
        <v>113</v>
      </c>
      <c r="B16" s="81" t="s">
        <v>1191</v>
      </c>
      <c r="C16" s="81"/>
      <c r="D16" s="81"/>
      <c r="E16" s="81">
        <v>128</v>
      </c>
      <c r="F16" s="81" t="s">
        <v>1192</v>
      </c>
      <c r="G16" s="81">
        <v>18</v>
      </c>
    </row>
    <row r="17" s="2" customFormat="1" ht="20" customHeight="1" spans="1:7">
      <c r="A17" s="322">
        <v>114</v>
      </c>
      <c r="B17" s="322" t="s">
        <v>933</v>
      </c>
      <c r="C17" s="322">
        <v>16</v>
      </c>
      <c r="D17" s="322"/>
      <c r="E17" s="322">
        <v>129</v>
      </c>
      <c r="F17" s="322" t="s">
        <v>981</v>
      </c>
      <c r="G17" s="322">
        <v>17</v>
      </c>
    </row>
    <row r="18" s="1" customFormat="1" ht="20" customHeight="1" spans="1:7">
      <c r="A18" s="321"/>
      <c r="B18" s="81"/>
      <c r="C18" s="321"/>
      <c r="D18" s="81"/>
      <c r="E18" s="81">
        <v>130</v>
      </c>
      <c r="F18" s="81" t="s">
        <v>953</v>
      </c>
      <c r="G18" s="81">
        <v>18</v>
      </c>
    </row>
    <row r="19" s="1" customFormat="1" ht="20" customHeight="1" spans="1:7">
      <c r="A19" s="81"/>
      <c r="B19" s="81"/>
      <c r="C19" s="81"/>
      <c r="D19" s="81"/>
      <c r="E19" s="81">
        <v>131</v>
      </c>
      <c r="F19" s="81" t="s">
        <v>954</v>
      </c>
      <c r="G19" s="81">
        <v>18</v>
      </c>
    </row>
    <row r="21" spans="1:7">
      <c r="A21" t="s">
        <v>1193</v>
      </c>
    </row>
    <row r="22" spans="1:7">
      <c r="A22" s="323" t="s">
        <v>1194</v>
      </c>
      <c r="B22" s="324" t="s">
        <v>1195</v>
      </c>
      <c r="C22" s="323" t="s">
        <v>1196</v>
      </c>
      <c r="D22" s="323"/>
      <c r="E22" s="323"/>
    </row>
    <row r="23" spans="1:7">
      <c r="A23" s="323" t="s">
        <v>1194</v>
      </c>
      <c r="B23" s="324" t="s">
        <v>1197</v>
      </c>
      <c r="C23" s="323" t="s">
        <v>1198</v>
      </c>
      <c r="D23" s="323"/>
      <c r="E23" s="323"/>
    </row>
  </sheetData>
  <mergeCells count="1">
    <mergeCell ref="A1:G1"/>
  </mergeCells>
  <printOptions horizontalCentered="1"/>
  <pageMargins left="0" right="0.00763888888888889" top="0.196527777777778" bottom="0.196527777777778" header="0.5" footer="0.5"/>
  <pageSetup paperSize="9" scale="105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U446"/>
  <sheetViews>
    <sheetView workbookViewId="0">
      <pane xSplit="1" ySplit="3" topLeftCell="F36" activePane="bottomRight" state="frozen"/>
      <selection/>
      <selection pane="topRight"/>
      <selection pane="bottomLeft"/>
      <selection pane="bottomRight" activeCell="L928" sqref="L928"/>
    </sheetView>
  </sheetViews>
  <sheetFormatPr defaultColWidth="9" defaultRowHeight="14.25"/>
  <cols>
    <col min="1" max="1" width="11.125" style="10" customWidth="1"/>
    <col min="2" max="2" width="54" style="53" customWidth="1"/>
    <col min="3" max="3" width="12.125" style="54" customWidth="1"/>
    <col min="4" max="4" width="7.625" style="55" customWidth="1"/>
    <col min="5" max="5" width="7.125" style="56" customWidth="1"/>
    <col min="6" max="6" width="7.125" style="11" customWidth="1"/>
    <col min="7" max="7" width="7.125" style="57" customWidth="1"/>
    <col min="8" max="8" width="7.125" style="11" customWidth="1"/>
    <col min="9" max="9" width="7.125" style="58" customWidth="1"/>
    <col min="10" max="10" width="7.125" style="11" customWidth="1"/>
    <col min="11" max="11" width="7.125" style="57" customWidth="1"/>
    <col min="12" max="12" width="7.125" style="11" customWidth="1"/>
    <col min="13" max="13" width="7.125" style="59" customWidth="1"/>
    <col min="14" max="14" width="7.125" style="58" customWidth="1"/>
    <col min="15" max="15" width="7.125" style="60" customWidth="1"/>
    <col min="16" max="16" width="8" style="61" customWidth="1"/>
    <col min="17" max="17" width="8" style="11" customWidth="1"/>
    <col min="18" max="18" width="8.625" style="57" customWidth="1"/>
    <col min="19" max="19" width="7.125" style="11" customWidth="1"/>
    <col min="20" max="20" width="7.125" style="58" customWidth="1"/>
    <col min="21" max="21" width="7.125" style="11" customWidth="1"/>
    <col min="22" max="22" width="7.125" style="62" customWidth="1"/>
    <col min="23" max="23" width="7.125" style="57" customWidth="1"/>
    <col min="24" max="24" width="7.125" style="11" customWidth="1"/>
    <col min="25" max="25" width="7.125" style="58" customWidth="1"/>
    <col min="26" max="26" width="7.125" style="11" customWidth="1"/>
    <col min="27" max="27" width="7.125" style="57" customWidth="1"/>
    <col min="28" max="28" width="7.125" style="11" customWidth="1"/>
    <col min="29" max="29" width="7.125" style="58" customWidth="1"/>
    <col min="30" max="30" width="7.125" style="11" customWidth="1"/>
    <col min="31" max="31" width="7.125" style="57" customWidth="1"/>
    <col min="32" max="32" width="7.125" style="11" customWidth="1"/>
    <col min="33" max="33" width="9" style="63"/>
    <col min="34" max="34" width="11.75" style="64" customWidth="1"/>
    <col min="35" max="35" width="8.25" style="64" customWidth="1"/>
    <col min="36" max="36" width="9" style="58"/>
    <col min="37" max="37" width="9" style="11"/>
    <col min="38" max="38" width="5.375" style="11" customWidth="1"/>
    <col min="39" max="39" width="9" style="11"/>
    <col min="40" max="40" width="9" style="57"/>
    <col min="41" max="41" width="5.375" style="57" customWidth="1"/>
    <col min="42" max="42" width="9" style="57"/>
    <col min="43" max="43" width="10.375" style="11"/>
    <col min="44" max="44" width="5.375" style="11" customWidth="1"/>
    <col min="45" max="45" width="9" style="11"/>
    <col min="46" max="46" width="9" style="58"/>
    <col min="47" max="47" width="7.625" style="58" customWidth="1"/>
    <col min="48" max="48" width="4" style="58" customWidth="1"/>
    <col min="49" max="49" width="9" style="11"/>
    <col min="50" max="50" width="5.375" style="11" customWidth="1"/>
    <col min="51" max="51" width="9.25" style="11"/>
    <col min="52" max="52" width="9" style="57"/>
    <col min="53" max="53" width="5.25" style="57" customWidth="1"/>
    <col min="54" max="54" width="9" style="57"/>
    <col min="55" max="55" width="9" style="11"/>
    <col min="56" max="56" width="5.25" style="11" customWidth="1"/>
    <col min="57" max="57" width="9.25" style="11"/>
    <col min="58" max="58" width="9.375" style="58"/>
    <col min="59" max="59" width="5.5" style="58" customWidth="1"/>
    <col min="60" max="60" width="9.375" style="58"/>
    <col min="61" max="61" width="10.375" style="11"/>
    <col min="62" max="62" width="5.75" style="11" customWidth="1"/>
    <col min="63" max="63" width="9" style="11"/>
    <col min="64" max="64" width="9" style="57"/>
    <col min="65" max="65" width="4.875" style="57" customWidth="1"/>
    <col min="66" max="66" width="9" style="57"/>
    <col min="67" max="67" width="9" style="65"/>
    <col min="68" max="68" width="5.25" style="65" customWidth="1"/>
    <col min="69" max="69" width="9.25" style="65"/>
    <col min="70" max="70" width="10.375" style="11"/>
    <col min="71" max="71" width="9" style="11"/>
    <col min="72" max="72" width="11" style="11" customWidth="1"/>
  </cols>
  <sheetData>
    <row r="1" s="11" customFormat="1" ht="33" customHeight="1" spans="1:73">
      <c r="A1" s="66" t="s">
        <v>1199</v>
      </c>
      <c r="B1" s="66"/>
      <c r="C1" s="66"/>
      <c r="D1" s="67"/>
      <c r="E1" s="66"/>
      <c r="F1" s="66"/>
      <c r="G1" s="66"/>
      <c r="H1" s="66"/>
      <c r="I1" s="66"/>
      <c r="J1" s="66"/>
      <c r="K1" s="66"/>
      <c r="L1" s="66"/>
      <c r="M1" s="68"/>
      <c r="N1" s="66"/>
      <c r="O1" s="69"/>
      <c r="P1" s="70"/>
      <c r="Q1" s="66"/>
      <c r="R1" s="66"/>
      <c r="S1" s="66"/>
      <c r="T1" s="71" t="s">
        <v>1200</v>
      </c>
      <c r="U1" s="71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3"/>
      <c r="AH1" s="74"/>
      <c r="AI1" s="74"/>
      <c r="AJ1" s="75"/>
      <c r="AK1" s="75"/>
      <c r="AL1" s="72" t="s">
        <v>908</v>
      </c>
      <c r="AM1" s="72"/>
      <c r="AN1" s="72"/>
      <c r="AO1" s="76"/>
      <c r="AP1" s="76"/>
      <c r="AQ1" s="77">
        <f>AK46+AN46+AQ46+AT46+AW46+AZ46+BC46+BF46+BI46+BL46+BO46+BR46+BU46</f>
        <v>36675.878</v>
      </c>
      <c r="AR1" s="77"/>
      <c r="AS1" s="72"/>
      <c r="AT1" s="72"/>
      <c r="AU1" s="75"/>
      <c r="AV1" s="75"/>
      <c r="AW1" s="75"/>
      <c r="AX1" s="72"/>
      <c r="AY1" s="72"/>
      <c r="AZ1" s="72"/>
      <c r="BA1" s="77"/>
      <c r="BB1" s="77"/>
      <c r="BC1" s="77"/>
      <c r="BD1" s="72"/>
      <c r="BE1" s="72"/>
      <c r="BF1" s="72"/>
      <c r="BG1" s="75"/>
      <c r="BH1" s="75"/>
      <c r="BI1" s="75"/>
      <c r="BJ1" s="72"/>
      <c r="BK1" s="72"/>
      <c r="BL1" s="72"/>
      <c r="BM1" s="77"/>
      <c r="BN1" s="77"/>
      <c r="BO1" s="78"/>
      <c r="BP1" s="79"/>
      <c r="BQ1" s="79"/>
      <c r="BR1" s="80"/>
    </row>
    <row r="2" s="12" customFormat="1" ht="27" customHeight="1" spans="1:73">
      <c r="A2" s="81" t="s">
        <v>35</v>
      </c>
      <c r="B2" s="82" t="s">
        <v>909</v>
      </c>
      <c r="C2" s="83"/>
      <c r="D2" s="84" t="s">
        <v>648</v>
      </c>
      <c r="E2" s="85" t="s">
        <v>240</v>
      </c>
      <c r="F2" s="86" t="s">
        <v>1201</v>
      </c>
      <c r="G2" s="87" t="s">
        <v>315</v>
      </c>
      <c r="H2" s="88" t="s">
        <v>1202</v>
      </c>
      <c r="I2" s="89" t="s">
        <v>704</v>
      </c>
      <c r="J2" s="90" t="s">
        <v>1203</v>
      </c>
      <c r="K2" s="91" t="s">
        <v>1204</v>
      </c>
      <c r="L2" s="88" t="s">
        <v>1205</v>
      </c>
      <c r="M2" s="92" t="s">
        <v>542</v>
      </c>
      <c r="N2" s="93" t="s">
        <v>1206</v>
      </c>
      <c r="O2" s="94" t="s">
        <v>342</v>
      </c>
      <c r="P2" s="95" t="s">
        <v>977</v>
      </c>
      <c r="Q2" s="96" t="s">
        <v>1207</v>
      </c>
      <c r="R2" s="92" t="s">
        <v>1208</v>
      </c>
      <c r="S2" s="88" t="s">
        <v>1209</v>
      </c>
      <c r="T2" s="97" t="s">
        <v>149</v>
      </c>
      <c r="U2" s="98" t="s">
        <v>298</v>
      </c>
      <c r="V2" s="89" t="s">
        <v>957</v>
      </c>
      <c r="W2" s="99">
        <v>5014</v>
      </c>
      <c r="X2" s="88" t="s">
        <v>1210</v>
      </c>
      <c r="Y2" s="100" t="s">
        <v>1211</v>
      </c>
      <c r="Z2" s="90" t="s">
        <v>1212</v>
      </c>
      <c r="AA2" s="89" t="s">
        <v>872</v>
      </c>
      <c r="AB2" s="101" t="s">
        <v>896</v>
      </c>
      <c r="AC2" s="89" t="s">
        <v>1213</v>
      </c>
      <c r="AD2" s="94" t="s">
        <v>1214</v>
      </c>
      <c r="AE2" s="89" t="s">
        <v>199</v>
      </c>
      <c r="AF2" s="101" t="s">
        <v>1215</v>
      </c>
      <c r="AG2" s="102" t="s">
        <v>1216</v>
      </c>
      <c r="AH2" s="73" t="s">
        <v>35</v>
      </c>
      <c r="AI2" s="74" t="s">
        <v>289</v>
      </c>
      <c r="AJ2" s="74"/>
      <c r="AK2" s="103"/>
      <c r="AL2" s="81" t="s">
        <v>466</v>
      </c>
      <c r="AM2" s="81"/>
      <c r="AN2" s="81"/>
      <c r="AO2" s="78" t="s">
        <v>910</v>
      </c>
      <c r="AP2" s="78"/>
      <c r="AQ2" s="78"/>
      <c r="AR2" s="81" t="s">
        <v>911</v>
      </c>
      <c r="AS2" s="81"/>
      <c r="AT2" s="81"/>
      <c r="AU2" s="104" t="s">
        <v>912</v>
      </c>
      <c r="AV2" s="104"/>
      <c r="AW2" s="104"/>
      <c r="AX2" s="81" t="s">
        <v>984</v>
      </c>
      <c r="AY2" s="81"/>
      <c r="AZ2" s="81"/>
      <c r="BA2" s="78" t="s">
        <v>960</v>
      </c>
      <c r="BB2" s="78"/>
      <c r="BC2" s="78"/>
      <c r="BD2" s="81">
        <v>808</v>
      </c>
      <c r="BE2" s="81"/>
      <c r="BF2" s="81"/>
      <c r="BG2" s="104" t="s">
        <v>125</v>
      </c>
      <c r="BH2" s="104"/>
      <c r="BI2" s="104"/>
      <c r="BJ2" s="81" t="s">
        <v>132</v>
      </c>
      <c r="BK2" s="81"/>
      <c r="BL2" s="81"/>
      <c r="BM2" s="78">
        <v>811</v>
      </c>
      <c r="BN2" s="78"/>
      <c r="BO2" s="105"/>
      <c r="BP2" s="81" t="s">
        <v>152</v>
      </c>
      <c r="BQ2" s="81"/>
      <c r="BR2" s="81"/>
      <c r="BS2" s="106" t="s">
        <v>12</v>
      </c>
      <c r="BT2" s="107"/>
      <c r="BU2" s="108"/>
    </row>
    <row r="3" s="12" customFormat="1" ht="27" customHeight="1" spans="1:73">
      <c r="A3" s="81"/>
      <c r="B3" s="82" t="s">
        <v>914</v>
      </c>
      <c r="C3" s="83" t="s">
        <v>915</v>
      </c>
      <c r="D3" s="109"/>
      <c r="E3" s="110"/>
      <c r="F3" s="111"/>
      <c r="G3" s="112"/>
      <c r="H3" s="88"/>
      <c r="I3" s="89"/>
      <c r="J3" s="90"/>
      <c r="K3" s="91"/>
      <c r="L3" s="88"/>
      <c r="M3" s="92"/>
      <c r="N3" s="113"/>
      <c r="O3" s="94"/>
      <c r="P3" s="114"/>
      <c r="Q3" s="96"/>
      <c r="R3" s="92"/>
      <c r="S3" s="88"/>
      <c r="T3" s="97"/>
      <c r="U3" s="115"/>
      <c r="V3" s="89"/>
      <c r="W3" s="116"/>
      <c r="X3" s="88"/>
      <c r="Y3" s="100"/>
      <c r="Z3" s="90"/>
      <c r="AA3" s="89"/>
      <c r="AB3" s="101"/>
      <c r="AC3" s="89"/>
      <c r="AD3" s="94"/>
      <c r="AE3" s="89"/>
      <c r="AF3" s="101"/>
      <c r="AG3" s="102"/>
      <c r="AH3" s="73"/>
      <c r="AI3" s="117" t="s">
        <v>916</v>
      </c>
      <c r="AJ3" s="118" t="s">
        <v>917</v>
      </c>
      <c r="AK3" s="81" t="s">
        <v>918</v>
      </c>
      <c r="AL3" s="81" t="s">
        <v>916</v>
      </c>
      <c r="AM3" s="81" t="s">
        <v>917</v>
      </c>
      <c r="AN3" s="81" t="s">
        <v>918</v>
      </c>
      <c r="AO3" s="78" t="s">
        <v>916</v>
      </c>
      <c r="AP3" s="78" t="s">
        <v>917</v>
      </c>
      <c r="AQ3" s="78" t="s">
        <v>918</v>
      </c>
      <c r="AR3" s="81" t="s">
        <v>916</v>
      </c>
      <c r="AS3" s="81" t="s">
        <v>917</v>
      </c>
      <c r="AT3" s="81" t="s">
        <v>918</v>
      </c>
      <c r="AU3" s="104" t="s">
        <v>916</v>
      </c>
      <c r="AV3" s="104" t="s">
        <v>917</v>
      </c>
      <c r="AW3" s="104" t="s">
        <v>918</v>
      </c>
      <c r="AX3" s="81" t="s">
        <v>916</v>
      </c>
      <c r="AY3" s="81" t="s">
        <v>917</v>
      </c>
      <c r="AZ3" s="81" t="s">
        <v>918</v>
      </c>
      <c r="BA3" s="78" t="s">
        <v>916</v>
      </c>
      <c r="BB3" s="78" t="s">
        <v>917</v>
      </c>
      <c r="BC3" s="78" t="s">
        <v>918</v>
      </c>
      <c r="BD3" s="81" t="s">
        <v>916</v>
      </c>
      <c r="BE3" s="81" t="s">
        <v>917</v>
      </c>
      <c r="BF3" s="81" t="s">
        <v>918</v>
      </c>
      <c r="BG3" s="104" t="s">
        <v>916</v>
      </c>
      <c r="BH3" s="104" t="s">
        <v>917</v>
      </c>
      <c r="BI3" s="104" t="s">
        <v>918</v>
      </c>
      <c r="BJ3" s="81" t="s">
        <v>916</v>
      </c>
      <c r="BK3" s="81" t="s">
        <v>917</v>
      </c>
      <c r="BL3" s="81" t="s">
        <v>918</v>
      </c>
      <c r="BM3" s="78" t="s">
        <v>916</v>
      </c>
      <c r="BN3" s="78" t="s">
        <v>917</v>
      </c>
      <c r="BO3" s="105" t="s">
        <v>918</v>
      </c>
      <c r="BP3" s="81" t="s">
        <v>916</v>
      </c>
      <c r="BQ3" s="81" t="s">
        <v>917</v>
      </c>
      <c r="BR3" s="81" t="s">
        <v>918</v>
      </c>
      <c r="BS3" s="104" t="s">
        <v>916</v>
      </c>
      <c r="BT3" s="104" t="s">
        <v>917</v>
      </c>
      <c r="BU3" s="104" t="s">
        <v>918</v>
      </c>
    </row>
    <row r="4" s="46" customFormat="1" spans="1:73">
      <c r="A4" s="119" t="s">
        <v>1217</v>
      </c>
      <c r="B4" s="120" t="s">
        <v>1218</v>
      </c>
      <c r="C4" s="121"/>
      <c r="D4" s="122">
        <f>D54</f>
        <v>0</v>
      </c>
      <c r="E4" s="122">
        <f t="shared" ref="E4:AG4" si="0">E79</f>
        <v>587</v>
      </c>
      <c r="F4" s="122">
        <f t="shared" si="0"/>
        <v>175</v>
      </c>
      <c r="G4" s="122">
        <f t="shared" si="0"/>
        <v>0</v>
      </c>
      <c r="H4" s="122">
        <f t="shared" si="0"/>
        <v>0</v>
      </c>
      <c r="I4" s="122">
        <f t="shared" si="0"/>
        <v>480</v>
      </c>
      <c r="J4" s="122">
        <f t="shared" si="0"/>
        <v>536</v>
      </c>
      <c r="K4" s="122">
        <f t="shared" si="0"/>
        <v>0</v>
      </c>
      <c r="L4" s="122">
        <f t="shared" si="0"/>
        <v>-15</v>
      </c>
      <c r="M4" s="122">
        <f t="shared" si="0"/>
        <v>0</v>
      </c>
      <c r="N4" s="122">
        <f t="shared" si="0"/>
        <v>0</v>
      </c>
      <c r="O4" s="122">
        <f t="shared" si="0"/>
        <v>75</v>
      </c>
      <c r="P4" s="122">
        <f t="shared" si="0"/>
        <v>310</v>
      </c>
      <c r="Q4" s="122">
        <f t="shared" si="0"/>
        <v>0</v>
      </c>
      <c r="R4" s="122">
        <f t="shared" si="0"/>
        <v>35</v>
      </c>
      <c r="S4" s="122">
        <f t="shared" si="0"/>
        <v>-13.4</v>
      </c>
      <c r="T4" s="122">
        <f t="shared" si="0"/>
        <v>785.6</v>
      </c>
      <c r="U4" s="122">
        <f t="shared" si="0"/>
        <v>-212</v>
      </c>
      <c r="V4" s="122">
        <f t="shared" si="0"/>
        <v>141</v>
      </c>
      <c r="W4" s="122">
        <f t="shared" si="0"/>
        <v>0</v>
      </c>
      <c r="X4" s="122">
        <f t="shared" si="0"/>
        <v>13.5</v>
      </c>
      <c r="Y4" s="122">
        <f t="shared" si="0"/>
        <v>774</v>
      </c>
      <c r="Z4" s="122">
        <f t="shared" si="0"/>
        <v>0</v>
      </c>
      <c r="AA4" s="122">
        <f t="shared" si="0"/>
        <v>0</v>
      </c>
      <c r="AB4" s="122">
        <f t="shared" si="0"/>
        <v>0</v>
      </c>
      <c r="AC4" s="122">
        <f t="shared" si="0"/>
        <v>14</v>
      </c>
      <c r="AD4" s="122">
        <f t="shared" si="0"/>
        <v>0</v>
      </c>
      <c r="AE4" s="122">
        <f t="shared" si="0"/>
        <v>0</v>
      </c>
      <c r="AF4" s="122">
        <f t="shared" si="0"/>
        <v>0</v>
      </c>
      <c r="AG4" s="122">
        <f t="shared" si="0"/>
        <v>0</v>
      </c>
      <c r="AH4" s="123"/>
      <c r="AI4" s="124"/>
      <c r="AJ4" s="124"/>
      <c r="AK4" s="125"/>
      <c r="AL4" s="126"/>
      <c r="AM4" s="126"/>
      <c r="AN4" s="126"/>
      <c r="AO4" s="127"/>
      <c r="AP4" s="127"/>
      <c r="AQ4" s="127"/>
      <c r="AR4" s="126"/>
      <c r="AS4" s="126"/>
      <c r="AT4" s="126"/>
      <c r="AU4" s="125"/>
      <c r="AV4" s="125"/>
      <c r="AW4" s="125"/>
      <c r="AX4" s="126"/>
      <c r="AY4" s="126"/>
      <c r="AZ4" s="126"/>
      <c r="BA4" s="127"/>
      <c r="BB4" s="127"/>
      <c r="BC4" s="127"/>
      <c r="BD4" s="126"/>
      <c r="BE4" s="126"/>
      <c r="BF4" s="126"/>
      <c r="BG4" s="125"/>
      <c r="BH4" s="125"/>
      <c r="BI4" s="125"/>
      <c r="BJ4" s="126"/>
      <c r="BK4" s="126"/>
      <c r="BL4" s="126"/>
      <c r="BM4" s="127"/>
      <c r="BN4" s="127"/>
      <c r="BO4" s="127"/>
      <c r="BP4" s="126"/>
      <c r="BQ4" s="126"/>
      <c r="BR4" s="126"/>
      <c r="BS4" s="128"/>
      <c r="BT4" s="128"/>
      <c r="BU4" s="128"/>
    </row>
    <row r="5" s="47" customFormat="1" spans="1:73">
      <c r="A5" s="129" t="s">
        <v>1219</v>
      </c>
      <c r="B5" s="130" t="s">
        <v>1220</v>
      </c>
      <c r="C5" s="131">
        <v>500</v>
      </c>
      <c r="D5" s="132"/>
      <c r="E5" s="81">
        <v>-75</v>
      </c>
      <c r="F5" s="104"/>
      <c r="G5" s="81"/>
      <c r="H5" s="78"/>
      <c r="I5" s="81"/>
      <c r="J5" s="104">
        <v>-75</v>
      </c>
      <c r="K5" s="81"/>
      <c r="L5" s="78"/>
      <c r="M5" s="81"/>
      <c r="N5" s="133"/>
      <c r="O5" s="104"/>
      <c r="P5" s="131"/>
      <c r="Q5" s="134"/>
      <c r="R5" s="81"/>
      <c r="S5" s="78"/>
      <c r="T5" s="81"/>
      <c r="U5" s="135"/>
      <c r="V5" s="81"/>
      <c r="W5" s="136"/>
      <c r="X5" s="78"/>
      <c r="Y5" s="81"/>
      <c r="Z5" s="104"/>
      <c r="AA5" s="81"/>
      <c r="AB5" s="78"/>
      <c r="AC5" s="81"/>
      <c r="AD5" s="104"/>
      <c r="AE5" s="81"/>
      <c r="AF5" s="78"/>
      <c r="AG5" s="81"/>
      <c r="AH5" s="123">
        <v>45631</v>
      </c>
      <c r="AI5" s="124"/>
      <c r="AJ5" s="124"/>
      <c r="AK5" s="125"/>
      <c r="AL5" s="126"/>
      <c r="AM5" s="126"/>
      <c r="AN5" s="126"/>
      <c r="AO5" s="127"/>
      <c r="AP5" s="127"/>
      <c r="AQ5" s="127"/>
      <c r="AR5" s="126"/>
      <c r="AS5" s="126"/>
      <c r="AT5" s="126"/>
      <c r="AU5" s="125"/>
      <c r="AV5" s="125"/>
      <c r="AW5" s="125"/>
      <c r="AX5" s="126"/>
      <c r="AY5" s="126"/>
      <c r="AZ5" s="126"/>
      <c r="BA5" s="127"/>
      <c r="BB5" s="127"/>
      <c r="BC5" s="127"/>
      <c r="BD5" s="126">
        <v>50</v>
      </c>
      <c r="BE5" s="126">
        <v>10.5</v>
      </c>
      <c r="BF5" s="126">
        <f>BD5*BE5</f>
        <v>525</v>
      </c>
      <c r="BG5" s="125">
        <v>118</v>
      </c>
      <c r="BH5" s="125">
        <v>5.9</v>
      </c>
      <c r="BI5" s="125">
        <f t="shared" ref="BI5:BI10" si="1">BG5*BH5</f>
        <v>696.2</v>
      </c>
      <c r="BJ5" s="126"/>
      <c r="BK5" s="126"/>
      <c r="BL5" s="126"/>
      <c r="BM5" s="127"/>
      <c r="BN5" s="127"/>
      <c r="BO5" s="127"/>
      <c r="BP5" s="126"/>
      <c r="BQ5" s="126"/>
      <c r="BR5" s="126"/>
      <c r="BS5" s="128"/>
      <c r="BT5" s="128"/>
      <c r="BU5" s="128"/>
    </row>
    <row r="6" s="47" customFormat="1" spans="1:73">
      <c r="A6" s="129">
        <v>45631</v>
      </c>
      <c r="B6" s="137" t="s">
        <v>1221</v>
      </c>
      <c r="C6" s="131">
        <v>500</v>
      </c>
      <c r="D6" s="132"/>
      <c r="E6" s="81">
        <v>-63</v>
      </c>
      <c r="F6" s="104"/>
      <c r="G6" s="81"/>
      <c r="H6" s="78"/>
      <c r="I6" s="138"/>
      <c r="J6" s="104"/>
      <c r="K6" s="81"/>
      <c r="L6" s="78"/>
      <c r="M6" s="81"/>
      <c r="N6" s="133"/>
      <c r="O6" s="104"/>
      <c r="P6" s="131"/>
      <c r="Q6" s="134"/>
      <c r="R6" s="81"/>
      <c r="S6" s="78"/>
      <c r="T6" s="81"/>
      <c r="U6" s="135"/>
      <c r="V6" s="81"/>
      <c r="W6" s="136"/>
      <c r="X6" s="78"/>
      <c r="Y6" s="81"/>
      <c r="Z6" s="104"/>
      <c r="AA6" s="81"/>
      <c r="AB6" s="78"/>
      <c r="AC6" s="81"/>
      <c r="AD6" s="104"/>
      <c r="AE6" s="81"/>
      <c r="AF6" s="78"/>
      <c r="AG6" s="81"/>
      <c r="AH6" s="123">
        <v>45631</v>
      </c>
      <c r="AI6" s="124"/>
      <c r="AJ6" s="124"/>
      <c r="AK6" s="125"/>
      <c r="AL6" s="126"/>
      <c r="AM6" s="126"/>
      <c r="AN6" s="126"/>
      <c r="AO6" s="127"/>
      <c r="AP6" s="127"/>
      <c r="AQ6" s="127"/>
      <c r="AR6" s="126"/>
      <c r="AS6" s="126"/>
      <c r="AT6" s="126"/>
      <c r="AU6" s="125"/>
      <c r="AV6" s="125"/>
      <c r="AW6" s="125"/>
      <c r="AX6" s="126"/>
      <c r="AY6" s="126"/>
      <c r="AZ6" s="126"/>
      <c r="BA6" s="127"/>
      <c r="BB6" s="127"/>
      <c r="BC6" s="127"/>
      <c r="BD6" s="126">
        <v>62</v>
      </c>
      <c r="BE6" s="126">
        <v>10.5</v>
      </c>
      <c r="BF6" s="126">
        <f t="shared" ref="BF6:BF11" si="2">BD6*BE6</f>
        <v>651</v>
      </c>
      <c r="BG6" s="125">
        <v>75</v>
      </c>
      <c r="BH6" s="125">
        <v>5.9</v>
      </c>
      <c r="BI6" s="125">
        <f t="shared" si="1"/>
        <v>442.5</v>
      </c>
      <c r="BJ6" s="126"/>
      <c r="BK6" s="126"/>
      <c r="BL6" s="126"/>
      <c r="BM6" s="127"/>
      <c r="BN6" s="127"/>
      <c r="BO6" s="127"/>
      <c r="BP6" s="126"/>
      <c r="BQ6" s="126"/>
      <c r="BR6" s="126"/>
      <c r="BS6" s="128"/>
      <c r="BT6" s="128"/>
      <c r="BU6" s="128"/>
    </row>
    <row r="7" s="47" customFormat="1" spans="1:73">
      <c r="A7" s="129">
        <v>45632</v>
      </c>
      <c r="B7" s="139" t="s">
        <v>1222</v>
      </c>
      <c r="C7" s="131">
        <v>400</v>
      </c>
      <c r="D7" s="132"/>
      <c r="E7" s="81"/>
      <c r="F7" s="104"/>
      <c r="G7" s="81"/>
      <c r="H7" s="78"/>
      <c r="I7" s="138"/>
      <c r="J7" s="104"/>
      <c r="K7" s="81"/>
      <c r="L7" s="78"/>
      <c r="M7" s="81"/>
      <c r="N7" s="133"/>
      <c r="O7" s="104"/>
      <c r="P7" s="131">
        <v>-60</v>
      </c>
      <c r="Q7" s="134"/>
      <c r="R7" s="81"/>
      <c r="S7" s="78"/>
      <c r="T7" s="81"/>
      <c r="U7" s="135"/>
      <c r="V7" s="81"/>
      <c r="W7" s="136"/>
      <c r="X7" s="78"/>
      <c r="Y7" s="81"/>
      <c r="Z7" s="104"/>
      <c r="AA7" s="81"/>
      <c r="AB7" s="78"/>
      <c r="AC7" s="81"/>
      <c r="AD7" s="104"/>
      <c r="AE7" s="81"/>
      <c r="AF7" s="78"/>
      <c r="AG7" s="81"/>
      <c r="AH7" s="123">
        <v>45632</v>
      </c>
      <c r="AI7" s="124"/>
      <c r="AJ7" s="124"/>
      <c r="AK7" s="125"/>
      <c r="AL7" s="126"/>
      <c r="AM7" s="126"/>
      <c r="AN7" s="126"/>
      <c r="AO7" s="127"/>
      <c r="AP7" s="127"/>
      <c r="AQ7" s="127"/>
      <c r="AR7" s="126"/>
      <c r="AS7" s="126"/>
      <c r="AT7" s="126"/>
      <c r="AU7" s="125"/>
      <c r="AV7" s="125"/>
      <c r="AW7" s="125"/>
      <c r="AX7" s="126"/>
      <c r="AY7" s="126"/>
      <c r="AZ7" s="126"/>
      <c r="BA7" s="127"/>
      <c r="BB7" s="127"/>
      <c r="BC7" s="127"/>
      <c r="BD7" s="126">
        <v>80</v>
      </c>
      <c r="BE7" s="126">
        <v>10.5</v>
      </c>
      <c r="BF7" s="126">
        <f t="shared" si="2"/>
        <v>840</v>
      </c>
      <c r="BG7" s="125">
        <v>69</v>
      </c>
      <c r="BH7" s="125">
        <v>5.9</v>
      </c>
      <c r="BI7" s="125">
        <f t="shared" si="1"/>
        <v>407.1</v>
      </c>
      <c r="BJ7" s="126"/>
      <c r="BK7" s="126"/>
      <c r="BL7" s="126"/>
      <c r="BM7" s="127"/>
      <c r="BN7" s="127"/>
      <c r="BO7" s="127"/>
      <c r="BP7" s="126"/>
      <c r="BQ7" s="126"/>
      <c r="BR7" s="126"/>
      <c r="BS7" s="128"/>
      <c r="BT7" s="128"/>
      <c r="BU7" s="128"/>
    </row>
    <row r="8" s="47" customFormat="1" spans="1:73">
      <c r="A8" s="129">
        <v>45635</v>
      </c>
      <c r="B8" s="130" t="s">
        <v>1223</v>
      </c>
      <c r="C8" s="131">
        <v>1000</v>
      </c>
      <c r="D8" s="132"/>
      <c r="E8" s="81"/>
      <c r="F8" s="104"/>
      <c r="G8" s="81"/>
      <c r="H8" s="78"/>
      <c r="I8" s="81"/>
      <c r="J8" s="104"/>
      <c r="K8" s="81"/>
      <c r="L8" s="78"/>
      <c r="M8" s="81"/>
      <c r="N8" s="133"/>
      <c r="O8" s="104"/>
      <c r="P8" s="131">
        <v>-150</v>
      </c>
      <c r="Q8" s="134"/>
      <c r="R8" s="81"/>
      <c r="S8" s="78"/>
      <c r="T8" s="81"/>
      <c r="U8" s="104"/>
      <c r="V8" s="81"/>
      <c r="W8" s="136"/>
      <c r="X8" s="78"/>
      <c r="Y8" s="81"/>
      <c r="Z8" s="104"/>
      <c r="AA8" s="81"/>
      <c r="AB8" s="78"/>
      <c r="AC8" s="81"/>
      <c r="AD8" s="104"/>
      <c r="AE8" s="81"/>
      <c r="AF8" s="78"/>
      <c r="AG8" s="81"/>
      <c r="AH8" s="123">
        <v>45635</v>
      </c>
      <c r="AI8" s="124"/>
      <c r="AJ8" s="124"/>
      <c r="AK8" s="125"/>
      <c r="AL8" s="126"/>
      <c r="AM8" s="126"/>
      <c r="AN8" s="126"/>
      <c r="AO8" s="127"/>
      <c r="AP8" s="127"/>
      <c r="AQ8" s="127"/>
      <c r="AR8" s="126"/>
      <c r="AS8" s="126"/>
      <c r="AT8" s="126"/>
      <c r="AU8" s="125"/>
      <c r="AV8" s="125"/>
      <c r="AW8" s="125"/>
      <c r="AX8" s="126"/>
      <c r="AY8" s="126"/>
      <c r="AZ8" s="126"/>
      <c r="BA8" s="127"/>
      <c r="BB8" s="127"/>
      <c r="BC8" s="127"/>
      <c r="BD8" s="126">
        <v>200</v>
      </c>
      <c r="BE8" s="126">
        <v>10.5</v>
      </c>
      <c r="BF8" s="126">
        <f t="shared" si="2"/>
        <v>2100</v>
      </c>
      <c r="BG8" s="125">
        <v>60</v>
      </c>
      <c r="BH8" s="125">
        <v>5.9</v>
      </c>
      <c r="BI8" s="125">
        <f t="shared" si="1"/>
        <v>354</v>
      </c>
      <c r="BJ8" s="126"/>
      <c r="BK8" s="126"/>
      <c r="BL8" s="126"/>
      <c r="BM8" s="127"/>
      <c r="BN8" s="127"/>
      <c r="BO8" s="127"/>
      <c r="BP8" s="126">
        <v>125</v>
      </c>
      <c r="BQ8" s="126">
        <v>7.2</v>
      </c>
      <c r="BR8" s="126">
        <f>BP8*BQ8</f>
        <v>900</v>
      </c>
      <c r="BS8" s="128"/>
      <c r="BT8" s="128"/>
      <c r="BU8" s="128"/>
    </row>
    <row r="9" s="47" customFormat="1" spans="1:73">
      <c r="A9" s="129">
        <v>45635</v>
      </c>
      <c r="B9" s="130" t="s">
        <v>1224</v>
      </c>
      <c r="C9" s="131">
        <v>1000</v>
      </c>
      <c r="D9" s="132"/>
      <c r="E9" s="81"/>
      <c r="F9" s="104"/>
      <c r="G9" s="81"/>
      <c r="H9" s="78"/>
      <c r="I9" s="81"/>
      <c r="J9" s="104"/>
      <c r="K9" s="81"/>
      <c r="L9" s="78"/>
      <c r="M9" s="81"/>
      <c r="N9" s="133"/>
      <c r="O9" s="104"/>
      <c r="P9" s="131">
        <v>-150</v>
      </c>
      <c r="Q9" s="134"/>
      <c r="R9" s="81"/>
      <c r="S9" s="78"/>
      <c r="T9" s="81"/>
      <c r="U9" s="104"/>
      <c r="V9" s="81"/>
      <c r="W9" s="136"/>
      <c r="X9" s="78"/>
      <c r="Y9" s="81"/>
      <c r="Z9" s="104"/>
      <c r="AA9" s="81"/>
      <c r="AB9" s="78"/>
      <c r="AC9" s="81"/>
      <c r="AD9" s="104"/>
      <c r="AE9" s="81"/>
      <c r="AF9" s="78"/>
      <c r="AG9" s="81"/>
      <c r="AH9" s="123">
        <v>45635</v>
      </c>
      <c r="AI9" s="124"/>
      <c r="AJ9" s="124"/>
      <c r="AK9" s="125"/>
      <c r="AL9" s="126"/>
      <c r="AM9" s="126"/>
      <c r="AN9" s="126"/>
      <c r="AO9" s="127"/>
      <c r="AP9" s="127"/>
      <c r="AQ9" s="127"/>
      <c r="AR9" s="126"/>
      <c r="AS9" s="126"/>
      <c r="AT9" s="126"/>
      <c r="AU9" s="125"/>
      <c r="AV9" s="125"/>
      <c r="AW9" s="125"/>
      <c r="AX9" s="126"/>
      <c r="AY9" s="126"/>
      <c r="AZ9" s="126"/>
      <c r="BA9" s="127"/>
      <c r="BB9" s="127"/>
      <c r="BC9" s="127"/>
      <c r="BD9" s="126">
        <v>50</v>
      </c>
      <c r="BE9" s="126">
        <v>10.5</v>
      </c>
      <c r="BF9" s="126">
        <f t="shared" si="2"/>
        <v>525</v>
      </c>
      <c r="BG9" s="125">
        <v>96</v>
      </c>
      <c r="BH9" s="125">
        <v>5.9</v>
      </c>
      <c r="BI9" s="125">
        <f t="shared" si="1"/>
        <v>566.4</v>
      </c>
      <c r="BJ9" s="126"/>
      <c r="BK9" s="126"/>
      <c r="BL9" s="126"/>
      <c r="BM9" s="127"/>
      <c r="BN9" s="127"/>
      <c r="BO9" s="127"/>
      <c r="BP9" s="126">
        <v>154</v>
      </c>
      <c r="BQ9" s="126">
        <v>7.2</v>
      </c>
      <c r="BR9" s="126">
        <f>BP9*BQ9</f>
        <v>1108.8</v>
      </c>
      <c r="BS9" s="128"/>
      <c r="BT9" s="128"/>
      <c r="BU9" s="128"/>
    </row>
    <row r="10" s="47" customFormat="1" spans="1:73">
      <c r="A10" s="129">
        <v>45636</v>
      </c>
      <c r="B10" s="130" t="s">
        <v>1225</v>
      </c>
      <c r="C10" s="131">
        <v>480</v>
      </c>
      <c r="D10" s="132"/>
      <c r="E10" s="81"/>
      <c r="F10" s="104"/>
      <c r="G10" s="81"/>
      <c r="H10" s="78"/>
      <c r="I10" s="81"/>
      <c r="J10" s="104"/>
      <c r="K10" s="81"/>
      <c r="L10" s="78"/>
      <c r="M10" s="81"/>
      <c r="N10" s="133"/>
      <c r="O10" s="104"/>
      <c r="P10" s="131">
        <v>-84</v>
      </c>
      <c r="Q10" s="134"/>
      <c r="R10" s="81"/>
      <c r="S10" s="78"/>
      <c r="T10" s="81"/>
      <c r="U10" s="135"/>
      <c r="V10" s="81"/>
      <c r="W10" s="136"/>
      <c r="X10" s="78"/>
      <c r="Y10" s="81"/>
      <c r="Z10" s="104"/>
      <c r="AA10" s="81"/>
      <c r="AB10" s="78"/>
      <c r="AC10" s="81"/>
      <c r="AD10" s="104"/>
      <c r="AE10" s="81"/>
      <c r="AF10" s="78"/>
      <c r="AG10" s="81"/>
      <c r="AH10" s="123">
        <v>45636</v>
      </c>
      <c r="AI10" s="124"/>
      <c r="AJ10" s="124"/>
      <c r="AK10" s="125"/>
      <c r="AL10" s="126"/>
      <c r="AM10" s="126"/>
      <c r="AN10" s="126"/>
      <c r="AO10" s="127">
        <v>22</v>
      </c>
      <c r="AP10" s="127">
        <v>17</v>
      </c>
      <c r="AQ10" s="127">
        <f>AO10*AP10</f>
        <v>374</v>
      </c>
      <c r="AR10" s="126"/>
      <c r="AS10" s="126"/>
      <c r="AT10" s="126"/>
      <c r="AU10" s="125"/>
      <c r="AV10" s="125"/>
      <c r="AW10" s="125"/>
      <c r="AX10" s="126"/>
      <c r="AY10" s="126"/>
      <c r="AZ10" s="126"/>
      <c r="BA10" s="127"/>
      <c r="BB10" s="127"/>
      <c r="BC10" s="127"/>
      <c r="BD10" s="126">
        <v>80</v>
      </c>
      <c r="BE10" s="126">
        <v>10.5</v>
      </c>
      <c r="BF10" s="126">
        <f t="shared" si="2"/>
        <v>840</v>
      </c>
      <c r="BG10" s="125">
        <v>94</v>
      </c>
      <c r="BH10" s="125">
        <v>5.9</v>
      </c>
      <c r="BI10" s="125">
        <f t="shared" si="1"/>
        <v>554.6</v>
      </c>
      <c r="BJ10" s="126">
        <v>60</v>
      </c>
      <c r="BK10" s="126">
        <v>3.6</v>
      </c>
      <c r="BL10" s="126">
        <f>BJ10*BK10</f>
        <v>216</v>
      </c>
      <c r="BM10" s="127"/>
      <c r="BN10" s="127"/>
      <c r="BO10" s="127"/>
      <c r="BP10" s="126">
        <v>40</v>
      </c>
      <c r="BQ10" s="126">
        <v>6.8</v>
      </c>
      <c r="BR10" s="126">
        <f>BP10*BQ10</f>
        <v>272</v>
      </c>
      <c r="BS10" s="128"/>
      <c r="BT10" s="128"/>
      <c r="BU10" s="128"/>
    </row>
    <row r="11" s="47" customFormat="1" spans="1:73">
      <c r="A11" s="129">
        <v>45638</v>
      </c>
      <c r="B11" s="130" t="s">
        <v>1226</v>
      </c>
      <c r="C11" s="131">
        <v>45</v>
      </c>
      <c r="D11" s="132"/>
      <c r="E11" s="81"/>
      <c r="F11" s="104"/>
      <c r="G11" s="81"/>
      <c r="H11" s="78"/>
      <c r="I11" s="81"/>
      <c r="J11" s="104"/>
      <c r="K11" s="81"/>
      <c r="L11" s="78"/>
      <c r="M11" s="81"/>
      <c r="N11" s="133"/>
      <c r="O11" s="104"/>
      <c r="P11" s="131"/>
      <c r="Q11" s="134"/>
      <c r="R11" s="81"/>
      <c r="S11" s="78"/>
      <c r="T11" s="81"/>
      <c r="U11" s="140"/>
      <c r="V11" s="81"/>
      <c r="W11" s="136"/>
      <c r="X11" s="78"/>
      <c r="Y11" s="81"/>
      <c r="Z11" s="104"/>
      <c r="AA11" s="81"/>
      <c r="AB11" s="78"/>
      <c r="AC11" s="81"/>
      <c r="AD11" s="104"/>
      <c r="AE11" s="81"/>
      <c r="AF11" s="78"/>
      <c r="AG11" s="81"/>
      <c r="AH11" s="123">
        <v>45638</v>
      </c>
      <c r="AI11" s="124"/>
      <c r="AJ11" s="124"/>
      <c r="AK11" s="125"/>
      <c r="AL11" s="126"/>
      <c r="AM11" s="126"/>
      <c r="AN11" s="126"/>
      <c r="AO11" s="127"/>
      <c r="AP11" s="127"/>
      <c r="AQ11" s="127"/>
      <c r="AR11" s="126"/>
      <c r="AS11" s="126"/>
      <c r="AT11" s="126"/>
      <c r="AU11" s="125"/>
      <c r="AV11" s="125"/>
      <c r="AW11" s="125"/>
      <c r="AX11" s="126"/>
      <c r="AY11" s="126"/>
      <c r="AZ11" s="126"/>
      <c r="BA11" s="127"/>
      <c r="BB11" s="127"/>
      <c r="BC11" s="127"/>
      <c r="BD11" s="126">
        <v>5</v>
      </c>
      <c r="BE11" s="126">
        <v>9.3</v>
      </c>
      <c r="BF11" s="126">
        <f t="shared" si="2"/>
        <v>46.5</v>
      </c>
      <c r="BG11" s="125"/>
      <c r="BH11" s="125"/>
      <c r="BI11" s="125"/>
      <c r="BJ11" s="126"/>
      <c r="BK11" s="126"/>
      <c r="BL11" s="126"/>
      <c r="BM11" s="127"/>
      <c r="BN11" s="127"/>
      <c r="BO11" s="127"/>
      <c r="BP11" s="126"/>
      <c r="BQ11" s="126"/>
      <c r="BR11" s="126"/>
      <c r="BS11" s="128">
        <v>5</v>
      </c>
      <c r="BT11" s="128">
        <v>7.8</v>
      </c>
      <c r="BU11" s="128">
        <f>BS11*BT11</f>
        <v>39</v>
      </c>
    </row>
    <row r="12" s="47" customFormat="1" spans="1:73">
      <c r="A12" s="129">
        <v>45638</v>
      </c>
      <c r="B12" s="130" t="s">
        <v>1227</v>
      </c>
      <c r="C12" s="131"/>
      <c r="D12" s="132"/>
      <c r="E12" s="81"/>
      <c r="F12" s="104"/>
      <c r="G12" s="81"/>
      <c r="H12" s="78"/>
      <c r="I12" s="81"/>
      <c r="J12" s="104"/>
      <c r="K12" s="81"/>
      <c r="L12" s="78"/>
      <c r="M12" s="81"/>
      <c r="N12" s="133"/>
      <c r="O12" s="140">
        <v>38</v>
      </c>
      <c r="P12" s="131"/>
      <c r="Q12" s="134"/>
      <c r="R12" s="81"/>
      <c r="S12" s="78"/>
      <c r="T12" s="81"/>
      <c r="U12" s="104"/>
      <c r="V12" s="81"/>
      <c r="W12" s="136"/>
      <c r="X12" s="78"/>
      <c r="Y12" s="81"/>
      <c r="Z12" s="104"/>
      <c r="AA12" s="81"/>
      <c r="AB12" s="78"/>
      <c r="AC12" s="81"/>
      <c r="AD12" s="104"/>
      <c r="AE12" s="81"/>
      <c r="AF12" s="78"/>
      <c r="AG12" s="81"/>
      <c r="AH12" s="123">
        <v>45638</v>
      </c>
      <c r="AI12" s="124"/>
      <c r="AJ12" s="124"/>
      <c r="AK12" s="125"/>
      <c r="AL12" s="126"/>
      <c r="AM12" s="126"/>
      <c r="AN12" s="126"/>
      <c r="AO12" s="127"/>
      <c r="AP12" s="127"/>
      <c r="AQ12" s="127"/>
      <c r="AR12" s="126"/>
      <c r="AS12" s="126"/>
      <c r="AT12" s="126"/>
      <c r="AU12" s="125"/>
      <c r="AV12" s="125"/>
      <c r="AW12" s="125"/>
      <c r="AX12" s="126"/>
      <c r="AY12" s="126"/>
      <c r="AZ12" s="126"/>
      <c r="BA12" s="127"/>
      <c r="BB12" s="127"/>
      <c r="BC12" s="127"/>
      <c r="BD12" s="126"/>
      <c r="BE12" s="126"/>
      <c r="BF12" s="126"/>
      <c r="BG12" s="125"/>
      <c r="BH12" s="125"/>
      <c r="BI12" s="125"/>
      <c r="BJ12" s="126"/>
      <c r="BK12" s="126"/>
      <c r="BL12" s="126"/>
      <c r="BM12" s="127"/>
      <c r="BN12" s="127"/>
      <c r="BO12" s="127"/>
      <c r="BP12" s="126"/>
      <c r="BQ12" s="126"/>
      <c r="BR12" s="126"/>
      <c r="BS12" s="128"/>
      <c r="BT12" s="128"/>
      <c r="BU12" s="128"/>
    </row>
    <row r="13" s="47" customFormat="1" ht="13" customHeight="1" spans="1:73">
      <c r="A13" s="129">
        <v>45639</v>
      </c>
      <c r="B13" s="130" t="s">
        <v>1224</v>
      </c>
      <c r="C13" s="131">
        <v>1000</v>
      </c>
      <c r="D13" s="132"/>
      <c r="E13" s="81"/>
      <c r="F13" s="104"/>
      <c r="G13" s="81"/>
      <c r="H13" s="78"/>
      <c r="I13" s="81"/>
      <c r="J13" s="104"/>
      <c r="K13" s="81"/>
      <c r="L13" s="78"/>
      <c r="M13" s="81"/>
      <c r="N13" s="133"/>
      <c r="O13" s="104"/>
      <c r="P13" s="131">
        <v>-150</v>
      </c>
      <c r="Q13" s="134"/>
      <c r="R13" s="81"/>
      <c r="S13" s="78"/>
      <c r="T13" s="81"/>
      <c r="U13" s="104"/>
      <c r="V13" s="81"/>
      <c r="W13" s="136"/>
      <c r="X13" s="78"/>
      <c r="Y13" s="81"/>
      <c r="Z13" s="104"/>
      <c r="AA13" s="81"/>
      <c r="AB13" s="78"/>
      <c r="AC13" s="81"/>
      <c r="AD13" s="104"/>
      <c r="AE13" s="81"/>
      <c r="AF13" s="78"/>
      <c r="AG13" s="81"/>
      <c r="AH13" s="123">
        <v>45635</v>
      </c>
      <c r="AI13" s="124"/>
      <c r="AJ13" s="124"/>
      <c r="AK13" s="125"/>
      <c r="AL13" s="126"/>
      <c r="AM13" s="126"/>
      <c r="AN13" s="126"/>
      <c r="AO13" s="127"/>
      <c r="AP13" s="127"/>
      <c r="AQ13" s="127"/>
      <c r="AR13" s="126"/>
      <c r="AS13" s="126"/>
      <c r="AT13" s="126"/>
      <c r="AU13" s="125"/>
      <c r="AV13" s="125"/>
      <c r="AW13" s="125"/>
      <c r="AX13" s="126"/>
      <c r="AY13" s="126"/>
      <c r="AZ13" s="126"/>
      <c r="BA13" s="127"/>
      <c r="BB13" s="127"/>
      <c r="BC13" s="127"/>
      <c r="BD13" s="126">
        <v>50</v>
      </c>
      <c r="BE13" s="126">
        <v>9.3</v>
      </c>
      <c r="BF13" s="126">
        <f>BD13*BE13</f>
        <v>465</v>
      </c>
      <c r="BG13" s="125">
        <v>95</v>
      </c>
      <c r="BH13" s="125">
        <v>5.9</v>
      </c>
      <c r="BI13" s="125">
        <f>BG13*BH13</f>
        <v>560.5</v>
      </c>
      <c r="BJ13" s="126"/>
      <c r="BK13" s="126"/>
      <c r="BL13" s="126"/>
      <c r="BM13" s="127"/>
      <c r="BN13" s="127"/>
      <c r="BO13" s="127"/>
      <c r="BP13" s="126">
        <v>155</v>
      </c>
      <c r="BQ13" s="126">
        <v>6.8</v>
      </c>
      <c r="BR13" s="126">
        <f t="shared" ref="BR13:BR18" si="3">BP13*BQ13</f>
        <v>1054</v>
      </c>
      <c r="BS13" s="128"/>
      <c r="BT13" s="128"/>
      <c r="BU13" s="128"/>
    </row>
    <row r="14" s="47" customFormat="1" spans="1:73">
      <c r="A14" s="129">
        <v>45640</v>
      </c>
      <c r="B14" s="130" t="s">
        <v>1228</v>
      </c>
      <c r="C14" s="131">
        <v>525</v>
      </c>
      <c r="D14" s="132"/>
      <c r="E14" s="81"/>
      <c r="F14" s="104"/>
      <c r="G14" s="81"/>
      <c r="H14" s="78"/>
      <c r="I14" s="81"/>
      <c r="J14" s="104"/>
      <c r="K14" s="81"/>
      <c r="L14" s="78"/>
      <c r="M14" s="81"/>
      <c r="N14" s="133"/>
      <c r="O14" s="104"/>
      <c r="P14" s="131"/>
      <c r="Q14" s="134"/>
      <c r="R14" s="81"/>
      <c r="S14" s="78"/>
      <c r="T14" s="81"/>
      <c r="U14" s="104"/>
      <c r="V14" s="81"/>
      <c r="W14" s="136"/>
      <c r="X14" s="78"/>
      <c r="Y14" s="81"/>
      <c r="Z14" s="104"/>
      <c r="AA14" s="81"/>
      <c r="AB14" s="78"/>
      <c r="AC14" s="81"/>
      <c r="AD14" s="104"/>
      <c r="AE14" s="81"/>
      <c r="AF14" s="78"/>
      <c r="AG14" s="81"/>
      <c r="AH14" s="123">
        <v>45640</v>
      </c>
      <c r="AI14" s="124">
        <v>300</v>
      </c>
      <c r="AJ14" s="124"/>
      <c r="AK14" s="125"/>
      <c r="AL14" s="126"/>
      <c r="AM14" s="126"/>
      <c r="AN14" s="126"/>
      <c r="AO14" s="127"/>
      <c r="AP14" s="127"/>
      <c r="AQ14" s="127"/>
      <c r="AR14" s="126"/>
      <c r="AS14" s="126"/>
      <c r="AT14" s="126"/>
      <c r="AU14" s="125"/>
      <c r="AV14" s="125"/>
      <c r="AW14" s="125"/>
      <c r="AX14" s="126"/>
      <c r="AY14" s="126"/>
      <c r="AZ14" s="126"/>
      <c r="BA14" s="127"/>
      <c r="BB14" s="127"/>
      <c r="BC14" s="127"/>
      <c r="BD14" s="126"/>
      <c r="BE14" s="126"/>
      <c r="BF14" s="126"/>
      <c r="BG14" s="125"/>
      <c r="BH14" s="125"/>
      <c r="BI14" s="125"/>
      <c r="BJ14" s="126"/>
      <c r="BK14" s="126"/>
      <c r="BL14" s="126"/>
      <c r="BM14" s="127"/>
      <c r="BN14" s="127"/>
      <c r="BO14" s="127"/>
      <c r="BP14" s="126">
        <v>60</v>
      </c>
      <c r="BQ14" s="126">
        <v>6.8</v>
      </c>
      <c r="BR14" s="126">
        <f t="shared" si="3"/>
        <v>408</v>
      </c>
      <c r="BS14" s="128">
        <v>60</v>
      </c>
      <c r="BT14" s="128">
        <v>7.8</v>
      </c>
      <c r="BU14" s="128">
        <f>BS14*BT14</f>
        <v>468</v>
      </c>
    </row>
    <row r="15" s="47" customFormat="1" spans="1:73">
      <c r="A15" s="129">
        <v>45640</v>
      </c>
      <c r="B15" s="130" t="s">
        <v>1229</v>
      </c>
      <c r="C15" s="131"/>
      <c r="D15" s="132"/>
      <c r="E15" s="81"/>
      <c r="F15" s="104"/>
      <c r="G15" s="81"/>
      <c r="H15" s="78"/>
      <c r="I15" s="138">
        <v>514</v>
      </c>
      <c r="J15" s="104"/>
      <c r="K15" s="81"/>
      <c r="L15" s="78"/>
      <c r="M15" s="81"/>
      <c r="N15" s="133"/>
      <c r="O15" s="104"/>
      <c r="P15" s="131"/>
      <c r="Q15" s="134"/>
      <c r="R15" s="81"/>
      <c r="S15" s="78"/>
      <c r="T15" s="81"/>
      <c r="U15" s="104"/>
      <c r="V15" s="81"/>
      <c r="W15" s="136"/>
      <c r="X15" s="78"/>
      <c r="Y15" s="81"/>
      <c r="Z15" s="104"/>
      <c r="AA15" s="81"/>
      <c r="AB15" s="78"/>
      <c r="AC15" s="81"/>
      <c r="AD15" s="104"/>
      <c r="AE15" s="81"/>
      <c r="AF15" s="78"/>
      <c r="AG15" s="81"/>
      <c r="AH15" s="123">
        <v>45640</v>
      </c>
      <c r="AI15" s="124"/>
      <c r="AJ15" s="124"/>
      <c r="AK15" s="125"/>
      <c r="AL15" s="126"/>
      <c r="AM15" s="126"/>
      <c r="AN15" s="126"/>
      <c r="AO15" s="127"/>
      <c r="AP15" s="127"/>
      <c r="AQ15" s="127"/>
      <c r="AR15" s="126"/>
      <c r="AS15" s="126"/>
      <c r="AT15" s="126"/>
      <c r="AU15" s="125"/>
      <c r="AV15" s="125"/>
      <c r="AW15" s="125"/>
      <c r="AX15" s="126"/>
      <c r="AY15" s="126"/>
      <c r="AZ15" s="126"/>
      <c r="BA15" s="127"/>
      <c r="BB15" s="127"/>
      <c r="BC15" s="127"/>
      <c r="BD15" s="126"/>
      <c r="BE15" s="126"/>
      <c r="BF15" s="126"/>
      <c r="BG15" s="125"/>
      <c r="BH15" s="125"/>
      <c r="BI15" s="125"/>
      <c r="BJ15" s="126"/>
      <c r="BK15" s="126"/>
      <c r="BL15" s="126"/>
      <c r="BM15" s="127"/>
      <c r="BN15" s="127"/>
      <c r="BO15" s="127"/>
      <c r="BP15" s="126"/>
      <c r="BQ15" s="126"/>
      <c r="BR15" s="126"/>
      <c r="BS15" s="128"/>
      <c r="BT15" s="128"/>
      <c r="BU15" s="128"/>
    </row>
    <row r="16" s="48" customFormat="1" spans="1:73">
      <c r="A16" s="129">
        <v>45640</v>
      </c>
      <c r="B16" s="130" t="s">
        <v>1230</v>
      </c>
      <c r="C16" s="131">
        <v>252</v>
      </c>
      <c r="D16" s="132"/>
      <c r="E16" s="81"/>
      <c r="F16" s="104"/>
      <c r="G16" s="81"/>
      <c r="H16" s="78"/>
      <c r="I16" s="81"/>
      <c r="J16" s="104"/>
      <c r="K16" s="81"/>
      <c r="L16" s="78"/>
      <c r="M16" s="81"/>
      <c r="N16" s="133"/>
      <c r="O16" s="104"/>
      <c r="P16" s="131"/>
      <c r="Q16" s="134"/>
      <c r="R16" s="81"/>
      <c r="S16" s="78"/>
      <c r="T16" s="81"/>
      <c r="U16" s="104"/>
      <c r="V16" s="81"/>
      <c r="W16" s="136"/>
      <c r="X16" s="78"/>
      <c r="Y16" s="81"/>
      <c r="Z16" s="104"/>
      <c r="AA16" s="81"/>
      <c r="AB16" s="78"/>
      <c r="AC16" s="81"/>
      <c r="AD16" s="104"/>
      <c r="AE16" s="81"/>
      <c r="AF16" s="78"/>
      <c r="AG16" s="81"/>
      <c r="AH16" s="123">
        <v>45640</v>
      </c>
      <c r="AI16" s="124"/>
      <c r="AJ16" s="124"/>
      <c r="AK16" s="125"/>
      <c r="AL16" s="126"/>
      <c r="AM16" s="126"/>
      <c r="AN16" s="126"/>
      <c r="AO16" s="127"/>
      <c r="AP16" s="127"/>
      <c r="AQ16" s="127"/>
      <c r="AR16" s="126"/>
      <c r="AS16" s="126"/>
      <c r="AT16" s="126"/>
      <c r="AU16" s="125"/>
      <c r="AV16" s="125"/>
      <c r="AW16" s="125"/>
      <c r="AX16" s="126"/>
      <c r="AY16" s="126"/>
      <c r="AZ16" s="126"/>
      <c r="BA16" s="127"/>
      <c r="BB16" s="127"/>
      <c r="BC16" s="127"/>
      <c r="BD16" s="126">
        <v>30</v>
      </c>
      <c r="BE16" s="126">
        <v>9.3</v>
      </c>
      <c r="BF16" s="126">
        <f>BD16*BE16</f>
        <v>279</v>
      </c>
      <c r="BG16" s="125">
        <v>38</v>
      </c>
      <c r="BH16" s="125">
        <v>5.9</v>
      </c>
      <c r="BI16" s="125">
        <f>BG16*BH16</f>
        <v>224.2</v>
      </c>
      <c r="BJ16" s="126"/>
      <c r="BK16" s="126"/>
      <c r="BL16" s="126"/>
      <c r="BM16" s="127"/>
      <c r="BN16" s="127"/>
      <c r="BO16" s="127"/>
      <c r="BP16" s="126"/>
      <c r="BQ16" s="126"/>
      <c r="BR16" s="126"/>
      <c r="BS16" s="128"/>
      <c r="BT16" s="128"/>
      <c r="BU16" s="128"/>
    </row>
    <row r="17" s="47" customFormat="1" spans="1:73">
      <c r="A17" s="129">
        <v>45643</v>
      </c>
      <c r="B17" s="130" t="s">
        <v>1231</v>
      </c>
      <c r="C17" s="131">
        <v>1000</v>
      </c>
      <c r="D17" s="132"/>
      <c r="E17" s="81">
        <v>-125</v>
      </c>
      <c r="F17" s="104"/>
      <c r="G17" s="81"/>
      <c r="H17" s="78"/>
      <c r="I17" s="81">
        <v>-200</v>
      </c>
      <c r="J17" s="104"/>
      <c r="K17" s="81"/>
      <c r="L17" s="78"/>
      <c r="M17" s="81"/>
      <c r="N17" s="133"/>
      <c r="O17" s="104"/>
      <c r="P17" s="131"/>
      <c r="Q17" s="134"/>
      <c r="R17" s="81"/>
      <c r="S17" s="78"/>
      <c r="T17" s="81"/>
      <c r="U17" s="104"/>
      <c r="V17" s="81"/>
      <c r="W17" s="136"/>
      <c r="X17" s="78"/>
      <c r="Y17" s="81"/>
      <c r="Z17" s="104"/>
      <c r="AA17" s="81"/>
      <c r="AB17" s="78"/>
      <c r="AC17" s="81"/>
      <c r="AD17" s="104"/>
      <c r="AE17" s="81"/>
      <c r="AF17" s="78"/>
      <c r="AG17" s="81"/>
      <c r="AH17" s="123">
        <v>45643</v>
      </c>
      <c r="AI17" s="124"/>
      <c r="AJ17" s="124"/>
      <c r="AK17" s="125"/>
      <c r="AL17" s="126"/>
      <c r="AM17" s="126"/>
      <c r="AN17" s="126"/>
      <c r="AO17" s="127"/>
      <c r="AP17" s="127"/>
      <c r="AQ17" s="127"/>
      <c r="AR17" s="126"/>
      <c r="AS17" s="126"/>
      <c r="AT17" s="126"/>
      <c r="AU17" s="125"/>
      <c r="AV17" s="125"/>
      <c r="AW17" s="125"/>
      <c r="AX17" s="126"/>
      <c r="AY17" s="126"/>
      <c r="AZ17" s="126"/>
      <c r="BA17" s="127"/>
      <c r="BB17" s="127"/>
      <c r="BC17" s="127"/>
      <c r="BD17" s="126">
        <v>25</v>
      </c>
      <c r="BE17" s="126">
        <v>9.3</v>
      </c>
      <c r="BF17" s="126">
        <f>BD17*BE17</f>
        <v>232.5</v>
      </c>
      <c r="BG17" s="125">
        <v>135</v>
      </c>
      <c r="BH17" s="125">
        <v>5.9</v>
      </c>
      <c r="BI17" s="125">
        <f>BG17*BH17</f>
        <v>796.5</v>
      </c>
      <c r="BJ17" s="126"/>
      <c r="BK17" s="126"/>
      <c r="BL17" s="126"/>
      <c r="BM17" s="127"/>
      <c r="BN17" s="127"/>
      <c r="BO17" s="127"/>
      <c r="BP17" s="126">
        <v>50</v>
      </c>
      <c r="BQ17" s="126">
        <v>6.8</v>
      </c>
      <c r="BR17" s="126">
        <f t="shared" si="3"/>
        <v>340</v>
      </c>
      <c r="BS17" s="128"/>
      <c r="BT17" s="128"/>
      <c r="BU17" s="128"/>
    </row>
    <row r="18" s="47" customFormat="1" ht="15" customHeight="1" spans="1:73">
      <c r="A18" s="129">
        <v>45644</v>
      </c>
      <c r="B18" s="130" t="s">
        <v>1232</v>
      </c>
      <c r="C18" s="131">
        <v>300</v>
      </c>
      <c r="D18" s="132"/>
      <c r="E18" s="81">
        <v>-45</v>
      </c>
      <c r="F18" s="104">
        <v>-45</v>
      </c>
      <c r="G18" s="81"/>
      <c r="H18" s="78"/>
      <c r="I18" s="81"/>
      <c r="J18" s="104"/>
      <c r="K18" s="81"/>
      <c r="L18" s="78"/>
      <c r="M18" s="81"/>
      <c r="N18" s="133"/>
      <c r="O18" s="104"/>
      <c r="P18" s="131"/>
      <c r="Q18" s="134"/>
      <c r="R18" s="81"/>
      <c r="S18" s="78"/>
      <c r="T18" s="81"/>
      <c r="U18" s="104"/>
      <c r="V18" s="81"/>
      <c r="W18" s="136"/>
      <c r="X18" s="78"/>
      <c r="Y18" s="81"/>
      <c r="Z18" s="104"/>
      <c r="AA18" s="81"/>
      <c r="AB18" s="78"/>
      <c r="AC18" s="81"/>
      <c r="AD18" s="104"/>
      <c r="AE18" s="81"/>
      <c r="AF18" s="78"/>
      <c r="AG18" s="81"/>
      <c r="AH18" s="123">
        <v>45644</v>
      </c>
      <c r="AI18" s="124"/>
      <c r="AJ18" s="124"/>
      <c r="AK18" s="125"/>
      <c r="AL18" s="126"/>
      <c r="AM18" s="126"/>
      <c r="AN18" s="126"/>
      <c r="AO18" s="127"/>
      <c r="AP18" s="127"/>
      <c r="AQ18" s="127"/>
      <c r="AR18" s="126"/>
      <c r="AS18" s="126"/>
      <c r="AT18" s="126"/>
      <c r="AU18" s="125"/>
      <c r="AV18" s="125"/>
      <c r="AW18" s="125"/>
      <c r="AX18" s="126"/>
      <c r="AY18" s="126"/>
      <c r="AZ18" s="126"/>
      <c r="BA18" s="127"/>
      <c r="BB18" s="127"/>
      <c r="BC18" s="127"/>
      <c r="BD18" s="126">
        <v>30</v>
      </c>
      <c r="BE18" s="126">
        <v>9.3</v>
      </c>
      <c r="BF18" s="126">
        <f>BD18*BE18</f>
        <v>279</v>
      </c>
      <c r="BG18" s="125">
        <v>61</v>
      </c>
      <c r="BH18" s="125">
        <v>5.9</v>
      </c>
      <c r="BI18" s="125">
        <f>BG18*BH18</f>
        <v>359.9</v>
      </c>
      <c r="BJ18" s="126"/>
      <c r="BK18" s="126"/>
      <c r="BL18" s="126"/>
      <c r="BM18" s="127"/>
      <c r="BN18" s="127"/>
      <c r="BO18" s="127"/>
      <c r="BP18" s="126">
        <v>10</v>
      </c>
      <c r="BQ18" s="126">
        <v>6.8</v>
      </c>
      <c r="BR18" s="126">
        <f t="shared" si="3"/>
        <v>68</v>
      </c>
      <c r="BS18" s="128"/>
      <c r="BT18" s="128"/>
      <c r="BU18" s="128"/>
    </row>
    <row r="19" s="47" customFormat="1" spans="1:73">
      <c r="A19" s="129">
        <v>45644</v>
      </c>
      <c r="B19" s="130" t="s">
        <v>1233</v>
      </c>
      <c r="C19" s="131">
        <v>1052.5</v>
      </c>
      <c r="D19" s="132"/>
      <c r="E19" s="81"/>
      <c r="F19" s="104"/>
      <c r="G19" s="81"/>
      <c r="H19" s="78"/>
      <c r="I19" s="81"/>
      <c r="J19" s="104"/>
      <c r="K19" s="81"/>
      <c r="L19" s="78"/>
      <c r="M19" s="81"/>
      <c r="N19" s="133"/>
      <c r="O19" s="104"/>
      <c r="P19" s="131"/>
      <c r="Q19" s="134"/>
      <c r="R19" s="81"/>
      <c r="S19" s="78"/>
      <c r="T19" s="81"/>
      <c r="U19" s="104"/>
      <c r="V19" s="81"/>
      <c r="W19" s="136"/>
      <c r="X19" s="78"/>
      <c r="Y19" s="81">
        <v>-260</v>
      </c>
      <c r="Z19" s="104"/>
      <c r="AA19" s="81"/>
      <c r="AB19" s="78"/>
      <c r="AC19" s="81"/>
      <c r="AD19" s="104"/>
      <c r="AE19" s="81"/>
      <c r="AF19" s="78"/>
      <c r="AG19" s="81"/>
      <c r="AH19" s="123">
        <v>45644</v>
      </c>
      <c r="AI19" s="124"/>
      <c r="AJ19" s="124"/>
      <c r="AK19" s="125"/>
      <c r="AL19" s="126">
        <v>50</v>
      </c>
      <c r="AM19" s="126">
        <v>0.9</v>
      </c>
      <c r="AN19" s="126">
        <f>AL19*AM19</f>
        <v>45</v>
      </c>
      <c r="AO19" s="127">
        <v>25</v>
      </c>
      <c r="AP19" s="127">
        <v>17</v>
      </c>
      <c r="AQ19" s="127">
        <f>AO19*AP19</f>
        <v>425</v>
      </c>
      <c r="AR19" s="126"/>
      <c r="AS19" s="126"/>
      <c r="AT19" s="126"/>
      <c r="AU19" s="125"/>
      <c r="AV19" s="125"/>
      <c r="AW19" s="125"/>
      <c r="AX19" s="126"/>
      <c r="AY19" s="126"/>
      <c r="AZ19" s="126"/>
      <c r="BA19" s="127"/>
      <c r="BB19" s="127"/>
      <c r="BC19" s="127"/>
      <c r="BD19" s="126"/>
      <c r="BE19" s="126"/>
      <c r="BF19" s="126"/>
      <c r="BG19" s="125"/>
      <c r="BH19" s="125"/>
      <c r="BI19" s="125"/>
      <c r="BJ19" s="126">
        <v>279</v>
      </c>
      <c r="BK19" s="126">
        <v>3.6</v>
      </c>
      <c r="BL19" s="126">
        <f>BJ19*BK19</f>
        <v>1004.4</v>
      </c>
      <c r="BM19" s="127"/>
      <c r="BN19" s="127"/>
      <c r="BO19" s="127"/>
      <c r="BP19" s="126"/>
      <c r="BQ19" s="126"/>
      <c r="BR19" s="126"/>
      <c r="BS19" s="128"/>
      <c r="BT19" s="128"/>
      <c r="BU19" s="128"/>
    </row>
    <row r="20" s="47" customFormat="1" spans="1:73">
      <c r="A20" s="129">
        <v>45644</v>
      </c>
      <c r="B20" s="130" t="s">
        <v>1234</v>
      </c>
      <c r="C20" s="131">
        <v>36</v>
      </c>
      <c r="D20" s="132"/>
      <c r="E20" s="81">
        <v>-3.6</v>
      </c>
      <c r="F20" s="135"/>
      <c r="G20" s="81"/>
      <c r="H20" s="78"/>
      <c r="I20" s="81"/>
      <c r="J20" s="104"/>
      <c r="K20" s="81"/>
      <c r="L20" s="78"/>
      <c r="M20" s="81"/>
      <c r="N20" s="133"/>
      <c r="O20" s="104"/>
      <c r="P20" s="131"/>
      <c r="Q20" s="134"/>
      <c r="R20" s="81"/>
      <c r="S20" s="78"/>
      <c r="T20" s="81"/>
      <c r="U20" s="104"/>
      <c r="V20" s="81"/>
      <c r="W20" s="136"/>
      <c r="X20" s="78"/>
      <c r="Y20" s="81"/>
      <c r="Z20" s="104"/>
      <c r="AA20" s="81"/>
      <c r="AB20" s="78"/>
      <c r="AC20" s="81"/>
      <c r="AD20" s="104"/>
      <c r="AE20" s="81"/>
      <c r="AF20" s="78"/>
      <c r="AG20" s="81"/>
      <c r="AH20" s="123">
        <v>45644</v>
      </c>
      <c r="AI20" s="124"/>
      <c r="AJ20" s="124"/>
      <c r="AK20" s="125"/>
      <c r="AL20" s="126"/>
      <c r="AM20" s="126"/>
      <c r="AN20" s="126"/>
      <c r="AO20" s="141"/>
      <c r="AP20" s="141"/>
      <c r="AQ20" s="141"/>
      <c r="AR20" s="126"/>
      <c r="AS20" s="126"/>
      <c r="AT20" s="126"/>
      <c r="AU20" s="125"/>
      <c r="AV20" s="125"/>
      <c r="AW20" s="125"/>
      <c r="AX20" s="126"/>
      <c r="AY20" s="126"/>
      <c r="AZ20" s="126"/>
      <c r="BA20" s="127"/>
      <c r="BB20" s="127"/>
      <c r="BC20" s="127"/>
      <c r="BD20" s="126">
        <v>1.8</v>
      </c>
      <c r="BE20" s="126">
        <v>9.3</v>
      </c>
      <c r="BF20" s="126">
        <f>BD20*BE20</f>
        <v>16.74</v>
      </c>
      <c r="BG20" s="125">
        <v>4.32</v>
      </c>
      <c r="BH20" s="125">
        <v>5.9</v>
      </c>
      <c r="BI20" s="125">
        <f>BG20*BH20</f>
        <v>25.488</v>
      </c>
      <c r="BJ20" s="126"/>
      <c r="BK20" s="126"/>
      <c r="BL20" s="126"/>
      <c r="BM20" s="127"/>
      <c r="BN20" s="127"/>
      <c r="BO20" s="127"/>
      <c r="BP20" s="126"/>
      <c r="BQ20" s="126"/>
      <c r="BR20" s="126"/>
      <c r="BS20" s="128"/>
      <c r="BT20" s="128"/>
      <c r="BU20" s="128"/>
    </row>
    <row r="21" s="47" customFormat="1" spans="1:73">
      <c r="A21" s="129">
        <v>45646</v>
      </c>
      <c r="B21" s="130" t="s">
        <v>1235</v>
      </c>
      <c r="C21" s="131">
        <v>500</v>
      </c>
      <c r="D21" s="132"/>
      <c r="E21" s="81"/>
      <c r="F21" s="104"/>
      <c r="G21" s="81"/>
      <c r="H21" s="78"/>
      <c r="I21" s="81"/>
      <c r="J21" s="104"/>
      <c r="K21" s="81"/>
      <c r="L21" s="78"/>
      <c r="M21" s="81"/>
      <c r="N21" s="133"/>
      <c r="O21" s="104"/>
      <c r="P21" s="131"/>
      <c r="Q21" s="134"/>
      <c r="R21" s="81"/>
      <c r="S21" s="78"/>
      <c r="T21" s="81"/>
      <c r="U21" s="104"/>
      <c r="V21" s="81"/>
      <c r="W21" s="136"/>
      <c r="X21" s="78"/>
      <c r="Y21" s="81"/>
      <c r="Z21" s="104"/>
      <c r="AA21" s="81"/>
      <c r="AB21" s="78"/>
      <c r="AC21" s="81"/>
      <c r="AD21" s="104"/>
      <c r="AE21" s="81"/>
      <c r="AF21" s="78"/>
      <c r="AG21" s="81"/>
      <c r="AH21" s="123">
        <v>45646</v>
      </c>
      <c r="AI21" s="124"/>
      <c r="AJ21" s="124"/>
      <c r="AK21" s="125"/>
      <c r="AL21" s="126"/>
      <c r="AM21" s="126"/>
      <c r="AN21" s="126"/>
      <c r="AO21" s="127"/>
      <c r="AP21" s="127"/>
      <c r="AQ21" s="127"/>
      <c r="AR21" s="126"/>
      <c r="AS21" s="126"/>
      <c r="AT21" s="126"/>
      <c r="AU21" s="125"/>
      <c r="AV21" s="125"/>
      <c r="AW21" s="125"/>
      <c r="AX21" s="126"/>
      <c r="AY21" s="126"/>
      <c r="AZ21" s="126"/>
      <c r="BA21" s="127"/>
      <c r="BB21" s="127"/>
      <c r="BC21" s="127"/>
      <c r="BD21" s="126">
        <v>105</v>
      </c>
      <c r="BE21" s="126">
        <v>9.3</v>
      </c>
      <c r="BF21" s="126">
        <f>BD21*BE21</f>
        <v>976.5</v>
      </c>
      <c r="BG21" s="125"/>
      <c r="BH21" s="125"/>
      <c r="BI21" s="125"/>
      <c r="BJ21" s="126"/>
      <c r="BK21" s="126"/>
      <c r="BL21" s="126"/>
      <c r="BM21" s="127"/>
      <c r="BN21" s="127"/>
      <c r="BO21" s="127"/>
      <c r="BP21" s="126"/>
      <c r="BQ21" s="126"/>
      <c r="BR21" s="126"/>
      <c r="BS21" s="128"/>
      <c r="BT21" s="128"/>
      <c r="BU21" s="128"/>
    </row>
    <row r="22" s="47" customFormat="1" spans="1:73">
      <c r="A22" s="129">
        <v>45646</v>
      </c>
      <c r="B22" s="142" t="s">
        <v>1236</v>
      </c>
      <c r="C22" s="131">
        <v>606</v>
      </c>
      <c r="D22" s="132"/>
      <c r="E22" s="81"/>
      <c r="F22" s="104"/>
      <c r="G22" s="81"/>
      <c r="H22" s="78"/>
      <c r="I22" s="138"/>
      <c r="J22" s="104">
        <v>-75</v>
      </c>
      <c r="K22" s="81"/>
      <c r="L22" s="78"/>
      <c r="M22" s="81"/>
      <c r="N22" s="133"/>
      <c r="O22" s="104"/>
      <c r="P22" s="131"/>
      <c r="Q22" s="134"/>
      <c r="R22" s="81"/>
      <c r="S22" s="78"/>
      <c r="T22" s="81"/>
      <c r="U22" s="104"/>
      <c r="V22" s="81"/>
      <c r="W22" s="136"/>
      <c r="X22" s="78"/>
      <c r="Y22" s="81">
        <v>-130</v>
      </c>
      <c r="Z22" s="104"/>
      <c r="AA22" s="81"/>
      <c r="AB22" s="78"/>
      <c r="AC22" s="81"/>
      <c r="AD22" s="104"/>
      <c r="AE22" s="81"/>
      <c r="AF22" s="78"/>
      <c r="AG22" s="81"/>
      <c r="AH22" s="123">
        <v>45646</v>
      </c>
      <c r="AI22" s="124"/>
      <c r="AJ22" s="124"/>
      <c r="AK22" s="125"/>
      <c r="AL22" s="126">
        <v>50</v>
      </c>
      <c r="AM22" s="126">
        <v>0.9</v>
      </c>
      <c r="AN22" s="126">
        <f>AL22*AM22</f>
        <v>45</v>
      </c>
      <c r="AO22" s="127">
        <v>16</v>
      </c>
      <c r="AP22" s="127">
        <v>17</v>
      </c>
      <c r="AQ22" s="127">
        <f>AO22*AP22</f>
        <v>272</v>
      </c>
      <c r="AR22" s="126"/>
      <c r="AS22" s="126"/>
      <c r="AT22" s="126"/>
      <c r="AU22" s="125"/>
      <c r="AV22" s="125"/>
      <c r="AW22" s="125"/>
      <c r="AX22" s="126"/>
      <c r="AY22" s="126"/>
      <c r="AZ22" s="126"/>
      <c r="BA22" s="127"/>
      <c r="BB22" s="127"/>
      <c r="BC22" s="127"/>
      <c r="BD22" s="126"/>
      <c r="BE22" s="126"/>
      <c r="BF22" s="126"/>
      <c r="BG22" s="125">
        <v>30</v>
      </c>
      <c r="BH22" s="125">
        <v>5.9</v>
      </c>
      <c r="BI22" s="125">
        <f>BG22*BH22</f>
        <v>177</v>
      </c>
      <c r="BJ22" s="126">
        <v>130</v>
      </c>
      <c r="BK22" s="126">
        <v>3.6</v>
      </c>
      <c r="BL22" s="126">
        <f>BJ22*BK22</f>
        <v>468</v>
      </c>
      <c r="BM22" s="127"/>
      <c r="BN22" s="127"/>
      <c r="BO22" s="127"/>
      <c r="BP22" s="126"/>
      <c r="BQ22" s="126"/>
      <c r="BR22" s="126"/>
      <c r="BS22" s="128"/>
      <c r="BT22" s="128"/>
      <c r="BU22" s="128"/>
    </row>
    <row r="23" s="47" customFormat="1" spans="1:73">
      <c r="A23" s="129" t="s">
        <v>550</v>
      </c>
      <c r="B23" s="130" t="s">
        <v>1237</v>
      </c>
      <c r="C23" s="131">
        <v>750</v>
      </c>
      <c r="D23" s="132"/>
      <c r="E23" s="138"/>
      <c r="F23" s="135"/>
      <c r="G23" s="81"/>
      <c r="H23" s="78"/>
      <c r="I23" s="81"/>
      <c r="J23" s="104"/>
      <c r="K23" s="81"/>
      <c r="L23" s="78"/>
      <c r="M23" s="81"/>
      <c r="N23" s="133"/>
      <c r="O23" s="104"/>
      <c r="P23" s="131"/>
      <c r="Q23" s="134"/>
      <c r="R23" s="81"/>
      <c r="S23" s="78"/>
      <c r="T23" s="81"/>
      <c r="U23" s="104"/>
      <c r="V23" s="81"/>
      <c r="W23" s="136"/>
      <c r="X23" s="78"/>
      <c r="Y23" s="81"/>
      <c r="Z23" s="104"/>
      <c r="AA23" s="81"/>
      <c r="AB23" s="78"/>
      <c r="AC23" s="81"/>
      <c r="AD23" s="104"/>
      <c r="AE23" s="81"/>
      <c r="AF23" s="78"/>
      <c r="AG23" s="81"/>
      <c r="AH23" s="123" t="s">
        <v>1238</v>
      </c>
      <c r="AI23" s="124"/>
      <c r="AJ23" s="124"/>
      <c r="AK23" s="125"/>
      <c r="AL23" s="126"/>
      <c r="AM23" s="126"/>
      <c r="AN23" s="126"/>
      <c r="AO23" s="127"/>
      <c r="AP23" s="127"/>
      <c r="AQ23" s="127"/>
      <c r="AR23" s="126"/>
      <c r="AS23" s="126"/>
      <c r="AT23" s="126"/>
      <c r="AU23" s="125">
        <v>25</v>
      </c>
      <c r="AV23" s="125">
        <v>75</v>
      </c>
      <c r="AW23" s="125">
        <f>AU23*AV23</f>
        <v>1875</v>
      </c>
      <c r="AX23" s="126"/>
      <c r="AY23" s="126"/>
      <c r="AZ23" s="126"/>
      <c r="BA23" s="127"/>
      <c r="BB23" s="127"/>
      <c r="BC23" s="127"/>
      <c r="BD23" s="126">
        <v>300</v>
      </c>
      <c r="BE23" s="126">
        <v>9.3</v>
      </c>
      <c r="BF23" s="126">
        <f>BD23*BE23</f>
        <v>2790</v>
      </c>
      <c r="BG23" s="125">
        <v>125</v>
      </c>
      <c r="BH23" s="125">
        <v>5.9</v>
      </c>
      <c r="BI23" s="125">
        <f>BG23*BH23</f>
        <v>737.5</v>
      </c>
      <c r="BJ23" s="126"/>
      <c r="BK23" s="126"/>
      <c r="BL23" s="126"/>
      <c r="BM23" s="127"/>
      <c r="BN23" s="127"/>
      <c r="BO23" s="127"/>
      <c r="BP23" s="126"/>
      <c r="BQ23" s="126"/>
      <c r="BR23" s="126"/>
      <c r="BS23" s="128"/>
      <c r="BT23" s="128"/>
      <c r="BU23" s="128"/>
    </row>
    <row r="24" s="47" customFormat="1" spans="1:73">
      <c r="A24" s="129">
        <v>45647</v>
      </c>
      <c r="B24" s="130" t="s">
        <v>1239</v>
      </c>
      <c r="C24" s="131"/>
      <c r="D24" s="132"/>
      <c r="E24" s="81"/>
      <c r="F24" s="104"/>
      <c r="G24" s="81"/>
      <c r="H24" s="78"/>
      <c r="I24" s="138"/>
      <c r="J24" s="104"/>
      <c r="K24" s="81"/>
      <c r="L24" s="78"/>
      <c r="M24" s="81"/>
      <c r="N24" s="133"/>
      <c r="O24" s="104"/>
      <c r="P24" s="143">
        <v>735</v>
      </c>
      <c r="Q24" s="134"/>
      <c r="R24" s="81"/>
      <c r="S24" s="78"/>
      <c r="T24" s="81"/>
      <c r="U24" s="104"/>
      <c r="V24" s="81"/>
      <c r="W24" s="136"/>
      <c r="X24" s="78"/>
      <c r="Y24" s="81"/>
      <c r="Z24" s="104"/>
      <c r="AA24" s="81"/>
      <c r="AB24" s="78"/>
      <c r="AC24" s="81"/>
      <c r="AD24" s="104"/>
      <c r="AE24" s="81"/>
      <c r="AF24" s="78"/>
      <c r="AG24" s="81"/>
      <c r="AH24" s="123">
        <v>45647</v>
      </c>
      <c r="AI24" s="124"/>
      <c r="AJ24" s="124"/>
      <c r="AK24" s="125"/>
      <c r="AL24" s="126"/>
      <c r="AM24" s="126"/>
      <c r="AN24" s="126"/>
      <c r="AO24" s="127"/>
      <c r="AP24" s="127"/>
      <c r="AQ24" s="127"/>
      <c r="AR24" s="126"/>
      <c r="AS24" s="126"/>
      <c r="AT24" s="126"/>
      <c r="AU24" s="125"/>
      <c r="AV24" s="125"/>
      <c r="AW24" s="125"/>
      <c r="AX24" s="126"/>
      <c r="AY24" s="126"/>
      <c r="AZ24" s="126"/>
      <c r="BA24" s="127"/>
      <c r="BB24" s="127"/>
      <c r="BC24" s="127"/>
      <c r="BD24" s="126"/>
      <c r="BE24" s="126"/>
      <c r="BF24" s="126"/>
      <c r="BG24" s="125"/>
      <c r="BH24" s="125"/>
      <c r="BI24" s="125"/>
      <c r="BJ24" s="126"/>
      <c r="BK24" s="126"/>
      <c r="BL24" s="126"/>
      <c r="BM24" s="127"/>
      <c r="BN24" s="127"/>
      <c r="BO24" s="127"/>
      <c r="BP24" s="126"/>
      <c r="BQ24" s="126"/>
      <c r="BR24" s="126"/>
      <c r="BS24" s="128"/>
      <c r="BT24" s="128"/>
      <c r="BU24" s="128"/>
    </row>
    <row r="25" s="47" customFormat="1" spans="1:73">
      <c r="A25" s="129">
        <v>45647</v>
      </c>
      <c r="B25" s="130" t="s">
        <v>1240</v>
      </c>
      <c r="C25" s="131">
        <v>900</v>
      </c>
      <c r="D25" s="132"/>
      <c r="E25" s="81">
        <v>-112</v>
      </c>
      <c r="F25" s="104"/>
      <c r="G25" s="81"/>
      <c r="H25" s="78"/>
      <c r="I25" s="81">
        <v>-180</v>
      </c>
      <c r="J25" s="104"/>
      <c r="K25" s="81"/>
      <c r="L25" s="78"/>
      <c r="M25" s="81"/>
      <c r="N25" s="133"/>
      <c r="O25" s="104"/>
      <c r="P25" s="131"/>
      <c r="Q25" s="134"/>
      <c r="R25" s="81"/>
      <c r="S25" s="78"/>
      <c r="T25" s="81"/>
      <c r="U25" s="104"/>
      <c r="V25" s="81"/>
      <c r="W25" s="136"/>
      <c r="X25" s="78"/>
      <c r="Y25" s="81"/>
      <c r="Z25" s="104"/>
      <c r="AA25" s="81"/>
      <c r="AB25" s="78"/>
      <c r="AC25" s="81"/>
      <c r="AD25" s="104"/>
      <c r="AE25" s="81"/>
      <c r="AF25" s="78"/>
      <c r="AG25" s="81"/>
      <c r="AH25" s="123">
        <v>45647</v>
      </c>
      <c r="AI25" s="124"/>
      <c r="AJ25" s="124"/>
      <c r="AK25" s="125"/>
      <c r="AL25" s="126"/>
      <c r="AM25" s="126"/>
      <c r="AN25" s="126"/>
      <c r="AO25" s="127"/>
      <c r="AP25" s="127"/>
      <c r="AQ25" s="127"/>
      <c r="AR25" s="126"/>
      <c r="AS25" s="126"/>
      <c r="AT25" s="126"/>
      <c r="AU25" s="125"/>
      <c r="AV25" s="125"/>
      <c r="AW25" s="125"/>
      <c r="AX25" s="126"/>
      <c r="AY25" s="126"/>
      <c r="AZ25" s="126"/>
      <c r="BA25" s="127"/>
      <c r="BB25" s="127"/>
      <c r="BC25" s="127"/>
      <c r="BD25" s="126">
        <v>23</v>
      </c>
      <c r="BE25" s="126">
        <v>9.3</v>
      </c>
      <c r="BF25" s="126">
        <f t="shared" ref="BF25:BF29" si="4">BD25*BE25</f>
        <v>213.9</v>
      </c>
      <c r="BG25" s="125">
        <v>121</v>
      </c>
      <c r="BH25" s="125">
        <v>5.9</v>
      </c>
      <c r="BI25" s="125">
        <f t="shared" ref="BI25:BI30" si="5">BG25*BH25</f>
        <v>713.9</v>
      </c>
      <c r="BJ25" s="126"/>
      <c r="BK25" s="126"/>
      <c r="BL25" s="126"/>
      <c r="BM25" s="127"/>
      <c r="BN25" s="127"/>
      <c r="BO25" s="127"/>
      <c r="BP25" s="126">
        <v>45</v>
      </c>
      <c r="BQ25" s="126">
        <v>6.8</v>
      </c>
      <c r="BR25" s="126">
        <f t="shared" ref="BR25:BR31" si="6">BP25*BQ25</f>
        <v>306</v>
      </c>
      <c r="BS25" s="128"/>
      <c r="BT25" s="128"/>
      <c r="BU25" s="128"/>
    </row>
    <row r="26" s="47" customFormat="1" spans="1:73">
      <c r="A26" s="129">
        <v>45647</v>
      </c>
      <c r="B26" s="130" t="s">
        <v>1223</v>
      </c>
      <c r="C26" s="131">
        <v>1000</v>
      </c>
      <c r="D26" s="132"/>
      <c r="E26" s="81"/>
      <c r="F26" s="104"/>
      <c r="G26" s="81"/>
      <c r="H26" s="78"/>
      <c r="I26" s="81"/>
      <c r="J26" s="104"/>
      <c r="K26" s="81"/>
      <c r="L26" s="78"/>
      <c r="M26" s="81"/>
      <c r="N26" s="133"/>
      <c r="O26" s="104"/>
      <c r="P26" s="144">
        <v>-150</v>
      </c>
      <c r="Q26" s="134"/>
      <c r="R26" s="81"/>
      <c r="S26" s="78"/>
      <c r="T26" s="81"/>
      <c r="U26" s="135"/>
      <c r="V26" s="81"/>
      <c r="W26" s="136"/>
      <c r="X26" s="78"/>
      <c r="Y26" s="81"/>
      <c r="Z26" s="104"/>
      <c r="AA26" s="81"/>
      <c r="AB26" s="78"/>
      <c r="AC26" s="81"/>
      <c r="AD26" s="104"/>
      <c r="AE26" s="81"/>
      <c r="AF26" s="78"/>
      <c r="AG26" s="81"/>
      <c r="AH26" s="123">
        <v>45647</v>
      </c>
      <c r="AI26" s="124"/>
      <c r="AJ26" s="124"/>
      <c r="AK26" s="125"/>
      <c r="AL26" s="126"/>
      <c r="AM26" s="126"/>
      <c r="AN26" s="126"/>
      <c r="AO26" s="127"/>
      <c r="AP26" s="127"/>
      <c r="AQ26" s="127"/>
      <c r="AR26" s="126"/>
      <c r="AS26" s="126"/>
      <c r="AT26" s="126"/>
      <c r="AU26" s="125"/>
      <c r="AV26" s="125"/>
      <c r="AW26" s="125"/>
      <c r="AX26" s="126"/>
      <c r="AY26" s="126"/>
      <c r="AZ26" s="126"/>
      <c r="BA26" s="127"/>
      <c r="BB26" s="127"/>
      <c r="BC26" s="127"/>
      <c r="BD26" s="126">
        <v>200</v>
      </c>
      <c r="BE26" s="126">
        <v>9.3</v>
      </c>
      <c r="BF26" s="126">
        <f t="shared" si="4"/>
        <v>1860</v>
      </c>
      <c r="BG26" s="125">
        <v>60</v>
      </c>
      <c r="BH26" s="125">
        <v>5.9</v>
      </c>
      <c r="BI26" s="125">
        <f t="shared" si="5"/>
        <v>354</v>
      </c>
      <c r="BJ26" s="126"/>
      <c r="BK26" s="126"/>
      <c r="BL26" s="126"/>
      <c r="BM26" s="127"/>
      <c r="BN26" s="127"/>
      <c r="BO26" s="127"/>
      <c r="BP26" s="126">
        <v>125</v>
      </c>
      <c r="BQ26" s="126">
        <v>6.8</v>
      </c>
      <c r="BR26" s="126">
        <f t="shared" si="6"/>
        <v>850</v>
      </c>
      <c r="BS26" s="128"/>
      <c r="BT26" s="128"/>
      <c r="BU26" s="128"/>
    </row>
    <row r="27" s="47" customFormat="1" spans="1:73">
      <c r="A27" s="129">
        <v>45649</v>
      </c>
      <c r="B27" s="130" t="s">
        <v>1241</v>
      </c>
      <c r="C27" s="131">
        <v>150</v>
      </c>
      <c r="D27" s="132"/>
      <c r="E27" s="81">
        <v>-15</v>
      </c>
      <c r="F27" s="104"/>
      <c r="G27" s="81"/>
      <c r="H27" s="78"/>
      <c r="I27" s="81"/>
      <c r="J27" s="104"/>
      <c r="K27" s="81"/>
      <c r="L27" s="78"/>
      <c r="M27" s="81"/>
      <c r="N27" s="133">
        <v>-30</v>
      </c>
      <c r="O27" s="104"/>
      <c r="P27" s="144"/>
      <c r="Q27" s="134"/>
      <c r="R27" s="81"/>
      <c r="S27" s="78"/>
      <c r="T27" s="81"/>
      <c r="U27" s="135"/>
      <c r="V27" s="81"/>
      <c r="W27" s="136"/>
      <c r="X27" s="78"/>
      <c r="Y27" s="81"/>
      <c r="Z27" s="104"/>
      <c r="AA27" s="81"/>
      <c r="AB27" s="78"/>
      <c r="AC27" s="81"/>
      <c r="AD27" s="104"/>
      <c r="AE27" s="81"/>
      <c r="AF27" s="78"/>
      <c r="AG27" s="81"/>
      <c r="AH27" s="123">
        <v>45649</v>
      </c>
      <c r="AI27" s="124"/>
      <c r="AJ27" s="124"/>
      <c r="AK27" s="125"/>
      <c r="AL27" s="126"/>
      <c r="AM27" s="126"/>
      <c r="AN27" s="126"/>
      <c r="AO27" s="127"/>
      <c r="AP27" s="127"/>
      <c r="AQ27" s="127"/>
      <c r="AR27" s="126"/>
      <c r="AS27" s="126"/>
      <c r="AT27" s="126"/>
      <c r="AU27" s="125"/>
      <c r="AV27" s="125"/>
      <c r="AW27" s="125"/>
      <c r="AX27" s="126"/>
      <c r="AY27" s="126"/>
      <c r="AZ27" s="126"/>
      <c r="BA27" s="127"/>
      <c r="BB27" s="127"/>
      <c r="BC27" s="127"/>
      <c r="BD27" s="126">
        <v>7.5</v>
      </c>
      <c r="BE27" s="126">
        <v>9.3</v>
      </c>
      <c r="BF27" s="126">
        <f t="shared" si="4"/>
        <v>69.75</v>
      </c>
      <c r="BG27" s="125">
        <v>18</v>
      </c>
      <c r="BH27" s="125">
        <v>5.9</v>
      </c>
      <c r="BI27" s="125">
        <f t="shared" si="5"/>
        <v>106.2</v>
      </c>
      <c r="BJ27" s="126"/>
      <c r="BK27" s="126"/>
      <c r="BL27" s="126"/>
      <c r="BM27" s="127"/>
      <c r="BN27" s="127"/>
      <c r="BO27" s="127"/>
      <c r="BP27" s="126"/>
      <c r="BQ27" s="126"/>
      <c r="BR27" s="126"/>
      <c r="BS27" s="128"/>
      <c r="BT27" s="128"/>
      <c r="BU27" s="128"/>
    </row>
    <row r="28" s="47" customFormat="1" spans="1:73">
      <c r="A28" s="129">
        <v>45650</v>
      </c>
      <c r="B28" s="130" t="s">
        <v>1242</v>
      </c>
      <c r="C28" s="131">
        <v>600</v>
      </c>
      <c r="D28" s="132"/>
      <c r="E28" s="81">
        <v>-90</v>
      </c>
      <c r="F28" s="104"/>
      <c r="G28" s="81"/>
      <c r="H28" s="78"/>
      <c r="I28" s="81"/>
      <c r="J28" s="104">
        <v>-90</v>
      </c>
      <c r="K28" s="81"/>
      <c r="L28" s="78"/>
      <c r="M28" s="81"/>
      <c r="N28" s="133"/>
      <c r="O28" s="104"/>
      <c r="P28" s="131"/>
      <c r="Q28" s="134"/>
      <c r="R28" s="81"/>
      <c r="S28" s="78"/>
      <c r="T28" s="81"/>
      <c r="U28" s="135"/>
      <c r="V28" s="81"/>
      <c r="W28" s="136"/>
      <c r="X28" s="78"/>
      <c r="Y28" s="81"/>
      <c r="Z28" s="104"/>
      <c r="AA28" s="81"/>
      <c r="AB28" s="78"/>
      <c r="AC28" s="81"/>
      <c r="AD28" s="104"/>
      <c r="AE28" s="81"/>
      <c r="AF28" s="78"/>
      <c r="AG28" s="81"/>
      <c r="AH28" s="123">
        <v>45650</v>
      </c>
      <c r="AI28" s="124"/>
      <c r="AJ28" s="124"/>
      <c r="AK28" s="125"/>
      <c r="AL28" s="126"/>
      <c r="AM28" s="126"/>
      <c r="AN28" s="126"/>
      <c r="AO28" s="127"/>
      <c r="AP28" s="127"/>
      <c r="AQ28" s="127"/>
      <c r="AR28" s="126"/>
      <c r="AS28" s="126"/>
      <c r="AT28" s="126"/>
      <c r="AU28" s="125"/>
      <c r="AV28" s="125"/>
      <c r="AW28" s="125"/>
      <c r="AX28" s="126"/>
      <c r="AY28" s="126"/>
      <c r="AZ28" s="126"/>
      <c r="BA28" s="127"/>
      <c r="BB28" s="127"/>
      <c r="BC28" s="127"/>
      <c r="BD28" s="126">
        <v>60</v>
      </c>
      <c r="BE28" s="126">
        <v>9.3</v>
      </c>
      <c r="BF28" s="126">
        <f t="shared" si="4"/>
        <v>558</v>
      </c>
      <c r="BG28" s="125">
        <v>142</v>
      </c>
      <c r="BH28" s="125">
        <v>5.9</v>
      </c>
      <c r="BI28" s="125">
        <f t="shared" si="5"/>
        <v>837.8</v>
      </c>
      <c r="BJ28" s="126"/>
      <c r="BK28" s="126"/>
      <c r="BL28" s="126"/>
      <c r="BM28" s="127"/>
      <c r="BN28" s="127"/>
      <c r="BO28" s="127"/>
      <c r="BP28" s="126"/>
      <c r="BQ28" s="126"/>
      <c r="BR28" s="126"/>
      <c r="BS28" s="128"/>
      <c r="BT28" s="128"/>
      <c r="BU28" s="128"/>
    </row>
    <row r="29" s="47" customFormat="1" spans="1:73">
      <c r="A29" s="129">
        <v>45650</v>
      </c>
      <c r="B29" s="130" t="s">
        <v>1243</v>
      </c>
      <c r="C29" s="131">
        <v>1003</v>
      </c>
      <c r="D29" s="132"/>
      <c r="E29" s="81"/>
      <c r="F29" s="104"/>
      <c r="G29" s="81"/>
      <c r="H29" s="78"/>
      <c r="I29" s="81"/>
      <c r="J29" s="104"/>
      <c r="K29" s="81"/>
      <c r="L29" s="78"/>
      <c r="M29" s="81"/>
      <c r="N29" s="133"/>
      <c r="O29" s="104"/>
      <c r="P29" s="144">
        <v>-120</v>
      </c>
      <c r="Q29" s="134"/>
      <c r="R29" s="81"/>
      <c r="S29" s="78"/>
      <c r="T29" s="81">
        <v>-140</v>
      </c>
      <c r="U29" s="135"/>
      <c r="V29" s="81"/>
      <c r="W29" s="136"/>
      <c r="X29" s="78"/>
      <c r="Y29" s="81"/>
      <c r="Z29" s="104"/>
      <c r="AA29" s="81"/>
      <c r="AB29" s="78"/>
      <c r="AC29" s="81"/>
      <c r="AD29" s="104"/>
      <c r="AE29" s="81"/>
      <c r="AF29" s="78"/>
      <c r="AG29" s="81"/>
      <c r="AH29" s="123">
        <v>45650</v>
      </c>
      <c r="AI29" s="124"/>
      <c r="AJ29" s="124"/>
      <c r="AK29" s="125"/>
      <c r="AL29" s="126"/>
      <c r="AM29" s="126"/>
      <c r="AN29" s="126"/>
      <c r="AO29" s="127">
        <v>30</v>
      </c>
      <c r="AP29" s="127">
        <v>17</v>
      </c>
      <c r="AQ29" s="127">
        <f>AO29*AP29</f>
        <v>510</v>
      </c>
      <c r="AR29" s="126"/>
      <c r="AS29" s="126"/>
      <c r="AT29" s="126"/>
      <c r="AU29" s="125"/>
      <c r="AV29" s="125"/>
      <c r="AW29" s="125"/>
      <c r="AX29" s="126"/>
      <c r="AY29" s="126"/>
      <c r="AZ29" s="126"/>
      <c r="BA29" s="127"/>
      <c r="BB29" s="127"/>
      <c r="BC29" s="127"/>
      <c r="BD29" s="126">
        <v>100</v>
      </c>
      <c r="BE29" s="126">
        <v>9.3</v>
      </c>
      <c r="BF29" s="126">
        <f t="shared" si="4"/>
        <v>930</v>
      </c>
      <c r="BG29" s="125">
        <v>40</v>
      </c>
      <c r="BH29" s="125">
        <v>5.9</v>
      </c>
      <c r="BI29" s="125">
        <f t="shared" si="5"/>
        <v>236</v>
      </c>
      <c r="BJ29" s="126">
        <v>200</v>
      </c>
      <c r="BK29" s="126">
        <v>3.6</v>
      </c>
      <c r="BL29" s="126">
        <f>BJ29*BK29</f>
        <v>720</v>
      </c>
      <c r="BM29" s="127"/>
      <c r="BN29" s="127"/>
      <c r="BO29" s="127"/>
      <c r="BP29" s="126">
        <v>75</v>
      </c>
      <c r="BQ29" s="126">
        <v>6.8</v>
      </c>
      <c r="BR29" s="126">
        <f t="shared" si="6"/>
        <v>510</v>
      </c>
      <c r="BS29" s="128"/>
      <c r="BT29" s="128"/>
      <c r="BU29" s="128"/>
    </row>
    <row r="30" s="47" customFormat="1" spans="1:73">
      <c r="A30" s="129">
        <v>45651</v>
      </c>
      <c r="B30" s="130" t="s">
        <v>1244</v>
      </c>
      <c r="C30" s="131">
        <v>160</v>
      </c>
      <c r="D30" s="132"/>
      <c r="E30" s="81"/>
      <c r="F30" s="104"/>
      <c r="G30" s="81"/>
      <c r="H30" s="78"/>
      <c r="I30" s="81"/>
      <c r="J30" s="104"/>
      <c r="K30" s="81"/>
      <c r="L30" s="78"/>
      <c r="M30" s="81"/>
      <c r="N30" s="133"/>
      <c r="O30" s="104"/>
      <c r="P30" s="144"/>
      <c r="Q30" s="134"/>
      <c r="R30" s="81"/>
      <c r="S30" s="78"/>
      <c r="T30" s="81"/>
      <c r="U30" s="135"/>
      <c r="V30" s="81"/>
      <c r="W30" s="136"/>
      <c r="X30" s="78"/>
      <c r="Y30" s="81"/>
      <c r="Z30" s="104"/>
      <c r="AA30" s="81"/>
      <c r="AB30" s="78"/>
      <c r="AC30" s="81"/>
      <c r="AD30" s="104"/>
      <c r="AE30" s="81"/>
      <c r="AF30" s="78"/>
      <c r="AG30" s="81"/>
      <c r="AH30" s="123">
        <v>45651</v>
      </c>
      <c r="AI30" s="124"/>
      <c r="AJ30" s="124"/>
      <c r="AK30" s="125"/>
      <c r="AL30" s="126"/>
      <c r="AM30" s="126"/>
      <c r="AN30" s="126"/>
      <c r="AO30" s="141">
        <v>20</v>
      </c>
      <c r="AP30" s="141">
        <v>15</v>
      </c>
      <c r="AQ30" s="141">
        <f>AO30*AP30</f>
        <v>300</v>
      </c>
      <c r="AR30" s="126"/>
      <c r="AS30" s="126"/>
      <c r="AT30" s="126"/>
      <c r="AU30" s="125"/>
      <c r="AV30" s="125"/>
      <c r="AW30" s="125"/>
      <c r="AX30" s="126"/>
      <c r="AY30" s="126"/>
      <c r="AZ30" s="126"/>
      <c r="BA30" s="127"/>
      <c r="BB30" s="127"/>
      <c r="BC30" s="127"/>
      <c r="BD30" s="126"/>
      <c r="BE30" s="126"/>
      <c r="BF30" s="126"/>
      <c r="BG30" s="125">
        <v>64</v>
      </c>
      <c r="BH30" s="125">
        <v>5.9</v>
      </c>
      <c r="BI30" s="125">
        <f t="shared" si="5"/>
        <v>377.6</v>
      </c>
      <c r="BJ30" s="126"/>
      <c r="BK30" s="126"/>
      <c r="BL30" s="126"/>
      <c r="BM30" s="127"/>
      <c r="BN30" s="127"/>
      <c r="BO30" s="127"/>
      <c r="BP30" s="126">
        <v>73</v>
      </c>
      <c r="BQ30" s="126">
        <v>6.8</v>
      </c>
      <c r="BR30" s="126">
        <f t="shared" si="6"/>
        <v>496.4</v>
      </c>
      <c r="BS30" s="128"/>
      <c r="BT30" s="128"/>
      <c r="BU30" s="128"/>
    </row>
    <row r="31" s="47" customFormat="1" spans="1:73">
      <c r="A31" s="129">
        <v>45657</v>
      </c>
      <c r="B31" s="130" t="s">
        <v>1228</v>
      </c>
      <c r="C31" s="131">
        <v>525</v>
      </c>
      <c r="D31" s="132"/>
      <c r="E31" s="81"/>
      <c r="F31" s="104"/>
      <c r="G31" s="81"/>
      <c r="H31" s="78"/>
      <c r="I31" s="81"/>
      <c r="J31" s="104"/>
      <c r="K31" s="81"/>
      <c r="L31" s="78"/>
      <c r="M31" s="81"/>
      <c r="N31" s="133"/>
      <c r="O31" s="104"/>
      <c r="P31" s="131"/>
      <c r="Q31" s="134"/>
      <c r="R31" s="81"/>
      <c r="S31" s="78"/>
      <c r="T31" s="81"/>
      <c r="U31" s="104"/>
      <c r="V31" s="81"/>
      <c r="W31" s="136"/>
      <c r="X31" s="78"/>
      <c r="Y31" s="81"/>
      <c r="Z31" s="104"/>
      <c r="AA31" s="81"/>
      <c r="AB31" s="78"/>
      <c r="AC31" s="81"/>
      <c r="AD31" s="104"/>
      <c r="AE31" s="81"/>
      <c r="AF31" s="78"/>
      <c r="AG31" s="81"/>
      <c r="AH31" s="123">
        <v>45657</v>
      </c>
      <c r="AI31" s="124">
        <v>300</v>
      </c>
      <c r="AJ31" s="124"/>
      <c r="AK31" s="125"/>
      <c r="AL31" s="126"/>
      <c r="AM31" s="126"/>
      <c r="AN31" s="126"/>
      <c r="AO31" s="127"/>
      <c r="AP31" s="127"/>
      <c r="AQ31" s="127"/>
      <c r="AR31" s="126"/>
      <c r="AS31" s="126"/>
      <c r="AT31" s="126"/>
      <c r="AU31" s="125"/>
      <c r="AV31" s="125"/>
      <c r="AW31" s="125"/>
      <c r="AX31" s="126"/>
      <c r="AY31" s="126"/>
      <c r="AZ31" s="126"/>
      <c r="BA31" s="127"/>
      <c r="BB31" s="127"/>
      <c r="BC31" s="127"/>
      <c r="BD31" s="126"/>
      <c r="BE31" s="126"/>
      <c r="BF31" s="126"/>
      <c r="BG31" s="125"/>
      <c r="BH31" s="125"/>
      <c r="BI31" s="125"/>
      <c r="BJ31" s="126"/>
      <c r="BK31" s="126"/>
      <c r="BL31" s="126"/>
      <c r="BM31" s="127"/>
      <c r="BN31" s="127"/>
      <c r="BO31" s="127"/>
      <c r="BP31" s="126">
        <v>60</v>
      </c>
      <c r="BQ31" s="126">
        <v>6.8</v>
      </c>
      <c r="BR31" s="126">
        <f t="shared" si="6"/>
        <v>408</v>
      </c>
      <c r="BS31" s="128">
        <v>60</v>
      </c>
      <c r="BT31" s="128">
        <v>7.8</v>
      </c>
      <c r="BU31" s="128">
        <f>BS31*BT31</f>
        <v>468</v>
      </c>
    </row>
    <row r="32" s="47" customFormat="1" spans="1:73">
      <c r="A32" s="129">
        <v>45657</v>
      </c>
      <c r="B32" s="137" t="s">
        <v>1229</v>
      </c>
      <c r="C32" s="131"/>
      <c r="D32" s="132"/>
      <c r="E32" s="81"/>
      <c r="F32" s="104"/>
      <c r="G32" s="81"/>
      <c r="H32" s="78"/>
      <c r="I32" s="138">
        <v>514</v>
      </c>
      <c r="J32" s="104"/>
      <c r="K32" s="81"/>
      <c r="L32" s="78"/>
      <c r="M32" s="81"/>
      <c r="N32" s="133"/>
      <c r="O32" s="104"/>
      <c r="P32" s="131"/>
      <c r="Q32" s="134"/>
      <c r="R32" s="81"/>
      <c r="S32" s="78"/>
      <c r="T32" s="81"/>
      <c r="U32" s="104"/>
      <c r="V32" s="81"/>
      <c r="W32" s="136"/>
      <c r="X32" s="78"/>
      <c r="Y32" s="81"/>
      <c r="Z32" s="104"/>
      <c r="AA32" s="81"/>
      <c r="AB32" s="78"/>
      <c r="AC32" s="81"/>
      <c r="AD32" s="104"/>
      <c r="AE32" s="81"/>
      <c r="AF32" s="78"/>
      <c r="AG32" s="81"/>
      <c r="AH32" s="123">
        <v>45657</v>
      </c>
      <c r="AI32" s="124"/>
      <c r="AJ32" s="124"/>
      <c r="AK32" s="125"/>
      <c r="AL32" s="126"/>
      <c r="AM32" s="126"/>
      <c r="AN32" s="126"/>
      <c r="AO32" s="127"/>
      <c r="AP32" s="127"/>
      <c r="AQ32" s="127"/>
      <c r="AR32" s="126"/>
      <c r="AS32" s="126"/>
      <c r="AT32" s="126"/>
      <c r="AU32" s="125"/>
      <c r="AV32" s="125"/>
      <c r="AW32" s="125"/>
      <c r="AX32" s="126"/>
      <c r="AY32" s="126"/>
      <c r="AZ32" s="126"/>
      <c r="BA32" s="127"/>
      <c r="BB32" s="127"/>
      <c r="BC32" s="127"/>
      <c r="BD32" s="126"/>
      <c r="BE32" s="126"/>
      <c r="BF32" s="126"/>
      <c r="BG32" s="125"/>
      <c r="BH32" s="125"/>
      <c r="BI32" s="125"/>
      <c r="BJ32" s="126"/>
      <c r="BK32" s="126"/>
      <c r="BL32" s="126"/>
      <c r="BM32" s="127"/>
      <c r="BN32" s="127"/>
      <c r="BO32" s="127"/>
      <c r="BP32" s="126"/>
      <c r="BQ32" s="126"/>
      <c r="BR32" s="126"/>
      <c r="BS32" s="128"/>
      <c r="BT32" s="128"/>
      <c r="BU32" s="128"/>
    </row>
    <row r="33" s="47" customFormat="1" spans="1:73">
      <c r="A33" s="129"/>
      <c r="B33" s="130"/>
      <c r="C33" s="131"/>
      <c r="D33" s="132"/>
      <c r="E33" s="81"/>
      <c r="F33" s="104"/>
      <c r="G33" s="81"/>
      <c r="H33" s="78"/>
      <c r="I33" s="81"/>
      <c r="J33" s="104"/>
      <c r="K33" s="81"/>
      <c r="L33" s="78"/>
      <c r="M33" s="81"/>
      <c r="N33" s="133"/>
      <c r="O33" s="104"/>
      <c r="P33" s="144"/>
      <c r="Q33" s="134"/>
      <c r="R33" s="81"/>
      <c r="S33" s="78"/>
      <c r="T33" s="81"/>
      <c r="U33" s="135"/>
      <c r="V33" s="81"/>
      <c r="W33" s="136"/>
      <c r="X33" s="78"/>
      <c r="Y33" s="81"/>
      <c r="Z33" s="104"/>
      <c r="AA33" s="81"/>
      <c r="AB33" s="78"/>
      <c r="AC33" s="81"/>
      <c r="AD33" s="104"/>
      <c r="AE33" s="81"/>
      <c r="AF33" s="78"/>
      <c r="AG33" s="81"/>
      <c r="AH33" s="123"/>
      <c r="AI33" s="124"/>
      <c r="AJ33" s="124"/>
      <c r="AK33" s="125"/>
      <c r="AL33" s="126"/>
      <c r="AM33" s="126"/>
      <c r="AN33" s="126"/>
      <c r="AO33" s="127"/>
      <c r="AP33" s="127"/>
      <c r="AQ33" s="127"/>
      <c r="AR33" s="126"/>
      <c r="AS33" s="126"/>
      <c r="AT33" s="126"/>
      <c r="AU33" s="125"/>
      <c r="AV33" s="125"/>
      <c r="AW33" s="125"/>
      <c r="AX33" s="126"/>
      <c r="AY33" s="126"/>
      <c r="AZ33" s="126"/>
      <c r="BA33" s="127"/>
      <c r="BB33" s="127"/>
      <c r="BC33" s="127"/>
      <c r="BD33" s="126"/>
      <c r="BE33" s="126"/>
      <c r="BF33" s="126"/>
      <c r="BG33" s="125"/>
      <c r="BH33" s="125"/>
      <c r="BI33" s="125"/>
      <c r="BJ33" s="126"/>
      <c r="BK33" s="126"/>
      <c r="BL33" s="126"/>
      <c r="BM33" s="127"/>
      <c r="BN33" s="127"/>
      <c r="BO33" s="127"/>
      <c r="BP33" s="126"/>
      <c r="BQ33" s="126"/>
      <c r="BR33" s="126"/>
      <c r="BS33" s="128"/>
      <c r="BT33" s="128"/>
      <c r="BU33" s="128"/>
    </row>
    <row r="34" s="47" customFormat="1" spans="1:73">
      <c r="A34" s="129"/>
      <c r="B34" s="130"/>
      <c r="C34" s="131"/>
      <c r="D34" s="132"/>
      <c r="E34" s="81"/>
      <c r="F34" s="104"/>
      <c r="G34" s="81"/>
      <c r="H34" s="78"/>
      <c r="I34" s="81"/>
      <c r="J34" s="104"/>
      <c r="K34" s="81"/>
      <c r="L34" s="78"/>
      <c r="M34" s="81"/>
      <c r="N34" s="133"/>
      <c r="O34" s="104"/>
      <c r="P34" s="144"/>
      <c r="Q34" s="134"/>
      <c r="R34" s="81"/>
      <c r="S34" s="78"/>
      <c r="T34" s="81"/>
      <c r="U34" s="135"/>
      <c r="V34" s="81"/>
      <c r="W34" s="136"/>
      <c r="X34" s="78"/>
      <c r="Y34" s="81"/>
      <c r="Z34" s="104"/>
      <c r="AA34" s="81"/>
      <c r="AB34" s="78"/>
      <c r="AC34" s="81"/>
      <c r="AD34" s="104"/>
      <c r="AE34" s="81"/>
      <c r="AF34" s="78"/>
      <c r="AG34" s="81"/>
      <c r="AH34" s="123"/>
      <c r="AI34" s="124"/>
      <c r="AJ34" s="124"/>
      <c r="AK34" s="125"/>
      <c r="AL34" s="126"/>
      <c r="AM34" s="126"/>
      <c r="AN34" s="126"/>
      <c r="AO34" s="127"/>
      <c r="AP34" s="127"/>
      <c r="AQ34" s="127"/>
      <c r="AR34" s="126"/>
      <c r="AS34" s="126"/>
      <c r="AT34" s="126"/>
      <c r="AU34" s="125"/>
      <c r="AV34" s="125"/>
      <c r="AW34" s="125"/>
      <c r="AX34" s="126"/>
      <c r="AY34" s="126"/>
      <c r="AZ34" s="126"/>
      <c r="BA34" s="127"/>
      <c r="BB34" s="127"/>
      <c r="BC34" s="127"/>
      <c r="BD34" s="126"/>
      <c r="BE34" s="126"/>
      <c r="BF34" s="126"/>
      <c r="BG34" s="125"/>
      <c r="BH34" s="125"/>
      <c r="BI34" s="125"/>
      <c r="BJ34" s="126"/>
      <c r="BK34" s="126"/>
      <c r="BL34" s="126"/>
      <c r="BM34" s="127"/>
      <c r="BN34" s="127"/>
      <c r="BO34" s="127"/>
      <c r="BP34" s="126"/>
      <c r="BQ34" s="126"/>
      <c r="BR34" s="126"/>
      <c r="BS34" s="128"/>
      <c r="BT34" s="128"/>
      <c r="BU34" s="128"/>
    </row>
    <row r="35" s="47" customFormat="1" spans="1:73">
      <c r="A35" s="129"/>
      <c r="B35" s="130"/>
      <c r="C35" s="131"/>
      <c r="D35" s="132"/>
      <c r="E35" s="81"/>
      <c r="F35" s="104"/>
      <c r="G35" s="81"/>
      <c r="H35" s="78"/>
      <c r="I35" s="81"/>
      <c r="J35" s="104"/>
      <c r="K35" s="81"/>
      <c r="L35" s="78"/>
      <c r="M35" s="81"/>
      <c r="N35" s="133"/>
      <c r="O35" s="104"/>
      <c r="P35" s="144"/>
      <c r="Q35" s="134"/>
      <c r="R35" s="81"/>
      <c r="S35" s="78"/>
      <c r="T35" s="81"/>
      <c r="U35" s="135"/>
      <c r="V35" s="81"/>
      <c r="W35" s="136"/>
      <c r="X35" s="78"/>
      <c r="Y35" s="81"/>
      <c r="Z35" s="104"/>
      <c r="AA35" s="81"/>
      <c r="AB35" s="78"/>
      <c r="AC35" s="81"/>
      <c r="AD35" s="104"/>
      <c r="AE35" s="81"/>
      <c r="AF35" s="78"/>
      <c r="AG35" s="81"/>
      <c r="AH35" s="123"/>
      <c r="AI35" s="124"/>
      <c r="AJ35" s="124"/>
      <c r="AK35" s="125"/>
      <c r="AL35" s="126"/>
      <c r="AM35" s="126"/>
      <c r="AN35" s="126"/>
      <c r="AO35" s="127"/>
      <c r="AP35" s="127"/>
      <c r="AQ35" s="127"/>
      <c r="AR35" s="126"/>
      <c r="AS35" s="126"/>
      <c r="AT35" s="126"/>
      <c r="AU35" s="125"/>
      <c r="AV35" s="125"/>
      <c r="AW35" s="125"/>
      <c r="AX35" s="126"/>
      <c r="AY35" s="126"/>
      <c r="AZ35" s="126"/>
      <c r="BA35" s="127"/>
      <c r="BB35" s="127"/>
      <c r="BC35" s="127"/>
      <c r="BD35" s="126"/>
      <c r="BE35" s="126"/>
      <c r="BF35" s="126"/>
      <c r="BG35" s="125"/>
      <c r="BH35" s="125"/>
      <c r="BI35" s="125"/>
      <c r="BJ35" s="126"/>
      <c r="BK35" s="126"/>
      <c r="BL35" s="126"/>
      <c r="BM35" s="127"/>
      <c r="BN35" s="127"/>
      <c r="BO35" s="127"/>
      <c r="BP35" s="126"/>
      <c r="BQ35" s="126"/>
      <c r="BR35" s="126"/>
      <c r="BS35" s="128"/>
      <c r="BT35" s="128"/>
      <c r="BU35" s="128"/>
    </row>
    <row r="36" s="47" customFormat="1" spans="1:73">
      <c r="A36" s="129"/>
      <c r="B36" s="130"/>
      <c r="C36" s="131"/>
      <c r="D36" s="132"/>
      <c r="E36" s="81"/>
      <c r="F36" s="104"/>
      <c r="G36" s="81"/>
      <c r="H36" s="78"/>
      <c r="I36" s="81"/>
      <c r="J36" s="104"/>
      <c r="K36" s="81"/>
      <c r="L36" s="78"/>
      <c r="M36" s="81"/>
      <c r="N36" s="133"/>
      <c r="O36" s="104"/>
      <c r="P36" s="144"/>
      <c r="Q36" s="134"/>
      <c r="R36" s="81"/>
      <c r="S36" s="78"/>
      <c r="T36" s="81"/>
      <c r="U36" s="135"/>
      <c r="V36" s="81"/>
      <c r="W36" s="136"/>
      <c r="X36" s="78"/>
      <c r="Y36" s="81"/>
      <c r="Z36" s="104"/>
      <c r="AA36" s="81"/>
      <c r="AB36" s="78"/>
      <c r="AC36" s="81"/>
      <c r="AD36" s="104"/>
      <c r="AE36" s="81"/>
      <c r="AF36" s="78"/>
      <c r="AG36" s="81"/>
      <c r="AH36" s="123"/>
      <c r="AI36" s="124"/>
      <c r="AJ36" s="124"/>
      <c r="AK36" s="125"/>
      <c r="AL36" s="126"/>
      <c r="AM36" s="126"/>
      <c r="AN36" s="126"/>
      <c r="AO36" s="127"/>
      <c r="AP36" s="127"/>
      <c r="AQ36" s="127"/>
      <c r="AR36" s="126"/>
      <c r="AS36" s="126"/>
      <c r="AT36" s="126"/>
      <c r="AU36" s="125"/>
      <c r="AV36" s="125"/>
      <c r="AW36" s="125"/>
      <c r="AX36" s="126"/>
      <c r="AY36" s="126"/>
      <c r="AZ36" s="126"/>
      <c r="BA36" s="127"/>
      <c r="BB36" s="127"/>
      <c r="BC36" s="127"/>
      <c r="BD36" s="126"/>
      <c r="BE36" s="126"/>
      <c r="BF36" s="126"/>
      <c r="BG36" s="125"/>
      <c r="BH36" s="125"/>
      <c r="BI36" s="125"/>
      <c r="BJ36" s="126"/>
      <c r="BK36" s="126"/>
      <c r="BL36" s="126"/>
      <c r="BM36" s="127"/>
      <c r="BN36" s="127"/>
      <c r="BO36" s="127"/>
      <c r="BP36" s="126"/>
      <c r="BQ36" s="126"/>
      <c r="BR36" s="126"/>
      <c r="BS36" s="128"/>
      <c r="BT36" s="128"/>
      <c r="BU36" s="128"/>
    </row>
    <row r="37" s="47" customFormat="1" spans="1:73">
      <c r="A37" s="129"/>
      <c r="B37" s="130"/>
      <c r="C37" s="131"/>
      <c r="D37" s="132"/>
      <c r="E37" s="81"/>
      <c r="F37" s="104"/>
      <c r="G37" s="81"/>
      <c r="H37" s="78"/>
      <c r="I37" s="81"/>
      <c r="J37" s="104"/>
      <c r="K37" s="81"/>
      <c r="L37" s="78"/>
      <c r="M37" s="81"/>
      <c r="N37" s="133"/>
      <c r="O37" s="104"/>
      <c r="P37" s="144"/>
      <c r="Q37" s="134"/>
      <c r="R37" s="81"/>
      <c r="S37" s="78"/>
      <c r="T37" s="81"/>
      <c r="U37" s="135"/>
      <c r="V37" s="81"/>
      <c r="W37" s="136"/>
      <c r="X37" s="78"/>
      <c r="Y37" s="81"/>
      <c r="Z37" s="104"/>
      <c r="AA37" s="81"/>
      <c r="AB37" s="78"/>
      <c r="AC37" s="81"/>
      <c r="AD37" s="104"/>
      <c r="AE37" s="81"/>
      <c r="AF37" s="78"/>
      <c r="AG37" s="81"/>
      <c r="AH37" s="123"/>
      <c r="AI37" s="124"/>
      <c r="AJ37" s="124"/>
      <c r="AK37" s="125"/>
      <c r="AL37" s="126"/>
      <c r="AM37" s="126"/>
      <c r="AN37" s="126"/>
      <c r="AO37" s="127"/>
      <c r="AP37" s="127"/>
      <c r="AQ37" s="127"/>
      <c r="AR37" s="126"/>
      <c r="AS37" s="126"/>
      <c r="AT37" s="126"/>
      <c r="AU37" s="125"/>
      <c r="AV37" s="125"/>
      <c r="AW37" s="125"/>
      <c r="AX37" s="126"/>
      <c r="AY37" s="126"/>
      <c r="AZ37" s="126"/>
      <c r="BA37" s="127"/>
      <c r="BB37" s="127"/>
      <c r="BC37" s="127"/>
      <c r="BD37" s="126"/>
      <c r="BE37" s="126"/>
      <c r="BF37" s="126"/>
      <c r="BG37" s="125"/>
      <c r="BH37" s="125"/>
      <c r="BI37" s="125"/>
      <c r="BJ37" s="126"/>
      <c r="BK37" s="126"/>
      <c r="BL37" s="126"/>
      <c r="BM37" s="127"/>
      <c r="BN37" s="127"/>
      <c r="BO37" s="127"/>
      <c r="BP37" s="126"/>
      <c r="BQ37" s="126"/>
      <c r="BR37" s="126"/>
      <c r="BS37" s="128"/>
      <c r="BT37" s="128"/>
      <c r="BU37" s="128"/>
    </row>
    <row r="38" s="47" customFormat="1" spans="1:73">
      <c r="A38" s="129"/>
      <c r="B38" s="130"/>
      <c r="C38" s="131"/>
      <c r="D38" s="132"/>
      <c r="E38" s="81"/>
      <c r="F38" s="104"/>
      <c r="G38" s="81"/>
      <c r="H38" s="78"/>
      <c r="I38" s="81"/>
      <c r="J38" s="104"/>
      <c r="K38" s="81"/>
      <c r="L38" s="78"/>
      <c r="M38" s="81"/>
      <c r="N38" s="133"/>
      <c r="O38" s="104"/>
      <c r="P38" s="144"/>
      <c r="Q38" s="134"/>
      <c r="R38" s="81"/>
      <c r="S38" s="78"/>
      <c r="T38" s="81"/>
      <c r="U38" s="135"/>
      <c r="V38" s="81"/>
      <c r="W38" s="136"/>
      <c r="X38" s="78"/>
      <c r="Y38" s="81"/>
      <c r="Z38" s="104"/>
      <c r="AA38" s="81"/>
      <c r="AB38" s="78"/>
      <c r="AC38" s="81"/>
      <c r="AD38" s="104"/>
      <c r="AE38" s="81"/>
      <c r="AF38" s="78"/>
      <c r="AG38" s="81"/>
      <c r="AH38" s="123"/>
      <c r="AI38" s="124"/>
      <c r="AJ38" s="124"/>
      <c r="AK38" s="125"/>
      <c r="AL38" s="126"/>
      <c r="AM38" s="126"/>
      <c r="AN38" s="126"/>
      <c r="AO38" s="127"/>
      <c r="AP38" s="127"/>
      <c r="AQ38" s="127"/>
      <c r="AR38" s="126"/>
      <c r="AS38" s="126"/>
      <c r="AT38" s="126"/>
      <c r="AU38" s="125"/>
      <c r="AV38" s="125"/>
      <c r="AW38" s="125"/>
      <c r="AX38" s="126"/>
      <c r="AY38" s="126"/>
      <c r="AZ38" s="126"/>
      <c r="BA38" s="127"/>
      <c r="BB38" s="127"/>
      <c r="BC38" s="127"/>
      <c r="BD38" s="126"/>
      <c r="BE38" s="126"/>
      <c r="BF38" s="126"/>
      <c r="BG38" s="125"/>
      <c r="BH38" s="125"/>
      <c r="BI38" s="125"/>
      <c r="BJ38" s="126"/>
      <c r="BK38" s="126"/>
      <c r="BL38" s="126"/>
      <c r="BM38" s="127"/>
      <c r="BN38" s="127"/>
      <c r="BO38" s="127"/>
      <c r="BP38" s="126"/>
      <c r="BQ38" s="126"/>
      <c r="BR38" s="126"/>
      <c r="BS38" s="128"/>
      <c r="BT38" s="128"/>
      <c r="BU38" s="128"/>
    </row>
    <row r="39" s="47" customFormat="1" spans="1:73">
      <c r="A39" s="129"/>
      <c r="B39" s="130"/>
      <c r="C39" s="131"/>
      <c r="D39" s="132"/>
      <c r="E39" s="81"/>
      <c r="F39" s="104"/>
      <c r="G39" s="81"/>
      <c r="H39" s="78"/>
      <c r="I39" s="81"/>
      <c r="J39" s="104"/>
      <c r="K39" s="81"/>
      <c r="L39" s="78"/>
      <c r="M39" s="81"/>
      <c r="N39" s="133"/>
      <c r="O39" s="104"/>
      <c r="P39" s="144"/>
      <c r="Q39" s="134"/>
      <c r="R39" s="81"/>
      <c r="S39" s="78"/>
      <c r="T39" s="81"/>
      <c r="U39" s="135"/>
      <c r="V39" s="81"/>
      <c r="W39" s="136"/>
      <c r="X39" s="78"/>
      <c r="Y39" s="81"/>
      <c r="Z39" s="104"/>
      <c r="AA39" s="81"/>
      <c r="AB39" s="78"/>
      <c r="AC39" s="81"/>
      <c r="AD39" s="104"/>
      <c r="AE39" s="81"/>
      <c r="AF39" s="78"/>
      <c r="AG39" s="81"/>
      <c r="AH39" s="123"/>
      <c r="AI39" s="124"/>
      <c r="AJ39" s="124"/>
      <c r="AK39" s="125"/>
      <c r="AL39" s="126"/>
      <c r="AM39" s="126"/>
      <c r="AN39" s="126"/>
      <c r="AO39" s="127"/>
      <c r="AP39" s="127"/>
      <c r="AQ39" s="127"/>
      <c r="AR39" s="126"/>
      <c r="AS39" s="126"/>
      <c r="AT39" s="126"/>
      <c r="AU39" s="125"/>
      <c r="AV39" s="125"/>
      <c r="AW39" s="125"/>
      <c r="AX39" s="126"/>
      <c r="AY39" s="126"/>
      <c r="AZ39" s="126"/>
      <c r="BA39" s="127"/>
      <c r="BB39" s="127"/>
      <c r="BC39" s="127"/>
      <c r="BD39" s="126"/>
      <c r="BE39" s="126"/>
      <c r="BF39" s="126"/>
      <c r="BG39" s="125"/>
      <c r="BH39" s="125"/>
      <c r="BI39" s="125"/>
      <c r="BJ39" s="126"/>
      <c r="BK39" s="126"/>
      <c r="BL39" s="126"/>
      <c r="BM39" s="127"/>
      <c r="BN39" s="127"/>
      <c r="BO39" s="127"/>
      <c r="BP39" s="126"/>
      <c r="BQ39" s="126"/>
      <c r="BR39" s="126"/>
      <c r="BS39" s="128"/>
      <c r="BT39" s="128"/>
      <c r="BU39" s="128"/>
    </row>
    <row r="40" s="47" customFormat="1" spans="1:73">
      <c r="A40" s="129"/>
      <c r="B40" s="130"/>
      <c r="C40" s="131"/>
      <c r="D40" s="132"/>
      <c r="E40" s="81"/>
      <c r="F40" s="104"/>
      <c r="G40" s="81"/>
      <c r="H40" s="78"/>
      <c r="I40" s="81"/>
      <c r="J40" s="104"/>
      <c r="K40" s="81"/>
      <c r="L40" s="78"/>
      <c r="M40" s="81"/>
      <c r="N40" s="133"/>
      <c r="O40" s="104"/>
      <c r="P40" s="144"/>
      <c r="Q40" s="134"/>
      <c r="R40" s="81"/>
      <c r="S40" s="78"/>
      <c r="T40" s="81"/>
      <c r="U40" s="135"/>
      <c r="V40" s="81"/>
      <c r="W40" s="136"/>
      <c r="X40" s="78"/>
      <c r="Y40" s="81"/>
      <c r="Z40" s="104"/>
      <c r="AA40" s="81"/>
      <c r="AB40" s="78"/>
      <c r="AC40" s="81"/>
      <c r="AD40" s="104"/>
      <c r="AE40" s="81"/>
      <c r="AF40" s="78"/>
      <c r="AG40" s="81"/>
      <c r="AH40" s="123"/>
      <c r="AI40" s="124"/>
      <c r="AJ40" s="124"/>
      <c r="AK40" s="125"/>
      <c r="AL40" s="126"/>
      <c r="AM40" s="126"/>
      <c r="AN40" s="126"/>
      <c r="AO40" s="127"/>
      <c r="AP40" s="127"/>
      <c r="AQ40" s="127"/>
      <c r="AR40" s="126"/>
      <c r="AS40" s="126"/>
      <c r="AT40" s="126"/>
      <c r="AU40" s="125"/>
      <c r="AV40" s="125"/>
      <c r="AW40" s="125"/>
      <c r="AX40" s="126"/>
      <c r="AY40" s="126"/>
      <c r="AZ40" s="126"/>
      <c r="BA40" s="127"/>
      <c r="BB40" s="127"/>
      <c r="BC40" s="127"/>
      <c r="BD40" s="126"/>
      <c r="BE40" s="126"/>
      <c r="BF40" s="126"/>
      <c r="BG40" s="125"/>
      <c r="BH40" s="125"/>
      <c r="BI40" s="125"/>
      <c r="BJ40" s="126"/>
      <c r="BK40" s="126"/>
      <c r="BL40" s="126"/>
      <c r="BM40" s="127"/>
      <c r="BN40" s="127"/>
      <c r="BO40" s="127"/>
      <c r="BP40" s="126"/>
      <c r="BQ40" s="126"/>
      <c r="BR40" s="126"/>
      <c r="BS40" s="128"/>
      <c r="BT40" s="128"/>
      <c r="BU40" s="128"/>
    </row>
    <row r="41" s="47" customFormat="1" spans="1:73">
      <c r="A41" s="129"/>
      <c r="B41" s="130"/>
      <c r="C41" s="131"/>
      <c r="D41" s="132"/>
      <c r="E41" s="81"/>
      <c r="F41" s="104"/>
      <c r="G41" s="81"/>
      <c r="H41" s="78"/>
      <c r="I41" s="81"/>
      <c r="J41" s="104"/>
      <c r="K41" s="81"/>
      <c r="L41" s="78"/>
      <c r="M41" s="81"/>
      <c r="N41" s="133"/>
      <c r="O41" s="104"/>
      <c r="P41" s="144"/>
      <c r="Q41" s="134"/>
      <c r="R41" s="81"/>
      <c r="S41" s="78"/>
      <c r="T41" s="81"/>
      <c r="U41" s="135"/>
      <c r="V41" s="81"/>
      <c r="W41" s="136"/>
      <c r="X41" s="78"/>
      <c r="Y41" s="81"/>
      <c r="Z41" s="104"/>
      <c r="AA41" s="81"/>
      <c r="AB41" s="78"/>
      <c r="AC41" s="81"/>
      <c r="AD41" s="104"/>
      <c r="AE41" s="81"/>
      <c r="AF41" s="78"/>
      <c r="AG41" s="81"/>
      <c r="AH41" s="123"/>
      <c r="AI41" s="124"/>
      <c r="AJ41" s="124"/>
      <c r="AK41" s="125"/>
      <c r="AL41" s="126"/>
      <c r="AM41" s="126"/>
      <c r="AN41" s="126"/>
      <c r="AO41" s="127"/>
      <c r="AP41" s="127"/>
      <c r="AQ41" s="127"/>
      <c r="AR41" s="126"/>
      <c r="AS41" s="126"/>
      <c r="AT41" s="126"/>
      <c r="AU41" s="125"/>
      <c r="AV41" s="125"/>
      <c r="AW41" s="125"/>
      <c r="AX41" s="126"/>
      <c r="AY41" s="126"/>
      <c r="AZ41" s="126"/>
      <c r="BA41" s="127"/>
      <c r="BB41" s="127"/>
      <c r="BC41" s="127"/>
      <c r="BD41" s="126"/>
      <c r="BE41" s="126"/>
      <c r="BF41" s="126"/>
      <c r="BG41" s="125"/>
      <c r="BH41" s="125"/>
      <c r="BI41" s="125"/>
      <c r="BJ41" s="126"/>
      <c r="BK41" s="126"/>
      <c r="BL41" s="126"/>
      <c r="BM41" s="127"/>
      <c r="BN41" s="127"/>
      <c r="BO41" s="127"/>
      <c r="BP41" s="126"/>
      <c r="BQ41" s="126"/>
      <c r="BR41" s="126"/>
      <c r="BS41" s="128"/>
      <c r="BT41" s="128"/>
      <c r="BU41" s="128"/>
    </row>
    <row r="42" s="47" customFormat="1" spans="1:73">
      <c r="A42" s="129"/>
      <c r="B42" s="130"/>
      <c r="C42" s="131"/>
      <c r="D42" s="132"/>
      <c r="E42" s="81"/>
      <c r="F42" s="104"/>
      <c r="G42" s="81"/>
      <c r="H42" s="78"/>
      <c r="I42" s="81"/>
      <c r="J42" s="104"/>
      <c r="K42" s="81"/>
      <c r="L42" s="78"/>
      <c r="M42" s="81"/>
      <c r="N42" s="133"/>
      <c r="O42" s="104"/>
      <c r="P42" s="144"/>
      <c r="Q42" s="134"/>
      <c r="R42" s="81"/>
      <c r="S42" s="78"/>
      <c r="T42" s="81"/>
      <c r="U42" s="135"/>
      <c r="V42" s="81"/>
      <c r="W42" s="136"/>
      <c r="X42" s="78"/>
      <c r="Y42" s="81"/>
      <c r="Z42" s="104"/>
      <c r="AA42" s="81"/>
      <c r="AB42" s="78"/>
      <c r="AC42" s="81"/>
      <c r="AD42" s="104"/>
      <c r="AE42" s="81"/>
      <c r="AF42" s="78"/>
      <c r="AG42" s="81"/>
      <c r="AH42" s="123"/>
      <c r="AI42" s="124"/>
      <c r="AJ42" s="124"/>
      <c r="AK42" s="125"/>
      <c r="AL42" s="126"/>
      <c r="AM42" s="126"/>
      <c r="AN42" s="126"/>
      <c r="AO42" s="127"/>
      <c r="AP42" s="127"/>
      <c r="AQ42" s="127"/>
      <c r="AR42" s="126"/>
      <c r="AS42" s="126"/>
      <c r="AT42" s="126"/>
      <c r="AU42" s="125"/>
      <c r="AV42" s="125"/>
      <c r="AW42" s="125"/>
      <c r="AX42" s="126"/>
      <c r="AY42" s="126"/>
      <c r="AZ42" s="126"/>
      <c r="BA42" s="127"/>
      <c r="BB42" s="127"/>
      <c r="BC42" s="127"/>
      <c r="BD42" s="126"/>
      <c r="BE42" s="126"/>
      <c r="BF42" s="126"/>
      <c r="BG42" s="125"/>
      <c r="BH42" s="125"/>
      <c r="BI42" s="125"/>
      <c r="BJ42" s="126"/>
      <c r="BK42" s="126"/>
      <c r="BL42" s="126"/>
      <c r="BM42" s="127"/>
      <c r="BN42" s="127"/>
      <c r="BO42" s="127"/>
      <c r="BP42" s="126"/>
      <c r="BQ42" s="126"/>
      <c r="BR42" s="126"/>
      <c r="BS42" s="128"/>
      <c r="BT42" s="128"/>
      <c r="BU42" s="128"/>
    </row>
    <row r="43" s="47" customFormat="1" spans="1:73">
      <c r="A43" s="129"/>
      <c r="B43" s="130"/>
      <c r="C43" s="131"/>
      <c r="D43" s="132"/>
      <c r="E43" s="81"/>
      <c r="F43" s="104"/>
      <c r="G43" s="81"/>
      <c r="H43" s="78"/>
      <c r="I43" s="81"/>
      <c r="J43" s="104"/>
      <c r="K43" s="81"/>
      <c r="L43" s="78"/>
      <c r="M43" s="81"/>
      <c r="N43" s="133"/>
      <c r="O43" s="104"/>
      <c r="P43" s="144"/>
      <c r="Q43" s="134"/>
      <c r="R43" s="81"/>
      <c r="S43" s="78"/>
      <c r="T43" s="81"/>
      <c r="U43" s="135"/>
      <c r="V43" s="81"/>
      <c r="W43" s="136"/>
      <c r="X43" s="78"/>
      <c r="Y43" s="81"/>
      <c r="Z43" s="104"/>
      <c r="AA43" s="81"/>
      <c r="AB43" s="78"/>
      <c r="AC43" s="81"/>
      <c r="AD43" s="104"/>
      <c r="AE43" s="81"/>
      <c r="AF43" s="78"/>
      <c r="AG43" s="81"/>
      <c r="AH43" s="123"/>
      <c r="AI43" s="124"/>
      <c r="AJ43" s="124"/>
      <c r="AK43" s="125"/>
      <c r="AL43" s="126"/>
      <c r="AM43" s="126"/>
      <c r="AN43" s="126"/>
      <c r="AO43" s="127"/>
      <c r="AP43" s="127"/>
      <c r="AQ43" s="127"/>
      <c r="AR43" s="126"/>
      <c r="AS43" s="126"/>
      <c r="AT43" s="126"/>
      <c r="AU43" s="125"/>
      <c r="AV43" s="125"/>
      <c r="AW43" s="125"/>
      <c r="AX43" s="126"/>
      <c r="AY43" s="126"/>
      <c r="AZ43" s="126"/>
      <c r="BA43" s="127"/>
      <c r="BB43" s="127"/>
      <c r="BC43" s="127"/>
      <c r="BD43" s="126"/>
      <c r="BE43" s="126"/>
      <c r="BF43" s="126"/>
      <c r="BG43" s="125"/>
      <c r="BH43" s="125"/>
      <c r="BI43" s="125"/>
      <c r="BJ43" s="126"/>
      <c r="BK43" s="126"/>
      <c r="BL43" s="126"/>
      <c r="BM43" s="127"/>
      <c r="BN43" s="127"/>
      <c r="BO43" s="127"/>
      <c r="BP43" s="126"/>
      <c r="BQ43" s="126"/>
      <c r="BR43" s="126"/>
      <c r="BS43" s="128"/>
      <c r="BT43" s="128"/>
      <c r="BU43" s="128"/>
    </row>
    <row r="44" s="47" customFormat="1" spans="1:73">
      <c r="A44" s="129"/>
      <c r="B44" s="130"/>
      <c r="C44" s="131"/>
      <c r="D44" s="132"/>
      <c r="E44" s="81"/>
      <c r="F44" s="104"/>
      <c r="G44" s="81"/>
      <c r="H44" s="78"/>
      <c r="I44" s="81"/>
      <c r="J44" s="104"/>
      <c r="K44" s="81"/>
      <c r="L44" s="78"/>
      <c r="M44" s="81"/>
      <c r="N44" s="133"/>
      <c r="O44" s="104"/>
      <c r="P44" s="144"/>
      <c r="Q44" s="134"/>
      <c r="R44" s="81"/>
      <c r="S44" s="78"/>
      <c r="T44" s="81"/>
      <c r="U44" s="135"/>
      <c r="V44" s="81"/>
      <c r="W44" s="136"/>
      <c r="X44" s="78"/>
      <c r="Y44" s="81"/>
      <c r="Z44" s="104"/>
      <c r="AA44" s="81"/>
      <c r="AB44" s="78"/>
      <c r="AC44" s="81"/>
      <c r="AD44" s="104"/>
      <c r="AE44" s="81"/>
      <c r="AF44" s="78"/>
      <c r="AG44" s="81"/>
      <c r="AH44" s="123"/>
      <c r="AI44" s="124"/>
      <c r="AJ44" s="124"/>
      <c r="AK44" s="125"/>
      <c r="AL44" s="126"/>
      <c r="AM44" s="126"/>
      <c r="AN44" s="126"/>
      <c r="AO44" s="127"/>
      <c r="AP44" s="127"/>
      <c r="AQ44" s="127"/>
      <c r="AR44" s="126"/>
      <c r="AS44" s="126"/>
      <c r="AT44" s="126"/>
      <c r="AU44" s="125"/>
      <c r="AV44" s="125"/>
      <c r="AW44" s="125"/>
      <c r="AX44" s="126"/>
      <c r="AY44" s="126"/>
      <c r="AZ44" s="126"/>
      <c r="BA44" s="127"/>
      <c r="BB44" s="127"/>
      <c r="BC44" s="127"/>
      <c r="BD44" s="126"/>
      <c r="BE44" s="126"/>
      <c r="BF44" s="126"/>
      <c r="BG44" s="125"/>
      <c r="BH44" s="125"/>
      <c r="BI44" s="125"/>
      <c r="BJ44" s="126"/>
      <c r="BK44" s="126"/>
      <c r="BL44" s="126"/>
      <c r="BM44" s="127"/>
      <c r="BN44" s="127"/>
      <c r="BO44" s="127"/>
      <c r="BP44" s="126"/>
      <c r="BQ44" s="126"/>
      <c r="BR44" s="126"/>
      <c r="BS44" s="128"/>
      <c r="BT44" s="128"/>
      <c r="BU44" s="128"/>
    </row>
    <row r="45" s="47" customFormat="1" spans="1:73">
      <c r="A45" s="129"/>
      <c r="B45" s="130"/>
      <c r="C45" s="131"/>
      <c r="D45" s="132"/>
      <c r="E45" s="81"/>
      <c r="F45" s="104"/>
      <c r="G45" s="81"/>
      <c r="H45" s="78"/>
      <c r="I45" s="81"/>
      <c r="J45" s="104"/>
      <c r="K45" s="81"/>
      <c r="L45" s="78"/>
      <c r="M45" s="81"/>
      <c r="N45" s="133"/>
      <c r="O45" s="104"/>
      <c r="P45" s="144"/>
      <c r="Q45" s="134"/>
      <c r="R45" s="81"/>
      <c r="S45" s="78"/>
      <c r="T45" s="81"/>
      <c r="U45" s="135"/>
      <c r="V45" s="81"/>
      <c r="W45" s="136"/>
      <c r="X45" s="78"/>
      <c r="Y45" s="81"/>
      <c r="Z45" s="104"/>
      <c r="AA45" s="81"/>
      <c r="AB45" s="78"/>
      <c r="AC45" s="81"/>
      <c r="AD45" s="104"/>
      <c r="AE45" s="81"/>
      <c r="AF45" s="78"/>
      <c r="AG45" s="81"/>
      <c r="AH45" s="123"/>
      <c r="AI45" s="124"/>
      <c r="AJ45" s="124"/>
      <c r="AK45" s="125"/>
      <c r="AL45" s="126"/>
      <c r="AM45" s="126"/>
      <c r="AN45" s="126"/>
      <c r="AO45" s="127"/>
      <c r="AP45" s="127"/>
      <c r="AQ45" s="127"/>
      <c r="AR45" s="126"/>
      <c r="AS45" s="126"/>
      <c r="AT45" s="126"/>
      <c r="AU45" s="125"/>
      <c r="AV45" s="125"/>
      <c r="AW45" s="125"/>
      <c r="AX45" s="126"/>
      <c r="AY45" s="126"/>
      <c r="AZ45" s="126"/>
      <c r="BA45" s="127"/>
      <c r="BB45" s="127"/>
      <c r="BC45" s="127"/>
      <c r="BD45" s="126"/>
      <c r="BE45" s="126"/>
      <c r="BF45" s="126"/>
      <c r="BG45" s="125"/>
      <c r="BH45" s="125"/>
      <c r="BI45" s="125"/>
      <c r="BJ45" s="126"/>
      <c r="BK45" s="126"/>
      <c r="BL45" s="126"/>
      <c r="BM45" s="127"/>
      <c r="BN45" s="127"/>
      <c r="BO45" s="127"/>
      <c r="BP45" s="126"/>
      <c r="BQ45" s="126"/>
      <c r="BR45" s="126"/>
      <c r="BS45" s="128"/>
      <c r="BT45" s="128"/>
      <c r="BU45" s="128"/>
    </row>
    <row r="46" s="47" customFormat="1" spans="1:73">
      <c r="A46" s="129"/>
      <c r="B46" s="137"/>
      <c r="C46" s="131">
        <f>SUM(C5:C45)</f>
        <v>14284.5</v>
      </c>
      <c r="D46" s="131">
        <f>SUM(D5:D26)</f>
        <v>0</v>
      </c>
      <c r="E46" s="131">
        <f>SUM(E4:E45)</f>
        <v>58.4</v>
      </c>
      <c r="F46" s="131">
        <f t="shared" ref="E46:AG46" si="7">SUM(F4:F45)</f>
        <v>130</v>
      </c>
      <c r="G46" s="131">
        <f t="shared" si="7"/>
        <v>0</v>
      </c>
      <c r="H46" s="131">
        <f t="shared" si="7"/>
        <v>0</v>
      </c>
      <c r="I46" s="131">
        <f t="shared" si="7"/>
        <v>1128</v>
      </c>
      <c r="J46" s="131">
        <f t="shared" si="7"/>
        <v>296</v>
      </c>
      <c r="K46" s="131">
        <f t="shared" si="7"/>
        <v>0</v>
      </c>
      <c r="L46" s="131">
        <f t="shared" si="7"/>
        <v>-15</v>
      </c>
      <c r="M46" s="131">
        <f t="shared" si="7"/>
        <v>0</v>
      </c>
      <c r="N46" s="131">
        <f t="shared" si="7"/>
        <v>-30</v>
      </c>
      <c r="O46" s="131">
        <f t="shared" si="7"/>
        <v>113</v>
      </c>
      <c r="P46" s="131">
        <f t="shared" si="7"/>
        <v>181</v>
      </c>
      <c r="Q46" s="131">
        <f t="shared" si="7"/>
        <v>0</v>
      </c>
      <c r="R46" s="131">
        <f t="shared" si="7"/>
        <v>35</v>
      </c>
      <c r="S46" s="131">
        <f t="shared" si="7"/>
        <v>-13.4</v>
      </c>
      <c r="T46" s="131">
        <f t="shared" si="7"/>
        <v>645.6</v>
      </c>
      <c r="U46" s="131">
        <f t="shared" si="7"/>
        <v>-212</v>
      </c>
      <c r="V46" s="131">
        <f t="shared" si="7"/>
        <v>141</v>
      </c>
      <c r="W46" s="131">
        <f t="shared" si="7"/>
        <v>0</v>
      </c>
      <c r="X46" s="131">
        <f t="shared" si="7"/>
        <v>13.5</v>
      </c>
      <c r="Y46" s="131">
        <f t="shared" si="7"/>
        <v>384</v>
      </c>
      <c r="Z46" s="131">
        <f t="shared" si="7"/>
        <v>0</v>
      </c>
      <c r="AA46" s="131">
        <f t="shared" si="7"/>
        <v>0</v>
      </c>
      <c r="AB46" s="131">
        <f t="shared" si="7"/>
        <v>0</v>
      </c>
      <c r="AC46" s="131">
        <f t="shared" si="7"/>
        <v>14</v>
      </c>
      <c r="AD46" s="131">
        <f t="shared" si="7"/>
        <v>0</v>
      </c>
      <c r="AE46" s="131">
        <f t="shared" si="7"/>
        <v>0</v>
      </c>
      <c r="AF46" s="131">
        <f t="shared" si="7"/>
        <v>0</v>
      </c>
      <c r="AG46" s="131">
        <f t="shared" si="7"/>
        <v>0</v>
      </c>
      <c r="AH46" s="145"/>
      <c r="AI46" s="146">
        <f>SUM(AI4:AI45)</f>
        <v>600</v>
      </c>
      <c r="AJ46" s="147"/>
      <c r="AK46" s="146">
        <f>SUM(AK4:AK45)</f>
        <v>0</v>
      </c>
      <c r="AL46" s="146">
        <f>SUM(AL4:AL45)</f>
        <v>100</v>
      </c>
      <c r="AM46" s="81"/>
      <c r="AN46" s="146">
        <f>SUM(AN4:AN45)</f>
        <v>90</v>
      </c>
      <c r="AO46" s="146">
        <f>SUM(AO4:AO45)</f>
        <v>113</v>
      </c>
      <c r="AP46" s="78"/>
      <c r="AQ46" s="146">
        <f>SUM(AQ4:AQ45)</f>
        <v>1881</v>
      </c>
      <c r="AR46" s="146">
        <f>SUM(AR4:AR45)</f>
        <v>0</v>
      </c>
      <c r="AS46" s="81"/>
      <c r="AT46" s="146">
        <f>SUM(AT4:AT45)</f>
        <v>0</v>
      </c>
      <c r="AU46" s="146">
        <f>SUM(AU4:AU45)</f>
        <v>25</v>
      </c>
      <c r="AV46" s="104"/>
      <c r="AW46" s="146">
        <f>SUM(AW4:AW45)</f>
        <v>1875</v>
      </c>
      <c r="AX46" s="146">
        <f>SUM(AX4:AX45)</f>
        <v>0</v>
      </c>
      <c r="AY46" s="81"/>
      <c r="AZ46" s="146">
        <f>SUM(AZ4:AZ45)</f>
        <v>0</v>
      </c>
      <c r="BA46" s="146">
        <f>SUM(BA4:BA45)</f>
        <v>0</v>
      </c>
      <c r="BB46" s="78"/>
      <c r="BC46" s="146">
        <f>SUM(BC4:BC45)</f>
        <v>0</v>
      </c>
      <c r="BD46" s="146">
        <f>SUM(BD4:BD45)</f>
        <v>1459.3</v>
      </c>
      <c r="BE46" s="81"/>
      <c r="BF46" s="146">
        <f>SUM(BF4:BF45)</f>
        <v>14197.89</v>
      </c>
      <c r="BG46" s="146">
        <f>SUM(BG4:BG45)</f>
        <v>1445.32</v>
      </c>
      <c r="BH46" s="104"/>
      <c r="BI46" s="146">
        <f>SUM(BI4:BI45)</f>
        <v>8527.388</v>
      </c>
      <c r="BJ46" s="146">
        <f>SUM(BJ4:BJ45)</f>
        <v>669</v>
      </c>
      <c r="BK46" s="81"/>
      <c r="BL46" s="146">
        <f>SUM(BL4:BL45)</f>
        <v>2408.4</v>
      </c>
      <c r="BM46" s="146">
        <f>SUM(BM4:BM45)</f>
        <v>0</v>
      </c>
      <c r="BN46" s="78"/>
      <c r="BO46" s="78">
        <v>0</v>
      </c>
      <c r="BP46" s="146">
        <f>SUM(BP4:BP45)</f>
        <v>972</v>
      </c>
      <c r="BQ46" s="81"/>
      <c r="BR46" s="146">
        <f>SUM(BR4:BR45)</f>
        <v>6721.2</v>
      </c>
      <c r="BS46" s="146">
        <f>SUM(BS4:BS45)</f>
        <v>125</v>
      </c>
      <c r="BT46" s="146"/>
      <c r="BU46" s="146">
        <f>SUM(BU4:BU45)</f>
        <v>975</v>
      </c>
    </row>
    <row r="48" customFormat="1" spans="1:73">
      <c r="A48" s="10"/>
      <c r="B48" s="53"/>
      <c r="C48" s="54"/>
      <c r="D48" s="55"/>
      <c r="E48" s="56"/>
      <c r="F48" s="11"/>
      <c r="G48" s="57"/>
      <c r="H48" s="11"/>
      <c r="I48" s="58"/>
      <c r="J48" s="11"/>
      <c r="K48" s="57"/>
      <c r="L48" s="11"/>
      <c r="M48" s="59"/>
      <c r="N48" s="58"/>
      <c r="O48" s="60"/>
      <c r="P48" s="61"/>
      <c r="Q48" s="11"/>
      <c r="R48" s="57"/>
      <c r="S48" s="11"/>
      <c r="T48" s="58"/>
      <c r="U48" s="11"/>
      <c r="V48" s="62"/>
      <c r="W48" s="57"/>
      <c r="X48" s="11"/>
      <c r="Y48" s="58"/>
      <c r="Z48" s="11"/>
      <c r="AA48" s="57"/>
      <c r="AB48" s="11"/>
      <c r="AC48" s="58"/>
      <c r="AD48" s="11"/>
      <c r="AE48" s="57"/>
      <c r="AF48" s="11"/>
      <c r="AG48" s="63"/>
      <c r="AH48" s="64"/>
      <c r="AI48" s="64"/>
      <c r="AJ48" s="58"/>
      <c r="AK48" s="11"/>
      <c r="AL48" s="11"/>
      <c r="AM48" s="11"/>
      <c r="AN48" s="57"/>
      <c r="AO48" s="57"/>
      <c r="AP48" s="57"/>
      <c r="AQ48" s="11"/>
      <c r="AR48" s="11"/>
      <c r="AS48" s="11"/>
      <c r="AT48" s="58"/>
      <c r="AU48" s="58"/>
      <c r="AV48" s="58"/>
      <c r="AW48" s="11"/>
      <c r="AX48" s="11"/>
      <c r="AY48" s="11"/>
      <c r="AZ48" s="57"/>
      <c r="BA48" s="57"/>
      <c r="BB48" s="57"/>
      <c r="BC48" s="11"/>
      <c r="BD48" s="11"/>
      <c r="BE48" s="11"/>
      <c r="BF48" s="58"/>
      <c r="BG48" s="58"/>
      <c r="BH48" s="58"/>
      <c r="BI48" s="11"/>
      <c r="BJ48" s="11"/>
      <c r="BK48" s="11"/>
      <c r="BL48" s="57"/>
      <c r="BM48" s="57"/>
      <c r="BN48" s="57"/>
      <c r="BO48" s="65"/>
      <c r="BP48" s="65"/>
      <c r="BQ48" s="65"/>
      <c r="BR48" s="11"/>
    </row>
    <row r="49" customFormat="1" spans="1:73">
      <c r="A49" s="10"/>
      <c r="B49" s="53"/>
      <c r="C49" s="54"/>
      <c r="D49" s="55"/>
      <c r="E49" s="56"/>
      <c r="F49" s="11"/>
      <c r="G49" s="57"/>
      <c r="H49" s="11"/>
      <c r="I49" s="58"/>
      <c r="J49" s="11"/>
      <c r="K49" s="57"/>
      <c r="L49" s="11"/>
      <c r="M49" s="59"/>
      <c r="N49" s="58"/>
      <c r="O49" s="60"/>
      <c r="P49" s="61"/>
      <c r="Q49" s="11"/>
      <c r="R49" s="57"/>
      <c r="S49" s="11"/>
      <c r="T49" s="58"/>
      <c r="U49" s="11"/>
      <c r="V49" s="62"/>
      <c r="W49" s="57"/>
      <c r="X49" s="11"/>
      <c r="Y49" s="58"/>
      <c r="Z49" s="11"/>
      <c r="AA49" s="57"/>
      <c r="AB49" s="11"/>
      <c r="AC49" s="58"/>
      <c r="AD49" s="11"/>
      <c r="AE49" s="57"/>
      <c r="AF49" s="11"/>
      <c r="AG49" s="63"/>
      <c r="AH49" s="64"/>
      <c r="AI49" s="64"/>
      <c r="AJ49" s="58"/>
      <c r="AK49" s="11"/>
      <c r="AL49" s="11"/>
      <c r="AM49" s="11"/>
      <c r="AN49" s="57"/>
      <c r="AO49" s="57"/>
      <c r="AP49" s="57"/>
      <c r="AQ49" s="11"/>
      <c r="AR49" s="11"/>
      <c r="AS49" s="11"/>
      <c r="AT49" s="58"/>
      <c r="AU49" s="58"/>
      <c r="AV49" s="58"/>
      <c r="AW49" s="11"/>
      <c r="AX49" s="11"/>
      <c r="AY49" s="11"/>
      <c r="AZ49" s="57"/>
      <c r="BA49" s="57"/>
      <c r="BB49" s="57"/>
      <c r="BC49" s="11"/>
      <c r="BD49" s="11"/>
      <c r="BE49" s="11"/>
      <c r="BF49" s="58"/>
      <c r="BG49" s="58"/>
      <c r="BH49" s="58"/>
      <c r="BI49" s="11"/>
      <c r="BJ49" s="11"/>
      <c r="BK49" s="11"/>
      <c r="BL49" s="57"/>
      <c r="BM49" s="57"/>
      <c r="BN49" s="57"/>
      <c r="BO49" s="65"/>
      <c r="BP49" s="65"/>
      <c r="BQ49" s="65"/>
      <c r="BR49" s="11"/>
    </row>
    <row r="50" customFormat="1" spans="1:73">
      <c r="A50" s="10"/>
      <c r="B50" s="53"/>
      <c r="C50" s="54"/>
      <c r="D50" s="55"/>
      <c r="E50" s="56"/>
      <c r="F50" s="11"/>
      <c r="G50" s="57"/>
      <c r="H50" s="11"/>
      <c r="I50" s="58"/>
      <c r="J50" s="11"/>
      <c r="K50" s="57"/>
      <c r="L50" s="11"/>
      <c r="M50" s="59"/>
      <c r="N50" s="58"/>
      <c r="O50" s="60"/>
      <c r="P50" s="61"/>
      <c r="Q50" s="11"/>
      <c r="R50" s="57"/>
      <c r="S50" s="11"/>
      <c r="T50" s="58"/>
      <c r="U50" s="11"/>
      <c r="V50" s="62"/>
      <c r="W50" s="57"/>
      <c r="X50" s="11"/>
      <c r="Y50" s="58"/>
      <c r="Z50" s="11"/>
      <c r="AA50" s="57"/>
      <c r="AB50" s="11"/>
      <c r="AC50" s="58"/>
      <c r="AD50" s="11"/>
      <c r="AE50" s="57"/>
      <c r="AF50" s="11"/>
      <c r="AG50" s="63"/>
      <c r="AH50" s="64"/>
      <c r="AI50" s="64"/>
      <c r="AJ50" s="58"/>
      <c r="AK50" s="11"/>
      <c r="AL50" s="11"/>
      <c r="AM50" s="11"/>
      <c r="AN50" s="57"/>
      <c r="AO50" s="57"/>
      <c r="AP50" s="57"/>
      <c r="AQ50" s="11"/>
      <c r="AR50" s="11"/>
      <c r="AS50" s="11"/>
      <c r="AT50" s="58"/>
      <c r="AU50" s="58"/>
      <c r="AV50" s="58"/>
      <c r="AW50" s="11"/>
      <c r="AX50" s="11"/>
      <c r="AY50" s="11"/>
      <c r="AZ50" s="57"/>
      <c r="BA50" s="57"/>
      <c r="BB50" s="57"/>
      <c r="BC50" s="11"/>
      <c r="BD50" s="11"/>
      <c r="BE50" s="11"/>
      <c r="BF50" s="58"/>
      <c r="BG50" s="58"/>
      <c r="BH50" s="58"/>
      <c r="BI50" s="11"/>
      <c r="BJ50" s="11"/>
      <c r="BK50" s="11"/>
      <c r="BL50" s="57"/>
      <c r="BM50" s="57"/>
      <c r="BN50" s="57"/>
      <c r="BO50" s="65"/>
      <c r="BP50" s="65"/>
      <c r="BQ50" s="65"/>
      <c r="BR50" s="11"/>
    </row>
    <row r="51" s="11" customFormat="1" ht="33" customHeight="1" spans="1:73">
      <c r="A51" s="66" t="s">
        <v>1245</v>
      </c>
      <c r="B51" s="66"/>
      <c r="C51" s="66"/>
      <c r="D51" s="67"/>
      <c r="E51" s="66"/>
      <c r="F51" s="66"/>
      <c r="G51" s="66"/>
      <c r="H51" s="66"/>
      <c r="I51" s="66"/>
      <c r="J51" s="66"/>
      <c r="K51" s="66"/>
      <c r="L51" s="66"/>
      <c r="M51" s="68"/>
      <c r="N51" s="66"/>
      <c r="O51" s="69"/>
      <c r="P51" s="70"/>
      <c r="Q51" s="66"/>
      <c r="R51" s="66"/>
      <c r="S51" s="66"/>
      <c r="T51" s="71" t="s">
        <v>1200</v>
      </c>
      <c r="U51" s="71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3"/>
      <c r="AH51" s="74"/>
      <c r="AI51" s="74"/>
      <c r="AJ51" s="75"/>
      <c r="AK51" s="75"/>
      <c r="AL51" s="72" t="s">
        <v>908</v>
      </c>
      <c r="AM51" s="72"/>
      <c r="AN51" s="72"/>
      <c r="AO51" s="76"/>
      <c r="AP51" s="76"/>
      <c r="AQ51" s="77">
        <f>AK79+AN79+AQ79+AT79+AW79+AZ79+BC79+BF79+BI79+BL79+BO79+BR79+BU79</f>
        <v>33968.92</v>
      </c>
      <c r="AR51" s="77"/>
      <c r="AS51" s="72"/>
      <c r="AT51" s="72"/>
      <c r="AU51" s="75"/>
      <c r="AV51" s="75"/>
      <c r="AW51" s="75"/>
      <c r="AX51" s="72"/>
      <c r="AY51" s="72"/>
      <c r="AZ51" s="72"/>
      <c r="BA51" s="77"/>
      <c r="BB51" s="77"/>
      <c r="BC51" s="77"/>
      <c r="BD51" s="72"/>
      <c r="BE51" s="72"/>
      <c r="BF51" s="72"/>
      <c r="BG51" s="75"/>
      <c r="BH51" s="75"/>
      <c r="BI51" s="75"/>
      <c r="BJ51" s="72"/>
      <c r="BK51" s="72"/>
      <c r="BL51" s="72"/>
      <c r="BM51" s="77"/>
      <c r="BN51" s="77"/>
      <c r="BO51" s="78"/>
      <c r="BP51" s="79"/>
      <c r="BQ51" s="79"/>
      <c r="BR51" s="80"/>
      <c r="BS51" s="79"/>
      <c r="BT51" s="79"/>
      <c r="BU51" s="79"/>
    </row>
    <row r="52" s="12" customFormat="1" ht="27" customHeight="1" spans="1:73">
      <c r="A52" s="81" t="s">
        <v>35</v>
      </c>
      <c r="B52" s="82" t="s">
        <v>909</v>
      </c>
      <c r="C52" s="83"/>
      <c r="D52" s="84" t="s">
        <v>648</v>
      </c>
      <c r="E52" s="85" t="s">
        <v>240</v>
      </c>
      <c r="F52" s="86" t="s">
        <v>1201</v>
      </c>
      <c r="G52" s="87" t="s">
        <v>315</v>
      </c>
      <c r="H52" s="88" t="s">
        <v>1202</v>
      </c>
      <c r="I52" s="89" t="s">
        <v>704</v>
      </c>
      <c r="J52" s="90" t="s">
        <v>1203</v>
      </c>
      <c r="K52" s="91" t="s">
        <v>1204</v>
      </c>
      <c r="L52" s="88" t="s">
        <v>1205</v>
      </c>
      <c r="M52" s="92" t="s">
        <v>542</v>
      </c>
      <c r="N52" s="93" t="s">
        <v>1206</v>
      </c>
      <c r="O52" s="94" t="s">
        <v>342</v>
      </c>
      <c r="P52" s="95" t="s">
        <v>977</v>
      </c>
      <c r="Q52" s="96" t="s">
        <v>1207</v>
      </c>
      <c r="R52" s="92" t="s">
        <v>1208</v>
      </c>
      <c r="S52" s="88" t="s">
        <v>1209</v>
      </c>
      <c r="T52" s="97" t="s">
        <v>149</v>
      </c>
      <c r="U52" s="98" t="s">
        <v>298</v>
      </c>
      <c r="V52" s="89" t="s">
        <v>957</v>
      </c>
      <c r="W52" s="99">
        <v>5014</v>
      </c>
      <c r="X52" s="88" t="s">
        <v>1210</v>
      </c>
      <c r="Y52" s="100" t="s">
        <v>1211</v>
      </c>
      <c r="Z52" s="90" t="s">
        <v>1212</v>
      </c>
      <c r="AA52" s="89" t="s">
        <v>872</v>
      </c>
      <c r="AB52" s="101" t="s">
        <v>896</v>
      </c>
      <c r="AC52" s="89" t="s">
        <v>1213</v>
      </c>
      <c r="AD52" s="94" t="s">
        <v>1214</v>
      </c>
      <c r="AE52" s="89" t="s">
        <v>199</v>
      </c>
      <c r="AF52" s="101" t="s">
        <v>1215</v>
      </c>
      <c r="AG52" s="102" t="s">
        <v>1216</v>
      </c>
      <c r="AH52" s="73" t="s">
        <v>35</v>
      </c>
      <c r="AI52" s="74" t="s">
        <v>289</v>
      </c>
      <c r="AJ52" s="74"/>
      <c r="AK52" s="103"/>
      <c r="AL52" s="81" t="s">
        <v>466</v>
      </c>
      <c r="AM52" s="81"/>
      <c r="AN52" s="81"/>
      <c r="AO52" s="78" t="s">
        <v>910</v>
      </c>
      <c r="AP52" s="78"/>
      <c r="AQ52" s="78"/>
      <c r="AR52" s="81" t="s">
        <v>911</v>
      </c>
      <c r="AS52" s="81"/>
      <c r="AT52" s="81"/>
      <c r="AU52" s="104" t="s">
        <v>912</v>
      </c>
      <c r="AV52" s="104"/>
      <c r="AW52" s="104"/>
      <c r="AX52" s="81" t="s">
        <v>984</v>
      </c>
      <c r="AY52" s="81"/>
      <c r="AZ52" s="81"/>
      <c r="BA52" s="78" t="s">
        <v>960</v>
      </c>
      <c r="BB52" s="78"/>
      <c r="BC52" s="78"/>
      <c r="BD52" s="81">
        <v>808</v>
      </c>
      <c r="BE52" s="81"/>
      <c r="BF52" s="81"/>
      <c r="BG52" s="104" t="s">
        <v>125</v>
      </c>
      <c r="BH52" s="104"/>
      <c r="BI52" s="104"/>
      <c r="BJ52" s="81" t="s">
        <v>132</v>
      </c>
      <c r="BK52" s="81"/>
      <c r="BL52" s="81"/>
      <c r="BM52" s="78">
        <v>811</v>
      </c>
      <c r="BN52" s="78"/>
      <c r="BO52" s="105"/>
      <c r="BP52" s="81" t="s">
        <v>152</v>
      </c>
      <c r="BQ52" s="81"/>
      <c r="BR52" s="81"/>
      <c r="BS52" s="106" t="s">
        <v>12</v>
      </c>
      <c r="BT52" s="107"/>
      <c r="BU52" s="108"/>
    </row>
    <row r="53" s="12" customFormat="1" ht="27" customHeight="1" spans="1:73">
      <c r="A53" s="81"/>
      <c r="B53" s="82" t="s">
        <v>914</v>
      </c>
      <c r="C53" s="83" t="s">
        <v>915</v>
      </c>
      <c r="D53" s="109"/>
      <c r="E53" s="110"/>
      <c r="F53" s="111"/>
      <c r="G53" s="112"/>
      <c r="H53" s="88"/>
      <c r="I53" s="89"/>
      <c r="J53" s="90"/>
      <c r="K53" s="91"/>
      <c r="L53" s="88"/>
      <c r="M53" s="92"/>
      <c r="N53" s="113"/>
      <c r="O53" s="94"/>
      <c r="P53" s="114"/>
      <c r="Q53" s="96"/>
      <c r="R53" s="92"/>
      <c r="S53" s="88"/>
      <c r="T53" s="97"/>
      <c r="U53" s="115"/>
      <c r="V53" s="89"/>
      <c r="W53" s="116"/>
      <c r="X53" s="88"/>
      <c r="Y53" s="100"/>
      <c r="Z53" s="90"/>
      <c r="AA53" s="89"/>
      <c r="AB53" s="101"/>
      <c r="AC53" s="89"/>
      <c r="AD53" s="94"/>
      <c r="AE53" s="89"/>
      <c r="AF53" s="101"/>
      <c r="AG53" s="102"/>
      <c r="AH53" s="73"/>
      <c r="AI53" s="117" t="s">
        <v>916</v>
      </c>
      <c r="AJ53" s="118" t="s">
        <v>917</v>
      </c>
      <c r="AK53" s="81" t="s">
        <v>918</v>
      </c>
      <c r="AL53" s="81" t="s">
        <v>916</v>
      </c>
      <c r="AM53" s="81" t="s">
        <v>917</v>
      </c>
      <c r="AN53" s="81" t="s">
        <v>918</v>
      </c>
      <c r="AO53" s="78" t="s">
        <v>916</v>
      </c>
      <c r="AP53" s="78" t="s">
        <v>917</v>
      </c>
      <c r="AQ53" s="78" t="s">
        <v>918</v>
      </c>
      <c r="AR53" s="81" t="s">
        <v>916</v>
      </c>
      <c r="AS53" s="81" t="s">
        <v>917</v>
      </c>
      <c r="AT53" s="81" t="s">
        <v>918</v>
      </c>
      <c r="AU53" s="104" t="s">
        <v>916</v>
      </c>
      <c r="AV53" s="104" t="s">
        <v>917</v>
      </c>
      <c r="AW53" s="104" t="s">
        <v>918</v>
      </c>
      <c r="AX53" s="81" t="s">
        <v>916</v>
      </c>
      <c r="AY53" s="81" t="s">
        <v>917</v>
      </c>
      <c r="AZ53" s="81" t="s">
        <v>918</v>
      </c>
      <c r="BA53" s="78" t="s">
        <v>916</v>
      </c>
      <c r="BB53" s="78" t="s">
        <v>917</v>
      </c>
      <c r="BC53" s="78" t="s">
        <v>918</v>
      </c>
      <c r="BD53" s="81" t="s">
        <v>916</v>
      </c>
      <c r="BE53" s="81" t="s">
        <v>917</v>
      </c>
      <c r="BF53" s="81" t="s">
        <v>918</v>
      </c>
      <c r="BG53" s="104" t="s">
        <v>916</v>
      </c>
      <c r="BH53" s="104" t="s">
        <v>917</v>
      </c>
      <c r="BI53" s="104" t="s">
        <v>918</v>
      </c>
      <c r="BJ53" s="81" t="s">
        <v>916</v>
      </c>
      <c r="BK53" s="81" t="s">
        <v>917</v>
      </c>
      <c r="BL53" s="81" t="s">
        <v>918</v>
      </c>
      <c r="BM53" s="78" t="s">
        <v>916</v>
      </c>
      <c r="BN53" s="78" t="s">
        <v>917</v>
      </c>
      <c r="BO53" s="105" t="s">
        <v>918</v>
      </c>
      <c r="BP53" s="81" t="s">
        <v>916</v>
      </c>
      <c r="BQ53" s="81" t="s">
        <v>917</v>
      </c>
      <c r="BR53" s="81" t="s">
        <v>918</v>
      </c>
      <c r="BS53" s="104" t="s">
        <v>916</v>
      </c>
      <c r="BT53" s="104" t="s">
        <v>917</v>
      </c>
      <c r="BU53" s="104" t="s">
        <v>918</v>
      </c>
    </row>
    <row r="54" s="46" customFormat="1" spans="1:73">
      <c r="A54" s="119" t="s">
        <v>454</v>
      </c>
      <c r="B54" s="120" t="s">
        <v>1246</v>
      </c>
      <c r="C54" s="121"/>
      <c r="D54" s="122">
        <f>D130</f>
        <v>0</v>
      </c>
      <c r="E54" s="122">
        <f>E130</f>
        <v>382</v>
      </c>
      <c r="F54" s="122">
        <f t="shared" ref="D54:AG54" si="8">F130</f>
        <v>175</v>
      </c>
      <c r="G54" s="122">
        <f t="shared" si="8"/>
        <v>0</v>
      </c>
      <c r="H54" s="122">
        <f t="shared" si="8"/>
        <v>0</v>
      </c>
      <c r="I54" s="122">
        <f t="shared" si="8"/>
        <v>666</v>
      </c>
      <c r="J54" s="122">
        <f t="shared" si="8"/>
        <v>611</v>
      </c>
      <c r="K54" s="122">
        <f t="shared" si="8"/>
        <v>0</v>
      </c>
      <c r="L54" s="122">
        <f t="shared" si="8"/>
        <v>-15</v>
      </c>
      <c r="M54" s="122">
        <f t="shared" si="8"/>
        <v>0</v>
      </c>
      <c r="N54" s="122">
        <f t="shared" si="8"/>
        <v>0</v>
      </c>
      <c r="O54" s="122">
        <f t="shared" si="8"/>
        <v>198</v>
      </c>
      <c r="P54" s="122">
        <f t="shared" si="8"/>
        <v>880</v>
      </c>
      <c r="Q54" s="122">
        <f t="shared" si="8"/>
        <v>0</v>
      </c>
      <c r="R54" s="122">
        <f t="shared" si="8"/>
        <v>35</v>
      </c>
      <c r="S54" s="122">
        <f t="shared" si="8"/>
        <v>-5.4</v>
      </c>
      <c r="T54" s="122">
        <f t="shared" si="8"/>
        <v>1353.6</v>
      </c>
      <c r="U54" s="122">
        <f t="shared" si="8"/>
        <v>1322</v>
      </c>
      <c r="V54" s="122">
        <f t="shared" si="8"/>
        <v>141</v>
      </c>
      <c r="W54" s="122">
        <f t="shared" si="8"/>
        <v>0</v>
      </c>
      <c r="X54" s="122">
        <f t="shared" si="8"/>
        <v>13.5</v>
      </c>
      <c r="Y54" s="122">
        <f t="shared" si="8"/>
        <v>1104</v>
      </c>
      <c r="Z54" s="122">
        <f t="shared" si="8"/>
        <v>0</v>
      </c>
      <c r="AA54" s="122">
        <f t="shared" si="8"/>
        <v>0</v>
      </c>
      <c r="AB54" s="122">
        <f t="shared" si="8"/>
        <v>0</v>
      </c>
      <c r="AC54" s="122">
        <f t="shared" si="8"/>
        <v>14</v>
      </c>
      <c r="AD54" s="122">
        <f t="shared" si="8"/>
        <v>0</v>
      </c>
      <c r="AE54" s="122">
        <f t="shared" si="8"/>
        <v>0</v>
      </c>
      <c r="AF54" s="122">
        <f t="shared" si="8"/>
        <v>0</v>
      </c>
      <c r="AG54" s="122">
        <f t="shared" si="8"/>
        <v>0</v>
      </c>
      <c r="AH54" s="123"/>
      <c r="AI54" s="124"/>
      <c r="AJ54" s="124"/>
      <c r="AK54" s="125"/>
      <c r="AL54" s="126"/>
      <c r="AM54" s="126"/>
      <c r="AN54" s="126"/>
      <c r="AO54" s="127"/>
      <c r="AP54" s="127"/>
      <c r="AQ54" s="127"/>
      <c r="AR54" s="126"/>
      <c r="AS54" s="126"/>
      <c r="AT54" s="126"/>
      <c r="AU54" s="125"/>
      <c r="AV54" s="125"/>
      <c r="AW54" s="125"/>
      <c r="AX54" s="126"/>
      <c r="AY54" s="126"/>
      <c r="AZ54" s="126"/>
      <c r="BA54" s="127"/>
      <c r="BB54" s="127"/>
      <c r="BC54" s="127"/>
      <c r="BD54" s="126"/>
      <c r="BE54" s="126"/>
      <c r="BF54" s="126"/>
      <c r="BG54" s="125"/>
      <c r="BH54" s="125"/>
      <c r="BI54" s="125"/>
      <c r="BJ54" s="126"/>
      <c r="BK54" s="126"/>
      <c r="BL54" s="126"/>
      <c r="BM54" s="127"/>
      <c r="BN54" s="127"/>
      <c r="BO54" s="127"/>
      <c r="BP54" s="126"/>
      <c r="BQ54" s="126"/>
      <c r="BR54" s="126"/>
      <c r="BS54" s="128"/>
      <c r="BT54" s="128"/>
      <c r="BU54" s="128"/>
    </row>
    <row r="55" s="47" customFormat="1" spans="1:73">
      <c r="A55" s="129">
        <v>45597</v>
      </c>
      <c r="B55" s="130" t="s">
        <v>1247</v>
      </c>
      <c r="C55" s="131">
        <v>262.5</v>
      </c>
      <c r="D55" s="132"/>
      <c r="E55" s="81"/>
      <c r="F55" s="104"/>
      <c r="G55" s="81"/>
      <c r="H55" s="78"/>
      <c r="I55" s="81"/>
      <c r="J55" s="104"/>
      <c r="K55" s="81"/>
      <c r="L55" s="78"/>
      <c r="M55" s="81"/>
      <c r="N55" s="133"/>
      <c r="O55" s="104"/>
      <c r="P55" s="131"/>
      <c r="Q55" s="134"/>
      <c r="R55" s="81"/>
      <c r="S55" s="78"/>
      <c r="T55" s="81"/>
      <c r="U55" s="135"/>
      <c r="V55" s="81"/>
      <c r="W55" s="136"/>
      <c r="X55" s="78"/>
      <c r="Y55" s="81"/>
      <c r="Z55" s="104"/>
      <c r="AA55" s="81"/>
      <c r="AB55" s="78"/>
      <c r="AC55" s="81"/>
      <c r="AD55" s="104"/>
      <c r="AE55" s="81"/>
      <c r="AF55" s="78"/>
      <c r="AG55" s="81"/>
      <c r="AH55" s="123">
        <v>45597</v>
      </c>
      <c r="AI55" s="124">
        <v>150</v>
      </c>
      <c r="AJ55" s="124"/>
      <c r="AK55" s="125"/>
      <c r="AL55" s="126"/>
      <c r="AM55" s="126"/>
      <c r="AN55" s="126"/>
      <c r="AO55" s="127"/>
      <c r="AP55" s="127"/>
      <c r="AQ55" s="127"/>
      <c r="AR55" s="126"/>
      <c r="AS55" s="126"/>
      <c r="AT55" s="126"/>
      <c r="AU55" s="125"/>
      <c r="AV55" s="125"/>
      <c r="AW55" s="125"/>
      <c r="AX55" s="126"/>
      <c r="AY55" s="126"/>
      <c r="AZ55" s="126"/>
      <c r="BA55" s="127"/>
      <c r="BB55" s="127"/>
      <c r="BC55" s="127"/>
      <c r="BD55" s="126"/>
      <c r="BE55" s="126"/>
      <c r="BF55" s="126"/>
      <c r="BG55" s="125"/>
      <c r="BH55" s="125"/>
      <c r="BI55" s="125"/>
      <c r="BJ55" s="126"/>
      <c r="BK55" s="126"/>
      <c r="BL55" s="126"/>
      <c r="BM55" s="127"/>
      <c r="BN55" s="127"/>
      <c r="BO55" s="127"/>
      <c r="BP55" s="126">
        <v>30</v>
      </c>
      <c r="BQ55" s="126">
        <v>7.2</v>
      </c>
      <c r="BR55" s="126">
        <f t="shared" ref="BR55:BR60" si="9">BP55*BQ55</f>
        <v>216</v>
      </c>
      <c r="BS55" s="128">
        <v>30</v>
      </c>
      <c r="BT55" s="128">
        <v>7.5</v>
      </c>
      <c r="BU55" s="128">
        <f>BS55*BT55</f>
        <v>225</v>
      </c>
    </row>
    <row r="56" s="47" customFormat="1" spans="1:73">
      <c r="A56" s="129">
        <v>45597</v>
      </c>
      <c r="B56" s="137" t="s">
        <v>1229</v>
      </c>
      <c r="C56" s="131"/>
      <c r="D56" s="132"/>
      <c r="E56" s="81"/>
      <c r="F56" s="104"/>
      <c r="G56" s="81"/>
      <c r="H56" s="78"/>
      <c r="I56" s="138">
        <v>257</v>
      </c>
      <c r="J56" s="104"/>
      <c r="K56" s="81"/>
      <c r="L56" s="78"/>
      <c r="M56" s="81"/>
      <c r="N56" s="133"/>
      <c r="O56" s="104"/>
      <c r="P56" s="131"/>
      <c r="Q56" s="134"/>
      <c r="R56" s="81"/>
      <c r="S56" s="78"/>
      <c r="T56" s="81"/>
      <c r="U56" s="135"/>
      <c r="V56" s="81"/>
      <c r="W56" s="136"/>
      <c r="X56" s="78"/>
      <c r="Y56" s="81"/>
      <c r="Z56" s="104"/>
      <c r="AA56" s="81"/>
      <c r="AB56" s="78"/>
      <c r="AC56" s="81"/>
      <c r="AD56" s="104"/>
      <c r="AE56" s="81"/>
      <c r="AF56" s="78"/>
      <c r="AG56" s="81"/>
      <c r="AH56" s="123">
        <v>45597</v>
      </c>
      <c r="AI56" s="124"/>
      <c r="AJ56" s="124"/>
      <c r="AK56" s="125"/>
      <c r="AL56" s="126"/>
      <c r="AM56" s="126"/>
      <c r="AN56" s="126"/>
      <c r="AO56" s="127"/>
      <c r="AP56" s="127"/>
      <c r="AQ56" s="127"/>
      <c r="AR56" s="126"/>
      <c r="AS56" s="126"/>
      <c r="AT56" s="126"/>
      <c r="AU56" s="125"/>
      <c r="AV56" s="125"/>
      <c r="AW56" s="125"/>
      <c r="AX56" s="126"/>
      <c r="AY56" s="126"/>
      <c r="AZ56" s="126"/>
      <c r="BA56" s="127"/>
      <c r="BB56" s="127"/>
      <c r="BC56" s="127"/>
      <c r="BD56" s="126"/>
      <c r="BE56" s="126"/>
      <c r="BF56" s="126"/>
      <c r="BG56" s="125"/>
      <c r="BH56" s="125"/>
      <c r="BI56" s="125"/>
      <c r="BJ56" s="126"/>
      <c r="BK56" s="126"/>
      <c r="BL56" s="126"/>
      <c r="BM56" s="127"/>
      <c r="BN56" s="127"/>
      <c r="BO56" s="127"/>
      <c r="BP56" s="126"/>
      <c r="BQ56" s="126"/>
      <c r="BR56" s="126"/>
      <c r="BS56" s="128"/>
      <c r="BT56" s="128"/>
      <c r="BU56" s="128"/>
    </row>
    <row r="57" s="47" customFormat="1" spans="1:73">
      <c r="A57" s="129">
        <v>45603</v>
      </c>
      <c r="B57" s="130" t="s">
        <v>1248</v>
      </c>
      <c r="C57" s="131">
        <v>1000</v>
      </c>
      <c r="D57" s="132"/>
      <c r="E57" s="81">
        <v>-125</v>
      </c>
      <c r="F57" s="104"/>
      <c r="G57" s="81"/>
      <c r="H57" s="78"/>
      <c r="I57" s="138">
        <v>-200</v>
      </c>
      <c r="J57" s="104"/>
      <c r="K57" s="81"/>
      <c r="L57" s="78"/>
      <c r="M57" s="81"/>
      <c r="N57" s="133"/>
      <c r="O57" s="104"/>
      <c r="P57" s="131"/>
      <c r="Q57" s="134"/>
      <c r="R57" s="81"/>
      <c r="S57" s="78"/>
      <c r="T57" s="81"/>
      <c r="U57" s="135"/>
      <c r="V57" s="81"/>
      <c r="W57" s="136"/>
      <c r="X57" s="78"/>
      <c r="Y57" s="81"/>
      <c r="Z57" s="104"/>
      <c r="AA57" s="81"/>
      <c r="AB57" s="78"/>
      <c r="AC57" s="81"/>
      <c r="AD57" s="104"/>
      <c r="AE57" s="81"/>
      <c r="AF57" s="78"/>
      <c r="AG57" s="81"/>
      <c r="AH57" s="123">
        <v>45603</v>
      </c>
      <c r="AI57" s="124"/>
      <c r="AJ57" s="124"/>
      <c r="AK57" s="125"/>
      <c r="AL57" s="126"/>
      <c r="AM57" s="126"/>
      <c r="AN57" s="126"/>
      <c r="AO57" s="127"/>
      <c r="AP57" s="127"/>
      <c r="AQ57" s="127"/>
      <c r="AR57" s="126"/>
      <c r="AS57" s="126"/>
      <c r="AT57" s="126"/>
      <c r="AU57" s="125"/>
      <c r="AV57" s="125"/>
      <c r="AW57" s="125"/>
      <c r="AX57" s="126"/>
      <c r="AY57" s="126"/>
      <c r="AZ57" s="126"/>
      <c r="BA57" s="127"/>
      <c r="BB57" s="127"/>
      <c r="BC57" s="127"/>
      <c r="BD57" s="126">
        <v>25</v>
      </c>
      <c r="BE57" s="126">
        <v>10.6</v>
      </c>
      <c r="BF57" s="126">
        <f>BD57*BE57</f>
        <v>265</v>
      </c>
      <c r="BG57" s="125">
        <v>78</v>
      </c>
      <c r="BH57" s="125">
        <v>6.3</v>
      </c>
      <c r="BI57" s="125">
        <f>BG57*BH57</f>
        <v>491.4</v>
      </c>
      <c r="BJ57" s="126"/>
      <c r="BK57" s="126"/>
      <c r="BL57" s="126"/>
      <c r="BM57" s="127"/>
      <c r="BN57" s="127"/>
      <c r="BO57" s="127"/>
      <c r="BP57" s="126">
        <v>107</v>
      </c>
      <c r="BQ57" s="126">
        <v>7.2</v>
      </c>
      <c r="BR57" s="126">
        <f t="shared" si="9"/>
        <v>770.4</v>
      </c>
      <c r="BS57" s="128"/>
      <c r="BT57" s="128"/>
      <c r="BU57" s="128"/>
    </row>
    <row r="58" s="47" customFormat="1" spans="1:73">
      <c r="A58" s="129">
        <v>45604</v>
      </c>
      <c r="B58" s="130" t="s">
        <v>1249</v>
      </c>
      <c r="C58" s="131">
        <v>1000</v>
      </c>
      <c r="D58" s="132"/>
      <c r="E58" s="81"/>
      <c r="F58" s="104"/>
      <c r="G58" s="81"/>
      <c r="H58" s="78"/>
      <c r="I58" s="81"/>
      <c r="J58" s="104"/>
      <c r="K58" s="81"/>
      <c r="L58" s="78"/>
      <c r="M58" s="81"/>
      <c r="N58" s="133"/>
      <c r="O58" s="104"/>
      <c r="P58" s="131">
        <v>-150</v>
      </c>
      <c r="Q58" s="134"/>
      <c r="R58" s="81"/>
      <c r="S58" s="78"/>
      <c r="T58" s="81"/>
      <c r="U58" s="104"/>
      <c r="V58" s="81"/>
      <c r="W58" s="136"/>
      <c r="X58" s="78"/>
      <c r="Y58" s="81"/>
      <c r="Z58" s="104"/>
      <c r="AA58" s="81"/>
      <c r="AB58" s="78"/>
      <c r="AC58" s="81"/>
      <c r="AD58" s="104"/>
      <c r="AE58" s="81"/>
      <c r="AF58" s="78"/>
      <c r="AG58" s="81"/>
      <c r="AH58" s="123">
        <v>45604</v>
      </c>
      <c r="AI58" s="124"/>
      <c r="AJ58" s="124"/>
      <c r="AK58" s="125"/>
      <c r="AL58" s="126"/>
      <c r="AM58" s="126"/>
      <c r="AN58" s="126"/>
      <c r="AO58" s="127"/>
      <c r="AP58" s="127"/>
      <c r="AQ58" s="127"/>
      <c r="AR58" s="126"/>
      <c r="AS58" s="126"/>
      <c r="AT58" s="126"/>
      <c r="AU58" s="125"/>
      <c r="AV58" s="125"/>
      <c r="AW58" s="125"/>
      <c r="AX58" s="126"/>
      <c r="AY58" s="126"/>
      <c r="AZ58" s="126"/>
      <c r="BA58" s="127"/>
      <c r="BB58" s="127"/>
      <c r="BC58" s="127"/>
      <c r="BD58" s="126">
        <v>200</v>
      </c>
      <c r="BE58" s="126">
        <v>10.6</v>
      </c>
      <c r="BF58" s="126">
        <f>BD58*BE58</f>
        <v>2120</v>
      </c>
      <c r="BG58" s="125">
        <v>60</v>
      </c>
      <c r="BH58" s="125">
        <v>6.3</v>
      </c>
      <c r="BI58" s="125">
        <f>BG58*BH58</f>
        <v>378</v>
      </c>
      <c r="BJ58" s="126"/>
      <c r="BK58" s="126"/>
      <c r="BL58" s="126"/>
      <c r="BM58" s="127"/>
      <c r="BN58" s="127"/>
      <c r="BO58" s="127"/>
      <c r="BP58" s="126">
        <v>125</v>
      </c>
      <c r="BQ58" s="126">
        <v>7.2</v>
      </c>
      <c r="BR58" s="126">
        <f t="shared" si="9"/>
        <v>900</v>
      </c>
      <c r="BS58" s="128"/>
      <c r="BT58" s="128"/>
      <c r="BU58" s="128"/>
    </row>
    <row r="59" s="47" customFormat="1" spans="1:73">
      <c r="A59" s="129">
        <v>45604</v>
      </c>
      <c r="B59" s="130" t="s">
        <v>1250</v>
      </c>
      <c r="C59" s="131">
        <v>1052.5</v>
      </c>
      <c r="D59" s="132"/>
      <c r="E59" s="81"/>
      <c r="F59" s="104"/>
      <c r="G59" s="81"/>
      <c r="H59" s="78"/>
      <c r="I59" s="81">
        <v>-100</v>
      </c>
      <c r="J59" s="104"/>
      <c r="K59" s="81"/>
      <c r="L59" s="78"/>
      <c r="M59" s="81"/>
      <c r="N59" s="133"/>
      <c r="O59" s="104"/>
      <c r="P59" s="131"/>
      <c r="Q59" s="134"/>
      <c r="R59" s="81"/>
      <c r="S59" s="78">
        <v>-2.5</v>
      </c>
      <c r="T59" s="81">
        <v>-136</v>
      </c>
      <c r="U59" s="104"/>
      <c r="V59" s="81"/>
      <c r="W59" s="136"/>
      <c r="X59" s="78"/>
      <c r="Y59" s="81">
        <v>-260</v>
      </c>
      <c r="Z59" s="104"/>
      <c r="AA59" s="81"/>
      <c r="AB59" s="78"/>
      <c r="AC59" s="81"/>
      <c r="AD59" s="104"/>
      <c r="AE59" s="81"/>
      <c r="AF59" s="78"/>
      <c r="AG59" s="81"/>
      <c r="AH59" s="123">
        <v>45604</v>
      </c>
      <c r="AI59" s="124"/>
      <c r="AJ59" s="124"/>
      <c r="AK59" s="125"/>
      <c r="AL59" s="126">
        <v>50</v>
      </c>
      <c r="AM59" s="126">
        <v>0.9</v>
      </c>
      <c r="AN59" s="126">
        <f>AL59*AM59</f>
        <v>45</v>
      </c>
      <c r="AO59" s="127">
        <v>25</v>
      </c>
      <c r="AP59" s="127">
        <v>17</v>
      </c>
      <c r="AQ59" s="127">
        <f>AO59*AP59</f>
        <v>425</v>
      </c>
      <c r="AR59" s="126"/>
      <c r="AS59" s="126"/>
      <c r="AT59" s="126"/>
      <c r="AU59" s="125"/>
      <c r="AV59" s="125"/>
      <c r="AW59" s="125"/>
      <c r="AX59" s="126"/>
      <c r="AY59" s="126"/>
      <c r="AZ59" s="126"/>
      <c r="BA59" s="127"/>
      <c r="BB59" s="127"/>
      <c r="BC59" s="127"/>
      <c r="BD59" s="126"/>
      <c r="BE59" s="126"/>
      <c r="BF59" s="126"/>
      <c r="BG59" s="125"/>
      <c r="BH59" s="125"/>
      <c r="BI59" s="125"/>
      <c r="BJ59" s="126">
        <v>279</v>
      </c>
      <c r="BK59" s="126">
        <v>3.7</v>
      </c>
      <c r="BL59" s="126">
        <f>BJ59*BK59</f>
        <v>1032.3</v>
      </c>
      <c r="BM59" s="127"/>
      <c r="BN59" s="127"/>
      <c r="BO59" s="127"/>
      <c r="BP59" s="126"/>
      <c r="BQ59" s="126"/>
      <c r="BR59" s="126"/>
      <c r="BS59" s="128"/>
      <c r="BT59" s="128"/>
      <c r="BU59" s="128"/>
    </row>
    <row r="60" s="47" customFormat="1" spans="1:73">
      <c r="A60" s="129">
        <v>45607</v>
      </c>
      <c r="B60" s="130" t="s">
        <v>1251</v>
      </c>
      <c r="C60" s="131">
        <v>540</v>
      </c>
      <c r="D60" s="132"/>
      <c r="E60" s="81"/>
      <c r="F60" s="104"/>
      <c r="G60" s="81"/>
      <c r="H60" s="78"/>
      <c r="I60" s="81"/>
      <c r="J60" s="104"/>
      <c r="K60" s="81"/>
      <c r="L60" s="78"/>
      <c r="M60" s="81"/>
      <c r="N60" s="133"/>
      <c r="O60" s="104"/>
      <c r="P60" s="144"/>
      <c r="Q60" s="134"/>
      <c r="R60" s="81"/>
      <c r="S60" s="78"/>
      <c r="T60" s="81"/>
      <c r="U60" s="135"/>
      <c r="V60" s="81"/>
      <c r="W60" s="136"/>
      <c r="X60" s="78"/>
      <c r="Y60" s="81"/>
      <c r="Z60" s="104"/>
      <c r="AA60" s="81"/>
      <c r="AB60" s="78"/>
      <c r="AC60" s="81"/>
      <c r="AD60" s="104"/>
      <c r="AE60" s="81"/>
      <c r="AF60" s="78"/>
      <c r="AG60" s="81"/>
      <c r="AH60" s="123">
        <v>45607</v>
      </c>
      <c r="AI60" s="124"/>
      <c r="AJ60" s="124"/>
      <c r="AK60" s="125"/>
      <c r="AL60" s="126"/>
      <c r="AM60" s="126"/>
      <c r="AN60" s="126"/>
      <c r="AO60" s="127"/>
      <c r="AP60" s="127"/>
      <c r="AQ60" s="127"/>
      <c r="AR60" s="126"/>
      <c r="AS60" s="126"/>
      <c r="AT60" s="126"/>
      <c r="AU60" s="125"/>
      <c r="AV60" s="125"/>
      <c r="AW60" s="125"/>
      <c r="AX60" s="126"/>
      <c r="AY60" s="126"/>
      <c r="AZ60" s="126"/>
      <c r="BA60" s="127"/>
      <c r="BB60" s="127"/>
      <c r="BC60" s="127"/>
      <c r="BD60" s="126">
        <v>60</v>
      </c>
      <c r="BE60" s="126">
        <v>10.6</v>
      </c>
      <c r="BF60" s="126">
        <f t="shared" ref="BF60:BF65" si="10">BD60*BE60</f>
        <v>636</v>
      </c>
      <c r="BG60" s="125">
        <v>120</v>
      </c>
      <c r="BH60" s="125">
        <v>6.3</v>
      </c>
      <c r="BI60" s="125">
        <f t="shared" ref="BI60:BI64" si="11">BG60*BH60</f>
        <v>756</v>
      </c>
      <c r="BJ60" s="126">
        <v>270</v>
      </c>
      <c r="BK60" s="126">
        <v>3.7</v>
      </c>
      <c r="BL60" s="126">
        <f>BJ60*BK60</f>
        <v>999</v>
      </c>
      <c r="BM60" s="127"/>
      <c r="BN60" s="127"/>
      <c r="BO60" s="127"/>
      <c r="BP60" s="126">
        <v>90</v>
      </c>
      <c r="BQ60" s="126">
        <v>7.2</v>
      </c>
      <c r="BR60" s="126">
        <f t="shared" si="9"/>
        <v>648</v>
      </c>
      <c r="BS60" s="128"/>
      <c r="BT60" s="128"/>
      <c r="BU60" s="128"/>
    </row>
    <row r="61" s="47" customFormat="1" spans="1:73">
      <c r="A61" s="129">
        <v>45608</v>
      </c>
      <c r="B61" s="130" t="s">
        <v>1252</v>
      </c>
      <c r="C61" s="131">
        <v>400</v>
      </c>
      <c r="D61" s="132"/>
      <c r="E61" s="81">
        <v>-40</v>
      </c>
      <c r="F61" s="104"/>
      <c r="G61" s="81"/>
      <c r="H61" s="78"/>
      <c r="I61" s="81"/>
      <c r="J61" s="104"/>
      <c r="K61" s="81"/>
      <c r="L61" s="78"/>
      <c r="M61" s="81"/>
      <c r="N61" s="133"/>
      <c r="O61" s="104">
        <v>-60</v>
      </c>
      <c r="P61" s="131"/>
      <c r="Q61" s="134"/>
      <c r="R61" s="81"/>
      <c r="S61" s="78"/>
      <c r="T61" s="81"/>
      <c r="U61" s="140"/>
      <c r="V61" s="81"/>
      <c r="W61" s="136"/>
      <c r="X61" s="78"/>
      <c r="Y61" s="81"/>
      <c r="Z61" s="104"/>
      <c r="AA61" s="81"/>
      <c r="AB61" s="78"/>
      <c r="AC61" s="81"/>
      <c r="AD61" s="104"/>
      <c r="AE61" s="81"/>
      <c r="AF61" s="78"/>
      <c r="AG61" s="81"/>
      <c r="AH61" s="123">
        <v>45610</v>
      </c>
      <c r="AI61" s="124"/>
      <c r="AJ61" s="124"/>
      <c r="AK61" s="125"/>
      <c r="AL61" s="126"/>
      <c r="AM61" s="126"/>
      <c r="AN61" s="126"/>
      <c r="AO61" s="127"/>
      <c r="AP61" s="127"/>
      <c r="AQ61" s="127"/>
      <c r="AR61" s="126"/>
      <c r="AS61" s="126"/>
      <c r="AT61" s="126"/>
      <c r="AU61" s="125"/>
      <c r="AV61" s="125"/>
      <c r="AW61" s="125"/>
      <c r="AX61" s="126"/>
      <c r="AY61" s="126"/>
      <c r="AZ61" s="126"/>
      <c r="BA61" s="127"/>
      <c r="BB61" s="127"/>
      <c r="BC61" s="127"/>
      <c r="BD61" s="126">
        <v>28</v>
      </c>
      <c r="BE61" s="126">
        <v>10.6</v>
      </c>
      <c r="BF61" s="126">
        <f t="shared" si="10"/>
        <v>296.8</v>
      </c>
      <c r="BG61" s="125">
        <v>76</v>
      </c>
      <c r="BH61" s="125">
        <v>6.3</v>
      </c>
      <c r="BI61" s="125">
        <f t="shared" si="11"/>
        <v>478.8</v>
      </c>
      <c r="BJ61" s="126"/>
      <c r="BK61" s="126"/>
      <c r="BL61" s="126"/>
      <c r="BM61" s="127"/>
      <c r="BN61" s="127"/>
      <c r="BO61" s="127"/>
      <c r="BP61" s="126"/>
      <c r="BQ61" s="126"/>
      <c r="BR61" s="126"/>
      <c r="BS61" s="128"/>
      <c r="BT61" s="128"/>
      <c r="BU61" s="128"/>
    </row>
    <row r="62" s="47" customFormat="1" spans="1:73">
      <c r="A62" s="129">
        <v>45615</v>
      </c>
      <c r="B62" s="130" t="s">
        <v>1231</v>
      </c>
      <c r="C62" s="131">
        <v>1000</v>
      </c>
      <c r="D62" s="132"/>
      <c r="E62" s="81">
        <v>-125</v>
      </c>
      <c r="F62" s="104"/>
      <c r="G62" s="81"/>
      <c r="H62" s="78"/>
      <c r="I62" s="81">
        <v>-200</v>
      </c>
      <c r="J62" s="104"/>
      <c r="K62" s="81"/>
      <c r="L62" s="78"/>
      <c r="M62" s="81"/>
      <c r="N62" s="133"/>
      <c r="O62" s="104"/>
      <c r="P62" s="131"/>
      <c r="Q62" s="134"/>
      <c r="R62" s="81"/>
      <c r="S62" s="78"/>
      <c r="T62" s="81">
        <v>-51</v>
      </c>
      <c r="U62" s="104">
        <v>-214</v>
      </c>
      <c r="V62" s="81"/>
      <c r="W62" s="136"/>
      <c r="X62" s="78"/>
      <c r="Y62" s="81"/>
      <c r="Z62" s="104"/>
      <c r="AA62" s="81"/>
      <c r="AB62" s="78"/>
      <c r="AC62" s="81"/>
      <c r="AD62" s="104"/>
      <c r="AE62" s="81"/>
      <c r="AF62" s="78"/>
      <c r="AG62" s="81"/>
      <c r="AH62" s="123">
        <v>45615</v>
      </c>
      <c r="AI62" s="124"/>
      <c r="AJ62" s="124"/>
      <c r="AK62" s="125"/>
      <c r="AL62" s="126"/>
      <c r="AM62" s="126"/>
      <c r="AN62" s="126"/>
      <c r="AO62" s="127"/>
      <c r="AP62" s="127"/>
      <c r="AQ62" s="127"/>
      <c r="AR62" s="126"/>
      <c r="AS62" s="126"/>
      <c r="AT62" s="126"/>
      <c r="AU62" s="125"/>
      <c r="AV62" s="125"/>
      <c r="AW62" s="125"/>
      <c r="AX62" s="126"/>
      <c r="AY62" s="126"/>
      <c r="AZ62" s="126"/>
      <c r="BA62" s="127"/>
      <c r="BB62" s="127"/>
      <c r="BC62" s="127"/>
      <c r="BD62" s="126">
        <v>25</v>
      </c>
      <c r="BE62" s="126">
        <v>10.6</v>
      </c>
      <c r="BF62" s="126">
        <f t="shared" si="10"/>
        <v>265</v>
      </c>
      <c r="BG62" s="125">
        <v>78</v>
      </c>
      <c r="BH62" s="125">
        <v>6.3</v>
      </c>
      <c r="BI62" s="125">
        <f t="shared" si="11"/>
        <v>491.4</v>
      </c>
      <c r="BJ62" s="126"/>
      <c r="BK62" s="126"/>
      <c r="BL62" s="126"/>
      <c r="BM62" s="127"/>
      <c r="BN62" s="127"/>
      <c r="BO62" s="127"/>
      <c r="BP62" s="126">
        <v>107</v>
      </c>
      <c r="BQ62" s="126">
        <v>7.2</v>
      </c>
      <c r="BR62" s="126">
        <f>BP62*BQ62</f>
        <v>770.4</v>
      </c>
      <c r="BS62" s="128"/>
      <c r="BT62" s="128"/>
      <c r="BU62" s="128"/>
    </row>
    <row r="63" s="47" customFormat="1" spans="1:73">
      <c r="A63" s="129">
        <v>45616</v>
      </c>
      <c r="B63" s="130" t="s">
        <v>1253</v>
      </c>
      <c r="C63" s="131">
        <v>500</v>
      </c>
      <c r="D63" s="132"/>
      <c r="E63" s="81">
        <v>-75</v>
      </c>
      <c r="F63" s="104"/>
      <c r="G63" s="81"/>
      <c r="H63" s="78"/>
      <c r="I63" s="81"/>
      <c r="J63" s="104">
        <v>-75</v>
      </c>
      <c r="K63" s="81"/>
      <c r="L63" s="78"/>
      <c r="M63" s="81"/>
      <c r="N63" s="133"/>
      <c r="O63" s="104"/>
      <c r="P63" s="131"/>
      <c r="Q63" s="134"/>
      <c r="R63" s="81"/>
      <c r="S63" s="78"/>
      <c r="T63" s="81"/>
      <c r="U63" s="104">
        <v>-190</v>
      </c>
      <c r="V63" s="81"/>
      <c r="W63" s="136"/>
      <c r="X63" s="78"/>
      <c r="Y63" s="81"/>
      <c r="Z63" s="104"/>
      <c r="AA63" s="81"/>
      <c r="AB63" s="78"/>
      <c r="AC63" s="81"/>
      <c r="AD63" s="104"/>
      <c r="AE63" s="81"/>
      <c r="AF63" s="78"/>
      <c r="AG63" s="81"/>
      <c r="AH63" s="123">
        <v>45616</v>
      </c>
      <c r="AI63" s="124"/>
      <c r="AJ63" s="124"/>
      <c r="AK63" s="125"/>
      <c r="AL63" s="126"/>
      <c r="AM63" s="126"/>
      <c r="AN63" s="126"/>
      <c r="AO63" s="127"/>
      <c r="AP63" s="127"/>
      <c r="AQ63" s="127"/>
      <c r="AR63" s="126"/>
      <c r="AS63" s="126"/>
      <c r="AT63" s="126"/>
      <c r="AU63" s="125"/>
      <c r="AV63" s="125"/>
      <c r="AW63" s="125"/>
      <c r="AX63" s="126"/>
      <c r="AY63" s="126"/>
      <c r="AZ63" s="126"/>
      <c r="BA63" s="127"/>
      <c r="BB63" s="127"/>
      <c r="BC63" s="127"/>
      <c r="BD63" s="126">
        <v>50</v>
      </c>
      <c r="BE63" s="126">
        <v>10.6</v>
      </c>
      <c r="BF63" s="126">
        <f t="shared" si="10"/>
        <v>530</v>
      </c>
      <c r="BG63" s="125">
        <v>35</v>
      </c>
      <c r="BH63" s="125">
        <v>6.3</v>
      </c>
      <c r="BI63" s="125">
        <f t="shared" si="11"/>
        <v>220.5</v>
      </c>
      <c r="BJ63" s="126"/>
      <c r="BK63" s="126"/>
      <c r="BL63" s="126"/>
      <c r="BM63" s="127"/>
      <c r="BN63" s="127"/>
      <c r="BO63" s="127"/>
      <c r="BP63" s="126"/>
      <c r="BQ63" s="126"/>
      <c r="BR63" s="126"/>
      <c r="BS63" s="128"/>
      <c r="BT63" s="128"/>
      <c r="BU63" s="128"/>
    </row>
    <row r="64" s="47" customFormat="1" spans="1:73">
      <c r="A64" s="129">
        <v>45616</v>
      </c>
      <c r="B64" s="130" t="s">
        <v>1254</v>
      </c>
      <c r="C64" s="131">
        <v>2000</v>
      </c>
      <c r="D64" s="132"/>
      <c r="E64" s="81"/>
      <c r="F64" s="104"/>
      <c r="G64" s="81"/>
      <c r="H64" s="78"/>
      <c r="I64" s="81"/>
      <c r="J64" s="104"/>
      <c r="K64" s="81"/>
      <c r="L64" s="78"/>
      <c r="M64" s="81"/>
      <c r="N64" s="133"/>
      <c r="O64" s="104"/>
      <c r="P64" s="131">
        <v>-300</v>
      </c>
      <c r="Q64" s="134"/>
      <c r="R64" s="81"/>
      <c r="S64" s="78"/>
      <c r="T64" s="81">
        <v>-140</v>
      </c>
      <c r="U64" s="104">
        <v>-760</v>
      </c>
      <c r="V64" s="81"/>
      <c r="W64" s="136"/>
      <c r="X64" s="78"/>
      <c r="Y64" s="81"/>
      <c r="Z64" s="104"/>
      <c r="AA64" s="81"/>
      <c r="AB64" s="78"/>
      <c r="AC64" s="81"/>
      <c r="AD64" s="104"/>
      <c r="AE64" s="81"/>
      <c r="AF64" s="78"/>
      <c r="AG64" s="81"/>
      <c r="AH64" s="123">
        <v>45616</v>
      </c>
      <c r="AI64" s="124"/>
      <c r="AJ64" s="124"/>
      <c r="AK64" s="125"/>
      <c r="AL64" s="126"/>
      <c r="AM64" s="126"/>
      <c r="AN64" s="126"/>
      <c r="AO64" s="127"/>
      <c r="AP64" s="127"/>
      <c r="AQ64" s="127"/>
      <c r="AR64" s="126"/>
      <c r="AS64" s="126"/>
      <c r="AT64" s="126"/>
      <c r="AU64" s="125"/>
      <c r="AV64" s="125"/>
      <c r="AW64" s="125"/>
      <c r="AX64" s="126"/>
      <c r="AY64" s="126"/>
      <c r="AZ64" s="126"/>
      <c r="BA64" s="127"/>
      <c r="BB64" s="127"/>
      <c r="BC64" s="127"/>
      <c r="BD64" s="126">
        <v>400</v>
      </c>
      <c r="BE64" s="126">
        <v>10.6</v>
      </c>
      <c r="BF64" s="126">
        <f t="shared" si="10"/>
        <v>4240</v>
      </c>
      <c r="BG64" s="125"/>
      <c r="BH64" s="125"/>
      <c r="BI64" s="125">
        <f t="shared" si="11"/>
        <v>0</v>
      </c>
      <c r="BJ64" s="126"/>
      <c r="BK64" s="126"/>
      <c r="BL64" s="126"/>
      <c r="BM64" s="127"/>
      <c r="BN64" s="127"/>
      <c r="BO64" s="127"/>
      <c r="BP64" s="126"/>
      <c r="BQ64" s="126"/>
      <c r="BR64" s="126"/>
      <c r="BS64" s="128"/>
      <c r="BT64" s="128"/>
      <c r="BU64" s="128"/>
    </row>
    <row r="65" s="48" customFormat="1" spans="1:73">
      <c r="A65" s="129">
        <v>45616</v>
      </c>
      <c r="B65" s="130" t="s">
        <v>1255</v>
      </c>
      <c r="C65" s="131">
        <v>750</v>
      </c>
      <c r="D65" s="132"/>
      <c r="E65" s="81"/>
      <c r="F65" s="104"/>
      <c r="G65" s="81"/>
      <c r="H65" s="78"/>
      <c r="I65" s="81"/>
      <c r="J65" s="104"/>
      <c r="K65" s="81"/>
      <c r="L65" s="78"/>
      <c r="M65" s="81"/>
      <c r="N65" s="133"/>
      <c r="O65" s="104"/>
      <c r="P65" s="131"/>
      <c r="Q65" s="134"/>
      <c r="R65" s="81"/>
      <c r="S65" s="78"/>
      <c r="T65" s="81"/>
      <c r="U65" s="104"/>
      <c r="V65" s="81"/>
      <c r="W65" s="136"/>
      <c r="X65" s="78"/>
      <c r="Y65" s="81"/>
      <c r="Z65" s="104"/>
      <c r="AA65" s="81"/>
      <c r="AB65" s="78"/>
      <c r="AC65" s="81"/>
      <c r="AD65" s="104"/>
      <c r="AE65" s="81"/>
      <c r="AF65" s="78"/>
      <c r="AG65" s="81"/>
      <c r="AH65" s="123">
        <v>45616</v>
      </c>
      <c r="AI65" s="124"/>
      <c r="AJ65" s="124"/>
      <c r="AK65" s="125"/>
      <c r="AL65" s="126"/>
      <c r="AM65" s="126"/>
      <c r="AN65" s="126"/>
      <c r="AO65" s="127"/>
      <c r="AP65" s="127"/>
      <c r="AQ65" s="127"/>
      <c r="AR65" s="126"/>
      <c r="AS65" s="126"/>
      <c r="AT65" s="126"/>
      <c r="AU65" s="125"/>
      <c r="AV65" s="125"/>
      <c r="AW65" s="125"/>
      <c r="AX65" s="126"/>
      <c r="AY65" s="126"/>
      <c r="AZ65" s="126"/>
      <c r="BA65" s="127"/>
      <c r="BB65" s="127"/>
      <c r="BC65" s="127"/>
      <c r="BD65" s="126">
        <v>450</v>
      </c>
      <c r="BE65" s="126">
        <v>10.6</v>
      </c>
      <c r="BF65" s="126">
        <f t="shared" si="10"/>
        <v>4770</v>
      </c>
      <c r="BG65" s="125"/>
      <c r="BH65" s="125"/>
      <c r="BI65" s="125"/>
      <c r="BJ65" s="126"/>
      <c r="BK65" s="126"/>
      <c r="BL65" s="126"/>
      <c r="BM65" s="127"/>
      <c r="BN65" s="127"/>
      <c r="BO65" s="127"/>
      <c r="BP65" s="126"/>
      <c r="BQ65" s="126"/>
      <c r="BR65" s="126"/>
      <c r="BS65" s="128"/>
      <c r="BT65" s="128"/>
      <c r="BU65" s="128"/>
    </row>
    <row r="66" s="49" customFormat="1" spans="1:73">
      <c r="A66" s="148">
        <v>45616</v>
      </c>
      <c r="B66" s="137" t="s">
        <v>1256</v>
      </c>
      <c r="C66" s="144"/>
      <c r="D66" s="149"/>
      <c r="E66" s="138">
        <v>735</v>
      </c>
      <c r="F66" s="140"/>
      <c r="G66" s="138"/>
      <c r="H66" s="150"/>
      <c r="I66" s="138"/>
      <c r="J66" s="140"/>
      <c r="K66" s="138"/>
      <c r="L66" s="150"/>
      <c r="M66" s="138"/>
      <c r="N66" s="151"/>
      <c r="O66" s="140"/>
      <c r="P66" s="144"/>
      <c r="Q66" s="152"/>
      <c r="R66" s="138"/>
      <c r="S66" s="150"/>
      <c r="T66" s="138"/>
      <c r="U66" s="140"/>
      <c r="V66" s="138"/>
      <c r="W66" s="153"/>
      <c r="X66" s="150"/>
      <c r="Y66" s="138"/>
      <c r="Z66" s="140"/>
      <c r="AA66" s="138"/>
      <c r="AB66" s="150"/>
      <c r="AC66" s="138"/>
      <c r="AD66" s="140"/>
      <c r="AE66" s="138"/>
      <c r="AF66" s="150"/>
      <c r="AG66" s="138"/>
      <c r="AH66" s="123">
        <v>45616</v>
      </c>
      <c r="AI66" s="154"/>
      <c r="AJ66" s="154"/>
      <c r="AK66" s="155"/>
      <c r="AL66" s="156"/>
      <c r="AM66" s="156"/>
      <c r="AN66" s="156"/>
      <c r="AO66" s="157"/>
      <c r="AP66" s="157"/>
      <c r="AQ66" s="157"/>
      <c r="AR66" s="156"/>
      <c r="AS66" s="156"/>
      <c r="AT66" s="156"/>
      <c r="AU66" s="155"/>
      <c r="AV66" s="155"/>
      <c r="AW66" s="155"/>
      <c r="AX66" s="156"/>
      <c r="AY66" s="156"/>
      <c r="AZ66" s="156"/>
      <c r="BA66" s="157"/>
      <c r="BB66" s="157"/>
      <c r="BC66" s="157"/>
      <c r="BD66" s="156"/>
      <c r="BE66" s="156"/>
      <c r="BF66" s="156"/>
      <c r="BG66" s="155"/>
      <c r="BH66" s="155"/>
      <c r="BI66" s="155"/>
      <c r="BJ66" s="156"/>
      <c r="BK66" s="156"/>
      <c r="BL66" s="156"/>
      <c r="BM66" s="157"/>
      <c r="BN66" s="157"/>
      <c r="BO66" s="157"/>
      <c r="BP66" s="156"/>
      <c r="BQ66" s="156"/>
      <c r="BR66" s="156"/>
      <c r="BS66" s="158"/>
      <c r="BT66" s="158"/>
      <c r="BU66" s="158"/>
    </row>
    <row r="67" s="47" customFormat="1" spans="1:73">
      <c r="A67" s="129">
        <v>45616</v>
      </c>
      <c r="B67" s="130" t="s">
        <v>1257</v>
      </c>
      <c r="C67" s="131">
        <v>1003</v>
      </c>
      <c r="D67" s="132"/>
      <c r="E67" s="81"/>
      <c r="F67" s="104"/>
      <c r="G67" s="81"/>
      <c r="H67" s="78"/>
      <c r="I67" s="81"/>
      <c r="J67" s="104"/>
      <c r="K67" s="81"/>
      <c r="L67" s="78"/>
      <c r="M67" s="81"/>
      <c r="N67" s="133"/>
      <c r="O67" s="104"/>
      <c r="P67" s="131">
        <v>-120</v>
      </c>
      <c r="Q67" s="134"/>
      <c r="R67" s="81"/>
      <c r="S67" s="78">
        <v>-3</v>
      </c>
      <c r="T67" s="81">
        <v>-140</v>
      </c>
      <c r="U67" s="104">
        <v>-260</v>
      </c>
      <c r="V67" s="81"/>
      <c r="W67" s="136"/>
      <c r="X67" s="78"/>
      <c r="Y67" s="81"/>
      <c r="Z67" s="104"/>
      <c r="AA67" s="81"/>
      <c r="AB67" s="78"/>
      <c r="AC67" s="81"/>
      <c r="AD67" s="104"/>
      <c r="AE67" s="81"/>
      <c r="AF67" s="78"/>
      <c r="AG67" s="81"/>
      <c r="AH67" s="123">
        <v>45616</v>
      </c>
      <c r="AI67" s="124"/>
      <c r="AJ67" s="124"/>
      <c r="AK67" s="125"/>
      <c r="AL67" s="126"/>
      <c r="AM67" s="126"/>
      <c r="AN67" s="126"/>
      <c r="AO67" s="127">
        <v>30</v>
      </c>
      <c r="AP67" s="127">
        <v>17</v>
      </c>
      <c r="AQ67" s="127">
        <f>AO67*AP67</f>
        <v>510</v>
      </c>
      <c r="AR67" s="126"/>
      <c r="AS67" s="126"/>
      <c r="AT67" s="126"/>
      <c r="AU67" s="125"/>
      <c r="AV67" s="125"/>
      <c r="AW67" s="125"/>
      <c r="AX67" s="126"/>
      <c r="AY67" s="126"/>
      <c r="AZ67" s="126"/>
      <c r="BA67" s="127"/>
      <c r="BB67" s="127"/>
      <c r="BC67" s="127"/>
      <c r="BD67" s="126">
        <v>100</v>
      </c>
      <c r="BE67" s="126">
        <v>10.5</v>
      </c>
      <c r="BF67" s="126">
        <f t="shared" ref="BF67:BF73" si="12">BD67*BE67</f>
        <v>1050</v>
      </c>
      <c r="BG67" s="125"/>
      <c r="BH67" s="125"/>
      <c r="BI67" s="125"/>
      <c r="BJ67" s="126">
        <v>200</v>
      </c>
      <c r="BK67" s="126">
        <v>3.7</v>
      </c>
      <c r="BL67" s="126">
        <f>BJ67*BK67</f>
        <v>740</v>
      </c>
      <c r="BM67" s="127"/>
      <c r="BN67" s="127"/>
      <c r="BO67" s="127"/>
      <c r="BP67" s="126"/>
      <c r="BQ67" s="126"/>
      <c r="BR67" s="126"/>
      <c r="BS67" s="128"/>
      <c r="BT67" s="128"/>
      <c r="BU67" s="128"/>
    </row>
    <row r="68" s="47" customFormat="1" spans="1:73">
      <c r="A68" s="129">
        <v>45617</v>
      </c>
      <c r="B68" s="130" t="s">
        <v>1258</v>
      </c>
      <c r="C68" s="131">
        <v>400</v>
      </c>
      <c r="D68" s="132"/>
      <c r="E68" s="81">
        <v>-40</v>
      </c>
      <c r="F68" s="104"/>
      <c r="G68" s="81"/>
      <c r="H68" s="78"/>
      <c r="I68" s="81"/>
      <c r="J68" s="104"/>
      <c r="K68" s="81"/>
      <c r="L68" s="78"/>
      <c r="M68" s="81"/>
      <c r="N68" s="133"/>
      <c r="O68" s="104">
        <v>-60</v>
      </c>
      <c r="P68" s="131"/>
      <c r="Q68" s="134"/>
      <c r="R68" s="81"/>
      <c r="S68" s="78"/>
      <c r="T68" s="81"/>
      <c r="U68" s="104">
        <v>-110</v>
      </c>
      <c r="V68" s="81"/>
      <c r="W68" s="136"/>
      <c r="X68" s="78"/>
      <c r="Y68" s="81"/>
      <c r="Z68" s="104"/>
      <c r="AA68" s="81"/>
      <c r="AB68" s="78"/>
      <c r="AC68" s="81"/>
      <c r="AD68" s="104"/>
      <c r="AE68" s="81"/>
      <c r="AF68" s="78"/>
      <c r="AG68" s="81"/>
      <c r="AH68" s="123">
        <v>45617</v>
      </c>
      <c r="AI68" s="124"/>
      <c r="AJ68" s="124"/>
      <c r="AK68" s="125"/>
      <c r="AL68" s="126"/>
      <c r="AM68" s="126"/>
      <c r="AN68" s="126"/>
      <c r="AO68" s="127"/>
      <c r="AP68" s="127"/>
      <c r="AQ68" s="127"/>
      <c r="AR68" s="126"/>
      <c r="AS68" s="126"/>
      <c r="AT68" s="126"/>
      <c r="AU68" s="125"/>
      <c r="AV68" s="125"/>
      <c r="AW68" s="125"/>
      <c r="AX68" s="126"/>
      <c r="AY68" s="126"/>
      <c r="AZ68" s="126"/>
      <c r="BA68" s="127"/>
      <c r="BB68" s="127"/>
      <c r="BC68" s="127"/>
      <c r="BD68" s="126">
        <v>28</v>
      </c>
      <c r="BE68" s="126">
        <v>10.5</v>
      </c>
      <c r="BF68" s="126">
        <f t="shared" si="12"/>
        <v>294</v>
      </c>
      <c r="BG68" s="125">
        <v>28</v>
      </c>
      <c r="BH68" s="125">
        <v>6.3</v>
      </c>
      <c r="BI68" s="125">
        <f t="shared" ref="BI68:BI73" si="13">BG68*BH68</f>
        <v>176.4</v>
      </c>
      <c r="BJ68" s="126"/>
      <c r="BK68" s="126"/>
      <c r="BL68" s="126"/>
      <c r="BM68" s="127"/>
      <c r="BN68" s="127"/>
      <c r="BO68" s="127"/>
      <c r="BP68" s="126"/>
      <c r="BQ68" s="126"/>
      <c r="BR68" s="126"/>
      <c r="BS68" s="128"/>
      <c r="BT68" s="128"/>
      <c r="BU68" s="128"/>
    </row>
    <row r="69" s="47" customFormat="1" spans="1:73">
      <c r="A69" s="129">
        <v>45617</v>
      </c>
      <c r="B69" s="130" t="s">
        <v>1259</v>
      </c>
      <c r="C69" s="131">
        <v>16.9</v>
      </c>
      <c r="D69" s="132"/>
      <c r="E69" s="81"/>
      <c r="F69" s="135"/>
      <c r="G69" s="81"/>
      <c r="H69" s="78"/>
      <c r="I69" s="81"/>
      <c r="J69" s="104"/>
      <c r="K69" s="81"/>
      <c r="L69" s="78"/>
      <c r="M69" s="81"/>
      <c r="N69" s="133"/>
      <c r="O69" s="104"/>
      <c r="P69" s="131"/>
      <c r="Q69" s="134"/>
      <c r="R69" s="81"/>
      <c r="S69" s="78"/>
      <c r="T69" s="81"/>
      <c r="U69" s="135"/>
      <c r="V69" s="81"/>
      <c r="W69" s="136"/>
      <c r="X69" s="78"/>
      <c r="Y69" s="81"/>
      <c r="Z69" s="104"/>
      <c r="AA69" s="81"/>
      <c r="AB69" s="78"/>
      <c r="AC69" s="81"/>
      <c r="AD69" s="104"/>
      <c r="AE69" s="81"/>
      <c r="AF69" s="78"/>
      <c r="AG69" s="81"/>
      <c r="AH69" s="123">
        <v>45617</v>
      </c>
      <c r="AI69" s="124"/>
      <c r="AJ69" s="124"/>
      <c r="AK69" s="125"/>
      <c r="AL69" s="126"/>
      <c r="AM69" s="126"/>
      <c r="AN69" s="126"/>
      <c r="AO69" s="141">
        <v>2</v>
      </c>
      <c r="AP69" s="141">
        <v>15</v>
      </c>
      <c r="AQ69" s="141">
        <f>AO69*AP69</f>
        <v>30</v>
      </c>
      <c r="AR69" s="126"/>
      <c r="AS69" s="126"/>
      <c r="AT69" s="126"/>
      <c r="AU69" s="125"/>
      <c r="AV69" s="125"/>
      <c r="AW69" s="125"/>
      <c r="AX69" s="126"/>
      <c r="AY69" s="126"/>
      <c r="AZ69" s="126"/>
      <c r="BA69" s="127"/>
      <c r="BB69" s="127"/>
      <c r="BC69" s="127"/>
      <c r="BD69" s="126"/>
      <c r="BE69" s="126"/>
      <c r="BF69" s="126"/>
      <c r="BG69" s="125">
        <v>6.4</v>
      </c>
      <c r="BH69" s="125">
        <v>6.4</v>
      </c>
      <c r="BI69" s="125">
        <f t="shared" si="13"/>
        <v>40.96</v>
      </c>
      <c r="BJ69" s="126"/>
      <c r="BK69" s="126"/>
      <c r="BL69" s="126"/>
      <c r="BM69" s="127"/>
      <c r="BN69" s="127"/>
      <c r="BO69" s="127"/>
      <c r="BP69" s="126">
        <v>8.1</v>
      </c>
      <c r="BQ69" s="126">
        <v>8.6</v>
      </c>
      <c r="BR69" s="126">
        <f t="shared" ref="BR69:BR73" si="14">BP69*BQ69</f>
        <v>69.66</v>
      </c>
      <c r="BS69" s="128"/>
      <c r="BT69" s="128"/>
      <c r="BU69" s="128"/>
    </row>
    <row r="70" s="47" customFormat="1" spans="1:73">
      <c r="A70" s="129">
        <v>45619</v>
      </c>
      <c r="B70" s="130" t="s">
        <v>1247</v>
      </c>
      <c r="C70" s="131">
        <v>262.5</v>
      </c>
      <c r="D70" s="132"/>
      <c r="E70" s="81"/>
      <c r="F70" s="104"/>
      <c r="G70" s="81"/>
      <c r="H70" s="78"/>
      <c r="I70" s="81"/>
      <c r="J70" s="104"/>
      <c r="K70" s="81"/>
      <c r="L70" s="78"/>
      <c r="M70" s="81"/>
      <c r="N70" s="133"/>
      <c r="O70" s="104"/>
      <c r="P70" s="131"/>
      <c r="Q70" s="134"/>
      <c r="R70" s="81"/>
      <c r="S70" s="78"/>
      <c r="T70" s="81"/>
      <c r="U70" s="135"/>
      <c r="V70" s="81"/>
      <c r="W70" s="136"/>
      <c r="X70" s="78"/>
      <c r="Y70" s="81"/>
      <c r="Z70" s="104"/>
      <c r="AA70" s="81"/>
      <c r="AB70" s="78"/>
      <c r="AC70" s="81"/>
      <c r="AD70" s="104"/>
      <c r="AE70" s="81"/>
      <c r="AF70" s="78"/>
      <c r="AG70" s="81"/>
      <c r="AH70" s="123">
        <v>45619</v>
      </c>
      <c r="AI70" s="124">
        <v>150</v>
      </c>
      <c r="AJ70" s="124"/>
      <c r="AK70" s="125"/>
      <c r="AL70" s="126"/>
      <c r="AM70" s="126"/>
      <c r="AN70" s="126"/>
      <c r="AO70" s="127"/>
      <c r="AP70" s="127"/>
      <c r="AQ70" s="127"/>
      <c r="AR70" s="126"/>
      <c r="AS70" s="126"/>
      <c r="AT70" s="126"/>
      <c r="AU70" s="125"/>
      <c r="AV70" s="125"/>
      <c r="AW70" s="125"/>
      <c r="AX70" s="126"/>
      <c r="AY70" s="126"/>
      <c r="AZ70" s="126"/>
      <c r="BA70" s="127"/>
      <c r="BB70" s="127"/>
      <c r="BC70" s="127"/>
      <c r="BD70" s="126"/>
      <c r="BE70" s="126"/>
      <c r="BF70" s="126"/>
      <c r="BG70" s="125"/>
      <c r="BH70" s="125"/>
      <c r="BI70" s="125"/>
      <c r="BJ70" s="126"/>
      <c r="BK70" s="126"/>
      <c r="BL70" s="126"/>
      <c r="BM70" s="127"/>
      <c r="BN70" s="127"/>
      <c r="BO70" s="127"/>
      <c r="BP70" s="126">
        <v>30</v>
      </c>
      <c r="BQ70" s="126">
        <v>7.2</v>
      </c>
      <c r="BR70" s="126">
        <f t="shared" si="14"/>
        <v>216</v>
      </c>
      <c r="BS70" s="128">
        <v>30</v>
      </c>
      <c r="BT70" s="128">
        <v>7.8</v>
      </c>
      <c r="BU70" s="128">
        <f>BS70*BT70</f>
        <v>234</v>
      </c>
    </row>
    <row r="71" s="47" customFormat="1" spans="1:73">
      <c r="A71" s="129">
        <v>45619</v>
      </c>
      <c r="B71" s="137" t="s">
        <v>1229</v>
      </c>
      <c r="C71" s="131"/>
      <c r="D71" s="132"/>
      <c r="E71" s="81"/>
      <c r="F71" s="104"/>
      <c r="G71" s="81"/>
      <c r="H71" s="78"/>
      <c r="I71" s="138">
        <v>257</v>
      </c>
      <c r="J71" s="104"/>
      <c r="K71" s="81"/>
      <c r="L71" s="78"/>
      <c r="M71" s="81"/>
      <c r="N71" s="133"/>
      <c r="O71" s="104"/>
      <c r="P71" s="131"/>
      <c r="Q71" s="134"/>
      <c r="R71" s="81"/>
      <c r="S71" s="78"/>
      <c r="T71" s="81"/>
      <c r="U71" s="135"/>
      <c r="V71" s="81"/>
      <c r="W71" s="136"/>
      <c r="X71" s="78"/>
      <c r="Y71" s="81"/>
      <c r="Z71" s="104"/>
      <c r="AA71" s="81"/>
      <c r="AB71" s="78"/>
      <c r="AC71" s="81"/>
      <c r="AD71" s="104"/>
      <c r="AE71" s="81"/>
      <c r="AF71" s="78"/>
      <c r="AG71" s="81"/>
      <c r="AH71" s="123">
        <v>45619</v>
      </c>
      <c r="AI71" s="124"/>
      <c r="AJ71" s="124"/>
      <c r="AK71" s="125"/>
      <c r="AL71" s="126"/>
      <c r="AM71" s="126"/>
      <c r="AN71" s="126"/>
      <c r="AO71" s="127"/>
      <c r="AP71" s="127"/>
      <c r="AQ71" s="127"/>
      <c r="AR71" s="126"/>
      <c r="AS71" s="126"/>
      <c r="AT71" s="126"/>
      <c r="AU71" s="125"/>
      <c r="AV71" s="125"/>
      <c r="AW71" s="125"/>
      <c r="AX71" s="126"/>
      <c r="AY71" s="126"/>
      <c r="AZ71" s="126"/>
      <c r="BA71" s="127"/>
      <c r="BB71" s="127"/>
      <c r="BC71" s="127"/>
      <c r="BD71" s="126"/>
      <c r="BE71" s="126"/>
      <c r="BF71" s="126"/>
      <c r="BG71" s="125"/>
      <c r="BH71" s="125"/>
      <c r="BI71" s="125"/>
      <c r="BJ71" s="126"/>
      <c r="BK71" s="126"/>
      <c r="BL71" s="126"/>
      <c r="BM71" s="127"/>
      <c r="BN71" s="127"/>
      <c r="BO71" s="127"/>
      <c r="BP71" s="126"/>
      <c r="BQ71" s="126"/>
      <c r="BR71" s="126"/>
      <c r="BS71" s="128"/>
      <c r="BT71" s="128"/>
      <c r="BU71" s="128"/>
    </row>
    <row r="72" s="47" customFormat="1" spans="1:73">
      <c r="A72" s="129" t="s">
        <v>1260</v>
      </c>
      <c r="B72" s="130" t="s">
        <v>1237</v>
      </c>
      <c r="C72" s="131">
        <v>750</v>
      </c>
      <c r="D72" s="132"/>
      <c r="E72" s="138"/>
      <c r="F72" s="135"/>
      <c r="G72" s="81"/>
      <c r="H72" s="78"/>
      <c r="I72" s="81"/>
      <c r="J72" s="104"/>
      <c r="K72" s="81"/>
      <c r="L72" s="78"/>
      <c r="M72" s="81"/>
      <c r="N72" s="133"/>
      <c r="O72" s="104"/>
      <c r="P72" s="131"/>
      <c r="Q72" s="134"/>
      <c r="R72" s="81"/>
      <c r="S72" s="78"/>
      <c r="T72" s="81"/>
      <c r="U72" s="135"/>
      <c r="V72" s="81"/>
      <c r="W72" s="136"/>
      <c r="X72" s="78"/>
      <c r="Y72" s="81"/>
      <c r="Z72" s="104"/>
      <c r="AA72" s="81"/>
      <c r="AB72" s="78"/>
      <c r="AC72" s="81"/>
      <c r="AD72" s="104"/>
      <c r="AE72" s="81"/>
      <c r="AF72" s="78"/>
      <c r="AG72" s="81"/>
      <c r="AH72" s="123" t="s">
        <v>1260</v>
      </c>
      <c r="AI72" s="124"/>
      <c r="AJ72" s="124"/>
      <c r="AK72" s="125"/>
      <c r="AL72" s="126"/>
      <c r="AM72" s="126"/>
      <c r="AN72" s="126"/>
      <c r="AO72" s="127"/>
      <c r="AP72" s="127"/>
      <c r="AQ72" s="127"/>
      <c r="AR72" s="126"/>
      <c r="AS72" s="126"/>
      <c r="AT72" s="126"/>
      <c r="AU72" s="125">
        <v>25</v>
      </c>
      <c r="AV72" s="125">
        <v>75</v>
      </c>
      <c r="AW72" s="125">
        <f>AU72*AV72</f>
        <v>1875</v>
      </c>
      <c r="AX72" s="126"/>
      <c r="AY72" s="126"/>
      <c r="AZ72" s="126"/>
      <c r="BA72" s="127"/>
      <c r="BB72" s="127"/>
      <c r="BC72" s="127"/>
      <c r="BD72" s="126">
        <v>300</v>
      </c>
      <c r="BE72" s="126">
        <v>10.5</v>
      </c>
      <c r="BF72" s="126">
        <f t="shared" si="12"/>
        <v>3150</v>
      </c>
      <c r="BG72" s="125">
        <v>125</v>
      </c>
      <c r="BH72" s="125">
        <v>6.3</v>
      </c>
      <c r="BI72" s="125">
        <f t="shared" si="13"/>
        <v>787.5</v>
      </c>
      <c r="BJ72" s="126"/>
      <c r="BK72" s="126"/>
      <c r="BL72" s="126"/>
      <c r="BM72" s="127"/>
      <c r="BN72" s="127"/>
      <c r="BO72" s="127"/>
      <c r="BP72" s="126"/>
      <c r="BQ72" s="126"/>
      <c r="BR72" s="126"/>
      <c r="BS72" s="128"/>
      <c r="BT72" s="128"/>
      <c r="BU72" s="128"/>
    </row>
    <row r="73" s="47" customFormat="1" spans="1:73">
      <c r="A73" s="129">
        <v>45625</v>
      </c>
      <c r="B73" s="130" t="s">
        <v>1248</v>
      </c>
      <c r="C73" s="131">
        <v>1000</v>
      </c>
      <c r="D73" s="132"/>
      <c r="E73" s="81">
        <v>-125</v>
      </c>
      <c r="F73" s="104"/>
      <c r="G73" s="81"/>
      <c r="H73" s="78"/>
      <c r="I73" s="138">
        <v>-200</v>
      </c>
      <c r="J73" s="104"/>
      <c r="K73" s="81"/>
      <c r="L73" s="78"/>
      <c r="M73" s="81"/>
      <c r="N73" s="133"/>
      <c r="O73" s="104"/>
      <c r="P73" s="131"/>
      <c r="Q73" s="134"/>
      <c r="R73" s="81"/>
      <c r="S73" s="78">
        <v>-2.5</v>
      </c>
      <c r="T73" s="81"/>
      <c r="U73" s="135"/>
      <c r="V73" s="81"/>
      <c r="W73" s="136"/>
      <c r="X73" s="78"/>
      <c r="Y73" s="81"/>
      <c r="Z73" s="104"/>
      <c r="AA73" s="81"/>
      <c r="AB73" s="78"/>
      <c r="AC73" s="81"/>
      <c r="AD73" s="104"/>
      <c r="AE73" s="81"/>
      <c r="AF73" s="78"/>
      <c r="AG73" s="81"/>
      <c r="AH73" s="123">
        <v>45625</v>
      </c>
      <c r="AI73" s="124"/>
      <c r="AJ73" s="124"/>
      <c r="AK73" s="125"/>
      <c r="AL73" s="126"/>
      <c r="AM73" s="126"/>
      <c r="AN73" s="126"/>
      <c r="AO73" s="127"/>
      <c r="AP73" s="127"/>
      <c r="AQ73" s="127"/>
      <c r="AR73" s="126"/>
      <c r="AS73" s="126"/>
      <c r="AT73" s="126"/>
      <c r="AU73" s="125"/>
      <c r="AV73" s="125"/>
      <c r="AW73" s="125"/>
      <c r="AX73" s="126"/>
      <c r="AY73" s="126"/>
      <c r="AZ73" s="126"/>
      <c r="BA73" s="127"/>
      <c r="BB73" s="127"/>
      <c r="BC73" s="127"/>
      <c r="BD73" s="126">
        <v>25</v>
      </c>
      <c r="BE73" s="126">
        <v>10.5</v>
      </c>
      <c r="BF73" s="126">
        <f t="shared" si="12"/>
        <v>262.5</v>
      </c>
      <c r="BG73" s="125">
        <v>135</v>
      </c>
      <c r="BH73" s="125">
        <v>5.9</v>
      </c>
      <c r="BI73" s="125">
        <f t="shared" si="13"/>
        <v>796.5</v>
      </c>
      <c r="BJ73" s="126"/>
      <c r="BK73" s="126"/>
      <c r="BL73" s="126"/>
      <c r="BM73" s="127"/>
      <c r="BN73" s="127"/>
      <c r="BO73" s="127"/>
      <c r="BP73" s="126">
        <v>50</v>
      </c>
      <c r="BQ73" s="126">
        <v>7.2</v>
      </c>
      <c r="BR73" s="126">
        <f t="shared" si="14"/>
        <v>360</v>
      </c>
      <c r="BS73" s="128"/>
      <c r="BT73" s="128"/>
      <c r="BU73" s="128"/>
    </row>
    <row r="74" s="47" customFormat="1" spans="1:73">
      <c r="A74" s="129">
        <v>45625</v>
      </c>
      <c r="B74" s="130" t="s">
        <v>1261</v>
      </c>
      <c r="C74" s="131">
        <v>57</v>
      </c>
      <c r="D74" s="132"/>
      <c r="E74" s="81"/>
      <c r="F74" s="104"/>
      <c r="G74" s="81"/>
      <c r="H74" s="78"/>
      <c r="I74" s="138"/>
      <c r="J74" s="104"/>
      <c r="K74" s="81"/>
      <c r="L74" s="78"/>
      <c r="M74" s="81"/>
      <c r="N74" s="133"/>
      <c r="O74" s="104">
        <v>-3</v>
      </c>
      <c r="P74" s="131"/>
      <c r="Q74" s="134"/>
      <c r="R74" s="81"/>
      <c r="S74" s="78"/>
      <c r="T74" s="81"/>
      <c r="U74" s="135"/>
      <c r="V74" s="81"/>
      <c r="W74" s="136"/>
      <c r="X74" s="78"/>
      <c r="Y74" s="81"/>
      <c r="Z74" s="104"/>
      <c r="AA74" s="81"/>
      <c r="AB74" s="78"/>
      <c r="AC74" s="81"/>
      <c r="AD74" s="104"/>
      <c r="AE74" s="81"/>
      <c r="AF74" s="78"/>
      <c r="AG74" s="81"/>
      <c r="AH74" s="123"/>
      <c r="AI74" s="124"/>
      <c r="AJ74" s="124"/>
      <c r="AK74" s="125"/>
      <c r="AL74" s="126"/>
      <c r="AM74" s="126"/>
      <c r="AN74" s="126"/>
      <c r="AO74" s="127"/>
      <c r="AP74" s="127"/>
      <c r="AQ74" s="127"/>
      <c r="AR74" s="126"/>
      <c r="AS74" s="126"/>
      <c r="AT74" s="126"/>
      <c r="AU74" s="125"/>
      <c r="AV74" s="125"/>
      <c r="AW74" s="125"/>
      <c r="AX74" s="126"/>
      <c r="AY74" s="126"/>
      <c r="AZ74" s="126"/>
      <c r="BA74" s="127"/>
      <c r="BB74" s="127"/>
      <c r="BC74" s="127"/>
      <c r="BD74" s="126"/>
      <c r="BE74" s="126"/>
      <c r="BF74" s="126"/>
      <c r="BG74" s="125"/>
      <c r="BH74" s="125"/>
      <c r="BI74" s="125"/>
      <c r="BJ74" s="126"/>
      <c r="BK74" s="126"/>
      <c r="BL74" s="126"/>
      <c r="BM74" s="127"/>
      <c r="BN74" s="127"/>
      <c r="BO74" s="127"/>
      <c r="BP74" s="126"/>
      <c r="BQ74" s="126"/>
      <c r="BR74" s="126"/>
      <c r="BS74" s="128"/>
      <c r="BT74" s="128"/>
      <c r="BU74" s="128"/>
    </row>
    <row r="75" s="47" customFormat="1" spans="1:73">
      <c r="A75" s="129">
        <v>45625</v>
      </c>
      <c r="B75" s="130" t="s">
        <v>1262</v>
      </c>
      <c r="C75" s="131">
        <v>1130</v>
      </c>
      <c r="D75" s="132"/>
      <c r="E75" s="81"/>
      <c r="F75" s="104"/>
      <c r="G75" s="81"/>
      <c r="H75" s="78"/>
      <c r="I75" s="81"/>
      <c r="J75" s="104"/>
      <c r="K75" s="81"/>
      <c r="L75" s="78"/>
      <c r="M75" s="81"/>
      <c r="N75" s="133"/>
      <c r="O75" s="104"/>
      <c r="P75" s="144"/>
      <c r="Q75" s="134"/>
      <c r="R75" s="81"/>
      <c r="S75" s="78"/>
      <c r="T75" s="81">
        <v>-101</v>
      </c>
      <c r="U75" s="135"/>
      <c r="V75" s="81"/>
      <c r="W75" s="136"/>
      <c r="X75" s="78"/>
      <c r="Y75" s="81">
        <v>-70</v>
      </c>
      <c r="Z75" s="104"/>
      <c r="AA75" s="81"/>
      <c r="AB75" s="78"/>
      <c r="AC75" s="81"/>
      <c r="AD75" s="104"/>
      <c r="AE75" s="81"/>
      <c r="AF75" s="78"/>
      <c r="AG75" s="81"/>
      <c r="AH75" s="123">
        <v>45625</v>
      </c>
      <c r="AI75" s="124"/>
      <c r="AJ75" s="124"/>
      <c r="AK75" s="125"/>
      <c r="AL75" s="126">
        <v>50</v>
      </c>
      <c r="AM75" s="126">
        <v>0.9</v>
      </c>
      <c r="AN75" s="126">
        <f>AL75*AM75</f>
        <v>45</v>
      </c>
      <c r="AO75" s="127">
        <v>30</v>
      </c>
      <c r="AP75" s="127">
        <v>17</v>
      </c>
      <c r="AQ75" s="127">
        <f>AO75*AP75</f>
        <v>510</v>
      </c>
      <c r="AR75" s="126"/>
      <c r="AS75" s="126"/>
      <c r="AT75" s="126"/>
      <c r="AU75" s="125"/>
      <c r="AV75" s="125"/>
      <c r="AW75" s="125"/>
      <c r="AX75" s="126"/>
      <c r="AY75" s="126"/>
      <c r="AZ75" s="126"/>
      <c r="BA75" s="127"/>
      <c r="BB75" s="127"/>
      <c r="BC75" s="127"/>
      <c r="BD75" s="126"/>
      <c r="BE75" s="126"/>
      <c r="BF75" s="126"/>
      <c r="BG75" s="125"/>
      <c r="BH75" s="125"/>
      <c r="BI75" s="125"/>
      <c r="BJ75" s="126">
        <v>236.5</v>
      </c>
      <c r="BK75" s="126">
        <v>3.6</v>
      </c>
      <c r="BL75" s="126">
        <f>BJ75*BK75</f>
        <v>851.4</v>
      </c>
      <c r="BM75" s="127"/>
      <c r="BN75" s="127"/>
      <c r="BO75" s="127"/>
      <c r="BP75" s="126"/>
      <c r="BQ75" s="126"/>
      <c r="BR75" s="126"/>
      <c r="BS75" s="128"/>
      <c r="BT75" s="128"/>
      <c r="BU75" s="128"/>
    </row>
    <row r="76" s="47" customFormat="1" spans="1:73">
      <c r="A76" s="129"/>
      <c r="B76" s="137"/>
      <c r="C76" s="131"/>
      <c r="D76" s="132"/>
      <c r="E76" s="81"/>
      <c r="F76" s="135"/>
      <c r="G76" s="81"/>
      <c r="H76" s="78"/>
      <c r="I76" s="81"/>
      <c r="J76" s="104"/>
      <c r="K76" s="81"/>
      <c r="L76" s="78"/>
      <c r="M76" s="81"/>
      <c r="N76" s="133"/>
      <c r="O76" s="104"/>
      <c r="P76" s="131"/>
      <c r="Q76" s="134"/>
      <c r="R76" s="81"/>
      <c r="S76" s="78"/>
      <c r="T76" s="81"/>
      <c r="U76" s="140"/>
      <c r="V76" s="81"/>
      <c r="W76" s="136"/>
      <c r="X76" s="78"/>
      <c r="Y76" s="81"/>
      <c r="Z76" s="104"/>
      <c r="AA76" s="81"/>
      <c r="AB76" s="78"/>
      <c r="AC76" s="81"/>
      <c r="AD76" s="104"/>
      <c r="AE76" s="81"/>
      <c r="AF76" s="78"/>
      <c r="AG76" s="81"/>
      <c r="AH76" s="123"/>
      <c r="AI76" s="124"/>
      <c r="AJ76" s="124"/>
      <c r="AK76" s="125"/>
      <c r="AL76" s="126"/>
      <c r="AM76" s="126"/>
      <c r="AN76" s="126"/>
      <c r="AO76" s="127"/>
      <c r="AP76" s="127"/>
      <c r="AQ76" s="127"/>
      <c r="AR76" s="126"/>
      <c r="AS76" s="126"/>
      <c r="AT76" s="126"/>
      <c r="AU76" s="125"/>
      <c r="AV76" s="125"/>
      <c r="AW76" s="125"/>
      <c r="AX76" s="126"/>
      <c r="AY76" s="126"/>
      <c r="AZ76" s="126"/>
      <c r="BA76" s="127"/>
      <c r="BB76" s="127"/>
      <c r="BC76" s="127"/>
      <c r="BD76" s="126"/>
      <c r="BE76" s="126"/>
      <c r="BF76" s="126"/>
      <c r="BG76" s="125"/>
      <c r="BH76" s="125"/>
      <c r="BI76" s="125"/>
      <c r="BJ76" s="126"/>
      <c r="BK76" s="126"/>
      <c r="BL76" s="126"/>
      <c r="BM76" s="127"/>
      <c r="BN76" s="127"/>
      <c r="BO76" s="127"/>
      <c r="BP76" s="126"/>
      <c r="BQ76" s="126"/>
      <c r="BR76" s="126"/>
      <c r="BS76" s="128"/>
      <c r="BT76" s="128"/>
      <c r="BU76" s="128"/>
    </row>
    <row r="77" s="47" customFormat="1" spans="1:73">
      <c r="A77" s="129"/>
      <c r="B77" s="137"/>
      <c r="C77" s="131"/>
      <c r="D77" s="132"/>
      <c r="E77" s="81"/>
      <c r="F77" s="104"/>
      <c r="G77" s="81"/>
      <c r="H77" s="78"/>
      <c r="I77" s="81"/>
      <c r="J77" s="104"/>
      <c r="K77" s="81"/>
      <c r="L77" s="78"/>
      <c r="M77" s="81"/>
      <c r="N77" s="133"/>
      <c r="O77" s="104"/>
      <c r="P77" s="131"/>
      <c r="Q77" s="134"/>
      <c r="R77" s="81"/>
      <c r="S77" s="78"/>
      <c r="T77" s="81"/>
      <c r="U77" s="135"/>
      <c r="V77" s="81"/>
      <c r="W77" s="136"/>
      <c r="X77" s="78"/>
      <c r="Y77" s="81"/>
      <c r="Z77" s="104"/>
      <c r="AA77" s="81"/>
      <c r="AB77" s="78"/>
      <c r="AC77" s="81"/>
      <c r="AD77" s="104"/>
      <c r="AE77" s="81"/>
      <c r="AF77" s="78"/>
      <c r="AG77" s="81"/>
      <c r="AH77" s="123"/>
      <c r="AI77" s="124"/>
      <c r="AJ77" s="124"/>
      <c r="AK77" s="125"/>
      <c r="AL77" s="126"/>
      <c r="AM77" s="126"/>
      <c r="AN77" s="126"/>
      <c r="AO77" s="127"/>
      <c r="AP77" s="127"/>
      <c r="AQ77" s="127"/>
      <c r="AR77" s="126"/>
      <c r="AS77" s="126"/>
      <c r="AT77" s="126"/>
      <c r="AU77" s="125"/>
      <c r="AV77" s="125"/>
      <c r="AW77" s="125"/>
      <c r="AX77" s="126"/>
      <c r="AY77" s="126"/>
      <c r="AZ77" s="126"/>
      <c r="BA77" s="127"/>
      <c r="BB77" s="127"/>
      <c r="BC77" s="127"/>
      <c r="BD77" s="126"/>
      <c r="BE77" s="126"/>
      <c r="BF77" s="126"/>
      <c r="BG77" s="125"/>
      <c r="BH77" s="125"/>
      <c r="BI77" s="125"/>
      <c r="BJ77" s="126"/>
      <c r="BK77" s="126"/>
      <c r="BL77" s="126"/>
      <c r="BM77" s="127"/>
      <c r="BN77" s="127"/>
      <c r="BO77" s="127"/>
      <c r="BP77" s="126"/>
      <c r="BQ77" s="126"/>
      <c r="BR77" s="126"/>
      <c r="BS77" s="128"/>
      <c r="BT77" s="128"/>
      <c r="BU77" s="128"/>
    </row>
    <row r="78" s="47" customFormat="1" spans="1:73">
      <c r="A78" s="129"/>
      <c r="B78" s="130"/>
      <c r="C78" s="131"/>
      <c r="D78" s="132"/>
      <c r="E78" s="81"/>
      <c r="F78" s="104"/>
      <c r="G78" s="81"/>
      <c r="H78" s="78"/>
      <c r="I78" s="81"/>
      <c r="J78" s="104"/>
      <c r="K78" s="81"/>
      <c r="L78" s="78"/>
      <c r="M78" s="81"/>
      <c r="N78" s="133"/>
      <c r="O78" s="104"/>
      <c r="P78" s="131"/>
      <c r="Q78" s="134"/>
      <c r="R78" s="81"/>
      <c r="S78" s="78"/>
      <c r="T78" s="81"/>
      <c r="U78" s="135"/>
      <c r="V78" s="81"/>
      <c r="W78" s="136"/>
      <c r="X78" s="78"/>
      <c r="Y78" s="81"/>
      <c r="Z78" s="104"/>
      <c r="AA78" s="81"/>
      <c r="AB78" s="78"/>
      <c r="AC78" s="81"/>
      <c r="AD78" s="104"/>
      <c r="AE78" s="81"/>
      <c r="AF78" s="78"/>
      <c r="AG78" s="81"/>
      <c r="AH78" s="123"/>
      <c r="AI78" s="124"/>
      <c r="AJ78" s="124"/>
      <c r="AK78" s="125"/>
      <c r="AL78" s="126"/>
      <c r="AM78" s="126"/>
      <c r="AN78" s="126"/>
      <c r="AO78" s="127"/>
      <c r="AP78" s="127"/>
      <c r="AQ78" s="127"/>
      <c r="AR78" s="126"/>
      <c r="AS78" s="126"/>
      <c r="AT78" s="126"/>
      <c r="AU78" s="125"/>
      <c r="AV78" s="125"/>
      <c r="AW78" s="125"/>
      <c r="AX78" s="126"/>
      <c r="AY78" s="126"/>
      <c r="AZ78" s="126"/>
      <c r="BA78" s="127"/>
      <c r="BB78" s="127"/>
      <c r="BC78" s="127"/>
      <c r="BD78" s="126"/>
      <c r="BE78" s="126"/>
      <c r="BF78" s="126"/>
      <c r="BG78" s="125"/>
      <c r="BH78" s="125"/>
      <c r="BI78" s="125"/>
      <c r="BJ78" s="126"/>
      <c r="BK78" s="126"/>
      <c r="BL78" s="126"/>
      <c r="BM78" s="127"/>
      <c r="BN78" s="127"/>
      <c r="BO78" s="127"/>
      <c r="BP78" s="126"/>
      <c r="BQ78" s="126"/>
      <c r="BR78" s="126"/>
      <c r="BS78" s="128"/>
      <c r="BT78" s="128"/>
      <c r="BU78" s="128"/>
    </row>
    <row r="79" s="46" customFormat="1" spans="1:73">
      <c r="A79" s="129"/>
      <c r="B79" s="130"/>
      <c r="C79" s="131">
        <f>SUM(C54:C78)</f>
        <v>13124.4</v>
      </c>
      <c r="D79" s="131">
        <f t="shared" ref="C79:AG79" si="15">SUM(D54:D78)</f>
        <v>0</v>
      </c>
      <c r="E79" s="131">
        <f t="shared" si="15"/>
        <v>587</v>
      </c>
      <c r="F79" s="131">
        <f t="shared" si="15"/>
        <v>175</v>
      </c>
      <c r="G79" s="131">
        <f t="shared" si="15"/>
        <v>0</v>
      </c>
      <c r="H79" s="131">
        <f t="shared" si="15"/>
        <v>0</v>
      </c>
      <c r="I79" s="131">
        <f t="shared" si="15"/>
        <v>480</v>
      </c>
      <c r="J79" s="131">
        <f t="shared" si="15"/>
        <v>536</v>
      </c>
      <c r="K79" s="131">
        <f t="shared" si="15"/>
        <v>0</v>
      </c>
      <c r="L79" s="131">
        <f t="shared" si="15"/>
        <v>-15</v>
      </c>
      <c r="M79" s="131">
        <f t="shared" si="15"/>
        <v>0</v>
      </c>
      <c r="N79" s="131">
        <f t="shared" si="15"/>
        <v>0</v>
      </c>
      <c r="O79" s="131">
        <f t="shared" si="15"/>
        <v>75</v>
      </c>
      <c r="P79" s="131">
        <f t="shared" si="15"/>
        <v>310</v>
      </c>
      <c r="Q79" s="131">
        <f t="shared" si="15"/>
        <v>0</v>
      </c>
      <c r="R79" s="131">
        <f t="shared" si="15"/>
        <v>35</v>
      </c>
      <c r="S79" s="131">
        <f t="shared" si="15"/>
        <v>-13.4</v>
      </c>
      <c r="T79" s="131">
        <f t="shared" si="15"/>
        <v>785.6</v>
      </c>
      <c r="U79" s="131">
        <f t="shared" si="15"/>
        <v>-212</v>
      </c>
      <c r="V79" s="131">
        <f t="shared" si="15"/>
        <v>141</v>
      </c>
      <c r="W79" s="131">
        <f t="shared" si="15"/>
        <v>0</v>
      </c>
      <c r="X79" s="131">
        <f t="shared" si="15"/>
        <v>13.5</v>
      </c>
      <c r="Y79" s="131">
        <f t="shared" si="15"/>
        <v>774</v>
      </c>
      <c r="Z79" s="131">
        <f t="shared" si="15"/>
        <v>0</v>
      </c>
      <c r="AA79" s="131">
        <f t="shared" si="15"/>
        <v>0</v>
      </c>
      <c r="AB79" s="131">
        <f t="shared" si="15"/>
        <v>0</v>
      </c>
      <c r="AC79" s="131">
        <f t="shared" si="15"/>
        <v>14</v>
      </c>
      <c r="AD79" s="131">
        <f t="shared" si="15"/>
        <v>0</v>
      </c>
      <c r="AE79" s="131">
        <f t="shared" si="15"/>
        <v>0</v>
      </c>
      <c r="AF79" s="131">
        <f t="shared" si="15"/>
        <v>0</v>
      </c>
      <c r="AG79" s="131">
        <f t="shared" si="15"/>
        <v>0</v>
      </c>
      <c r="AH79" s="131"/>
      <c r="AI79" s="131">
        <f>SUM(AI54:AI78)</f>
        <v>300</v>
      </c>
      <c r="AJ79" s="131">
        <f>SUM(AJ54:AJ76)</f>
        <v>0</v>
      </c>
      <c r="AK79" s="131">
        <f>SUM(AK54:AK76)</f>
        <v>0</v>
      </c>
      <c r="AL79" s="131">
        <f>SUM(AL54:AL78)</f>
        <v>100</v>
      </c>
      <c r="AM79" s="131"/>
      <c r="AN79" s="131">
        <f>SUM(AN54:AN78)</f>
        <v>90</v>
      </c>
      <c r="AO79" s="131">
        <f>SUM(AO54:AO78)</f>
        <v>87</v>
      </c>
      <c r="AP79" s="131"/>
      <c r="AQ79" s="131">
        <f>SUM(AQ54:AQ78)</f>
        <v>1475</v>
      </c>
      <c r="AR79" s="131">
        <f>SUM(AR54:AR76)</f>
        <v>0</v>
      </c>
      <c r="AS79" s="131"/>
      <c r="AT79" s="131">
        <f>SUM(AT54:AT76)</f>
        <v>0</v>
      </c>
      <c r="AU79" s="131">
        <f>SUM(AU54:AU78)</f>
        <v>25</v>
      </c>
      <c r="AV79" s="131"/>
      <c r="AW79" s="131">
        <f>SUM(AW54:AW78)</f>
        <v>1875</v>
      </c>
      <c r="AX79" s="131">
        <f>SUM(AX54:AX78)</f>
        <v>0</v>
      </c>
      <c r="AY79" s="131"/>
      <c r="AZ79" s="131">
        <f>SUM(AZ54:AZ78)</f>
        <v>0</v>
      </c>
      <c r="BA79" s="131">
        <f>SUM(BA54:BA78)</f>
        <v>0</v>
      </c>
      <c r="BB79" s="131"/>
      <c r="BC79" s="131">
        <f>SUM(BC54:BC78)</f>
        <v>0</v>
      </c>
      <c r="BD79" s="131">
        <f>SUM(BD54:BD78)</f>
        <v>1691</v>
      </c>
      <c r="BE79" s="131"/>
      <c r="BF79" s="131">
        <f>SUM(BF54:BF78)</f>
        <v>17879.3</v>
      </c>
      <c r="BG79" s="131">
        <f>SUM(BG54:BG78)</f>
        <v>741.4</v>
      </c>
      <c r="BH79" s="131"/>
      <c r="BI79" s="131">
        <f>SUM(BI54:BI78)</f>
        <v>4617.46</v>
      </c>
      <c r="BJ79" s="131">
        <f>SUM(BJ54:BJ78)</f>
        <v>985.5</v>
      </c>
      <c r="BK79" s="131"/>
      <c r="BL79" s="131">
        <f>SUM(BL54:BL78)</f>
        <v>3622.7</v>
      </c>
      <c r="BM79" s="131">
        <f>SUM(BM54:BM76)</f>
        <v>0</v>
      </c>
      <c r="BN79" s="131"/>
      <c r="BO79" s="131">
        <f>SUM(BO54:BO76)</f>
        <v>0</v>
      </c>
      <c r="BP79" s="131">
        <f>SUM(BP54:BP78)</f>
        <v>547.1</v>
      </c>
      <c r="BQ79" s="131"/>
      <c r="BR79" s="131">
        <f>SUM(BR54:BR78)</f>
        <v>3950.46</v>
      </c>
      <c r="BS79" s="131">
        <f>SUM(BS54:BS78)</f>
        <v>60</v>
      </c>
      <c r="BT79" s="131"/>
      <c r="BU79" s="131">
        <f>SUM(BU54:BU78)</f>
        <v>459</v>
      </c>
    </row>
    <row r="90" s="11" customFormat="1" ht="33" customHeight="1" spans="1:73">
      <c r="A90" s="66" t="s">
        <v>1245</v>
      </c>
      <c r="B90" s="66"/>
      <c r="C90" s="66"/>
      <c r="D90" s="67"/>
      <c r="E90" s="66"/>
      <c r="F90" s="66"/>
      <c r="G90" s="66"/>
      <c r="H90" s="66"/>
      <c r="I90" s="66"/>
      <c r="J90" s="66"/>
      <c r="K90" s="66"/>
      <c r="L90" s="66"/>
      <c r="M90" s="68"/>
      <c r="N90" s="66"/>
      <c r="O90" s="69"/>
      <c r="P90" s="70"/>
      <c r="Q90" s="66"/>
      <c r="R90" s="66"/>
      <c r="S90" s="66"/>
      <c r="T90" s="71" t="s">
        <v>1200</v>
      </c>
      <c r="U90" s="71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3"/>
      <c r="AH90" s="74"/>
      <c r="AI90" s="74"/>
      <c r="AJ90" s="75"/>
      <c r="AK90" s="75"/>
      <c r="AL90" s="72" t="s">
        <v>908</v>
      </c>
      <c r="AM90" s="72"/>
      <c r="AN90" s="72"/>
      <c r="AO90" s="76"/>
      <c r="AP90" s="76"/>
      <c r="AQ90" s="77">
        <f>AK130+AN130+AQ130+AT130+AW130+AZ130+BC130+BF130+BI130+BL130+BO130+BR130+BU130</f>
        <v>67294.7</v>
      </c>
      <c r="AR90" s="77"/>
      <c r="AS90" s="72"/>
      <c r="AT90" s="72"/>
      <c r="AU90" s="75"/>
      <c r="AV90" s="75"/>
      <c r="AW90" s="75"/>
      <c r="AX90" s="72"/>
      <c r="AY90" s="72"/>
      <c r="AZ90" s="72"/>
      <c r="BA90" s="77"/>
      <c r="BB90" s="77"/>
      <c r="BC90" s="77"/>
      <c r="BD90" s="72"/>
      <c r="BE90" s="72"/>
      <c r="BF90" s="72"/>
      <c r="BG90" s="75"/>
      <c r="BH90" s="75"/>
      <c r="BI90" s="75"/>
      <c r="BJ90" s="72"/>
      <c r="BK90" s="72"/>
      <c r="BL90" s="72"/>
      <c r="BM90" s="77"/>
      <c r="BN90" s="77"/>
      <c r="BO90" s="78"/>
      <c r="BP90" s="79"/>
      <c r="BQ90" s="79"/>
      <c r="BR90" s="80"/>
    </row>
    <row r="91" s="12" customFormat="1" ht="27" customHeight="1" spans="1:73">
      <c r="A91" s="81" t="s">
        <v>35</v>
      </c>
      <c r="B91" s="82" t="s">
        <v>909</v>
      </c>
      <c r="C91" s="83"/>
      <c r="D91" s="84" t="s">
        <v>648</v>
      </c>
      <c r="E91" s="85" t="s">
        <v>240</v>
      </c>
      <c r="F91" s="86" t="s">
        <v>1201</v>
      </c>
      <c r="G91" s="87" t="s">
        <v>315</v>
      </c>
      <c r="H91" s="88" t="s">
        <v>1202</v>
      </c>
      <c r="I91" s="89" t="s">
        <v>704</v>
      </c>
      <c r="J91" s="90" t="s">
        <v>1203</v>
      </c>
      <c r="K91" s="91" t="s">
        <v>1204</v>
      </c>
      <c r="L91" s="88" t="s">
        <v>1205</v>
      </c>
      <c r="M91" s="92" t="s">
        <v>542</v>
      </c>
      <c r="N91" s="93" t="s">
        <v>1206</v>
      </c>
      <c r="O91" s="94" t="s">
        <v>342</v>
      </c>
      <c r="P91" s="95" t="s">
        <v>977</v>
      </c>
      <c r="Q91" s="96" t="s">
        <v>1207</v>
      </c>
      <c r="R91" s="92" t="s">
        <v>1208</v>
      </c>
      <c r="S91" s="88" t="s">
        <v>1209</v>
      </c>
      <c r="T91" s="97" t="s">
        <v>149</v>
      </c>
      <c r="U91" s="98" t="s">
        <v>298</v>
      </c>
      <c r="V91" s="89" t="s">
        <v>957</v>
      </c>
      <c r="W91" s="99">
        <v>5014</v>
      </c>
      <c r="X91" s="88" t="s">
        <v>1210</v>
      </c>
      <c r="Y91" s="100" t="s">
        <v>1211</v>
      </c>
      <c r="Z91" s="90" t="s">
        <v>1212</v>
      </c>
      <c r="AA91" s="89" t="s">
        <v>872</v>
      </c>
      <c r="AB91" s="101" t="s">
        <v>896</v>
      </c>
      <c r="AC91" s="89" t="s">
        <v>1213</v>
      </c>
      <c r="AD91" s="94" t="s">
        <v>1214</v>
      </c>
      <c r="AE91" s="89" t="s">
        <v>199</v>
      </c>
      <c r="AF91" s="101" t="s">
        <v>1215</v>
      </c>
      <c r="AG91" s="102" t="s">
        <v>1216</v>
      </c>
      <c r="AH91" s="73" t="s">
        <v>35</v>
      </c>
      <c r="AI91" s="74" t="s">
        <v>289</v>
      </c>
      <c r="AJ91" s="74"/>
      <c r="AK91" s="103"/>
      <c r="AL91" s="81" t="s">
        <v>466</v>
      </c>
      <c r="AM91" s="81"/>
      <c r="AN91" s="81"/>
      <c r="AO91" s="78" t="s">
        <v>191</v>
      </c>
      <c r="AP91" s="78"/>
      <c r="AQ91" s="78"/>
      <c r="AR91" s="81" t="s">
        <v>911</v>
      </c>
      <c r="AS91" s="81"/>
      <c r="AT91" s="81"/>
      <c r="AU91" s="104" t="s">
        <v>912</v>
      </c>
      <c r="AV91" s="104"/>
      <c r="AW91" s="104"/>
      <c r="AX91" s="81" t="s">
        <v>984</v>
      </c>
      <c r="AY91" s="81"/>
      <c r="AZ91" s="81"/>
      <c r="BA91" s="78" t="s">
        <v>960</v>
      </c>
      <c r="BB91" s="78"/>
      <c r="BC91" s="78"/>
      <c r="BD91" s="81">
        <v>808</v>
      </c>
      <c r="BE91" s="81"/>
      <c r="BF91" s="81"/>
      <c r="BG91" s="104" t="s">
        <v>125</v>
      </c>
      <c r="BH91" s="104"/>
      <c r="BI91" s="104"/>
      <c r="BJ91" s="81" t="s">
        <v>132</v>
      </c>
      <c r="BK91" s="81"/>
      <c r="BL91" s="81"/>
      <c r="BM91" s="78">
        <v>811</v>
      </c>
      <c r="BN91" s="78"/>
      <c r="BO91" s="105"/>
      <c r="BP91" s="81" t="s">
        <v>152</v>
      </c>
      <c r="BQ91" s="81"/>
      <c r="BR91" s="81"/>
      <c r="BS91" s="106" t="s">
        <v>12</v>
      </c>
      <c r="BT91" s="107"/>
      <c r="BU91" s="108"/>
    </row>
    <row r="92" s="12" customFormat="1" ht="27" customHeight="1" spans="1:73">
      <c r="A92" s="81"/>
      <c r="B92" s="82" t="s">
        <v>914</v>
      </c>
      <c r="C92" s="83" t="s">
        <v>915</v>
      </c>
      <c r="D92" s="109"/>
      <c r="E92" s="110"/>
      <c r="F92" s="111"/>
      <c r="G92" s="112"/>
      <c r="H92" s="88"/>
      <c r="I92" s="89"/>
      <c r="J92" s="90"/>
      <c r="K92" s="91"/>
      <c r="L92" s="88"/>
      <c r="M92" s="92"/>
      <c r="N92" s="113"/>
      <c r="O92" s="94"/>
      <c r="P92" s="114"/>
      <c r="Q92" s="96"/>
      <c r="R92" s="92"/>
      <c r="S92" s="88"/>
      <c r="T92" s="97"/>
      <c r="U92" s="115"/>
      <c r="V92" s="89"/>
      <c r="W92" s="116"/>
      <c r="X92" s="88"/>
      <c r="Y92" s="100"/>
      <c r="Z92" s="90"/>
      <c r="AA92" s="89"/>
      <c r="AB92" s="101"/>
      <c r="AC92" s="89"/>
      <c r="AD92" s="94"/>
      <c r="AE92" s="89"/>
      <c r="AF92" s="101"/>
      <c r="AG92" s="102"/>
      <c r="AH92" s="73"/>
      <c r="AI92" s="117" t="s">
        <v>916</v>
      </c>
      <c r="AJ92" s="118" t="s">
        <v>917</v>
      </c>
      <c r="AK92" s="81" t="s">
        <v>918</v>
      </c>
      <c r="AL92" s="81" t="s">
        <v>916</v>
      </c>
      <c r="AM92" s="81" t="s">
        <v>917</v>
      </c>
      <c r="AN92" s="81" t="s">
        <v>918</v>
      </c>
      <c r="AO92" s="78" t="s">
        <v>916</v>
      </c>
      <c r="AP92" s="78" t="s">
        <v>917</v>
      </c>
      <c r="AQ92" s="78" t="s">
        <v>918</v>
      </c>
      <c r="AR92" s="81" t="s">
        <v>916</v>
      </c>
      <c r="AS92" s="81" t="s">
        <v>917</v>
      </c>
      <c r="AT92" s="81" t="s">
        <v>918</v>
      </c>
      <c r="AU92" s="104" t="s">
        <v>916</v>
      </c>
      <c r="AV92" s="104" t="s">
        <v>917</v>
      </c>
      <c r="AW92" s="104" t="s">
        <v>918</v>
      </c>
      <c r="AX92" s="81" t="s">
        <v>916</v>
      </c>
      <c r="AY92" s="81" t="s">
        <v>917</v>
      </c>
      <c r="AZ92" s="81" t="s">
        <v>918</v>
      </c>
      <c r="BA92" s="78" t="s">
        <v>916</v>
      </c>
      <c r="BB92" s="78" t="s">
        <v>917</v>
      </c>
      <c r="BC92" s="78" t="s">
        <v>918</v>
      </c>
      <c r="BD92" s="81" t="s">
        <v>916</v>
      </c>
      <c r="BE92" s="81" t="s">
        <v>917</v>
      </c>
      <c r="BF92" s="81" t="s">
        <v>918</v>
      </c>
      <c r="BG92" s="104" t="s">
        <v>916</v>
      </c>
      <c r="BH92" s="104" t="s">
        <v>917</v>
      </c>
      <c r="BI92" s="104" t="s">
        <v>918</v>
      </c>
      <c r="BJ92" s="81" t="s">
        <v>916</v>
      </c>
      <c r="BK92" s="81" t="s">
        <v>917</v>
      </c>
      <c r="BL92" s="81" t="s">
        <v>918</v>
      </c>
      <c r="BM92" s="78" t="s">
        <v>916</v>
      </c>
      <c r="BN92" s="78" t="s">
        <v>917</v>
      </c>
      <c r="BO92" s="105" t="s">
        <v>918</v>
      </c>
      <c r="BP92" s="81" t="s">
        <v>916</v>
      </c>
      <c r="BQ92" s="81" t="s">
        <v>917</v>
      </c>
      <c r="BR92" s="81" t="s">
        <v>918</v>
      </c>
      <c r="BS92" s="104" t="s">
        <v>916</v>
      </c>
      <c r="BT92" s="104" t="s">
        <v>917</v>
      </c>
      <c r="BU92" s="104" t="s">
        <v>918</v>
      </c>
    </row>
    <row r="93" s="46" customFormat="1" spans="1:73">
      <c r="A93" s="119" t="s">
        <v>418</v>
      </c>
      <c r="B93" s="120" t="s">
        <v>1263</v>
      </c>
      <c r="C93" s="121"/>
      <c r="D93" s="122">
        <f t="shared" ref="D93:AG93" si="16">D155</f>
        <v>0</v>
      </c>
      <c r="E93" s="122">
        <f t="shared" si="16"/>
        <v>212</v>
      </c>
      <c r="F93" s="122">
        <f t="shared" si="16"/>
        <v>175</v>
      </c>
      <c r="G93" s="122">
        <f t="shared" si="16"/>
        <v>0</v>
      </c>
      <c r="H93" s="122">
        <f t="shared" si="16"/>
        <v>0</v>
      </c>
      <c r="I93" s="122">
        <f t="shared" si="16"/>
        <v>566.5</v>
      </c>
      <c r="J93" s="122">
        <f t="shared" si="16"/>
        <v>727</v>
      </c>
      <c r="K93" s="122">
        <f t="shared" si="16"/>
        <v>109</v>
      </c>
      <c r="L93" s="122">
        <f t="shared" si="16"/>
        <v>-15</v>
      </c>
      <c r="M93" s="122">
        <f t="shared" si="16"/>
        <v>0</v>
      </c>
      <c r="N93" s="122">
        <f t="shared" si="16"/>
        <v>0</v>
      </c>
      <c r="O93" s="122">
        <f t="shared" si="16"/>
        <v>273</v>
      </c>
      <c r="P93" s="122">
        <f t="shared" si="16"/>
        <v>834</v>
      </c>
      <c r="Q93" s="122">
        <f t="shared" si="16"/>
        <v>0</v>
      </c>
      <c r="R93" s="122">
        <f t="shared" si="16"/>
        <v>65</v>
      </c>
      <c r="S93" s="122">
        <f t="shared" si="16"/>
        <v>6.8</v>
      </c>
      <c r="T93" s="122">
        <f t="shared" si="16"/>
        <v>1187.6</v>
      </c>
      <c r="U93" s="122">
        <f t="shared" si="16"/>
        <v>1361</v>
      </c>
      <c r="V93" s="122">
        <f t="shared" si="16"/>
        <v>141</v>
      </c>
      <c r="W93" s="122">
        <f t="shared" si="16"/>
        <v>0</v>
      </c>
      <c r="X93" s="122">
        <f t="shared" si="16"/>
        <v>13.5</v>
      </c>
      <c r="Y93" s="122"/>
      <c r="Z93" s="122">
        <f t="shared" si="16"/>
        <v>0</v>
      </c>
      <c r="AA93" s="122">
        <f t="shared" si="16"/>
        <v>0</v>
      </c>
      <c r="AB93" s="122">
        <f t="shared" si="16"/>
        <v>0</v>
      </c>
      <c r="AC93" s="122">
        <f t="shared" si="16"/>
        <v>14</v>
      </c>
      <c r="AD93" s="122">
        <f t="shared" si="16"/>
        <v>0</v>
      </c>
      <c r="AE93" s="122">
        <f t="shared" si="16"/>
        <v>0</v>
      </c>
      <c r="AF93" s="122">
        <f t="shared" si="16"/>
        <v>0</v>
      </c>
      <c r="AG93" s="122">
        <f t="shared" si="16"/>
        <v>0</v>
      </c>
      <c r="AH93" s="123"/>
      <c r="AI93" s="124"/>
      <c r="AJ93" s="124"/>
      <c r="AK93" s="125"/>
      <c r="AL93" s="126"/>
      <c r="AM93" s="126"/>
      <c r="AN93" s="126"/>
      <c r="AO93" s="127"/>
      <c r="AP93" s="127"/>
      <c r="AQ93" s="127"/>
      <c r="AR93" s="126"/>
      <c r="AS93" s="126"/>
      <c r="AT93" s="126"/>
      <c r="AU93" s="125"/>
      <c r="AV93" s="125"/>
      <c r="AW93" s="125"/>
      <c r="AX93" s="126"/>
      <c r="AY93" s="126"/>
      <c r="AZ93" s="126"/>
      <c r="BA93" s="127"/>
      <c r="BB93" s="127"/>
      <c r="BC93" s="127"/>
      <c r="BD93" s="126"/>
      <c r="BE93" s="126"/>
      <c r="BF93" s="126"/>
      <c r="BG93" s="125"/>
      <c r="BH93" s="125"/>
      <c r="BI93" s="125"/>
      <c r="BJ93" s="126"/>
      <c r="BK93" s="126"/>
      <c r="BL93" s="126"/>
      <c r="BM93" s="127"/>
      <c r="BN93" s="127"/>
      <c r="BO93" s="127"/>
      <c r="BP93" s="126"/>
      <c r="BQ93" s="126"/>
      <c r="BR93" s="126"/>
      <c r="BS93" s="128"/>
      <c r="BT93" s="128"/>
      <c r="BU93" s="128"/>
    </row>
    <row r="94" s="47" customFormat="1" spans="1:73">
      <c r="A94" s="129">
        <v>45572</v>
      </c>
      <c r="B94" s="130" t="s">
        <v>1264</v>
      </c>
      <c r="C94" s="131">
        <v>552</v>
      </c>
      <c r="D94" s="132"/>
      <c r="E94" s="81"/>
      <c r="F94" s="104"/>
      <c r="G94" s="81"/>
      <c r="H94" s="78"/>
      <c r="I94" s="81"/>
      <c r="J94" s="104">
        <v>-75</v>
      </c>
      <c r="K94" s="81"/>
      <c r="L94" s="78"/>
      <c r="M94" s="81"/>
      <c r="N94" s="133"/>
      <c r="O94" s="104"/>
      <c r="P94" s="131"/>
      <c r="Q94" s="134"/>
      <c r="R94" s="81"/>
      <c r="S94" s="78">
        <v>-2</v>
      </c>
      <c r="T94" s="81">
        <v>-70</v>
      </c>
      <c r="U94" s="104">
        <v>-130</v>
      </c>
      <c r="V94" s="81"/>
      <c r="W94" s="136"/>
      <c r="X94" s="78"/>
      <c r="Y94" s="81"/>
      <c r="Z94" s="104"/>
      <c r="AA94" s="81"/>
      <c r="AB94" s="78"/>
      <c r="AC94" s="81"/>
      <c r="AD94" s="104"/>
      <c r="AE94" s="81"/>
      <c r="AF94" s="78"/>
      <c r="AG94" s="81"/>
      <c r="AH94" s="123">
        <v>45572</v>
      </c>
      <c r="AI94" s="124"/>
      <c r="AJ94" s="124"/>
      <c r="AK94" s="125"/>
      <c r="AL94" s="126">
        <v>50</v>
      </c>
      <c r="AM94" s="126">
        <v>0.9</v>
      </c>
      <c r="AN94" s="126">
        <f>AL94*AM94</f>
        <v>45</v>
      </c>
      <c r="AO94" s="127">
        <v>15</v>
      </c>
      <c r="AP94" s="127">
        <v>17</v>
      </c>
      <c r="AQ94" s="127">
        <f>AO94*AP94</f>
        <v>255</v>
      </c>
      <c r="AR94" s="126"/>
      <c r="AS94" s="126"/>
      <c r="AT94" s="126"/>
      <c r="AU94" s="125"/>
      <c r="AV94" s="125"/>
      <c r="AW94" s="125"/>
      <c r="AX94" s="126"/>
      <c r="AY94" s="126"/>
      <c r="AZ94" s="126"/>
      <c r="BA94" s="127"/>
      <c r="BB94" s="127"/>
      <c r="BC94" s="127"/>
      <c r="BD94" s="126"/>
      <c r="BE94" s="126"/>
      <c r="BF94" s="126"/>
      <c r="BG94" s="125"/>
      <c r="BH94" s="125"/>
      <c r="BI94" s="125"/>
      <c r="BJ94" s="126">
        <v>160</v>
      </c>
      <c r="BK94" s="126">
        <v>3.7</v>
      </c>
      <c r="BL94" s="126">
        <f>BJ94*BK94</f>
        <v>592</v>
      </c>
      <c r="BM94" s="127"/>
      <c r="BN94" s="127"/>
      <c r="BO94" s="127"/>
      <c r="BP94" s="126"/>
      <c r="BQ94" s="126"/>
      <c r="BR94" s="126"/>
      <c r="BS94" s="128"/>
      <c r="BT94" s="128"/>
      <c r="BU94" s="128"/>
    </row>
    <row r="95" s="47" customFormat="1" spans="1:73">
      <c r="A95" s="129">
        <v>45573</v>
      </c>
      <c r="B95" s="130" t="s">
        <v>1228</v>
      </c>
      <c r="C95" s="131">
        <v>525</v>
      </c>
      <c r="D95" s="132"/>
      <c r="E95" s="81"/>
      <c r="F95" s="104"/>
      <c r="G95" s="81"/>
      <c r="H95" s="78"/>
      <c r="I95" s="81"/>
      <c r="J95" s="104"/>
      <c r="K95" s="81"/>
      <c r="L95" s="78"/>
      <c r="M95" s="81"/>
      <c r="N95" s="133"/>
      <c r="O95" s="104"/>
      <c r="P95" s="144"/>
      <c r="Q95" s="134"/>
      <c r="R95" s="81"/>
      <c r="S95" s="78"/>
      <c r="T95" s="81"/>
      <c r="U95" s="135"/>
      <c r="V95" s="81"/>
      <c r="W95" s="136"/>
      <c r="X95" s="78"/>
      <c r="Y95" s="81"/>
      <c r="Z95" s="104"/>
      <c r="AA95" s="81"/>
      <c r="AB95" s="78"/>
      <c r="AC95" s="81"/>
      <c r="AD95" s="104"/>
      <c r="AE95" s="81"/>
      <c r="AF95" s="78"/>
      <c r="AG95" s="81"/>
      <c r="AH95" s="123">
        <v>45573</v>
      </c>
      <c r="AI95" s="159">
        <v>300</v>
      </c>
      <c r="AJ95" s="124"/>
      <c r="AK95" s="125"/>
      <c r="AL95" s="126"/>
      <c r="AM95" s="126"/>
      <c r="AN95" s="126"/>
      <c r="AO95" s="127"/>
      <c r="AP95" s="127"/>
      <c r="AQ95" s="127"/>
      <c r="AR95" s="126"/>
      <c r="AS95" s="126"/>
      <c r="AT95" s="126"/>
      <c r="AU95" s="125"/>
      <c r="AV95" s="125"/>
      <c r="AW95" s="125"/>
      <c r="AX95" s="126"/>
      <c r="AY95" s="126"/>
      <c r="AZ95" s="126"/>
      <c r="BA95" s="127"/>
      <c r="BB95" s="127"/>
      <c r="BC95" s="127"/>
      <c r="BD95" s="126"/>
      <c r="BE95" s="126"/>
      <c r="BF95" s="126"/>
      <c r="BG95" s="125"/>
      <c r="BH95" s="125"/>
      <c r="BI95" s="125"/>
      <c r="BJ95" s="126"/>
      <c r="BK95" s="126"/>
      <c r="BL95" s="126"/>
      <c r="BM95" s="127"/>
      <c r="BN95" s="127"/>
      <c r="BO95" s="127"/>
      <c r="BP95" s="126">
        <v>60</v>
      </c>
      <c r="BQ95" s="126">
        <v>7.8</v>
      </c>
      <c r="BR95" s="126">
        <f>BP95*BQ95</f>
        <v>468</v>
      </c>
      <c r="BS95" s="128">
        <v>60</v>
      </c>
      <c r="BT95" s="128">
        <v>7.7</v>
      </c>
      <c r="BU95" s="128">
        <f>BS95*BT95</f>
        <v>462</v>
      </c>
    </row>
    <row r="96" s="47" customFormat="1" spans="1:73">
      <c r="A96" s="129">
        <v>45573</v>
      </c>
      <c r="B96" s="137" t="s">
        <v>1265</v>
      </c>
      <c r="C96" s="131"/>
      <c r="D96" s="132"/>
      <c r="E96" s="81"/>
      <c r="F96" s="104"/>
      <c r="G96" s="81"/>
      <c r="H96" s="78"/>
      <c r="I96" s="138">
        <v>514.5</v>
      </c>
      <c r="J96" s="104"/>
      <c r="K96" s="81"/>
      <c r="L96" s="78"/>
      <c r="M96" s="81"/>
      <c r="N96" s="133"/>
      <c r="O96" s="104"/>
      <c r="P96" s="131"/>
      <c r="Q96" s="134"/>
      <c r="R96" s="81"/>
      <c r="S96" s="78"/>
      <c r="T96" s="81"/>
      <c r="U96" s="135"/>
      <c r="V96" s="81"/>
      <c r="W96" s="136"/>
      <c r="X96" s="78"/>
      <c r="Y96" s="81"/>
      <c r="Z96" s="104"/>
      <c r="AA96" s="81"/>
      <c r="AB96" s="78"/>
      <c r="AC96" s="81"/>
      <c r="AD96" s="104"/>
      <c r="AE96" s="81"/>
      <c r="AF96" s="78"/>
      <c r="AG96" s="81"/>
      <c r="AH96" s="123">
        <v>45573</v>
      </c>
      <c r="AI96" s="124"/>
      <c r="AJ96" s="124"/>
      <c r="AK96" s="125"/>
      <c r="AL96" s="126"/>
      <c r="AM96" s="126"/>
      <c r="AN96" s="126"/>
      <c r="AO96" s="127"/>
      <c r="AP96" s="127"/>
      <c r="AQ96" s="127"/>
      <c r="AR96" s="126"/>
      <c r="AS96" s="126"/>
      <c r="AT96" s="126"/>
      <c r="AU96" s="125"/>
      <c r="AV96" s="125"/>
      <c r="AW96" s="125"/>
      <c r="AX96" s="126"/>
      <c r="AY96" s="126"/>
      <c r="AZ96" s="126"/>
      <c r="BA96" s="127"/>
      <c r="BB96" s="127"/>
      <c r="BC96" s="127"/>
      <c r="BD96" s="126"/>
      <c r="BE96" s="126"/>
      <c r="BF96" s="126"/>
      <c r="BG96" s="125"/>
      <c r="BH96" s="125"/>
      <c r="BI96" s="125"/>
      <c r="BJ96" s="126"/>
      <c r="BK96" s="126"/>
      <c r="BL96" s="126"/>
      <c r="BM96" s="127"/>
      <c r="BN96" s="127"/>
      <c r="BO96" s="127"/>
      <c r="BP96" s="126"/>
      <c r="BQ96" s="126"/>
      <c r="BR96" s="126"/>
      <c r="BS96" s="128"/>
      <c r="BT96" s="128"/>
      <c r="BU96" s="128"/>
    </row>
    <row r="97" s="47" customFormat="1" spans="1:73">
      <c r="A97" s="129">
        <v>45575</v>
      </c>
      <c r="B97" s="130" t="s">
        <v>1266</v>
      </c>
      <c r="C97" s="131">
        <v>700</v>
      </c>
      <c r="D97" s="132"/>
      <c r="E97" s="81"/>
      <c r="F97" s="104"/>
      <c r="G97" s="81"/>
      <c r="H97" s="78"/>
      <c r="I97" s="81"/>
      <c r="J97" s="104"/>
      <c r="K97" s="81"/>
      <c r="L97" s="78"/>
      <c r="M97" s="81"/>
      <c r="N97" s="133"/>
      <c r="O97" s="104"/>
      <c r="P97" s="131"/>
      <c r="Q97" s="134"/>
      <c r="R97" s="81"/>
      <c r="S97" s="78"/>
      <c r="T97" s="81">
        <v>-119</v>
      </c>
      <c r="U97" s="104">
        <v>-224</v>
      </c>
      <c r="V97" s="81"/>
      <c r="W97" s="136"/>
      <c r="X97" s="78"/>
      <c r="Y97" s="81"/>
      <c r="Z97" s="104"/>
      <c r="AA97" s="81"/>
      <c r="AB97" s="78"/>
      <c r="AC97" s="81"/>
      <c r="AD97" s="104"/>
      <c r="AE97" s="81"/>
      <c r="AF97" s="78"/>
      <c r="AG97" s="81"/>
      <c r="AH97" s="123">
        <v>45575</v>
      </c>
      <c r="AI97" s="124"/>
      <c r="AJ97" s="124"/>
      <c r="AK97" s="125"/>
      <c r="AL97" s="126"/>
      <c r="AM97" s="126"/>
      <c r="AN97" s="126"/>
      <c r="AO97" s="127"/>
      <c r="AP97" s="127"/>
      <c r="AQ97" s="127"/>
      <c r="AR97" s="126"/>
      <c r="AS97" s="126"/>
      <c r="AT97" s="126"/>
      <c r="AU97" s="125"/>
      <c r="AV97" s="125"/>
      <c r="AW97" s="125"/>
      <c r="AX97" s="126"/>
      <c r="AY97" s="126"/>
      <c r="AZ97" s="126"/>
      <c r="BA97" s="127"/>
      <c r="BB97" s="127"/>
      <c r="BC97" s="127"/>
      <c r="BD97" s="126">
        <v>147</v>
      </c>
      <c r="BE97" s="126">
        <v>10.7</v>
      </c>
      <c r="BF97" s="126">
        <f t="shared" ref="BF97:BF101" si="17">BD97*BE97</f>
        <v>1572.9</v>
      </c>
      <c r="BG97" s="125"/>
      <c r="BH97" s="125"/>
      <c r="BI97" s="125"/>
      <c r="BJ97" s="126"/>
      <c r="BK97" s="126"/>
      <c r="BL97" s="126"/>
      <c r="BM97" s="127"/>
      <c r="BN97" s="127"/>
      <c r="BO97" s="127"/>
      <c r="BP97" s="126"/>
      <c r="BQ97" s="126"/>
      <c r="BR97" s="126"/>
      <c r="BS97" s="128"/>
      <c r="BT97" s="128"/>
      <c r="BU97" s="128"/>
    </row>
    <row r="98" s="47" customFormat="1" spans="1:73">
      <c r="A98" s="129">
        <v>45576</v>
      </c>
      <c r="B98" s="130" t="s">
        <v>1267</v>
      </c>
      <c r="C98" s="131">
        <v>500</v>
      </c>
      <c r="D98" s="132"/>
      <c r="E98" s="81">
        <v>-50</v>
      </c>
      <c r="F98" s="104"/>
      <c r="G98" s="81"/>
      <c r="H98" s="78"/>
      <c r="I98" s="81"/>
      <c r="J98" s="104"/>
      <c r="K98" s="81"/>
      <c r="L98" s="78"/>
      <c r="M98" s="81"/>
      <c r="N98" s="133"/>
      <c r="O98" s="104">
        <v>-75</v>
      </c>
      <c r="P98" s="131"/>
      <c r="Q98" s="134"/>
      <c r="R98" s="81"/>
      <c r="S98" s="78"/>
      <c r="T98" s="81">
        <v>-70</v>
      </c>
      <c r="U98" s="104">
        <v>-200</v>
      </c>
      <c r="V98" s="81"/>
      <c r="W98" s="136"/>
      <c r="X98" s="78"/>
      <c r="Y98" s="81"/>
      <c r="Z98" s="104"/>
      <c r="AA98" s="81"/>
      <c r="AB98" s="78"/>
      <c r="AC98" s="81"/>
      <c r="AD98" s="104"/>
      <c r="AE98" s="81"/>
      <c r="AF98" s="78"/>
      <c r="AG98" s="81"/>
      <c r="AH98" s="123">
        <v>45576</v>
      </c>
      <c r="AI98" s="124"/>
      <c r="AJ98" s="124"/>
      <c r="AK98" s="125"/>
      <c r="AL98" s="126"/>
      <c r="AM98" s="126"/>
      <c r="AN98" s="126"/>
      <c r="AO98" s="127"/>
      <c r="AP98" s="127"/>
      <c r="AQ98" s="127"/>
      <c r="AR98" s="126"/>
      <c r="AS98" s="126"/>
      <c r="AT98" s="126"/>
      <c r="AU98" s="125"/>
      <c r="AV98" s="125"/>
      <c r="AW98" s="125"/>
      <c r="AX98" s="126"/>
      <c r="AY98" s="126"/>
      <c r="AZ98" s="126"/>
      <c r="BA98" s="127"/>
      <c r="BB98" s="127"/>
      <c r="BC98" s="127"/>
      <c r="BD98" s="126">
        <v>35</v>
      </c>
      <c r="BE98" s="126">
        <v>10.7</v>
      </c>
      <c r="BF98" s="126">
        <f t="shared" si="17"/>
        <v>374.5</v>
      </c>
      <c r="BG98" s="125"/>
      <c r="BH98" s="125"/>
      <c r="BI98" s="125"/>
      <c r="BJ98" s="126"/>
      <c r="BK98" s="126"/>
      <c r="BL98" s="126"/>
      <c r="BM98" s="127"/>
      <c r="BN98" s="127"/>
      <c r="BO98" s="127"/>
      <c r="BP98" s="126"/>
      <c r="BQ98" s="126"/>
      <c r="BR98" s="126"/>
      <c r="BS98" s="128"/>
      <c r="BT98" s="128"/>
      <c r="BU98" s="128"/>
    </row>
    <row r="99" s="47" customFormat="1" spans="1:73">
      <c r="A99" s="129">
        <v>45576</v>
      </c>
      <c r="B99" s="130" t="s">
        <v>1268</v>
      </c>
      <c r="C99" s="131">
        <v>1280</v>
      </c>
      <c r="D99" s="132"/>
      <c r="E99" s="81"/>
      <c r="F99" s="104"/>
      <c r="G99" s="81"/>
      <c r="H99" s="78"/>
      <c r="I99" s="81"/>
      <c r="J99" s="104"/>
      <c r="K99" s="81"/>
      <c r="L99" s="78"/>
      <c r="M99" s="81"/>
      <c r="N99" s="133"/>
      <c r="O99" s="104"/>
      <c r="P99" s="144"/>
      <c r="Q99" s="134"/>
      <c r="R99" s="81"/>
      <c r="S99" s="78"/>
      <c r="T99" s="81"/>
      <c r="U99" s="135"/>
      <c r="V99" s="81"/>
      <c r="W99" s="136"/>
      <c r="X99" s="78"/>
      <c r="Y99" s="81"/>
      <c r="Z99" s="104"/>
      <c r="AA99" s="81"/>
      <c r="AB99" s="78"/>
      <c r="AC99" s="81"/>
      <c r="AD99" s="104"/>
      <c r="AE99" s="81"/>
      <c r="AF99" s="78"/>
      <c r="AG99" s="81"/>
      <c r="AH99" s="123">
        <v>45576</v>
      </c>
      <c r="AI99" s="124"/>
      <c r="AJ99" s="124"/>
      <c r="AK99" s="125"/>
      <c r="AL99" s="126"/>
      <c r="AM99" s="126"/>
      <c r="AN99" s="126"/>
      <c r="AO99" s="127"/>
      <c r="AP99" s="127"/>
      <c r="AQ99" s="127"/>
      <c r="AR99" s="126"/>
      <c r="AS99" s="126"/>
      <c r="AT99" s="126"/>
      <c r="AU99" s="125"/>
      <c r="AV99" s="125"/>
      <c r="AW99" s="125"/>
      <c r="AX99" s="126"/>
      <c r="AY99" s="126"/>
      <c r="AZ99" s="126"/>
      <c r="BA99" s="127"/>
      <c r="BB99" s="127"/>
      <c r="BC99" s="127"/>
      <c r="BD99" s="126"/>
      <c r="BE99" s="126"/>
      <c r="BF99" s="126"/>
      <c r="BG99" s="125">
        <v>720</v>
      </c>
      <c r="BH99" s="125">
        <v>6.2</v>
      </c>
      <c r="BI99" s="125">
        <f>BG99*BH99</f>
        <v>4464</v>
      </c>
      <c r="BJ99" s="126"/>
      <c r="BK99" s="126"/>
      <c r="BL99" s="126"/>
      <c r="BM99" s="127"/>
      <c r="BN99" s="127"/>
      <c r="BO99" s="127"/>
      <c r="BP99" s="126">
        <v>360</v>
      </c>
      <c r="BQ99" s="126">
        <v>7.8</v>
      </c>
      <c r="BR99" s="126">
        <f>BP99*BQ99</f>
        <v>2808</v>
      </c>
      <c r="BS99" s="128"/>
      <c r="BT99" s="128"/>
      <c r="BU99" s="128"/>
    </row>
    <row r="100" s="47" customFormat="1" spans="1:73">
      <c r="A100" s="129">
        <v>45576</v>
      </c>
      <c r="B100" s="137" t="s">
        <v>1269</v>
      </c>
      <c r="C100" s="131"/>
      <c r="D100" s="132"/>
      <c r="E100" s="81"/>
      <c r="F100" s="104"/>
      <c r="G100" s="81"/>
      <c r="H100" s="78"/>
      <c r="I100" s="81"/>
      <c r="J100" s="104"/>
      <c r="K100" s="81"/>
      <c r="L100" s="78"/>
      <c r="M100" s="81"/>
      <c r="N100" s="133"/>
      <c r="O100" s="104"/>
      <c r="P100" s="131"/>
      <c r="Q100" s="134"/>
      <c r="R100" s="81"/>
      <c r="S100" s="78"/>
      <c r="T100" s="81"/>
      <c r="U100" s="140">
        <v>1280</v>
      </c>
      <c r="V100" s="81"/>
      <c r="W100" s="136"/>
      <c r="X100" s="78"/>
      <c r="Y100" s="81"/>
      <c r="Z100" s="104"/>
      <c r="AA100" s="81"/>
      <c r="AB100" s="78"/>
      <c r="AC100" s="81"/>
      <c r="AD100" s="104"/>
      <c r="AE100" s="81"/>
      <c r="AF100" s="78"/>
      <c r="AG100" s="81"/>
      <c r="AH100" s="123">
        <v>45576</v>
      </c>
      <c r="AI100" s="124"/>
      <c r="AJ100" s="124"/>
      <c r="AK100" s="125"/>
      <c r="AL100" s="126"/>
      <c r="AM100" s="126"/>
      <c r="AN100" s="126"/>
      <c r="AO100" s="127"/>
      <c r="AP100" s="127"/>
      <c r="AQ100" s="127"/>
      <c r="AR100" s="126"/>
      <c r="AS100" s="126"/>
      <c r="AT100" s="126"/>
      <c r="AU100" s="125"/>
      <c r="AV100" s="125"/>
      <c r="AW100" s="125"/>
      <c r="AX100" s="126"/>
      <c r="AY100" s="126"/>
      <c r="AZ100" s="126"/>
      <c r="BA100" s="127"/>
      <c r="BB100" s="127"/>
      <c r="BC100" s="127"/>
      <c r="BD100" s="126"/>
      <c r="BE100" s="126"/>
      <c r="BF100" s="126"/>
      <c r="BG100" s="125"/>
      <c r="BH100" s="125"/>
      <c r="BI100" s="125"/>
      <c r="BJ100" s="126"/>
      <c r="BK100" s="126"/>
      <c r="BL100" s="126"/>
      <c r="BM100" s="127"/>
      <c r="BN100" s="127"/>
      <c r="BO100" s="127"/>
      <c r="BP100" s="126"/>
      <c r="BQ100" s="126"/>
      <c r="BR100" s="126"/>
      <c r="BS100" s="128"/>
      <c r="BT100" s="128"/>
      <c r="BU100" s="128"/>
    </row>
    <row r="101" s="47" customFormat="1" spans="1:73">
      <c r="A101" s="129">
        <v>45576</v>
      </c>
      <c r="B101" s="130" t="s">
        <v>1270</v>
      </c>
      <c r="C101" s="131">
        <v>500</v>
      </c>
      <c r="D101" s="132"/>
      <c r="E101" s="81">
        <v>-75</v>
      </c>
      <c r="F101" s="104"/>
      <c r="G101" s="81"/>
      <c r="H101" s="78"/>
      <c r="I101" s="81"/>
      <c r="J101" s="104"/>
      <c r="K101" s="81">
        <v>-75</v>
      </c>
      <c r="L101" s="78"/>
      <c r="M101" s="81"/>
      <c r="N101" s="133"/>
      <c r="O101" s="104"/>
      <c r="P101" s="131"/>
      <c r="Q101" s="134"/>
      <c r="R101" s="81"/>
      <c r="S101" s="78"/>
      <c r="T101" s="81"/>
      <c r="U101" s="104">
        <v>-190</v>
      </c>
      <c r="V101" s="81"/>
      <c r="W101" s="136"/>
      <c r="X101" s="78"/>
      <c r="Y101" s="81"/>
      <c r="Z101" s="104"/>
      <c r="AA101" s="81"/>
      <c r="AB101" s="78"/>
      <c r="AC101" s="81"/>
      <c r="AD101" s="104"/>
      <c r="AE101" s="81"/>
      <c r="AF101" s="78"/>
      <c r="AG101" s="81"/>
      <c r="AH101" s="123">
        <v>45576</v>
      </c>
      <c r="AI101" s="124"/>
      <c r="AJ101" s="124"/>
      <c r="AK101" s="125"/>
      <c r="AL101" s="126"/>
      <c r="AM101" s="126"/>
      <c r="AN101" s="126"/>
      <c r="AO101" s="127"/>
      <c r="AP101" s="127"/>
      <c r="AQ101" s="127"/>
      <c r="AR101" s="126"/>
      <c r="AS101" s="126"/>
      <c r="AT101" s="126"/>
      <c r="AU101" s="125"/>
      <c r="AV101" s="125"/>
      <c r="AW101" s="125"/>
      <c r="AX101" s="126"/>
      <c r="AY101" s="126"/>
      <c r="AZ101" s="126"/>
      <c r="BA101" s="127"/>
      <c r="BB101" s="127"/>
      <c r="BC101" s="127"/>
      <c r="BD101" s="126">
        <v>50</v>
      </c>
      <c r="BE101" s="126">
        <v>10.7</v>
      </c>
      <c r="BF101" s="126">
        <f t="shared" si="17"/>
        <v>535</v>
      </c>
      <c r="BG101" s="125">
        <v>35</v>
      </c>
      <c r="BH101" s="125">
        <v>6.2</v>
      </c>
      <c r="BI101" s="125">
        <f>BG101*BH101</f>
        <v>217</v>
      </c>
      <c r="BJ101" s="126"/>
      <c r="BK101" s="126"/>
      <c r="BL101" s="126"/>
      <c r="BM101" s="127"/>
      <c r="BN101" s="127"/>
      <c r="BO101" s="127"/>
      <c r="BP101" s="126"/>
      <c r="BQ101" s="126"/>
      <c r="BR101" s="126"/>
      <c r="BS101" s="128"/>
      <c r="BT101" s="128"/>
      <c r="BU101" s="128"/>
    </row>
    <row r="102" s="47" customFormat="1" spans="1:73">
      <c r="A102" s="129">
        <v>45577</v>
      </c>
      <c r="B102" s="137" t="s">
        <v>1271</v>
      </c>
      <c r="C102" s="131">
        <v>640.5</v>
      </c>
      <c r="D102" s="132"/>
      <c r="E102" s="81"/>
      <c r="F102" s="104"/>
      <c r="G102" s="81"/>
      <c r="H102" s="78"/>
      <c r="I102" s="81"/>
      <c r="J102" s="104"/>
      <c r="K102" s="81"/>
      <c r="L102" s="78"/>
      <c r="M102" s="81"/>
      <c r="N102" s="133"/>
      <c r="O102" s="104"/>
      <c r="P102" s="131"/>
      <c r="Q102" s="134"/>
      <c r="R102" s="81"/>
      <c r="S102" s="78">
        <v>-2.5</v>
      </c>
      <c r="T102" s="81"/>
      <c r="U102" s="140"/>
      <c r="V102" s="81"/>
      <c r="W102" s="136"/>
      <c r="X102" s="78"/>
      <c r="Y102" s="81"/>
      <c r="Z102" s="104"/>
      <c r="AA102" s="81"/>
      <c r="AB102" s="78"/>
      <c r="AC102" s="81"/>
      <c r="AD102" s="104"/>
      <c r="AE102" s="81"/>
      <c r="AF102" s="78"/>
      <c r="AG102" s="81"/>
      <c r="AH102" s="123">
        <v>45577</v>
      </c>
      <c r="AI102" s="124"/>
      <c r="AJ102" s="124"/>
      <c r="AK102" s="125"/>
      <c r="AL102" s="126">
        <v>56</v>
      </c>
      <c r="AM102" s="126">
        <v>0.9</v>
      </c>
      <c r="AN102" s="126">
        <f>AL102*AM102</f>
        <v>50.4</v>
      </c>
      <c r="AO102" s="127">
        <v>17</v>
      </c>
      <c r="AP102" s="127">
        <v>17</v>
      </c>
      <c r="AQ102" s="127">
        <f t="shared" ref="AQ102:AQ106" si="18">AO102*AP102</f>
        <v>289</v>
      </c>
      <c r="AR102" s="126"/>
      <c r="AS102" s="126"/>
      <c r="AT102" s="126"/>
      <c r="AU102" s="125"/>
      <c r="AV102" s="125"/>
      <c r="AW102" s="125"/>
      <c r="AX102" s="126"/>
      <c r="AY102" s="126"/>
      <c r="AZ102" s="126"/>
      <c r="BA102" s="127"/>
      <c r="BB102" s="127"/>
      <c r="BC102" s="127"/>
      <c r="BD102" s="126"/>
      <c r="BE102" s="126"/>
      <c r="BF102" s="126"/>
      <c r="BG102" s="125">
        <v>2</v>
      </c>
      <c r="BH102" s="125">
        <v>6.2</v>
      </c>
      <c r="BI102" s="125">
        <f>BG102*BH102</f>
        <v>12.4</v>
      </c>
      <c r="BJ102" s="126">
        <v>3</v>
      </c>
      <c r="BK102" s="126">
        <v>3.7</v>
      </c>
      <c r="BL102" s="126">
        <f>BJ102*BK102</f>
        <v>11.1</v>
      </c>
      <c r="BM102" s="127"/>
      <c r="BN102" s="127"/>
      <c r="BO102" s="127"/>
      <c r="BP102" s="126"/>
      <c r="BQ102" s="126"/>
      <c r="BR102" s="126"/>
      <c r="BS102" s="128"/>
      <c r="BT102" s="128"/>
      <c r="BU102" s="128"/>
    </row>
    <row r="103" s="47" customFormat="1" spans="1:73">
      <c r="A103" s="129">
        <v>45577</v>
      </c>
      <c r="B103" s="130" t="s">
        <v>1254</v>
      </c>
      <c r="C103" s="131">
        <v>2000</v>
      </c>
      <c r="D103" s="132"/>
      <c r="E103" s="81"/>
      <c r="F103" s="104"/>
      <c r="G103" s="81"/>
      <c r="H103" s="78"/>
      <c r="I103" s="81"/>
      <c r="J103" s="104"/>
      <c r="K103" s="81"/>
      <c r="L103" s="78"/>
      <c r="M103" s="81"/>
      <c r="N103" s="133"/>
      <c r="O103" s="104"/>
      <c r="P103" s="131">
        <v>-300</v>
      </c>
      <c r="Q103" s="134"/>
      <c r="R103" s="81"/>
      <c r="S103" s="78"/>
      <c r="T103" s="81">
        <v>-140</v>
      </c>
      <c r="U103" s="104">
        <v>-760</v>
      </c>
      <c r="V103" s="81"/>
      <c r="W103" s="136"/>
      <c r="X103" s="78"/>
      <c r="Y103" s="81"/>
      <c r="Z103" s="104"/>
      <c r="AA103" s="81"/>
      <c r="AB103" s="78"/>
      <c r="AC103" s="81"/>
      <c r="AD103" s="104"/>
      <c r="AE103" s="81"/>
      <c r="AF103" s="78"/>
      <c r="AG103" s="81"/>
      <c r="AH103" s="123">
        <v>45577</v>
      </c>
      <c r="AI103" s="124"/>
      <c r="AJ103" s="124"/>
      <c r="AK103" s="125"/>
      <c r="AL103" s="126"/>
      <c r="AM103" s="126"/>
      <c r="AN103" s="126"/>
      <c r="AO103" s="127"/>
      <c r="AP103" s="127"/>
      <c r="AQ103" s="127"/>
      <c r="AR103" s="126"/>
      <c r="AS103" s="126"/>
      <c r="AT103" s="126"/>
      <c r="AU103" s="125"/>
      <c r="AV103" s="125"/>
      <c r="AW103" s="125"/>
      <c r="AX103" s="126"/>
      <c r="AY103" s="126"/>
      <c r="AZ103" s="126"/>
      <c r="BA103" s="127"/>
      <c r="BB103" s="127"/>
      <c r="BC103" s="127"/>
      <c r="BD103" s="126">
        <v>400</v>
      </c>
      <c r="BE103" s="126">
        <v>10.6</v>
      </c>
      <c r="BF103" s="126">
        <f t="shared" ref="BF103:BF107" si="19">BD103*BE103</f>
        <v>4240</v>
      </c>
      <c r="BG103" s="125"/>
      <c r="BH103" s="125"/>
      <c r="BI103" s="125"/>
      <c r="BJ103" s="126"/>
      <c r="BK103" s="126"/>
      <c r="BL103" s="126"/>
      <c r="BM103" s="127"/>
      <c r="BN103" s="127"/>
      <c r="BO103" s="127"/>
      <c r="BP103" s="126"/>
      <c r="BQ103" s="126"/>
      <c r="BR103" s="126"/>
      <c r="BS103" s="128"/>
      <c r="BT103" s="128"/>
      <c r="BU103" s="128"/>
    </row>
    <row r="104" s="47" customFormat="1" spans="1:73">
      <c r="A104" s="129">
        <v>45579</v>
      </c>
      <c r="B104" s="130" t="s">
        <v>1257</v>
      </c>
      <c r="C104" s="131">
        <v>1003</v>
      </c>
      <c r="D104" s="132"/>
      <c r="E104" s="81"/>
      <c r="F104" s="104"/>
      <c r="G104" s="81"/>
      <c r="H104" s="78"/>
      <c r="I104" s="81"/>
      <c r="J104" s="104"/>
      <c r="K104" s="81"/>
      <c r="L104" s="78"/>
      <c r="M104" s="81"/>
      <c r="N104" s="133"/>
      <c r="O104" s="104"/>
      <c r="P104" s="131">
        <v>-120</v>
      </c>
      <c r="Q104" s="134"/>
      <c r="R104" s="81"/>
      <c r="S104" s="78">
        <v>-3</v>
      </c>
      <c r="T104" s="81">
        <v>-140</v>
      </c>
      <c r="U104" s="104">
        <v>-260</v>
      </c>
      <c r="V104" s="81"/>
      <c r="W104" s="136"/>
      <c r="X104" s="78"/>
      <c r="Y104" s="81"/>
      <c r="Z104" s="104"/>
      <c r="AA104" s="81"/>
      <c r="AB104" s="78"/>
      <c r="AC104" s="81"/>
      <c r="AD104" s="104"/>
      <c r="AE104" s="81"/>
      <c r="AF104" s="78"/>
      <c r="AG104" s="81"/>
      <c r="AH104" s="123">
        <v>45579</v>
      </c>
      <c r="AI104" s="124"/>
      <c r="AJ104" s="124"/>
      <c r="AK104" s="125"/>
      <c r="AL104" s="126"/>
      <c r="AM104" s="126"/>
      <c r="AN104" s="126"/>
      <c r="AO104" s="127">
        <v>30</v>
      </c>
      <c r="AP104" s="127">
        <v>17</v>
      </c>
      <c r="AQ104" s="127">
        <f t="shared" si="18"/>
        <v>510</v>
      </c>
      <c r="AR104" s="126"/>
      <c r="AS104" s="126"/>
      <c r="AT104" s="126"/>
      <c r="AU104" s="125"/>
      <c r="AV104" s="125"/>
      <c r="AW104" s="125"/>
      <c r="AX104" s="126"/>
      <c r="AY104" s="126"/>
      <c r="AZ104" s="126"/>
      <c r="BA104" s="127"/>
      <c r="BB104" s="127"/>
      <c r="BC104" s="127"/>
      <c r="BD104" s="126">
        <v>100</v>
      </c>
      <c r="BE104" s="126">
        <v>10.6</v>
      </c>
      <c r="BF104" s="126">
        <f t="shared" si="19"/>
        <v>1060</v>
      </c>
      <c r="BG104" s="125"/>
      <c r="BH104" s="125"/>
      <c r="BI104" s="125"/>
      <c r="BJ104" s="126">
        <v>200</v>
      </c>
      <c r="BK104" s="126">
        <v>3.7</v>
      </c>
      <c r="BL104" s="126">
        <f>BJ104*BK104</f>
        <v>740</v>
      </c>
      <c r="BM104" s="127"/>
      <c r="BN104" s="127"/>
      <c r="BO104" s="127"/>
      <c r="BP104" s="126"/>
      <c r="BQ104" s="126"/>
      <c r="BR104" s="126"/>
      <c r="BS104" s="128"/>
      <c r="BT104" s="128"/>
      <c r="BU104" s="128"/>
    </row>
    <row r="105" s="48" customFormat="1" spans="1:73">
      <c r="A105" s="129">
        <v>45579</v>
      </c>
      <c r="B105" s="130" t="s">
        <v>1272</v>
      </c>
      <c r="C105" s="131">
        <v>815</v>
      </c>
      <c r="D105" s="132"/>
      <c r="E105" s="81"/>
      <c r="F105" s="104"/>
      <c r="G105" s="81"/>
      <c r="H105" s="78"/>
      <c r="I105" s="81"/>
      <c r="J105" s="104"/>
      <c r="K105" s="81"/>
      <c r="L105" s="78"/>
      <c r="M105" s="81"/>
      <c r="N105" s="133"/>
      <c r="O105" s="104"/>
      <c r="P105" s="131"/>
      <c r="Q105" s="134"/>
      <c r="R105" s="81">
        <v>-30</v>
      </c>
      <c r="S105" s="78"/>
      <c r="T105" s="81"/>
      <c r="U105" s="104"/>
      <c r="V105" s="81"/>
      <c r="W105" s="136"/>
      <c r="X105" s="78"/>
      <c r="Y105" s="81"/>
      <c r="Z105" s="104"/>
      <c r="AA105" s="81"/>
      <c r="AB105" s="78"/>
      <c r="AC105" s="81"/>
      <c r="AD105" s="104"/>
      <c r="AE105" s="81"/>
      <c r="AF105" s="78"/>
      <c r="AG105" s="81"/>
      <c r="AH105" s="123">
        <v>45579</v>
      </c>
      <c r="AI105" s="124"/>
      <c r="AJ105" s="124"/>
      <c r="AK105" s="125"/>
      <c r="AL105" s="126"/>
      <c r="AM105" s="126"/>
      <c r="AN105" s="126"/>
      <c r="AO105" s="127"/>
      <c r="AP105" s="127"/>
      <c r="AQ105" s="127"/>
      <c r="AR105" s="126"/>
      <c r="AS105" s="126"/>
      <c r="AT105" s="126"/>
      <c r="AU105" s="125"/>
      <c r="AV105" s="125"/>
      <c r="AW105" s="125"/>
      <c r="AX105" s="126"/>
      <c r="AY105" s="126"/>
      <c r="AZ105" s="126"/>
      <c r="BA105" s="127"/>
      <c r="BB105" s="127"/>
      <c r="BC105" s="127"/>
      <c r="BD105" s="126"/>
      <c r="BE105" s="126"/>
      <c r="BF105" s="126"/>
      <c r="BG105" s="125">
        <v>165</v>
      </c>
      <c r="BH105" s="125">
        <v>6.2</v>
      </c>
      <c r="BI105" s="125">
        <f t="shared" ref="BI105:BI109" si="20">BG105*BH105</f>
        <v>1023</v>
      </c>
      <c r="BJ105" s="126">
        <v>180</v>
      </c>
      <c r="BK105" s="126">
        <v>3.7</v>
      </c>
      <c r="BL105" s="126">
        <f>BJ105*BK105</f>
        <v>666</v>
      </c>
      <c r="BM105" s="127"/>
      <c r="BN105" s="127"/>
      <c r="BO105" s="127"/>
      <c r="BP105" s="126"/>
      <c r="BQ105" s="126"/>
      <c r="BR105" s="126"/>
      <c r="BS105" s="128"/>
      <c r="BT105" s="128"/>
      <c r="BU105" s="128"/>
    </row>
    <row r="106" s="47" customFormat="1" spans="1:73">
      <c r="A106" s="129">
        <v>45580</v>
      </c>
      <c r="B106" s="130" t="s">
        <v>1273</v>
      </c>
      <c r="C106" s="131">
        <v>380</v>
      </c>
      <c r="D106" s="132"/>
      <c r="E106" s="81"/>
      <c r="F106" s="104"/>
      <c r="G106" s="81"/>
      <c r="H106" s="78"/>
      <c r="I106" s="81">
        <v>-80</v>
      </c>
      <c r="J106" s="104"/>
      <c r="K106" s="81"/>
      <c r="L106" s="78"/>
      <c r="M106" s="81"/>
      <c r="N106" s="133"/>
      <c r="O106" s="104"/>
      <c r="P106" s="131"/>
      <c r="Q106" s="134"/>
      <c r="R106" s="81"/>
      <c r="S106" s="78">
        <v>-1</v>
      </c>
      <c r="T106" s="81">
        <v>-47</v>
      </c>
      <c r="U106" s="104">
        <v>-90</v>
      </c>
      <c r="V106" s="81"/>
      <c r="W106" s="136"/>
      <c r="X106" s="78"/>
      <c r="Y106" s="81"/>
      <c r="Z106" s="104"/>
      <c r="AA106" s="81"/>
      <c r="AB106" s="78"/>
      <c r="AC106" s="81"/>
      <c r="AD106" s="104"/>
      <c r="AE106" s="81"/>
      <c r="AF106" s="78"/>
      <c r="AG106" s="81"/>
      <c r="AH106" s="123">
        <v>45580</v>
      </c>
      <c r="AI106" s="124"/>
      <c r="AJ106" s="124"/>
      <c r="AK106" s="125"/>
      <c r="AL106" s="126">
        <v>18</v>
      </c>
      <c r="AM106" s="126">
        <v>0.9</v>
      </c>
      <c r="AN106" s="126">
        <f>AL106*AM106</f>
        <v>16.2</v>
      </c>
      <c r="AO106" s="127">
        <v>3</v>
      </c>
      <c r="AP106" s="127">
        <v>17</v>
      </c>
      <c r="AQ106" s="127">
        <f t="shared" si="18"/>
        <v>51</v>
      </c>
      <c r="AR106" s="126"/>
      <c r="AS106" s="126"/>
      <c r="AT106" s="126"/>
      <c r="AU106" s="125"/>
      <c r="AV106" s="125"/>
      <c r="AW106" s="125"/>
      <c r="AX106" s="126"/>
      <c r="AY106" s="126"/>
      <c r="AZ106" s="126"/>
      <c r="BA106" s="127"/>
      <c r="BB106" s="127"/>
      <c r="BC106" s="127"/>
      <c r="BD106" s="126"/>
      <c r="BE106" s="126"/>
      <c r="BF106" s="126"/>
      <c r="BG106" s="125"/>
      <c r="BH106" s="125"/>
      <c r="BI106" s="125"/>
      <c r="BJ106" s="126">
        <v>95</v>
      </c>
      <c r="BK106" s="126">
        <v>3.7</v>
      </c>
      <c r="BL106" s="126">
        <f>BJ106*BK106</f>
        <v>351.5</v>
      </c>
      <c r="BM106" s="127"/>
      <c r="BN106" s="127"/>
      <c r="BO106" s="127"/>
      <c r="BP106" s="126"/>
      <c r="BQ106" s="126"/>
      <c r="BR106" s="126"/>
      <c r="BS106" s="128"/>
      <c r="BT106" s="128"/>
      <c r="BU106" s="128"/>
    </row>
    <row r="107" s="47" customFormat="1" spans="1:73">
      <c r="A107" s="129" t="s">
        <v>471</v>
      </c>
      <c r="B107" s="130" t="s">
        <v>1274</v>
      </c>
      <c r="C107" s="131">
        <v>750</v>
      </c>
      <c r="D107" s="132"/>
      <c r="E107" s="81"/>
      <c r="F107" s="104"/>
      <c r="G107" s="81"/>
      <c r="H107" s="78"/>
      <c r="I107" s="81"/>
      <c r="J107" s="104"/>
      <c r="K107" s="81"/>
      <c r="L107" s="78"/>
      <c r="M107" s="81"/>
      <c r="N107" s="133"/>
      <c r="O107" s="104"/>
      <c r="P107" s="131"/>
      <c r="Q107" s="134"/>
      <c r="R107" s="81"/>
      <c r="S107" s="78"/>
      <c r="T107" s="81"/>
      <c r="U107" s="135"/>
      <c r="V107" s="81"/>
      <c r="W107" s="136"/>
      <c r="X107" s="78"/>
      <c r="Y107" s="81"/>
      <c r="Z107" s="104"/>
      <c r="AA107" s="81"/>
      <c r="AB107" s="78"/>
      <c r="AC107" s="81"/>
      <c r="AD107" s="104"/>
      <c r="AE107" s="81"/>
      <c r="AF107" s="78"/>
      <c r="AG107" s="81"/>
      <c r="AH107" s="123" t="s">
        <v>471</v>
      </c>
      <c r="AI107" s="124"/>
      <c r="AJ107" s="124"/>
      <c r="AK107" s="125"/>
      <c r="AL107" s="126"/>
      <c r="AM107" s="126"/>
      <c r="AN107" s="126"/>
      <c r="AO107" s="127"/>
      <c r="AP107" s="127"/>
      <c r="AQ107" s="127"/>
      <c r="AR107" s="126"/>
      <c r="AS107" s="126"/>
      <c r="AT107" s="126"/>
      <c r="AU107" s="125">
        <v>25</v>
      </c>
      <c r="AV107" s="125">
        <v>75</v>
      </c>
      <c r="AW107" s="125">
        <f>AU107*AV107</f>
        <v>1875</v>
      </c>
      <c r="AX107" s="126"/>
      <c r="AY107" s="126"/>
      <c r="AZ107" s="126"/>
      <c r="BA107" s="127"/>
      <c r="BB107" s="127"/>
      <c r="BC107" s="127"/>
      <c r="BD107" s="126">
        <v>300</v>
      </c>
      <c r="BE107" s="126">
        <v>10.6</v>
      </c>
      <c r="BF107" s="126">
        <f t="shared" si="19"/>
        <v>3180</v>
      </c>
      <c r="BG107" s="125">
        <v>125</v>
      </c>
      <c r="BH107" s="125">
        <v>6.3</v>
      </c>
      <c r="BI107" s="125">
        <f t="shared" si="20"/>
        <v>787.5</v>
      </c>
      <c r="BJ107" s="126"/>
      <c r="BK107" s="126"/>
      <c r="BL107" s="126"/>
      <c r="BM107" s="127"/>
      <c r="BN107" s="127"/>
      <c r="BO107" s="127"/>
      <c r="BP107" s="126"/>
      <c r="BQ107" s="126"/>
      <c r="BR107" s="126"/>
      <c r="BS107" s="128"/>
      <c r="BT107" s="128"/>
      <c r="BU107" s="128"/>
    </row>
    <row r="108" s="47" customFormat="1" spans="1:73">
      <c r="A108" s="129">
        <v>45580</v>
      </c>
      <c r="B108" s="137" t="s">
        <v>1275</v>
      </c>
      <c r="C108" s="131"/>
      <c r="D108" s="132"/>
      <c r="E108" s="81"/>
      <c r="F108" s="135"/>
      <c r="G108" s="81"/>
      <c r="H108" s="78"/>
      <c r="I108" s="81"/>
      <c r="J108" s="104"/>
      <c r="K108" s="81"/>
      <c r="L108" s="78"/>
      <c r="M108" s="81"/>
      <c r="N108" s="133"/>
      <c r="O108" s="104"/>
      <c r="P108" s="144">
        <v>736</v>
      </c>
      <c r="Q108" s="134"/>
      <c r="R108" s="81"/>
      <c r="S108" s="78"/>
      <c r="T108" s="81"/>
      <c r="U108" s="135"/>
      <c r="V108" s="81"/>
      <c r="W108" s="136"/>
      <c r="X108" s="78"/>
      <c r="Y108" s="81"/>
      <c r="Z108" s="104"/>
      <c r="AA108" s="81"/>
      <c r="AB108" s="78"/>
      <c r="AC108" s="81"/>
      <c r="AD108" s="104"/>
      <c r="AE108" s="81"/>
      <c r="AF108" s="78"/>
      <c r="AG108" s="81"/>
      <c r="AH108" s="123">
        <v>45580</v>
      </c>
      <c r="AI108" s="124"/>
      <c r="AJ108" s="124"/>
      <c r="AK108" s="125"/>
      <c r="AL108" s="126"/>
      <c r="AM108" s="126"/>
      <c r="AN108" s="126"/>
      <c r="AO108" s="127"/>
      <c r="AP108" s="127"/>
      <c r="AQ108" s="127"/>
      <c r="AR108" s="126"/>
      <c r="AS108" s="126"/>
      <c r="AT108" s="126"/>
      <c r="AU108" s="125"/>
      <c r="AV108" s="125"/>
      <c r="AW108" s="125"/>
      <c r="AX108" s="126"/>
      <c r="AY108" s="126"/>
      <c r="AZ108" s="126"/>
      <c r="BA108" s="127"/>
      <c r="BB108" s="127"/>
      <c r="BC108" s="127"/>
      <c r="BD108" s="126"/>
      <c r="BE108" s="126"/>
      <c r="BF108" s="126"/>
      <c r="BG108" s="125"/>
      <c r="BH108" s="125"/>
      <c r="BI108" s="125"/>
      <c r="BJ108" s="126"/>
      <c r="BK108" s="126"/>
      <c r="BL108" s="126"/>
      <c r="BM108" s="127"/>
      <c r="BN108" s="127"/>
      <c r="BO108" s="127"/>
      <c r="BP108" s="126"/>
      <c r="BQ108" s="126"/>
      <c r="BR108" s="126"/>
      <c r="BS108" s="128"/>
      <c r="BT108" s="128"/>
      <c r="BU108" s="128"/>
    </row>
    <row r="109" s="47" customFormat="1" spans="1:73">
      <c r="A109" s="129">
        <v>45580</v>
      </c>
      <c r="B109" s="130" t="s">
        <v>1276</v>
      </c>
      <c r="C109" s="131">
        <v>61.3</v>
      </c>
      <c r="D109" s="132"/>
      <c r="E109" s="81"/>
      <c r="F109" s="135"/>
      <c r="G109" s="81"/>
      <c r="H109" s="78"/>
      <c r="I109" s="81"/>
      <c r="J109" s="104"/>
      <c r="K109" s="81"/>
      <c r="L109" s="78"/>
      <c r="M109" s="81"/>
      <c r="N109" s="133"/>
      <c r="O109" s="104"/>
      <c r="P109" s="131"/>
      <c r="Q109" s="134"/>
      <c r="R109" s="81"/>
      <c r="S109" s="78">
        <v>-0.7</v>
      </c>
      <c r="T109" s="81"/>
      <c r="U109" s="135"/>
      <c r="V109" s="81"/>
      <c r="W109" s="136"/>
      <c r="X109" s="78"/>
      <c r="Y109" s="81"/>
      <c r="Z109" s="104"/>
      <c r="AA109" s="81"/>
      <c r="AB109" s="78"/>
      <c r="AC109" s="81"/>
      <c r="AD109" s="104"/>
      <c r="AE109" s="81"/>
      <c r="AF109" s="78"/>
      <c r="AG109" s="81"/>
      <c r="AH109" s="123">
        <v>45580</v>
      </c>
      <c r="AI109" s="124"/>
      <c r="AJ109" s="124"/>
      <c r="AK109" s="125"/>
      <c r="AL109" s="126"/>
      <c r="AM109" s="126"/>
      <c r="AN109" s="126"/>
      <c r="AO109" s="127"/>
      <c r="AP109" s="127"/>
      <c r="AQ109" s="127"/>
      <c r="AR109" s="126"/>
      <c r="AS109" s="126"/>
      <c r="AT109" s="126"/>
      <c r="AU109" s="125"/>
      <c r="AV109" s="125"/>
      <c r="AW109" s="125"/>
      <c r="AX109" s="126"/>
      <c r="AY109" s="126"/>
      <c r="AZ109" s="126"/>
      <c r="BA109" s="127"/>
      <c r="BB109" s="127"/>
      <c r="BC109" s="127"/>
      <c r="BD109" s="126">
        <v>16</v>
      </c>
      <c r="BE109" s="126">
        <v>10.6</v>
      </c>
      <c r="BF109" s="126">
        <f t="shared" ref="BF109:BF113" si="21">BD109*BE109</f>
        <v>169.6</v>
      </c>
      <c r="BG109" s="125">
        <v>16</v>
      </c>
      <c r="BH109" s="125">
        <v>6.3</v>
      </c>
      <c r="BI109" s="125">
        <f t="shared" si="20"/>
        <v>100.8</v>
      </c>
      <c r="BJ109" s="126"/>
      <c r="BK109" s="126"/>
      <c r="BL109" s="126"/>
      <c r="BM109" s="127"/>
      <c r="BN109" s="127"/>
      <c r="BO109" s="127"/>
      <c r="BP109" s="126"/>
      <c r="BQ109" s="126"/>
      <c r="BR109" s="126"/>
      <c r="BS109" s="128"/>
      <c r="BT109" s="128"/>
      <c r="BU109" s="128"/>
    </row>
    <row r="110" s="47" customFormat="1" spans="1:73">
      <c r="A110" s="129">
        <v>45582</v>
      </c>
      <c r="B110" s="130" t="s">
        <v>1277</v>
      </c>
      <c r="C110" s="131">
        <v>640</v>
      </c>
      <c r="D110" s="132"/>
      <c r="E110" s="81">
        <v>-80</v>
      </c>
      <c r="F110" s="135"/>
      <c r="G110" s="81"/>
      <c r="H110" s="78"/>
      <c r="I110" s="81">
        <v>-128</v>
      </c>
      <c r="J110" s="104"/>
      <c r="K110" s="81"/>
      <c r="L110" s="78"/>
      <c r="M110" s="81"/>
      <c r="N110" s="133"/>
      <c r="O110" s="104"/>
      <c r="P110" s="131"/>
      <c r="Q110" s="134"/>
      <c r="R110" s="81"/>
      <c r="S110" s="78"/>
      <c r="T110" s="81">
        <v>-45</v>
      </c>
      <c r="U110" s="104">
        <v>-243</v>
      </c>
      <c r="V110" s="81"/>
      <c r="W110" s="136"/>
      <c r="X110" s="78"/>
      <c r="Y110" s="81"/>
      <c r="Z110" s="104"/>
      <c r="AA110" s="81"/>
      <c r="AB110" s="78"/>
      <c r="AC110" s="81"/>
      <c r="AD110" s="104"/>
      <c r="AE110" s="81"/>
      <c r="AF110" s="78"/>
      <c r="AG110" s="81"/>
      <c r="AH110" s="123">
        <v>45582</v>
      </c>
      <c r="AI110" s="124"/>
      <c r="AJ110" s="124"/>
      <c r="AK110" s="125"/>
      <c r="AL110" s="126"/>
      <c r="AM110" s="126"/>
      <c r="AN110" s="126"/>
      <c r="AO110" s="127"/>
      <c r="AP110" s="127"/>
      <c r="AQ110" s="127"/>
      <c r="AR110" s="126"/>
      <c r="AS110" s="126"/>
      <c r="AT110" s="126"/>
      <c r="AU110" s="125"/>
      <c r="AV110" s="125"/>
      <c r="AW110" s="125"/>
      <c r="AX110" s="126"/>
      <c r="AY110" s="126"/>
      <c r="AZ110" s="126"/>
      <c r="BA110" s="127"/>
      <c r="BB110" s="127"/>
      <c r="BC110" s="127"/>
      <c r="BD110" s="126">
        <v>16</v>
      </c>
      <c r="BE110" s="126">
        <v>10.6</v>
      </c>
      <c r="BF110" s="126">
        <f t="shared" si="21"/>
        <v>169.6</v>
      </c>
      <c r="BG110" s="125"/>
      <c r="BH110" s="125"/>
      <c r="BI110" s="125"/>
      <c r="BJ110" s="126"/>
      <c r="BK110" s="126"/>
      <c r="BL110" s="126"/>
      <c r="BM110" s="127"/>
      <c r="BN110" s="127"/>
      <c r="BO110" s="127"/>
      <c r="BP110" s="126"/>
      <c r="BQ110" s="126"/>
      <c r="BR110" s="126"/>
      <c r="BS110" s="128"/>
      <c r="BT110" s="128"/>
      <c r="BU110" s="128"/>
    </row>
    <row r="111" s="47" customFormat="1" spans="1:73">
      <c r="A111" s="129">
        <v>45586</v>
      </c>
      <c r="B111" s="130" t="s">
        <v>1278</v>
      </c>
      <c r="C111" s="131">
        <v>750</v>
      </c>
      <c r="D111" s="132"/>
      <c r="E111" s="81"/>
      <c r="F111" s="135"/>
      <c r="G111" s="81"/>
      <c r="H111" s="78"/>
      <c r="I111" s="81"/>
      <c r="J111" s="104"/>
      <c r="K111" s="81"/>
      <c r="L111" s="78"/>
      <c r="M111" s="81"/>
      <c r="N111" s="133"/>
      <c r="O111" s="104"/>
      <c r="P111" s="131"/>
      <c r="Q111" s="134"/>
      <c r="R111" s="81"/>
      <c r="S111" s="78"/>
      <c r="T111" s="81"/>
      <c r="U111" s="135"/>
      <c r="V111" s="81"/>
      <c r="W111" s="136"/>
      <c r="X111" s="78"/>
      <c r="Y111" s="81"/>
      <c r="Z111" s="104"/>
      <c r="AA111" s="81"/>
      <c r="AB111" s="78"/>
      <c r="AC111" s="81"/>
      <c r="AD111" s="104"/>
      <c r="AE111" s="81"/>
      <c r="AF111" s="78"/>
      <c r="AG111" s="81"/>
      <c r="AH111" s="123">
        <v>45586</v>
      </c>
      <c r="AI111" s="124"/>
      <c r="AJ111" s="124"/>
      <c r="AK111" s="125"/>
      <c r="AL111" s="126"/>
      <c r="AM111" s="126"/>
      <c r="AN111" s="126"/>
      <c r="AO111" s="127"/>
      <c r="AP111" s="127"/>
      <c r="AQ111" s="127"/>
      <c r="AR111" s="126"/>
      <c r="AS111" s="126"/>
      <c r="AT111" s="126"/>
      <c r="AU111" s="125"/>
      <c r="AV111" s="125"/>
      <c r="AW111" s="125"/>
      <c r="AX111" s="126"/>
      <c r="AY111" s="126"/>
      <c r="AZ111" s="126"/>
      <c r="BA111" s="127"/>
      <c r="BB111" s="127"/>
      <c r="BC111" s="127"/>
      <c r="BD111" s="126">
        <v>450</v>
      </c>
      <c r="BE111" s="126">
        <v>10.6</v>
      </c>
      <c r="BF111" s="126">
        <f t="shared" si="21"/>
        <v>4770</v>
      </c>
      <c r="BG111" s="125"/>
      <c r="BH111" s="125"/>
      <c r="BI111" s="125"/>
      <c r="BJ111" s="126"/>
      <c r="BK111" s="126"/>
      <c r="BL111" s="126"/>
      <c r="BM111" s="127"/>
      <c r="BN111" s="127"/>
      <c r="BO111" s="127"/>
      <c r="BP111" s="126"/>
      <c r="BQ111" s="126"/>
      <c r="BR111" s="126"/>
      <c r="BS111" s="128"/>
      <c r="BT111" s="128"/>
      <c r="BU111" s="128"/>
    </row>
    <row r="112" s="47" customFormat="1" spans="1:73">
      <c r="A112" s="129">
        <v>45586</v>
      </c>
      <c r="B112" s="130" t="s">
        <v>1279</v>
      </c>
      <c r="C112" s="131"/>
      <c r="D112" s="132"/>
      <c r="E112" s="138">
        <v>750</v>
      </c>
      <c r="F112" s="135"/>
      <c r="G112" s="81"/>
      <c r="H112" s="78"/>
      <c r="I112" s="81"/>
      <c r="J112" s="104"/>
      <c r="K112" s="81"/>
      <c r="L112" s="78"/>
      <c r="M112" s="81"/>
      <c r="N112" s="133"/>
      <c r="O112" s="104"/>
      <c r="P112" s="131"/>
      <c r="Q112" s="134"/>
      <c r="R112" s="81"/>
      <c r="S112" s="78"/>
      <c r="T112" s="81"/>
      <c r="U112" s="135"/>
      <c r="V112" s="81"/>
      <c r="W112" s="136"/>
      <c r="X112" s="78"/>
      <c r="Y112" s="81"/>
      <c r="Z112" s="104"/>
      <c r="AA112" s="81"/>
      <c r="AB112" s="78"/>
      <c r="AC112" s="81"/>
      <c r="AD112" s="104"/>
      <c r="AE112" s="81"/>
      <c r="AF112" s="78"/>
      <c r="AG112" s="81"/>
      <c r="AH112" s="123">
        <v>45586</v>
      </c>
      <c r="AI112" s="124"/>
      <c r="AJ112" s="124"/>
      <c r="AK112" s="125"/>
      <c r="AL112" s="126"/>
      <c r="AM112" s="126"/>
      <c r="AN112" s="126"/>
      <c r="AO112" s="127"/>
      <c r="AP112" s="127"/>
      <c r="AQ112" s="127"/>
      <c r="AR112" s="126"/>
      <c r="AS112" s="126"/>
      <c r="AT112" s="126"/>
      <c r="AU112" s="125"/>
      <c r="AV112" s="125"/>
      <c r="AW112" s="125"/>
      <c r="AX112" s="126"/>
      <c r="AY112" s="126"/>
      <c r="AZ112" s="126"/>
      <c r="BA112" s="127"/>
      <c r="BB112" s="127"/>
      <c r="BC112" s="127"/>
      <c r="BD112" s="126"/>
      <c r="BE112" s="126"/>
      <c r="BF112" s="126"/>
      <c r="BG112" s="125"/>
      <c r="BH112" s="125"/>
      <c r="BI112" s="125"/>
      <c r="BJ112" s="126"/>
      <c r="BK112" s="126"/>
      <c r="BL112" s="126"/>
      <c r="BM112" s="127"/>
      <c r="BN112" s="127"/>
      <c r="BO112" s="127"/>
      <c r="BP112" s="126"/>
      <c r="BQ112" s="126"/>
      <c r="BR112" s="126"/>
      <c r="BS112" s="128"/>
      <c r="BT112" s="128"/>
      <c r="BU112" s="128"/>
    </row>
    <row r="113" s="47" customFormat="1" spans="1:73">
      <c r="A113" s="129">
        <v>45587</v>
      </c>
      <c r="B113" s="130" t="s">
        <v>1257</v>
      </c>
      <c r="C113" s="131">
        <v>1003</v>
      </c>
      <c r="D113" s="132"/>
      <c r="E113" s="81"/>
      <c r="F113" s="135"/>
      <c r="G113" s="81"/>
      <c r="H113" s="78"/>
      <c r="I113" s="81"/>
      <c r="J113" s="104"/>
      <c r="K113" s="81"/>
      <c r="L113" s="78"/>
      <c r="M113" s="81"/>
      <c r="N113" s="133"/>
      <c r="O113" s="104"/>
      <c r="P113" s="131">
        <v>-120</v>
      </c>
      <c r="Q113" s="134"/>
      <c r="R113" s="81"/>
      <c r="S113" s="78">
        <v>-3</v>
      </c>
      <c r="T113" s="81">
        <v>-140</v>
      </c>
      <c r="U113" s="104">
        <v>-260</v>
      </c>
      <c r="V113" s="81"/>
      <c r="W113" s="136"/>
      <c r="X113" s="78"/>
      <c r="Y113" s="81"/>
      <c r="Z113" s="104"/>
      <c r="AA113" s="81"/>
      <c r="AB113" s="78"/>
      <c r="AC113" s="81"/>
      <c r="AD113" s="104"/>
      <c r="AE113" s="81"/>
      <c r="AF113" s="78"/>
      <c r="AG113" s="81"/>
      <c r="AH113" s="123">
        <v>45587</v>
      </c>
      <c r="AI113" s="124"/>
      <c r="AJ113" s="124"/>
      <c r="AK113" s="125"/>
      <c r="AL113" s="126"/>
      <c r="AM113" s="126"/>
      <c r="AN113" s="126"/>
      <c r="AO113" s="127">
        <v>30</v>
      </c>
      <c r="AP113" s="127">
        <v>17</v>
      </c>
      <c r="AQ113" s="127">
        <f>AO113*AP113</f>
        <v>510</v>
      </c>
      <c r="AR113" s="126"/>
      <c r="AS113" s="126"/>
      <c r="AT113" s="126"/>
      <c r="AU113" s="125"/>
      <c r="AV113" s="125"/>
      <c r="AW113" s="125"/>
      <c r="AX113" s="126"/>
      <c r="AY113" s="126"/>
      <c r="AZ113" s="126"/>
      <c r="BA113" s="127"/>
      <c r="BB113" s="127"/>
      <c r="BC113" s="127"/>
      <c r="BD113" s="126">
        <v>100</v>
      </c>
      <c r="BE113" s="126">
        <v>10.6</v>
      </c>
      <c r="BF113" s="126">
        <f t="shared" si="21"/>
        <v>1060</v>
      </c>
      <c r="BG113" s="125"/>
      <c r="BH113" s="125"/>
      <c r="BI113" s="125"/>
      <c r="BJ113" s="126">
        <v>200</v>
      </c>
      <c r="BK113" s="126">
        <v>3.7</v>
      </c>
      <c r="BL113" s="126">
        <f>BJ113*BK113</f>
        <v>740</v>
      </c>
      <c r="BM113" s="127"/>
      <c r="BN113" s="127"/>
      <c r="BO113" s="127"/>
      <c r="BP113" s="126"/>
      <c r="BQ113" s="126"/>
      <c r="BR113" s="126"/>
      <c r="BS113" s="128"/>
      <c r="BT113" s="128"/>
      <c r="BU113" s="128"/>
    </row>
    <row r="114" s="47" customFormat="1" spans="1:73">
      <c r="A114" s="129">
        <v>45588</v>
      </c>
      <c r="B114" s="130" t="s">
        <v>1268</v>
      </c>
      <c r="C114" s="131">
        <v>1280</v>
      </c>
      <c r="D114" s="132"/>
      <c r="E114" s="81"/>
      <c r="F114" s="104"/>
      <c r="G114" s="81"/>
      <c r="H114" s="78"/>
      <c r="I114" s="81"/>
      <c r="J114" s="104"/>
      <c r="K114" s="81"/>
      <c r="L114" s="78"/>
      <c r="M114" s="81"/>
      <c r="N114" s="133"/>
      <c r="O114" s="104"/>
      <c r="P114" s="144"/>
      <c r="Q114" s="134"/>
      <c r="R114" s="81"/>
      <c r="S114" s="78"/>
      <c r="T114" s="81"/>
      <c r="U114" s="135"/>
      <c r="V114" s="81"/>
      <c r="W114" s="136"/>
      <c r="X114" s="78"/>
      <c r="Y114" s="81"/>
      <c r="Z114" s="104"/>
      <c r="AA114" s="81"/>
      <c r="AB114" s="78"/>
      <c r="AC114" s="81"/>
      <c r="AD114" s="104"/>
      <c r="AE114" s="81"/>
      <c r="AF114" s="78"/>
      <c r="AG114" s="81"/>
      <c r="AH114" s="123">
        <v>45588</v>
      </c>
      <c r="AI114" s="124"/>
      <c r="AJ114" s="124"/>
      <c r="AK114" s="125"/>
      <c r="AL114" s="126"/>
      <c r="AM114" s="126"/>
      <c r="AN114" s="126"/>
      <c r="AO114" s="127"/>
      <c r="AP114" s="127"/>
      <c r="AQ114" s="127"/>
      <c r="AR114" s="126"/>
      <c r="AS114" s="126"/>
      <c r="AT114" s="126"/>
      <c r="AU114" s="125"/>
      <c r="AV114" s="125"/>
      <c r="AW114" s="125"/>
      <c r="AX114" s="126"/>
      <c r="AY114" s="126"/>
      <c r="AZ114" s="126"/>
      <c r="BA114" s="127"/>
      <c r="BB114" s="127"/>
      <c r="BC114" s="127"/>
      <c r="BD114" s="126"/>
      <c r="BE114" s="126"/>
      <c r="BF114" s="126"/>
      <c r="BG114" s="125">
        <v>720</v>
      </c>
      <c r="BH114" s="125">
        <v>6.3</v>
      </c>
      <c r="BI114" s="125">
        <f>BG114*BH114</f>
        <v>4536</v>
      </c>
      <c r="BJ114" s="126"/>
      <c r="BK114" s="126"/>
      <c r="BL114" s="126"/>
      <c r="BM114" s="127"/>
      <c r="BN114" s="127"/>
      <c r="BO114" s="127"/>
      <c r="BP114" s="126">
        <v>360</v>
      </c>
      <c r="BQ114" s="126">
        <v>7.2</v>
      </c>
      <c r="BR114" s="126">
        <f>BP114*BQ114</f>
        <v>2592</v>
      </c>
      <c r="BS114" s="128"/>
      <c r="BT114" s="128"/>
      <c r="BU114" s="128"/>
    </row>
    <row r="115" s="47" customFormat="1" spans="1:73">
      <c r="A115" s="129">
        <v>45588</v>
      </c>
      <c r="B115" s="137" t="s">
        <v>1269</v>
      </c>
      <c r="C115" s="131"/>
      <c r="D115" s="132"/>
      <c r="E115" s="81"/>
      <c r="F115" s="135"/>
      <c r="G115" s="81"/>
      <c r="H115" s="78"/>
      <c r="I115" s="81"/>
      <c r="J115" s="104"/>
      <c r="K115" s="81"/>
      <c r="L115" s="78"/>
      <c r="M115" s="81"/>
      <c r="N115" s="133"/>
      <c r="O115" s="104"/>
      <c r="P115" s="131"/>
      <c r="Q115" s="134"/>
      <c r="R115" s="81"/>
      <c r="S115" s="78"/>
      <c r="T115" s="81"/>
      <c r="U115" s="140">
        <v>1280</v>
      </c>
      <c r="V115" s="81"/>
      <c r="W115" s="136"/>
      <c r="X115" s="78"/>
      <c r="Y115" s="81"/>
      <c r="Z115" s="104"/>
      <c r="AA115" s="81"/>
      <c r="AB115" s="78"/>
      <c r="AC115" s="81"/>
      <c r="AD115" s="104"/>
      <c r="AE115" s="81"/>
      <c r="AF115" s="78"/>
      <c r="AG115" s="81"/>
      <c r="AH115" s="123">
        <v>45588</v>
      </c>
      <c r="AI115" s="124"/>
      <c r="AJ115" s="124"/>
      <c r="AK115" s="125"/>
      <c r="AL115" s="126"/>
      <c r="AM115" s="126"/>
      <c r="AN115" s="126"/>
      <c r="AO115" s="127"/>
      <c r="AP115" s="127"/>
      <c r="AQ115" s="127"/>
      <c r="AR115" s="126"/>
      <c r="AS115" s="126"/>
      <c r="AT115" s="126"/>
      <c r="AU115" s="125"/>
      <c r="AV115" s="125"/>
      <c r="AW115" s="125"/>
      <c r="AX115" s="126"/>
      <c r="AY115" s="126"/>
      <c r="AZ115" s="126"/>
      <c r="BA115" s="127"/>
      <c r="BB115" s="127"/>
      <c r="BC115" s="127"/>
      <c r="BD115" s="126"/>
      <c r="BE115" s="126"/>
      <c r="BF115" s="126"/>
      <c r="BG115" s="125"/>
      <c r="BH115" s="125"/>
      <c r="BI115" s="125"/>
      <c r="BJ115" s="126"/>
      <c r="BK115" s="126"/>
      <c r="BL115" s="126"/>
      <c r="BM115" s="127"/>
      <c r="BN115" s="127"/>
      <c r="BO115" s="127"/>
      <c r="BP115" s="126"/>
      <c r="BQ115" s="126"/>
      <c r="BR115" s="126"/>
      <c r="BS115" s="128"/>
      <c r="BT115" s="128"/>
      <c r="BU115" s="128"/>
    </row>
    <row r="116" s="47" customFormat="1" spans="1:73">
      <c r="A116" s="129">
        <v>45589</v>
      </c>
      <c r="B116" s="130" t="s">
        <v>1280</v>
      </c>
      <c r="C116" s="131">
        <v>1000</v>
      </c>
      <c r="D116" s="132"/>
      <c r="E116" s="81">
        <v>-125</v>
      </c>
      <c r="F116" s="104"/>
      <c r="G116" s="81"/>
      <c r="H116" s="78"/>
      <c r="I116" s="81">
        <v>-200</v>
      </c>
      <c r="J116" s="104"/>
      <c r="K116" s="81"/>
      <c r="L116" s="78"/>
      <c r="M116" s="81"/>
      <c r="N116" s="133"/>
      <c r="O116" s="104"/>
      <c r="P116" s="131"/>
      <c r="Q116" s="134"/>
      <c r="R116" s="81"/>
      <c r="S116" s="78"/>
      <c r="T116" s="81">
        <v>-70</v>
      </c>
      <c r="U116" s="104">
        <v>-380</v>
      </c>
      <c r="V116" s="81"/>
      <c r="W116" s="136"/>
      <c r="X116" s="78"/>
      <c r="Y116" s="81"/>
      <c r="Z116" s="104"/>
      <c r="AA116" s="81"/>
      <c r="AB116" s="78"/>
      <c r="AC116" s="81"/>
      <c r="AD116" s="104"/>
      <c r="AE116" s="81"/>
      <c r="AF116" s="78"/>
      <c r="AG116" s="81"/>
      <c r="AH116" s="123">
        <v>45589</v>
      </c>
      <c r="AI116" s="124"/>
      <c r="AJ116" s="124"/>
      <c r="AK116" s="125"/>
      <c r="AL116" s="126"/>
      <c r="AM116" s="126"/>
      <c r="AN116" s="126"/>
      <c r="AO116" s="127"/>
      <c r="AP116" s="127"/>
      <c r="AQ116" s="127"/>
      <c r="AR116" s="126"/>
      <c r="AS116" s="126"/>
      <c r="AT116" s="126"/>
      <c r="AU116" s="125"/>
      <c r="AV116" s="125"/>
      <c r="AW116" s="125"/>
      <c r="AX116" s="126"/>
      <c r="AY116" s="126"/>
      <c r="AZ116" s="126"/>
      <c r="BA116" s="127"/>
      <c r="BB116" s="127"/>
      <c r="BC116" s="127"/>
      <c r="BD116" s="126">
        <v>25</v>
      </c>
      <c r="BE116" s="126">
        <v>10.6</v>
      </c>
      <c r="BF116" s="126">
        <f>BD116*BE116</f>
        <v>265</v>
      </c>
      <c r="BG116" s="125"/>
      <c r="BH116" s="125"/>
      <c r="BI116" s="125"/>
      <c r="BJ116" s="126"/>
      <c r="BK116" s="126"/>
      <c r="BL116" s="126"/>
      <c r="BM116" s="127"/>
      <c r="BN116" s="127"/>
      <c r="BO116" s="127"/>
      <c r="BP116" s="126"/>
      <c r="BQ116" s="126"/>
      <c r="BR116" s="126"/>
      <c r="BS116" s="128"/>
      <c r="BT116" s="128"/>
      <c r="BU116" s="128"/>
    </row>
    <row r="117" s="47" customFormat="1" spans="1:73">
      <c r="A117" s="129">
        <v>45591</v>
      </c>
      <c r="B117" s="130" t="s">
        <v>1281</v>
      </c>
      <c r="C117" s="131">
        <v>1275</v>
      </c>
      <c r="D117" s="132"/>
      <c r="E117" s="81"/>
      <c r="F117" s="104"/>
      <c r="G117" s="81"/>
      <c r="H117" s="78"/>
      <c r="I117" s="81"/>
      <c r="J117" s="104"/>
      <c r="K117" s="81"/>
      <c r="L117" s="78"/>
      <c r="M117" s="81"/>
      <c r="N117" s="133"/>
      <c r="O117" s="104"/>
      <c r="P117" s="131"/>
      <c r="Q117" s="134"/>
      <c r="R117" s="81"/>
      <c r="S117" s="78"/>
      <c r="T117" s="81"/>
      <c r="U117" s="135"/>
      <c r="V117" s="81"/>
      <c r="W117" s="136"/>
      <c r="X117" s="78"/>
      <c r="Y117" s="81"/>
      <c r="Z117" s="104"/>
      <c r="AA117" s="81"/>
      <c r="AB117" s="78"/>
      <c r="AC117" s="81"/>
      <c r="AD117" s="104"/>
      <c r="AE117" s="81"/>
      <c r="AF117" s="78"/>
      <c r="AG117" s="81"/>
      <c r="AH117" s="123">
        <v>45591</v>
      </c>
      <c r="AI117" s="124"/>
      <c r="AJ117" s="124"/>
      <c r="AK117" s="125"/>
      <c r="AL117" s="126"/>
      <c r="AM117" s="126"/>
      <c r="AN117" s="126"/>
      <c r="AO117" s="127"/>
      <c r="AP117" s="127"/>
      <c r="AQ117" s="127"/>
      <c r="AR117" s="126"/>
      <c r="AS117" s="126"/>
      <c r="AT117" s="126"/>
      <c r="AU117" s="125"/>
      <c r="AV117" s="125"/>
      <c r="AW117" s="125"/>
      <c r="AX117" s="126"/>
      <c r="AY117" s="126"/>
      <c r="AZ117" s="126"/>
      <c r="BA117" s="127"/>
      <c r="BB117" s="127"/>
      <c r="BC117" s="127"/>
      <c r="BD117" s="126"/>
      <c r="BE117" s="126"/>
      <c r="BF117" s="126"/>
      <c r="BG117" s="125">
        <v>720</v>
      </c>
      <c r="BH117" s="125">
        <v>6.3</v>
      </c>
      <c r="BI117" s="125">
        <f>BG117*BH117</f>
        <v>4536</v>
      </c>
      <c r="BJ117" s="126"/>
      <c r="BK117" s="126"/>
      <c r="BL117" s="126"/>
      <c r="BM117" s="127"/>
      <c r="BN117" s="127"/>
      <c r="BO117" s="127"/>
      <c r="BP117" s="126">
        <v>180</v>
      </c>
      <c r="BQ117" s="126">
        <v>7.2</v>
      </c>
      <c r="BR117" s="126">
        <f>BP117*BQ117</f>
        <v>1296</v>
      </c>
      <c r="BS117" s="128"/>
      <c r="BT117" s="128"/>
      <c r="BU117" s="128"/>
    </row>
    <row r="118" s="47" customFormat="1" spans="1:73">
      <c r="A118" s="129">
        <v>45591</v>
      </c>
      <c r="B118" s="137" t="s">
        <v>1282</v>
      </c>
      <c r="C118" s="131"/>
      <c r="D118" s="132"/>
      <c r="E118" s="81"/>
      <c r="F118" s="104"/>
      <c r="G118" s="81"/>
      <c r="H118" s="78"/>
      <c r="I118" s="81"/>
      <c r="J118" s="104"/>
      <c r="K118" s="81"/>
      <c r="L118" s="78"/>
      <c r="M118" s="81"/>
      <c r="N118" s="133"/>
      <c r="O118" s="104"/>
      <c r="P118" s="131"/>
      <c r="Q118" s="134"/>
      <c r="R118" s="81"/>
      <c r="S118" s="78"/>
      <c r="T118" s="138">
        <v>1275</v>
      </c>
      <c r="U118" s="135"/>
      <c r="V118" s="81"/>
      <c r="W118" s="136"/>
      <c r="X118" s="78"/>
      <c r="Y118" s="81"/>
      <c r="Z118" s="104"/>
      <c r="AA118" s="81"/>
      <c r="AB118" s="78"/>
      <c r="AC118" s="81"/>
      <c r="AD118" s="104"/>
      <c r="AE118" s="81"/>
      <c r="AF118" s="78"/>
      <c r="AG118" s="81"/>
      <c r="AH118" s="123">
        <v>45591</v>
      </c>
      <c r="AI118" s="124"/>
      <c r="AJ118" s="124"/>
      <c r="AK118" s="125"/>
      <c r="AL118" s="126"/>
      <c r="AM118" s="126"/>
      <c r="AN118" s="126"/>
      <c r="AO118" s="127"/>
      <c r="AP118" s="127"/>
      <c r="AQ118" s="127"/>
      <c r="AR118" s="126"/>
      <c r="AS118" s="126"/>
      <c r="AT118" s="126"/>
      <c r="AU118" s="125"/>
      <c r="AV118" s="125"/>
      <c r="AW118" s="125"/>
      <c r="AX118" s="126"/>
      <c r="AY118" s="126"/>
      <c r="AZ118" s="126"/>
      <c r="BA118" s="127"/>
      <c r="BB118" s="127"/>
      <c r="BC118" s="127"/>
      <c r="BD118" s="126"/>
      <c r="BE118" s="126"/>
      <c r="BF118" s="126"/>
      <c r="BG118" s="125"/>
      <c r="BH118" s="125"/>
      <c r="BI118" s="125"/>
      <c r="BJ118" s="126"/>
      <c r="BK118" s="126"/>
      <c r="BL118" s="126"/>
      <c r="BM118" s="127"/>
      <c r="BN118" s="127"/>
      <c r="BO118" s="127"/>
      <c r="BP118" s="126"/>
      <c r="BQ118" s="126"/>
      <c r="BR118" s="126"/>
      <c r="BS118" s="128"/>
      <c r="BT118" s="128"/>
      <c r="BU118" s="128"/>
    </row>
    <row r="119" s="47" customFormat="1" spans="1:73">
      <c r="A119" s="129">
        <v>45594</v>
      </c>
      <c r="B119" s="130" t="s">
        <v>1283</v>
      </c>
      <c r="C119" s="131">
        <v>1230</v>
      </c>
      <c r="D119" s="132"/>
      <c r="E119" s="81"/>
      <c r="F119" s="104"/>
      <c r="G119" s="81"/>
      <c r="H119" s="78"/>
      <c r="I119" s="81"/>
      <c r="J119" s="104"/>
      <c r="K119" s="81"/>
      <c r="L119" s="78"/>
      <c r="M119" s="81"/>
      <c r="N119" s="133"/>
      <c r="O119" s="104"/>
      <c r="P119" s="131"/>
      <c r="Q119" s="134"/>
      <c r="R119" s="81"/>
      <c r="S119" s="78"/>
      <c r="T119" s="81"/>
      <c r="U119" s="135"/>
      <c r="V119" s="81"/>
      <c r="W119" s="136"/>
      <c r="X119" s="78"/>
      <c r="Y119" s="81"/>
      <c r="Z119" s="104"/>
      <c r="AA119" s="81"/>
      <c r="AB119" s="78"/>
      <c r="AC119" s="81"/>
      <c r="AD119" s="104"/>
      <c r="AE119" s="81"/>
      <c r="AF119" s="78"/>
      <c r="AG119" s="81"/>
      <c r="AH119" s="123">
        <v>45594</v>
      </c>
      <c r="AI119" s="124"/>
      <c r="AJ119" s="124"/>
      <c r="AK119" s="125"/>
      <c r="AL119" s="126"/>
      <c r="AM119" s="126"/>
      <c r="AN119" s="126"/>
      <c r="AO119" s="127"/>
      <c r="AP119" s="127"/>
      <c r="AQ119" s="127"/>
      <c r="AR119" s="126"/>
      <c r="AS119" s="126"/>
      <c r="AT119" s="126"/>
      <c r="AU119" s="125"/>
      <c r="AV119" s="125"/>
      <c r="AW119" s="125"/>
      <c r="AX119" s="126"/>
      <c r="AY119" s="126"/>
      <c r="AZ119" s="126"/>
      <c r="BA119" s="127"/>
      <c r="BB119" s="127"/>
      <c r="BC119" s="127"/>
      <c r="BD119" s="126"/>
      <c r="BE119" s="126"/>
      <c r="BF119" s="126"/>
      <c r="BG119" s="125">
        <v>720</v>
      </c>
      <c r="BH119" s="125">
        <v>6.3</v>
      </c>
      <c r="BI119" s="125">
        <f>BG119*BH119</f>
        <v>4536</v>
      </c>
      <c r="BJ119" s="126"/>
      <c r="BK119" s="126"/>
      <c r="BL119" s="126"/>
      <c r="BM119" s="127"/>
      <c r="BN119" s="127"/>
      <c r="BO119" s="127"/>
      <c r="BP119" s="126">
        <v>360</v>
      </c>
      <c r="BQ119" s="126">
        <v>7.2</v>
      </c>
      <c r="BR119" s="126">
        <f>BP119*BQ119</f>
        <v>2592</v>
      </c>
      <c r="BS119" s="128"/>
      <c r="BT119" s="128"/>
      <c r="BU119" s="128"/>
    </row>
    <row r="120" s="47" customFormat="1" spans="1:73">
      <c r="A120" s="129">
        <v>45594</v>
      </c>
      <c r="B120" s="137" t="s">
        <v>1284</v>
      </c>
      <c r="C120" s="131"/>
      <c r="D120" s="132"/>
      <c r="E120" s="81"/>
      <c r="F120" s="104"/>
      <c r="G120" s="81"/>
      <c r="H120" s="78"/>
      <c r="I120" s="81"/>
      <c r="J120" s="104"/>
      <c r="K120" s="81"/>
      <c r="L120" s="78"/>
      <c r="M120" s="81"/>
      <c r="N120" s="133"/>
      <c r="O120" s="104"/>
      <c r="P120" s="131"/>
      <c r="Q120" s="134"/>
      <c r="R120" s="81"/>
      <c r="S120" s="78"/>
      <c r="T120" s="81"/>
      <c r="U120" s="135"/>
      <c r="V120" s="81"/>
      <c r="W120" s="136"/>
      <c r="X120" s="78"/>
      <c r="Y120" s="81">
        <v>1230</v>
      </c>
      <c r="Z120" s="104"/>
      <c r="AA120" s="81"/>
      <c r="AB120" s="78"/>
      <c r="AC120" s="81"/>
      <c r="AD120" s="104"/>
      <c r="AE120" s="81"/>
      <c r="AF120" s="78"/>
      <c r="AG120" s="81"/>
      <c r="AH120" s="123">
        <v>45594</v>
      </c>
      <c r="AI120" s="124"/>
      <c r="AJ120" s="124"/>
      <c r="AK120" s="125"/>
      <c r="AL120" s="126"/>
      <c r="AM120" s="126"/>
      <c r="AN120" s="126"/>
      <c r="AO120" s="127"/>
      <c r="AP120" s="127"/>
      <c r="AQ120" s="127"/>
      <c r="AR120" s="126"/>
      <c r="AS120" s="126"/>
      <c r="AT120" s="126"/>
      <c r="AU120" s="125"/>
      <c r="AV120" s="125"/>
      <c r="AW120" s="125"/>
      <c r="AX120" s="126"/>
      <c r="AY120" s="126"/>
      <c r="AZ120" s="126"/>
      <c r="BA120" s="127"/>
      <c r="BB120" s="127"/>
      <c r="BC120" s="127"/>
      <c r="BD120" s="126"/>
      <c r="BE120" s="126"/>
      <c r="BF120" s="126"/>
      <c r="BG120" s="125"/>
      <c r="BH120" s="125"/>
      <c r="BI120" s="125"/>
      <c r="BJ120" s="126"/>
      <c r="BK120" s="126"/>
      <c r="BL120" s="126"/>
      <c r="BM120" s="127"/>
      <c r="BN120" s="127"/>
      <c r="BO120" s="127"/>
      <c r="BP120" s="126"/>
      <c r="BQ120" s="126"/>
      <c r="BR120" s="126"/>
      <c r="BS120" s="128"/>
      <c r="BT120" s="128"/>
      <c r="BU120" s="128"/>
    </row>
    <row r="121" s="47" customFormat="1" spans="1:73">
      <c r="A121" s="129">
        <v>45594</v>
      </c>
      <c r="B121" s="130" t="s">
        <v>1285</v>
      </c>
      <c r="C121" s="131">
        <v>607</v>
      </c>
      <c r="D121" s="132"/>
      <c r="E121" s="81"/>
      <c r="F121" s="104"/>
      <c r="G121" s="81"/>
      <c r="H121" s="78"/>
      <c r="I121" s="81">
        <v>-64</v>
      </c>
      <c r="J121" s="104"/>
      <c r="K121" s="81"/>
      <c r="L121" s="78"/>
      <c r="M121" s="81"/>
      <c r="N121" s="133"/>
      <c r="O121" s="104"/>
      <c r="P121" s="131"/>
      <c r="Q121" s="134"/>
      <c r="R121" s="81"/>
      <c r="S121" s="78"/>
      <c r="T121" s="81"/>
      <c r="U121" s="135"/>
      <c r="V121" s="81"/>
      <c r="W121" s="136"/>
      <c r="X121" s="78"/>
      <c r="Y121" s="81">
        <v>-126</v>
      </c>
      <c r="Z121" s="104"/>
      <c r="AA121" s="81"/>
      <c r="AB121" s="78"/>
      <c r="AC121" s="81"/>
      <c r="AD121" s="104"/>
      <c r="AE121" s="81"/>
      <c r="AF121" s="78"/>
      <c r="AG121" s="81"/>
      <c r="AH121" s="123">
        <v>45594</v>
      </c>
      <c r="AI121" s="124"/>
      <c r="AJ121" s="124"/>
      <c r="AK121" s="125"/>
      <c r="AL121" s="126"/>
      <c r="AM121" s="126"/>
      <c r="AN121" s="126"/>
      <c r="AO121" s="127"/>
      <c r="AP121" s="127"/>
      <c r="AQ121" s="127"/>
      <c r="AR121" s="126"/>
      <c r="AS121" s="126"/>
      <c r="AT121" s="126"/>
      <c r="AU121" s="125"/>
      <c r="AV121" s="125"/>
      <c r="AW121" s="125"/>
      <c r="AX121" s="126"/>
      <c r="AY121" s="126"/>
      <c r="AZ121" s="126"/>
      <c r="BA121" s="127"/>
      <c r="BB121" s="127"/>
      <c r="BC121" s="127"/>
      <c r="BD121" s="126"/>
      <c r="BE121" s="126"/>
      <c r="BF121" s="126"/>
      <c r="BG121" s="125">
        <v>128</v>
      </c>
      <c r="BH121" s="125">
        <v>6.3</v>
      </c>
      <c r="BI121" s="125">
        <f>BG121*BH121</f>
        <v>806.4</v>
      </c>
      <c r="BJ121" s="126">
        <v>217</v>
      </c>
      <c r="BK121" s="126">
        <v>3.7</v>
      </c>
      <c r="BL121" s="126">
        <f>BJ121*BK121</f>
        <v>802.9</v>
      </c>
      <c r="BM121" s="127"/>
      <c r="BN121" s="127"/>
      <c r="BO121" s="127"/>
      <c r="BP121" s="126"/>
      <c r="BQ121" s="126"/>
      <c r="BR121" s="126"/>
      <c r="BS121" s="128"/>
      <c r="BT121" s="128"/>
      <c r="BU121" s="128"/>
    </row>
    <row r="122" s="47" customFormat="1" spans="1:73">
      <c r="A122" s="129">
        <v>45594</v>
      </c>
      <c r="B122" s="130" t="s">
        <v>1286</v>
      </c>
      <c r="C122" s="131">
        <v>960</v>
      </c>
      <c r="D122" s="132"/>
      <c r="E122" s="81"/>
      <c r="F122" s="104"/>
      <c r="G122" s="81"/>
      <c r="H122" s="78"/>
      <c r="I122" s="81"/>
      <c r="J122" s="104"/>
      <c r="K122" s="81"/>
      <c r="L122" s="78"/>
      <c r="M122" s="81"/>
      <c r="N122" s="133"/>
      <c r="O122" s="104"/>
      <c r="P122" s="131"/>
      <c r="Q122" s="134"/>
      <c r="R122" s="81"/>
      <c r="S122" s="78"/>
      <c r="T122" s="81"/>
      <c r="U122" s="135"/>
      <c r="V122" s="81"/>
      <c r="W122" s="136"/>
      <c r="X122" s="78"/>
      <c r="Y122" s="81"/>
      <c r="Z122" s="104"/>
      <c r="AA122" s="81"/>
      <c r="AB122" s="78"/>
      <c r="AC122" s="81"/>
      <c r="AD122" s="104"/>
      <c r="AE122" s="81"/>
      <c r="AF122" s="78"/>
      <c r="AG122" s="81"/>
      <c r="AH122" s="123">
        <v>45594</v>
      </c>
      <c r="AI122" s="124"/>
      <c r="AJ122" s="124"/>
      <c r="AK122" s="125"/>
      <c r="AL122" s="126"/>
      <c r="AM122" s="126"/>
      <c r="AN122" s="126"/>
      <c r="AO122" s="127"/>
      <c r="AP122" s="127"/>
      <c r="AQ122" s="127"/>
      <c r="AR122" s="126"/>
      <c r="AS122" s="126"/>
      <c r="AT122" s="126"/>
      <c r="AU122" s="125"/>
      <c r="AV122" s="125"/>
      <c r="AW122" s="125"/>
      <c r="AX122" s="126"/>
      <c r="AY122" s="126"/>
      <c r="AZ122" s="126"/>
      <c r="BA122" s="127"/>
      <c r="BB122" s="127"/>
      <c r="BC122" s="127"/>
      <c r="BD122" s="126"/>
      <c r="BE122" s="126"/>
      <c r="BF122" s="126"/>
      <c r="BG122" s="125">
        <v>540</v>
      </c>
      <c r="BH122" s="125">
        <v>6.3</v>
      </c>
      <c r="BI122" s="125">
        <f>BG122*BH122</f>
        <v>3402</v>
      </c>
      <c r="BJ122" s="126"/>
      <c r="BK122" s="126"/>
      <c r="BL122" s="126"/>
      <c r="BM122" s="127"/>
      <c r="BN122" s="127"/>
      <c r="BO122" s="127"/>
      <c r="BP122" s="126">
        <v>270</v>
      </c>
      <c r="BQ122" s="126">
        <v>7.2</v>
      </c>
      <c r="BR122" s="126">
        <f>BP122*BQ122</f>
        <v>1944</v>
      </c>
      <c r="BS122" s="128"/>
      <c r="BT122" s="128"/>
      <c r="BU122" s="128"/>
    </row>
    <row r="123" s="47" customFormat="1" spans="1:73">
      <c r="A123" s="129">
        <v>45594</v>
      </c>
      <c r="B123" s="137" t="s">
        <v>1287</v>
      </c>
      <c r="C123" s="131"/>
      <c r="D123" s="132"/>
      <c r="E123" s="81"/>
      <c r="F123" s="104"/>
      <c r="G123" s="81"/>
      <c r="H123" s="78"/>
      <c r="I123" s="81"/>
      <c r="J123" s="104"/>
      <c r="K123" s="81"/>
      <c r="L123" s="78"/>
      <c r="M123" s="81"/>
      <c r="N123" s="133"/>
      <c r="O123" s="104"/>
      <c r="P123" s="131"/>
      <c r="Q123" s="134"/>
      <c r="R123" s="81"/>
      <c r="S123" s="78"/>
      <c r="T123" s="81"/>
      <c r="U123" s="140">
        <v>960</v>
      </c>
      <c r="V123" s="81"/>
      <c r="W123" s="136"/>
      <c r="X123" s="78"/>
      <c r="Y123" s="81"/>
      <c r="Z123" s="104"/>
      <c r="AA123" s="81"/>
      <c r="AB123" s="78"/>
      <c r="AC123" s="81"/>
      <c r="AD123" s="104"/>
      <c r="AE123" s="81"/>
      <c r="AF123" s="78"/>
      <c r="AG123" s="81"/>
      <c r="AH123" s="123">
        <v>45594</v>
      </c>
      <c r="AI123" s="124"/>
      <c r="AJ123" s="124"/>
      <c r="AK123" s="125"/>
      <c r="AL123" s="126"/>
      <c r="AM123" s="126"/>
      <c r="AN123" s="126"/>
      <c r="AO123" s="127"/>
      <c r="AP123" s="127"/>
      <c r="AQ123" s="127"/>
      <c r="AR123" s="126"/>
      <c r="AS123" s="126"/>
      <c r="AT123" s="126"/>
      <c r="AU123" s="125"/>
      <c r="AV123" s="125"/>
      <c r="AW123" s="125"/>
      <c r="AX123" s="126"/>
      <c r="AY123" s="126"/>
      <c r="AZ123" s="126"/>
      <c r="BA123" s="127"/>
      <c r="BB123" s="127"/>
      <c r="BC123" s="127"/>
      <c r="BD123" s="126"/>
      <c r="BE123" s="126"/>
      <c r="BF123" s="126"/>
      <c r="BG123" s="125"/>
      <c r="BH123" s="125"/>
      <c r="BI123" s="125"/>
      <c r="BJ123" s="126"/>
      <c r="BK123" s="126"/>
      <c r="BL123" s="126"/>
      <c r="BM123" s="127"/>
      <c r="BN123" s="127"/>
      <c r="BO123" s="127"/>
      <c r="BP123" s="126"/>
      <c r="BQ123" s="126"/>
      <c r="BR123" s="126"/>
      <c r="BS123" s="128"/>
      <c r="BT123" s="128"/>
      <c r="BU123" s="128"/>
    </row>
    <row r="124" s="47" customFormat="1" spans="1:73">
      <c r="A124" s="129">
        <v>45595</v>
      </c>
      <c r="B124" s="130" t="s">
        <v>1247</v>
      </c>
      <c r="C124" s="131">
        <v>262.5</v>
      </c>
      <c r="D124" s="132"/>
      <c r="E124" s="81"/>
      <c r="F124" s="104"/>
      <c r="G124" s="81"/>
      <c r="H124" s="78"/>
      <c r="I124" s="81"/>
      <c r="J124" s="104"/>
      <c r="K124" s="81"/>
      <c r="L124" s="78"/>
      <c r="M124" s="81"/>
      <c r="N124" s="133"/>
      <c r="O124" s="104"/>
      <c r="P124" s="131"/>
      <c r="Q124" s="134"/>
      <c r="R124" s="81"/>
      <c r="S124" s="78"/>
      <c r="T124" s="81"/>
      <c r="U124" s="135"/>
      <c r="V124" s="81"/>
      <c r="W124" s="136"/>
      <c r="X124" s="78"/>
      <c r="Y124" s="81"/>
      <c r="Z124" s="104"/>
      <c r="AA124" s="81"/>
      <c r="AB124" s="78"/>
      <c r="AC124" s="81"/>
      <c r="AD124" s="104"/>
      <c r="AE124" s="81"/>
      <c r="AF124" s="78"/>
      <c r="AG124" s="81"/>
      <c r="AH124" s="123">
        <v>45595</v>
      </c>
      <c r="AI124" s="124">
        <v>150</v>
      </c>
      <c r="AJ124" s="124"/>
      <c r="AK124" s="125"/>
      <c r="AL124" s="126"/>
      <c r="AM124" s="126"/>
      <c r="AN124" s="126"/>
      <c r="AO124" s="127"/>
      <c r="AP124" s="127"/>
      <c r="AQ124" s="127"/>
      <c r="AR124" s="126"/>
      <c r="AS124" s="126"/>
      <c r="AT124" s="126"/>
      <c r="AU124" s="125"/>
      <c r="AV124" s="125"/>
      <c r="AW124" s="125"/>
      <c r="AX124" s="126"/>
      <c r="AY124" s="126"/>
      <c r="AZ124" s="126"/>
      <c r="BA124" s="127"/>
      <c r="BB124" s="127"/>
      <c r="BC124" s="127"/>
      <c r="BD124" s="126"/>
      <c r="BE124" s="126"/>
      <c r="BF124" s="126"/>
      <c r="BG124" s="125"/>
      <c r="BH124" s="125"/>
      <c r="BI124" s="125"/>
      <c r="BJ124" s="126"/>
      <c r="BK124" s="126"/>
      <c r="BL124" s="126"/>
      <c r="BM124" s="127"/>
      <c r="BN124" s="127"/>
      <c r="BO124" s="127"/>
      <c r="BP124" s="126">
        <v>30</v>
      </c>
      <c r="BQ124" s="126">
        <v>7.2</v>
      </c>
      <c r="BR124" s="126">
        <f>BP124*BQ124</f>
        <v>216</v>
      </c>
      <c r="BS124" s="128">
        <v>30</v>
      </c>
      <c r="BT124" s="128">
        <v>7.5</v>
      </c>
      <c r="BU124" s="128">
        <f>BS124*BT124</f>
        <v>225</v>
      </c>
    </row>
    <row r="125" s="47" customFormat="1" spans="1:73">
      <c r="A125" s="129">
        <v>45595</v>
      </c>
      <c r="B125" s="137" t="s">
        <v>1229</v>
      </c>
      <c r="C125" s="131"/>
      <c r="D125" s="132"/>
      <c r="E125" s="81"/>
      <c r="F125" s="104"/>
      <c r="G125" s="81"/>
      <c r="H125" s="78"/>
      <c r="I125" s="81">
        <v>257</v>
      </c>
      <c r="J125" s="104"/>
      <c r="K125" s="81"/>
      <c r="L125" s="78"/>
      <c r="M125" s="81"/>
      <c r="N125" s="133"/>
      <c r="O125" s="104"/>
      <c r="P125" s="131"/>
      <c r="Q125" s="134"/>
      <c r="R125" s="81"/>
      <c r="S125" s="78"/>
      <c r="T125" s="81"/>
      <c r="U125" s="135"/>
      <c r="V125" s="81"/>
      <c r="W125" s="136"/>
      <c r="X125" s="78"/>
      <c r="Y125" s="81"/>
      <c r="Z125" s="104"/>
      <c r="AA125" s="81"/>
      <c r="AB125" s="78"/>
      <c r="AC125" s="81"/>
      <c r="AD125" s="104"/>
      <c r="AE125" s="81"/>
      <c r="AF125" s="78"/>
      <c r="AG125" s="81"/>
      <c r="AH125" s="123">
        <v>45595</v>
      </c>
      <c r="AI125" s="124"/>
      <c r="AJ125" s="124"/>
      <c r="AK125" s="125"/>
      <c r="AL125" s="126"/>
      <c r="AM125" s="126"/>
      <c r="AN125" s="126"/>
      <c r="AO125" s="127"/>
      <c r="AP125" s="127"/>
      <c r="AQ125" s="127"/>
      <c r="AR125" s="126"/>
      <c r="AS125" s="126"/>
      <c r="AT125" s="126"/>
      <c r="AU125" s="125"/>
      <c r="AV125" s="125"/>
      <c r="AW125" s="125"/>
      <c r="AX125" s="126"/>
      <c r="AY125" s="126"/>
      <c r="AZ125" s="126"/>
      <c r="BA125" s="127"/>
      <c r="BB125" s="127"/>
      <c r="BC125" s="127"/>
      <c r="BD125" s="126"/>
      <c r="BE125" s="126"/>
      <c r="BF125" s="126"/>
      <c r="BG125" s="125"/>
      <c r="BH125" s="125"/>
      <c r="BI125" s="125"/>
      <c r="BJ125" s="126"/>
      <c r="BK125" s="126"/>
      <c r="BL125" s="126"/>
      <c r="BM125" s="127"/>
      <c r="BN125" s="127"/>
      <c r="BO125" s="127"/>
      <c r="BP125" s="126"/>
      <c r="BQ125" s="126"/>
      <c r="BR125" s="126"/>
      <c r="BS125" s="128"/>
      <c r="BT125" s="128"/>
      <c r="BU125" s="128"/>
    </row>
    <row r="126" s="47" customFormat="1" spans="1:73">
      <c r="A126" s="129">
        <v>45596</v>
      </c>
      <c r="B126" s="130" t="s">
        <v>1288</v>
      </c>
      <c r="C126" s="131"/>
      <c r="D126" s="132"/>
      <c r="E126" s="81">
        <v>-50</v>
      </c>
      <c r="F126" s="104"/>
      <c r="G126" s="81"/>
      <c r="H126" s="78"/>
      <c r="I126" s="81"/>
      <c r="J126" s="104"/>
      <c r="K126" s="81"/>
      <c r="L126" s="78"/>
      <c r="M126" s="81"/>
      <c r="N126" s="133"/>
      <c r="O126" s="104"/>
      <c r="P126" s="131"/>
      <c r="Q126" s="134"/>
      <c r="R126" s="81"/>
      <c r="S126" s="78"/>
      <c r="T126" s="81">
        <v>-70</v>
      </c>
      <c r="U126" s="104">
        <v>-165</v>
      </c>
      <c r="V126" s="81"/>
      <c r="W126" s="136"/>
      <c r="X126" s="78"/>
      <c r="Y126" s="81"/>
      <c r="Z126" s="104"/>
      <c r="AA126" s="81"/>
      <c r="AB126" s="78"/>
      <c r="AC126" s="81"/>
      <c r="AD126" s="104"/>
      <c r="AE126" s="81"/>
      <c r="AF126" s="78"/>
      <c r="AG126" s="81"/>
      <c r="AH126" s="123">
        <v>45596</v>
      </c>
      <c r="AI126" s="124"/>
      <c r="AJ126" s="124"/>
      <c r="AK126" s="125"/>
      <c r="AL126" s="126"/>
      <c r="AM126" s="126"/>
      <c r="AN126" s="126"/>
      <c r="AO126" s="127"/>
      <c r="AP126" s="127"/>
      <c r="AQ126" s="127"/>
      <c r="AR126" s="126"/>
      <c r="AS126" s="126"/>
      <c r="AT126" s="126"/>
      <c r="AU126" s="125"/>
      <c r="AV126" s="125"/>
      <c r="AW126" s="125"/>
      <c r="AX126" s="126"/>
      <c r="AY126" s="126"/>
      <c r="AZ126" s="126"/>
      <c r="BA126" s="127"/>
      <c r="BB126" s="127"/>
      <c r="BC126" s="127"/>
      <c r="BD126" s="126">
        <v>80</v>
      </c>
      <c r="BE126" s="126">
        <v>10.6</v>
      </c>
      <c r="BF126" s="126">
        <f t="shared" ref="BF125:BF129" si="22">BD126*BE126</f>
        <v>848</v>
      </c>
      <c r="BG126" s="125"/>
      <c r="BH126" s="125"/>
      <c r="BI126" s="125"/>
      <c r="BJ126" s="126"/>
      <c r="BK126" s="126"/>
      <c r="BL126" s="126"/>
      <c r="BM126" s="127"/>
      <c r="BN126" s="127"/>
      <c r="BO126" s="127"/>
      <c r="BP126" s="126"/>
      <c r="BQ126" s="126"/>
      <c r="BR126" s="126"/>
      <c r="BS126" s="128"/>
      <c r="BT126" s="128"/>
      <c r="BU126" s="128"/>
    </row>
    <row r="127" s="47" customFormat="1" spans="1:73">
      <c r="A127" s="129">
        <v>45596</v>
      </c>
      <c r="B127" s="137" t="s">
        <v>1289</v>
      </c>
      <c r="C127" s="131"/>
      <c r="D127" s="132"/>
      <c r="E127" s="81">
        <v>-75</v>
      </c>
      <c r="F127" s="104"/>
      <c r="G127" s="81"/>
      <c r="H127" s="78"/>
      <c r="I127" s="81"/>
      <c r="J127" s="135">
        <v>-41</v>
      </c>
      <c r="K127" s="160">
        <v>-34</v>
      </c>
      <c r="L127" s="78"/>
      <c r="M127" s="81"/>
      <c r="N127" s="133"/>
      <c r="O127" s="104"/>
      <c r="P127" s="131"/>
      <c r="Q127" s="134"/>
      <c r="R127" s="81"/>
      <c r="S127" s="78"/>
      <c r="T127" s="81"/>
      <c r="U127" s="104">
        <v>-190</v>
      </c>
      <c r="V127" s="81"/>
      <c r="W127" s="136"/>
      <c r="X127" s="78"/>
      <c r="Y127" s="81"/>
      <c r="Z127" s="104"/>
      <c r="AA127" s="81"/>
      <c r="AB127" s="78"/>
      <c r="AC127" s="81"/>
      <c r="AD127" s="104"/>
      <c r="AE127" s="81"/>
      <c r="AF127" s="78"/>
      <c r="AG127" s="81"/>
      <c r="AH127" s="123">
        <v>45596</v>
      </c>
      <c r="AI127" s="124"/>
      <c r="AJ127" s="124"/>
      <c r="AK127" s="125"/>
      <c r="AL127" s="126"/>
      <c r="AM127" s="126"/>
      <c r="AN127" s="126"/>
      <c r="AO127" s="127"/>
      <c r="AP127" s="127"/>
      <c r="AQ127" s="127"/>
      <c r="AR127" s="126"/>
      <c r="AS127" s="126"/>
      <c r="AT127" s="126"/>
      <c r="AU127" s="125"/>
      <c r="AV127" s="125"/>
      <c r="AW127" s="125"/>
      <c r="AX127" s="126"/>
      <c r="AY127" s="126"/>
      <c r="AZ127" s="126"/>
      <c r="BA127" s="127"/>
      <c r="BB127" s="127"/>
      <c r="BC127" s="127"/>
      <c r="BD127" s="126">
        <v>50</v>
      </c>
      <c r="BE127" s="126">
        <v>10.6</v>
      </c>
      <c r="BF127" s="126">
        <f t="shared" si="22"/>
        <v>530</v>
      </c>
      <c r="BG127" s="125">
        <v>35</v>
      </c>
      <c r="BH127" s="125">
        <v>6.3</v>
      </c>
      <c r="BI127" s="125">
        <f>BG127*BH127</f>
        <v>220.5</v>
      </c>
      <c r="BJ127" s="126"/>
      <c r="BK127" s="126"/>
      <c r="BL127" s="126"/>
      <c r="BM127" s="127"/>
      <c r="BN127" s="127"/>
      <c r="BO127" s="127"/>
      <c r="BP127" s="126"/>
      <c r="BQ127" s="126"/>
      <c r="BR127" s="126"/>
      <c r="BS127" s="128"/>
      <c r="BT127" s="128"/>
      <c r="BU127" s="128"/>
    </row>
    <row r="128" s="47" customFormat="1" spans="1:73">
      <c r="A128" s="129">
        <v>45596</v>
      </c>
      <c r="B128" s="130" t="s">
        <v>1290</v>
      </c>
      <c r="C128" s="131">
        <v>1000</v>
      </c>
      <c r="D128" s="132"/>
      <c r="E128" s="81">
        <v>-125</v>
      </c>
      <c r="F128" s="104"/>
      <c r="G128" s="81"/>
      <c r="H128" s="78"/>
      <c r="I128" s="81">
        <v>-200</v>
      </c>
      <c r="J128" s="104"/>
      <c r="K128" s="81"/>
      <c r="L128" s="78"/>
      <c r="M128" s="81"/>
      <c r="N128" s="133"/>
      <c r="O128" s="104"/>
      <c r="P128" s="131"/>
      <c r="Q128" s="134"/>
      <c r="R128" s="81"/>
      <c r="S128" s="78"/>
      <c r="T128" s="81">
        <v>-51</v>
      </c>
      <c r="U128" s="104">
        <v>-214</v>
      </c>
      <c r="V128" s="81"/>
      <c r="W128" s="136"/>
      <c r="X128" s="78"/>
      <c r="Y128" s="81"/>
      <c r="Z128" s="104"/>
      <c r="AA128" s="81"/>
      <c r="AB128" s="78"/>
      <c r="AC128" s="81"/>
      <c r="AD128" s="104"/>
      <c r="AE128" s="81"/>
      <c r="AF128" s="78"/>
      <c r="AG128" s="81"/>
      <c r="AH128" s="123">
        <v>45596</v>
      </c>
      <c r="AI128" s="124"/>
      <c r="AJ128" s="124"/>
      <c r="AK128" s="125"/>
      <c r="AL128" s="126"/>
      <c r="AM128" s="126"/>
      <c r="AN128" s="126"/>
      <c r="AO128" s="127"/>
      <c r="AP128" s="127"/>
      <c r="AQ128" s="127"/>
      <c r="AR128" s="126"/>
      <c r="AS128" s="126"/>
      <c r="AT128" s="126"/>
      <c r="AU128" s="125"/>
      <c r="AV128" s="125"/>
      <c r="AW128" s="125"/>
      <c r="AX128" s="126"/>
      <c r="AY128" s="126"/>
      <c r="AZ128" s="126"/>
      <c r="BA128" s="127"/>
      <c r="BB128" s="127"/>
      <c r="BC128" s="127"/>
      <c r="BD128" s="126">
        <v>25</v>
      </c>
      <c r="BE128" s="126">
        <v>10.6</v>
      </c>
      <c r="BF128" s="126">
        <f t="shared" si="22"/>
        <v>265</v>
      </c>
      <c r="BG128" s="125">
        <v>78</v>
      </c>
      <c r="BH128" s="125">
        <v>6.3</v>
      </c>
      <c r="BI128" s="125">
        <f>BG128*BH128</f>
        <v>491.4</v>
      </c>
      <c r="BJ128" s="126"/>
      <c r="BK128" s="126"/>
      <c r="BL128" s="126"/>
      <c r="BM128" s="127"/>
      <c r="BN128" s="127"/>
      <c r="BO128" s="127"/>
      <c r="BP128" s="126">
        <v>107</v>
      </c>
      <c r="BQ128" s="126">
        <v>7.2</v>
      </c>
      <c r="BR128" s="126">
        <f>BP128*BQ128</f>
        <v>770.4</v>
      </c>
      <c r="BS128" s="128"/>
      <c r="BT128" s="128"/>
      <c r="BU128" s="128"/>
    </row>
    <row r="129" s="47" customFormat="1" spans="1:73">
      <c r="A129" s="129">
        <v>45596</v>
      </c>
      <c r="B129" s="137" t="s">
        <v>1291</v>
      </c>
      <c r="C129" s="131">
        <v>1000</v>
      </c>
      <c r="D129" s="132"/>
      <c r="E129" s="81"/>
      <c r="F129" s="104"/>
      <c r="G129" s="81"/>
      <c r="H129" s="78"/>
      <c r="I129" s="81"/>
      <c r="J129" s="135"/>
      <c r="K129" s="160"/>
      <c r="L129" s="78"/>
      <c r="M129" s="81"/>
      <c r="N129" s="133"/>
      <c r="O129" s="104"/>
      <c r="P129" s="131">
        <v>-150</v>
      </c>
      <c r="Q129" s="134"/>
      <c r="R129" s="81"/>
      <c r="S129" s="78"/>
      <c r="T129" s="81">
        <v>-147</v>
      </c>
      <c r="U129" s="104">
        <v>-253</v>
      </c>
      <c r="V129" s="81"/>
      <c r="W129" s="136"/>
      <c r="X129" s="78"/>
      <c r="Y129" s="81"/>
      <c r="Z129" s="104"/>
      <c r="AA129" s="81"/>
      <c r="AB129" s="78"/>
      <c r="AC129" s="81"/>
      <c r="AD129" s="104"/>
      <c r="AE129" s="81"/>
      <c r="AF129" s="78"/>
      <c r="AG129" s="81"/>
      <c r="AH129" s="123">
        <v>45596</v>
      </c>
      <c r="AI129" s="124"/>
      <c r="AJ129" s="124"/>
      <c r="AK129" s="125"/>
      <c r="AL129" s="126"/>
      <c r="AM129" s="126"/>
      <c r="AN129" s="126"/>
      <c r="AO129" s="127"/>
      <c r="AP129" s="127"/>
      <c r="AQ129" s="127"/>
      <c r="AR129" s="126"/>
      <c r="AS129" s="126"/>
      <c r="AT129" s="126"/>
      <c r="AU129" s="125"/>
      <c r="AV129" s="125"/>
      <c r="AW129" s="125"/>
      <c r="AX129" s="126"/>
      <c r="AY129" s="126"/>
      <c r="AZ129" s="126"/>
      <c r="BA129" s="127"/>
      <c r="BB129" s="127"/>
      <c r="BC129" s="127"/>
      <c r="BD129" s="126">
        <v>50</v>
      </c>
      <c r="BE129" s="126">
        <v>10.6</v>
      </c>
      <c r="BF129" s="126">
        <f t="shared" si="22"/>
        <v>530</v>
      </c>
      <c r="BG129" s="125">
        <v>96</v>
      </c>
      <c r="BH129" s="125">
        <v>6.3</v>
      </c>
      <c r="BI129" s="125">
        <f>BG129*BH129</f>
        <v>604.8</v>
      </c>
      <c r="BJ129" s="126"/>
      <c r="BK129" s="126"/>
      <c r="BL129" s="126"/>
      <c r="BM129" s="127"/>
      <c r="BN129" s="127"/>
      <c r="BO129" s="127"/>
      <c r="BP129" s="126">
        <v>154</v>
      </c>
      <c r="BQ129" s="126">
        <v>7.2</v>
      </c>
      <c r="BR129" s="126">
        <f>BP129*BQ129</f>
        <v>1108.8</v>
      </c>
      <c r="BS129" s="128"/>
      <c r="BT129" s="128"/>
      <c r="BU129" s="128"/>
    </row>
    <row r="130" s="46" customFormat="1" spans="1:73">
      <c r="A130" s="129"/>
      <c r="B130" s="130"/>
      <c r="C130" s="131">
        <f t="shared" ref="C130:AG130" si="23">SUM(C93:C129)</f>
        <v>20714.3</v>
      </c>
      <c r="D130" s="131">
        <f t="shared" si="23"/>
        <v>0</v>
      </c>
      <c r="E130" s="131">
        <f t="shared" si="23"/>
        <v>382</v>
      </c>
      <c r="F130" s="131">
        <f t="shared" si="23"/>
        <v>175</v>
      </c>
      <c r="G130" s="131">
        <f t="shared" si="23"/>
        <v>0</v>
      </c>
      <c r="H130" s="131">
        <f t="shared" si="23"/>
        <v>0</v>
      </c>
      <c r="I130" s="131">
        <f t="shared" si="23"/>
        <v>666</v>
      </c>
      <c r="J130" s="131">
        <f t="shared" si="23"/>
        <v>611</v>
      </c>
      <c r="K130" s="131">
        <f t="shared" si="23"/>
        <v>0</v>
      </c>
      <c r="L130" s="131">
        <f t="shared" si="23"/>
        <v>-15</v>
      </c>
      <c r="M130" s="131">
        <f t="shared" si="23"/>
        <v>0</v>
      </c>
      <c r="N130" s="131">
        <f t="shared" si="23"/>
        <v>0</v>
      </c>
      <c r="O130" s="131">
        <f t="shared" si="23"/>
        <v>198</v>
      </c>
      <c r="P130" s="131">
        <f t="shared" si="23"/>
        <v>880</v>
      </c>
      <c r="Q130" s="131">
        <f t="shared" si="23"/>
        <v>0</v>
      </c>
      <c r="R130" s="131">
        <f t="shared" si="23"/>
        <v>35</v>
      </c>
      <c r="S130" s="131">
        <f t="shared" si="23"/>
        <v>-5.4</v>
      </c>
      <c r="T130" s="131">
        <f t="shared" si="23"/>
        <v>1353.6</v>
      </c>
      <c r="U130" s="131">
        <f t="shared" si="23"/>
        <v>1322</v>
      </c>
      <c r="V130" s="131">
        <f t="shared" si="23"/>
        <v>141</v>
      </c>
      <c r="W130" s="131">
        <f t="shared" si="23"/>
        <v>0</v>
      </c>
      <c r="X130" s="131">
        <f t="shared" si="23"/>
        <v>13.5</v>
      </c>
      <c r="Y130" s="131">
        <f t="shared" si="23"/>
        <v>1104</v>
      </c>
      <c r="Z130" s="131">
        <f t="shared" si="23"/>
        <v>0</v>
      </c>
      <c r="AA130" s="131">
        <f t="shared" si="23"/>
        <v>0</v>
      </c>
      <c r="AB130" s="131">
        <f t="shared" si="23"/>
        <v>0</v>
      </c>
      <c r="AC130" s="131">
        <f t="shared" si="23"/>
        <v>14</v>
      </c>
      <c r="AD130" s="131">
        <f t="shared" si="23"/>
        <v>0</v>
      </c>
      <c r="AE130" s="131">
        <f t="shared" si="23"/>
        <v>0</v>
      </c>
      <c r="AF130" s="131">
        <f t="shared" si="23"/>
        <v>0</v>
      </c>
      <c r="AG130" s="131">
        <f t="shared" si="23"/>
        <v>0</v>
      </c>
      <c r="AH130" s="131"/>
      <c r="AI130" s="131">
        <f>SUM(AI93:AI129)</f>
        <v>450</v>
      </c>
      <c r="AJ130" s="131">
        <f>SUM(AJ93:AJ117)</f>
        <v>0</v>
      </c>
      <c r="AK130" s="131">
        <f>SUM(AK93:AK129)</f>
        <v>0</v>
      </c>
      <c r="AL130" s="131">
        <f t="shared" ref="AK130:BU130" si="24">SUM(AL93:AL129)</f>
        <v>124</v>
      </c>
      <c r="AM130" s="131"/>
      <c r="AN130" s="131">
        <f t="shared" si="24"/>
        <v>111.6</v>
      </c>
      <c r="AO130" s="131">
        <f t="shared" si="24"/>
        <v>95</v>
      </c>
      <c r="AP130" s="131"/>
      <c r="AQ130" s="131">
        <f t="shared" si="24"/>
        <v>1615</v>
      </c>
      <c r="AR130" s="131">
        <f t="shared" si="24"/>
        <v>0</v>
      </c>
      <c r="AS130" s="131"/>
      <c r="AT130" s="131">
        <f t="shared" si="24"/>
        <v>0</v>
      </c>
      <c r="AU130" s="131">
        <f t="shared" si="24"/>
        <v>25</v>
      </c>
      <c r="AV130" s="131"/>
      <c r="AW130" s="131">
        <f t="shared" si="24"/>
        <v>1875</v>
      </c>
      <c r="AX130" s="131">
        <f t="shared" si="24"/>
        <v>0</v>
      </c>
      <c r="AY130" s="131"/>
      <c r="AZ130" s="131">
        <f t="shared" si="24"/>
        <v>0</v>
      </c>
      <c r="BA130" s="131">
        <f t="shared" si="24"/>
        <v>0</v>
      </c>
      <c r="BB130" s="131"/>
      <c r="BC130" s="131">
        <f t="shared" si="24"/>
        <v>0</v>
      </c>
      <c r="BD130" s="131">
        <f t="shared" si="24"/>
        <v>1844</v>
      </c>
      <c r="BE130" s="131"/>
      <c r="BF130" s="131">
        <f t="shared" si="24"/>
        <v>19569.6</v>
      </c>
      <c r="BG130" s="131">
        <f t="shared" si="24"/>
        <v>4100</v>
      </c>
      <c r="BH130" s="131"/>
      <c r="BI130" s="131">
        <f t="shared" si="24"/>
        <v>25737.8</v>
      </c>
      <c r="BJ130" s="131">
        <f t="shared" si="24"/>
        <v>1055</v>
      </c>
      <c r="BK130" s="131"/>
      <c r="BL130" s="131">
        <f t="shared" si="24"/>
        <v>3903.5</v>
      </c>
      <c r="BM130" s="131">
        <f t="shared" si="24"/>
        <v>0</v>
      </c>
      <c r="BN130" s="131"/>
      <c r="BO130" s="131">
        <f t="shared" si="24"/>
        <v>0</v>
      </c>
      <c r="BP130" s="131">
        <f t="shared" si="24"/>
        <v>1881</v>
      </c>
      <c r="BQ130" s="131"/>
      <c r="BR130" s="131">
        <f t="shared" si="24"/>
        <v>13795.2</v>
      </c>
      <c r="BS130" s="131">
        <f t="shared" si="24"/>
        <v>90</v>
      </c>
      <c r="BT130" s="131"/>
      <c r="BU130" s="131">
        <f t="shared" si="24"/>
        <v>687</v>
      </c>
    </row>
    <row r="131" s="12" customFormat="1" spans="1:73">
      <c r="A131" s="17"/>
      <c r="B131" s="161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3"/>
      <c r="AH131" s="162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2"/>
      <c r="AS131" s="162"/>
      <c r="AT131" s="162"/>
      <c r="AU131" s="162"/>
      <c r="AV131" s="162"/>
      <c r="AW131" s="162"/>
      <c r="AX131" s="162"/>
      <c r="AY131" s="162"/>
      <c r="AZ131" s="162"/>
      <c r="BA131" s="162"/>
      <c r="BB131" s="162"/>
      <c r="BC131" s="162"/>
      <c r="BD131" s="162"/>
      <c r="BE131" s="162"/>
      <c r="BF131" s="162"/>
      <c r="BG131" s="162"/>
      <c r="BH131" s="162"/>
      <c r="BI131" s="162"/>
      <c r="BJ131" s="162"/>
      <c r="BK131" s="162"/>
      <c r="BL131" s="162"/>
      <c r="BM131" s="162"/>
      <c r="BN131" s="162"/>
      <c r="BO131" s="164"/>
      <c r="BP131" s="164"/>
      <c r="BQ131" s="164"/>
      <c r="BR131" s="162"/>
      <c r="BS131" s="162"/>
      <c r="BT131" s="162"/>
      <c r="BU131" s="162"/>
    </row>
    <row r="132" s="12" customFormat="1" spans="1:73">
      <c r="A132" s="17"/>
      <c r="B132" s="161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3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  <c r="AS132" s="162"/>
      <c r="AT132" s="162"/>
      <c r="AU132" s="162"/>
      <c r="AV132" s="162"/>
      <c r="AW132" s="162"/>
      <c r="AX132" s="162"/>
      <c r="AY132" s="162"/>
      <c r="AZ132" s="162"/>
      <c r="BA132" s="162"/>
      <c r="BB132" s="162"/>
      <c r="BC132" s="162"/>
      <c r="BD132" s="162"/>
      <c r="BE132" s="162"/>
      <c r="BF132" s="162"/>
      <c r="BG132" s="162"/>
      <c r="BH132" s="162"/>
      <c r="BI132" s="162"/>
      <c r="BJ132" s="162"/>
      <c r="BK132" s="162"/>
      <c r="BL132" s="162"/>
      <c r="BM132" s="162"/>
      <c r="BN132" s="162"/>
      <c r="BO132" s="164"/>
      <c r="BP132" s="164"/>
      <c r="BQ132" s="164"/>
      <c r="BR132" s="162"/>
      <c r="BS132" s="162"/>
      <c r="BT132" s="162"/>
      <c r="BU132" s="162"/>
    </row>
    <row r="133" spans="1:73">
      <c r="AG133" s="165"/>
    </row>
    <row r="134" s="11" customFormat="1" ht="33" customHeight="1" spans="1:73">
      <c r="A134" s="66" t="s">
        <v>1292</v>
      </c>
      <c r="B134" s="66"/>
      <c r="C134" s="66"/>
      <c r="D134" s="67"/>
      <c r="E134" s="66"/>
      <c r="F134" s="66"/>
      <c r="G134" s="66"/>
      <c r="H134" s="66"/>
      <c r="I134" s="66"/>
      <c r="J134" s="66"/>
      <c r="K134" s="66"/>
      <c r="L134" s="66"/>
      <c r="M134" s="68"/>
      <c r="N134" s="66"/>
      <c r="O134" s="69"/>
      <c r="P134" s="70"/>
      <c r="Q134" s="66"/>
      <c r="R134" s="66"/>
      <c r="S134" s="66"/>
      <c r="T134" s="71" t="s">
        <v>1200</v>
      </c>
      <c r="U134" s="71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3"/>
      <c r="AH134" s="74"/>
      <c r="AI134" s="74"/>
      <c r="AJ134" s="75"/>
      <c r="AK134" s="75"/>
      <c r="AL134" s="72" t="s">
        <v>908</v>
      </c>
      <c r="AM134" s="72"/>
      <c r="AN134" s="72"/>
      <c r="AO134" s="76"/>
      <c r="AP134" s="76"/>
      <c r="AQ134" s="77">
        <f>AK155+AN155+AQ155++AT155+AW155+AZ155+BC155++BF155+BI155+BL155+BO155+BR155+BU155</f>
        <v>29329.4</v>
      </c>
      <c r="AR134" s="77"/>
      <c r="AS134" s="72"/>
      <c r="AT134" s="72"/>
      <c r="AU134" s="75"/>
      <c r="AV134" s="75"/>
      <c r="AW134" s="75"/>
      <c r="AX134" s="72"/>
      <c r="AY134" s="72"/>
      <c r="AZ134" s="72"/>
      <c r="BA134" s="77"/>
      <c r="BB134" s="77"/>
      <c r="BC134" s="77"/>
      <c r="BD134" s="72"/>
      <c r="BE134" s="72"/>
      <c r="BF134" s="72"/>
      <c r="BG134" s="75"/>
      <c r="BH134" s="75"/>
      <c r="BI134" s="75"/>
      <c r="BJ134" s="72"/>
      <c r="BK134" s="72"/>
      <c r="BL134" s="72"/>
      <c r="BM134" s="77"/>
      <c r="BN134" s="77"/>
      <c r="BO134" s="78"/>
      <c r="BP134" s="79"/>
      <c r="BQ134" s="79"/>
      <c r="BR134" s="80"/>
    </row>
    <row r="135" s="12" customFormat="1" ht="27" customHeight="1" spans="1:73">
      <c r="A135" s="81" t="s">
        <v>35</v>
      </c>
      <c r="B135" s="82" t="s">
        <v>909</v>
      </c>
      <c r="C135" s="83"/>
      <c r="D135" s="84" t="s">
        <v>648</v>
      </c>
      <c r="E135" s="85" t="s">
        <v>240</v>
      </c>
      <c r="F135" s="86" t="s">
        <v>1201</v>
      </c>
      <c r="G135" s="87" t="s">
        <v>315</v>
      </c>
      <c r="H135" s="88" t="s">
        <v>1202</v>
      </c>
      <c r="I135" s="89" t="s">
        <v>704</v>
      </c>
      <c r="J135" s="90" t="s">
        <v>1203</v>
      </c>
      <c r="K135" s="91" t="s">
        <v>1204</v>
      </c>
      <c r="L135" s="88" t="s">
        <v>1205</v>
      </c>
      <c r="M135" s="92" t="s">
        <v>542</v>
      </c>
      <c r="N135" s="93" t="s">
        <v>1206</v>
      </c>
      <c r="O135" s="94" t="s">
        <v>342</v>
      </c>
      <c r="P135" s="95" t="s">
        <v>977</v>
      </c>
      <c r="Q135" s="96" t="s">
        <v>1207</v>
      </c>
      <c r="R135" s="92" t="s">
        <v>1208</v>
      </c>
      <c r="S135" s="88" t="s">
        <v>1209</v>
      </c>
      <c r="T135" s="97" t="s">
        <v>149</v>
      </c>
      <c r="U135" s="98" t="s">
        <v>298</v>
      </c>
      <c r="V135" s="89" t="s">
        <v>957</v>
      </c>
      <c r="W135" s="99">
        <v>5014</v>
      </c>
      <c r="X135" s="88" t="s">
        <v>1210</v>
      </c>
      <c r="Y135" s="92" t="s">
        <v>1293</v>
      </c>
      <c r="Z135" s="90" t="s">
        <v>1212</v>
      </c>
      <c r="AA135" s="89" t="s">
        <v>872</v>
      </c>
      <c r="AB135" s="101" t="s">
        <v>896</v>
      </c>
      <c r="AC135" s="89" t="s">
        <v>1213</v>
      </c>
      <c r="AD135" s="94" t="s">
        <v>1214</v>
      </c>
      <c r="AE135" s="89" t="s">
        <v>199</v>
      </c>
      <c r="AF135" s="101" t="s">
        <v>1215</v>
      </c>
      <c r="AG135" s="102" t="s">
        <v>1216</v>
      </c>
      <c r="AH135" s="73" t="s">
        <v>35</v>
      </c>
      <c r="AI135" s="74" t="s">
        <v>289</v>
      </c>
      <c r="AJ135" s="74"/>
      <c r="AK135" s="103"/>
      <c r="AL135" s="81" t="s">
        <v>466</v>
      </c>
      <c r="AM135" s="81"/>
      <c r="AN135" s="81"/>
      <c r="AO135" s="78" t="s">
        <v>191</v>
      </c>
      <c r="AP135" s="78"/>
      <c r="AQ135" s="78"/>
      <c r="AR135" s="81" t="s">
        <v>911</v>
      </c>
      <c r="AS135" s="81"/>
      <c r="AT135" s="81"/>
      <c r="AU135" s="104" t="s">
        <v>912</v>
      </c>
      <c r="AV135" s="104"/>
      <c r="AW135" s="104"/>
      <c r="AX135" s="81" t="s">
        <v>984</v>
      </c>
      <c r="AY135" s="81"/>
      <c r="AZ135" s="81"/>
      <c r="BA135" s="78" t="s">
        <v>960</v>
      </c>
      <c r="BB135" s="78"/>
      <c r="BC135" s="78"/>
      <c r="BD135" s="81">
        <v>808</v>
      </c>
      <c r="BE135" s="81"/>
      <c r="BF135" s="81"/>
      <c r="BG135" s="104" t="s">
        <v>125</v>
      </c>
      <c r="BH135" s="104"/>
      <c r="BI135" s="104"/>
      <c r="BJ135" s="81" t="s">
        <v>132</v>
      </c>
      <c r="BK135" s="81"/>
      <c r="BL135" s="81"/>
      <c r="BM135" s="78">
        <v>811</v>
      </c>
      <c r="BN135" s="78"/>
      <c r="BO135" s="105"/>
      <c r="BP135" s="81" t="s">
        <v>152</v>
      </c>
      <c r="BQ135" s="81"/>
      <c r="BR135" s="81"/>
      <c r="BS135" s="106" t="s">
        <v>12</v>
      </c>
      <c r="BT135" s="107"/>
      <c r="BU135" s="108"/>
    </row>
    <row r="136" s="12" customFormat="1" ht="27" customHeight="1" spans="1:73">
      <c r="A136" s="81"/>
      <c r="B136" s="82" t="s">
        <v>914</v>
      </c>
      <c r="C136" s="83" t="s">
        <v>915</v>
      </c>
      <c r="D136" s="109"/>
      <c r="E136" s="110"/>
      <c r="F136" s="111"/>
      <c r="G136" s="112"/>
      <c r="H136" s="88"/>
      <c r="I136" s="89"/>
      <c r="J136" s="90"/>
      <c r="K136" s="91"/>
      <c r="L136" s="88"/>
      <c r="M136" s="92"/>
      <c r="N136" s="113"/>
      <c r="O136" s="94"/>
      <c r="P136" s="114"/>
      <c r="Q136" s="96"/>
      <c r="R136" s="92"/>
      <c r="S136" s="88"/>
      <c r="T136" s="97"/>
      <c r="U136" s="115"/>
      <c r="V136" s="89"/>
      <c r="W136" s="116"/>
      <c r="X136" s="88"/>
      <c r="Y136" s="92"/>
      <c r="Z136" s="90"/>
      <c r="AA136" s="89"/>
      <c r="AB136" s="101"/>
      <c r="AC136" s="89"/>
      <c r="AD136" s="94"/>
      <c r="AE136" s="89"/>
      <c r="AF136" s="101"/>
      <c r="AG136" s="102"/>
      <c r="AH136" s="73"/>
      <c r="AI136" s="117" t="s">
        <v>916</v>
      </c>
      <c r="AJ136" s="118" t="s">
        <v>917</v>
      </c>
      <c r="AK136" s="81" t="s">
        <v>918</v>
      </c>
      <c r="AL136" s="81" t="s">
        <v>916</v>
      </c>
      <c r="AM136" s="81" t="s">
        <v>917</v>
      </c>
      <c r="AN136" s="81" t="s">
        <v>918</v>
      </c>
      <c r="AO136" s="78" t="s">
        <v>916</v>
      </c>
      <c r="AP136" s="78" t="s">
        <v>917</v>
      </c>
      <c r="AQ136" s="78" t="s">
        <v>918</v>
      </c>
      <c r="AR136" s="81" t="s">
        <v>916</v>
      </c>
      <c r="AS136" s="81" t="s">
        <v>917</v>
      </c>
      <c r="AT136" s="81" t="s">
        <v>918</v>
      </c>
      <c r="AU136" s="104" t="s">
        <v>916</v>
      </c>
      <c r="AV136" s="104" t="s">
        <v>917</v>
      </c>
      <c r="AW136" s="104" t="s">
        <v>918</v>
      </c>
      <c r="AX136" s="81" t="s">
        <v>916</v>
      </c>
      <c r="AY136" s="81" t="s">
        <v>917</v>
      </c>
      <c r="AZ136" s="81" t="s">
        <v>918</v>
      </c>
      <c r="BA136" s="78" t="s">
        <v>916</v>
      </c>
      <c r="BB136" s="78" t="s">
        <v>917</v>
      </c>
      <c r="BC136" s="78" t="s">
        <v>918</v>
      </c>
      <c r="BD136" s="81" t="s">
        <v>916</v>
      </c>
      <c r="BE136" s="81" t="s">
        <v>917</v>
      </c>
      <c r="BF136" s="81" t="s">
        <v>918</v>
      </c>
      <c r="BG136" s="104" t="s">
        <v>916</v>
      </c>
      <c r="BH136" s="104" t="s">
        <v>917</v>
      </c>
      <c r="BI136" s="104" t="s">
        <v>918</v>
      </c>
      <c r="BJ136" s="81" t="s">
        <v>916</v>
      </c>
      <c r="BK136" s="81" t="s">
        <v>917</v>
      </c>
      <c r="BL136" s="81" t="s">
        <v>918</v>
      </c>
      <c r="BM136" s="78" t="s">
        <v>916</v>
      </c>
      <c r="BN136" s="78" t="s">
        <v>917</v>
      </c>
      <c r="BO136" s="105" t="s">
        <v>918</v>
      </c>
      <c r="BP136" s="81" t="s">
        <v>916</v>
      </c>
      <c r="BQ136" s="81" t="s">
        <v>917</v>
      </c>
      <c r="BR136" s="81" t="s">
        <v>918</v>
      </c>
      <c r="BS136" s="104" t="s">
        <v>916</v>
      </c>
      <c r="BT136" s="104" t="s">
        <v>917</v>
      </c>
      <c r="BU136" s="104" t="s">
        <v>918</v>
      </c>
    </row>
    <row r="137" s="46" customFormat="1" spans="1:73">
      <c r="A137" s="119" t="s">
        <v>418</v>
      </c>
      <c r="B137" s="166" t="s">
        <v>1263</v>
      </c>
      <c r="C137" s="121"/>
      <c r="D137" s="122">
        <f t="shared" ref="D137:AG137" si="25">D173</f>
        <v>0</v>
      </c>
      <c r="E137" s="122">
        <f t="shared" si="25"/>
        <v>392</v>
      </c>
      <c r="F137" s="122">
        <f t="shared" si="25"/>
        <v>0</v>
      </c>
      <c r="G137" s="122">
        <f t="shared" si="25"/>
        <v>0</v>
      </c>
      <c r="H137" s="122"/>
      <c r="I137" s="122">
        <f t="shared" si="25"/>
        <v>666.5</v>
      </c>
      <c r="J137" s="122">
        <f t="shared" si="25"/>
        <v>727</v>
      </c>
      <c r="K137" s="122">
        <f t="shared" si="25"/>
        <v>184</v>
      </c>
      <c r="L137" s="122">
        <f t="shared" si="25"/>
        <v>0</v>
      </c>
      <c r="M137" s="122">
        <f t="shared" si="25"/>
        <v>0</v>
      </c>
      <c r="N137" s="122">
        <f t="shared" si="25"/>
        <v>0</v>
      </c>
      <c r="O137" s="122">
        <f t="shared" si="25"/>
        <v>348</v>
      </c>
      <c r="P137" s="122">
        <f t="shared" si="25"/>
        <v>189</v>
      </c>
      <c r="Q137" s="122"/>
      <c r="R137" s="122">
        <f>R173</f>
        <v>125</v>
      </c>
      <c r="S137" s="122">
        <f t="shared" si="25"/>
        <v>15.5</v>
      </c>
      <c r="T137" s="122">
        <f t="shared" si="25"/>
        <v>1563.6</v>
      </c>
      <c r="U137" s="122">
        <f t="shared" si="25"/>
        <v>558</v>
      </c>
      <c r="V137" s="122">
        <f t="shared" si="25"/>
        <v>141</v>
      </c>
      <c r="W137" s="122"/>
      <c r="X137" s="122">
        <f t="shared" si="25"/>
        <v>16.5</v>
      </c>
      <c r="Y137" s="122">
        <f t="shared" si="25"/>
        <v>213</v>
      </c>
      <c r="Z137" s="122">
        <f t="shared" si="25"/>
        <v>0</v>
      </c>
      <c r="AA137" s="122">
        <f t="shared" si="25"/>
        <v>0</v>
      </c>
      <c r="AB137" s="122">
        <f t="shared" si="25"/>
        <v>0</v>
      </c>
      <c r="AC137" s="122">
        <f t="shared" si="25"/>
        <v>14</v>
      </c>
      <c r="AD137" s="122">
        <f t="shared" si="25"/>
        <v>0</v>
      </c>
      <c r="AE137" s="122">
        <f t="shared" si="25"/>
        <v>0</v>
      </c>
      <c r="AF137" s="122">
        <f t="shared" si="25"/>
        <v>0</v>
      </c>
      <c r="AG137" s="122">
        <f t="shared" si="25"/>
        <v>0</v>
      </c>
      <c r="AH137" s="123"/>
      <c r="AI137" s="124"/>
      <c r="AJ137" s="124"/>
      <c r="AK137" s="125"/>
      <c r="AL137" s="126"/>
      <c r="AM137" s="126"/>
      <c r="AN137" s="126"/>
      <c r="AO137" s="127"/>
      <c r="AP137" s="127"/>
      <c r="AQ137" s="127"/>
      <c r="AR137" s="126"/>
      <c r="AS137" s="126"/>
      <c r="AT137" s="126"/>
      <c r="AU137" s="125"/>
      <c r="AV137" s="125"/>
      <c r="AW137" s="125"/>
      <c r="AX137" s="126"/>
      <c r="AY137" s="126"/>
      <c r="AZ137" s="126"/>
      <c r="BA137" s="127"/>
      <c r="BB137" s="127"/>
      <c r="BC137" s="127"/>
      <c r="BD137" s="126"/>
      <c r="BE137" s="126"/>
      <c r="BF137" s="126"/>
      <c r="BG137" s="125"/>
      <c r="BH137" s="125"/>
      <c r="BI137" s="125"/>
      <c r="BJ137" s="126"/>
      <c r="BK137" s="126"/>
      <c r="BL137" s="126"/>
      <c r="BM137" s="127"/>
      <c r="BN137" s="127"/>
      <c r="BO137" s="127"/>
      <c r="BP137" s="126"/>
      <c r="BQ137" s="126"/>
      <c r="BR137" s="126"/>
      <c r="BS137" s="128"/>
      <c r="BT137" s="128"/>
      <c r="BU137" s="128"/>
    </row>
    <row r="138" s="47" customFormat="1" spans="1:73">
      <c r="A138" s="129">
        <v>45538</v>
      </c>
      <c r="B138" s="130" t="s">
        <v>1294</v>
      </c>
      <c r="C138" s="131">
        <v>223.7</v>
      </c>
      <c r="D138" s="132"/>
      <c r="E138" s="81"/>
      <c r="F138" s="104"/>
      <c r="G138" s="81"/>
      <c r="H138" s="78"/>
      <c r="I138" s="81"/>
      <c r="J138" s="104"/>
      <c r="K138" s="81"/>
      <c r="L138" s="78"/>
      <c r="M138" s="81"/>
      <c r="N138" s="133"/>
      <c r="O138" s="104"/>
      <c r="P138" s="131"/>
      <c r="Q138" s="134"/>
      <c r="R138" s="81"/>
      <c r="S138" s="78">
        <v>-1.7</v>
      </c>
      <c r="T138" s="81"/>
      <c r="U138" s="135"/>
      <c r="V138" s="81"/>
      <c r="W138" s="136"/>
      <c r="X138" s="78">
        <v>-3</v>
      </c>
      <c r="Y138" s="81"/>
      <c r="Z138" s="104"/>
      <c r="AA138" s="81"/>
      <c r="AB138" s="78"/>
      <c r="AC138" s="81"/>
      <c r="AD138" s="104"/>
      <c r="AE138" s="81"/>
      <c r="AF138" s="78"/>
      <c r="AG138" s="81"/>
      <c r="AH138" s="123">
        <v>45538</v>
      </c>
      <c r="AI138" s="124"/>
      <c r="AJ138" s="124"/>
      <c r="AK138" s="125"/>
      <c r="AL138" s="126"/>
      <c r="AM138" s="126"/>
      <c r="AN138" s="126"/>
      <c r="AO138" s="127"/>
      <c r="AP138" s="127"/>
      <c r="AQ138" s="127"/>
      <c r="AR138" s="126"/>
      <c r="AS138" s="126"/>
      <c r="AT138" s="126"/>
      <c r="AU138" s="125"/>
      <c r="AV138" s="125"/>
      <c r="AW138" s="125"/>
      <c r="AX138" s="126"/>
      <c r="AY138" s="126"/>
      <c r="AZ138" s="126"/>
      <c r="BA138" s="127"/>
      <c r="BB138" s="127"/>
      <c r="BC138" s="127"/>
      <c r="BD138" s="126">
        <v>83</v>
      </c>
      <c r="BE138" s="126">
        <v>10.7</v>
      </c>
      <c r="BF138" s="126">
        <f>BD138*BE138</f>
        <v>888.1</v>
      </c>
      <c r="BG138" s="125">
        <v>76</v>
      </c>
      <c r="BH138" s="125">
        <v>6.2</v>
      </c>
      <c r="BI138" s="125">
        <f t="shared" ref="BI138:BI142" si="26">BG138*BH138</f>
        <v>471.2</v>
      </c>
      <c r="BJ138" s="126"/>
      <c r="BK138" s="126"/>
      <c r="BL138" s="126"/>
      <c r="BM138" s="127"/>
      <c r="BN138" s="127"/>
      <c r="BO138" s="127"/>
      <c r="BP138" s="126"/>
      <c r="BQ138" s="126"/>
      <c r="BR138" s="126"/>
      <c r="BS138" s="128"/>
      <c r="BT138" s="128"/>
      <c r="BU138" s="128"/>
    </row>
    <row r="139" s="47" customFormat="1" spans="1:73">
      <c r="A139" s="129">
        <v>45538</v>
      </c>
      <c r="B139" s="137" t="s">
        <v>1295</v>
      </c>
      <c r="C139" s="131"/>
      <c r="D139" s="132"/>
      <c r="E139" s="81"/>
      <c r="F139" s="104"/>
      <c r="G139" s="81"/>
      <c r="H139" s="78"/>
      <c r="I139" s="81"/>
      <c r="J139" s="104"/>
      <c r="K139" s="81"/>
      <c r="L139" s="78"/>
      <c r="M139" s="81"/>
      <c r="N139" s="133"/>
      <c r="O139" s="104"/>
      <c r="P139" s="144">
        <v>215</v>
      </c>
      <c r="Q139" s="134"/>
      <c r="R139" s="81"/>
      <c r="S139" s="78"/>
      <c r="T139" s="81"/>
      <c r="U139" s="135"/>
      <c r="V139" s="81"/>
      <c r="W139" s="136"/>
      <c r="X139" s="78"/>
      <c r="Y139" s="81"/>
      <c r="Z139" s="104"/>
      <c r="AA139" s="81"/>
      <c r="AB139" s="78"/>
      <c r="AC139" s="81"/>
      <c r="AD139" s="104"/>
      <c r="AE139" s="81"/>
      <c r="AF139" s="78"/>
      <c r="AG139" s="81"/>
      <c r="AH139" s="123">
        <v>45538</v>
      </c>
      <c r="AI139" s="124"/>
      <c r="AJ139" s="124"/>
      <c r="AK139" s="125"/>
      <c r="AL139" s="126"/>
      <c r="AM139" s="126"/>
      <c r="AN139" s="126"/>
      <c r="AO139" s="127"/>
      <c r="AP139" s="127"/>
      <c r="AQ139" s="127"/>
      <c r="AR139" s="126"/>
      <c r="AS139" s="126"/>
      <c r="AT139" s="126"/>
      <c r="AU139" s="125"/>
      <c r="AV139" s="125"/>
      <c r="AW139" s="125"/>
      <c r="AX139" s="126"/>
      <c r="AY139" s="126"/>
      <c r="AZ139" s="126"/>
      <c r="BA139" s="127"/>
      <c r="BB139" s="127"/>
      <c r="BC139" s="127"/>
      <c r="BD139" s="126"/>
      <c r="BE139" s="126"/>
      <c r="BF139" s="126"/>
      <c r="BG139" s="125"/>
      <c r="BH139" s="125"/>
      <c r="BI139" s="125"/>
      <c r="BJ139" s="126"/>
      <c r="BK139" s="126"/>
      <c r="BL139" s="126"/>
      <c r="BM139" s="127"/>
      <c r="BN139" s="127"/>
      <c r="BO139" s="127"/>
      <c r="BP139" s="126"/>
      <c r="BQ139" s="126"/>
      <c r="BR139" s="126"/>
      <c r="BS139" s="128"/>
      <c r="BT139" s="128"/>
      <c r="BU139" s="128"/>
    </row>
    <row r="140" s="47" customFormat="1" spans="1:73">
      <c r="A140" s="129">
        <v>45545</v>
      </c>
      <c r="B140" s="130" t="s">
        <v>1296</v>
      </c>
      <c r="C140" s="131">
        <v>1280</v>
      </c>
      <c r="D140" s="132"/>
      <c r="E140" s="81"/>
      <c r="F140" s="104"/>
      <c r="G140" s="81"/>
      <c r="H140" s="78"/>
      <c r="I140" s="81"/>
      <c r="J140" s="104"/>
      <c r="K140" s="81"/>
      <c r="L140" s="78"/>
      <c r="M140" s="81"/>
      <c r="N140" s="133"/>
      <c r="O140" s="104"/>
      <c r="P140" s="131"/>
      <c r="Q140" s="134"/>
      <c r="R140" s="81"/>
      <c r="S140" s="78"/>
      <c r="T140" s="81"/>
      <c r="U140" s="135"/>
      <c r="V140" s="81"/>
      <c r="W140" s="136"/>
      <c r="X140" s="78"/>
      <c r="Y140" s="81"/>
      <c r="Z140" s="104"/>
      <c r="AA140" s="81"/>
      <c r="AB140" s="78"/>
      <c r="AC140" s="81"/>
      <c r="AD140" s="104"/>
      <c r="AE140" s="81"/>
      <c r="AF140" s="78"/>
      <c r="AG140" s="81"/>
      <c r="AH140" s="123">
        <v>45545</v>
      </c>
      <c r="AI140" s="124"/>
      <c r="AJ140" s="124"/>
      <c r="AK140" s="125"/>
      <c r="AL140" s="126"/>
      <c r="AM140" s="126"/>
      <c r="AN140" s="126"/>
      <c r="AO140" s="127"/>
      <c r="AP140" s="127"/>
      <c r="AQ140" s="127"/>
      <c r="AR140" s="126"/>
      <c r="AS140" s="126"/>
      <c r="AT140" s="126"/>
      <c r="AU140" s="125"/>
      <c r="AV140" s="125"/>
      <c r="AW140" s="125"/>
      <c r="AX140" s="126"/>
      <c r="AY140" s="126"/>
      <c r="AZ140" s="126"/>
      <c r="BA140" s="127"/>
      <c r="BB140" s="127"/>
      <c r="BC140" s="127"/>
      <c r="BD140" s="126"/>
      <c r="BE140" s="126"/>
      <c r="BF140" s="126"/>
      <c r="BG140" s="125">
        <v>720</v>
      </c>
      <c r="BH140" s="125">
        <v>6.2</v>
      </c>
      <c r="BI140" s="125">
        <f t="shared" si="26"/>
        <v>4464</v>
      </c>
      <c r="BJ140" s="126"/>
      <c r="BK140" s="126"/>
      <c r="BL140" s="126"/>
      <c r="BM140" s="127"/>
      <c r="BN140" s="127"/>
      <c r="BO140" s="127"/>
      <c r="BP140" s="126">
        <v>360</v>
      </c>
      <c r="BQ140" s="126">
        <v>8.3</v>
      </c>
      <c r="BR140" s="126">
        <f>BP140*BQ140</f>
        <v>2988</v>
      </c>
      <c r="BS140" s="128"/>
      <c r="BT140" s="128"/>
      <c r="BU140" s="128"/>
    </row>
    <row r="141" s="47" customFormat="1" spans="1:73">
      <c r="A141" s="129">
        <v>45545</v>
      </c>
      <c r="B141" s="137" t="s">
        <v>1269</v>
      </c>
      <c r="C141" s="131"/>
      <c r="D141" s="132"/>
      <c r="E141" s="81"/>
      <c r="F141" s="104"/>
      <c r="G141" s="81"/>
      <c r="H141" s="78"/>
      <c r="I141" s="81"/>
      <c r="J141" s="104"/>
      <c r="K141" s="81"/>
      <c r="L141" s="78"/>
      <c r="M141" s="81"/>
      <c r="N141" s="133"/>
      <c r="O141" s="104"/>
      <c r="P141" s="131"/>
      <c r="Q141" s="134"/>
      <c r="R141" s="81"/>
      <c r="S141" s="78"/>
      <c r="T141" s="81"/>
      <c r="U141" s="140">
        <v>1280</v>
      </c>
      <c r="V141" s="81"/>
      <c r="W141" s="136"/>
      <c r="X141" s="78"/>
      <c r="Y141" s="81"/>
      <c r="Z141" s="104"/>
      <c r="AA141" s="81"/>
      <c r="AB141" s="78"/>
      <c r="AC141" s="81"/>
      <c r="AD141" s="104"/>
      <c r="AE141" s="81"/>
      <c r="AF141" s="78"/>
      <c r="AG141" s="81"/>
      <c r="AH141" s="123" t="s">
        <v>1297</v>
      </c>
      <c r="AI141" s="124"/>
      <c r="AJ141" s="124"/>
      <c r="AK141" s="125"/>
      <c r="AL141" s="126"/>
      <c r="AM141" s="126"/>
      <c r="AN141" s="126"/>
      <c r="AO141" s="127"/>
      <c r="AP141" s="127"/>
      <c r="AQ141" s="127"/>
      <c r="AR141" s="126"/>
      <c r="AS141" s="126"/>
      <c r="AT141" s="126"/>
      <c r="AU141" s="125"/>
      <c r="AV141" s="125"/>
      <c r="AW141" s="125"/>
      <c r="AX141" s="126"/>
      <c r="AY141" s="126"/>
      <c r="AZ141" s="126"/>
      <c r="BA141" s="127"/>
      <c r="BB141" s="127"/>
      <c r="BC141" s="127"/>
      <c r="BD141" s="126"/>
      <c r="BE141" s="126"/>
      <c r="BF141" s="126"/>
      <c r="BG141" s="125"/>
      <c r="BH141" s="125"/>
      <c r="BI141" s="125"/>
      <c r="BJ141" s="126"/>
      <c r="BK141" s="126"/>
      <c r="BL141" s="126"/>
      <c r="BM141" s="127"/>
      <c r="BN141" s="127"/>
      <c r="BO141" s="127"/>
      <c r="BP141" s="126"/>
      <c r="BQ141" s="126"/>
      <c r="BR141" s="126"/>
      <c r="BS141" s="128"/>
      <c r="BT141" s="128"/>
      <c r="BU141" s="128"/>
    </row>
    <row r="142" s="47" customFormat="1" spans="1:73">
      <c r="A142" s="129" t="s">
        <v>424</v>
      </c>
      <c r="B142" s="130" t="s">
        <v>1298</v>
      </c>
      <c r="C142" s="131">
        <v>750</v>
      </c>
      <c r="D142" s="132"/>
      <c r="E142" s="81"/>
      <c r="F142" s="104"/>
      <c r="G142" s="81"/>
      <c r="H142" s="78"/>
      <c r="I142" s="81"/>
      <c r="J142" s="104"/>
      <c r="K142" s="81"/>
      <c r="L142" s="78"/>
      <c r="M142" s="81"/>
      <c r="N142" s="133"/>
      <c r="O142" s="104"/>
      <c r="P142" s="131"/>
      <c r="Q142" s="134"/>
      <c r="R142" s="81"/>
      <c r="S142" s="78">
        <v>-1.7</v>
      </c>
      <c r="T142" s="81"/>
      <c r="U142" s="135"/>
      <c r="V142" s="81"/>
      <c r="W142" s="136"/>
      <c r="X142" s="78"/>
      <c r="Y142" s="81"/>
      <c r="Z142" s="104"/>
      <c r="AA142" s="81"/>
      <c r="AB142" s="78"/>
      <c r="AC142" s="81"/>
      <c r="AD142" s="104"/>
      <c r="AE142" s="81"/>
      <c r="AF142" s="78"/>
      <c r="AG142" s="81"/>
      <c r="AH142" s="123" t="s">
        <v>424</v>
      </c>
      <c r="AI142" s="124"/>
      <c r="AJ142" s="124"/>
      <c r="AK142" s="125"/>
      <c r="AL142" s="126"/>
      <c r="AM142" s="126"/>
      <c r="AN142" s="126"/>
      <c r="AO142" s="127"/>
      <c r="AP142" s="127"/>
      <c r="AQ142" s="127"/>
      <c r="AR142" s="126"/>
      <c r="AS142" s="126"/>
      <c r="AT142" s="126"/>
      <c r="AU142" s="125">
        <v>25</v>
      </c>
      <c r="AV142" s="125">
        <v>75</v>
      </c>
      <c r="AW142" s="125">
        <f>AU142*AV142</f>
        <v>1875</v>
      </c>
      <c r="AX142" s="126"/>
      <c r="AY142" s="126"/>
      <c r="AZ142" s="126"/>
      <c r="BA142" s="127"/>
      <c r="BB142" s="127"/>
      <c r="BC142" s="127"/>
      <c r="BD142" s="126">
        <v>300</v>
      </c>
      <c r="BE142" s="126">
        <v>10.7</v>
      </c>
      <c r="BF142" s="126">
        <f t="shared" ref="BF142:BF151" si="27">BD142*BE142</f>
        <v>3210</v>
      </c>
      <c r="BG142" s="125">
        <v>125</v>
      </c>
      <c r="BH142" s="125">
        <v>6.2</v>
      </c>
      <c r="BI142" s="125">
        <f t="shared" si="26"/>
        <v>775</v>
      </c>
      <c r="BJ142" s="126"/>
      <c r="BK142" s="126"/>
      <c r="BL142" s="126"/>
      <c r="BM142" s="127"/>
      <c r="BN142" s="127"/>
      <c r="BO142" s="127"/>
      <c r="BP142" s="126"/>
      <c r="BQ142" s="126"/>
      <c r="BR142" s="126"/>
      <c r="BS142" s="128"/>
      <c r="BT142" s="128"/>
      <c r="BU142" s="128"/>
    </row>
    <row r="143" s="47" customFormat="1" spans="1:73">
      <c r="A143" s="129">
        <v>45545</v>
      </c>
      <c r="B143" s="137" t="s">
        <v>1295</v>
      </c>
      <c r="C143" s="131"/>
      <c r="D143" s="132"/>
      <c r="E143" s="81"/>
      <c r="F143" s="104"/>
      <c r="G143" s="81"/>
      <c r="H143" s="78"/>
      <c r="I143" s="81"/>
      <c r="J143" s="104"/>
      <c r="K143" s="81"/>
      <c r="L143" s="78"/>
      <c r="M143" s="81"/>
      <c r="N143" s="133"/>
      <c r="O143" s="104"/>
      <c r="P143" s="144">
        <v>730</v>
      </c>
      <c r="Q143" s="134"/>
      <c r="R143" s="81"/>
      <c r="S143" s="78"/>
      <c r="T143" s="81"/>
      <c r="U143" s="135"/>
      <c r="V143" s="81"/>
      <c r="W143" s="136"/>
      <c r="X143" s="78"/>
      <c r="Y143" s="81"/>
      <c r="Z143" s="104"/>
      <c r="AA143" s="81"/>
      <c r="AB143" s="78"/>
      <c r="AC143" s="81"/>
      <c r="AD143" s="104"/>
      <c r="AE143" s="81"/>
      <c r="AF143" s="78"/>
      <c r="AG143" s="81"/>
      <c r="AH143" s="123">
        <v>45545</v>
      </c>
      <c r="AI143" s="124"/>
      <c r="AJ143" s="124"/>
      <c r="AK143" s="125"/>
      <c r="AL143" s="126"/>
      <c r="AM143" s="126"/>
      <c r="AN143" s="126"/>
      <c r="AO143" s="127"/>
      <c r="AP143" s="127"/>
      <c r="AQ143" s="127"/>
      <c r="AR143" s="126"/>
      <c r="AS143" s="126"/>
      <c r="AT143" s="126"/>
      <c r="AU143" s="125"/>
      <c r="AV143" s="125"/>
      <c r="AW143" s="125"/>
      <c r="AX143" s="126"/>
      <c r="AY143" s="126"/>
      <c r="AZ143" s="126"/>
      <c r="BA143" s="127"/>
      <c r="BB143" s="127"/>
      <c r="BC143" s="127"/>
      <c r="BD143" s="126"/>
      <c r="BE143" s="126"/>
      <c r="BF143" s="126"/>
      <c r="BG143" s="125"/>
      <c r="BH143" s="125"/>
      <c r="BI143" s="125"/>
      <c r="BJ143" s="126"/>
      <c r="BK143" s="126"/>
      <c r="BL143" s="126"/>
      <c r="BM143" s="127"/>
      <c r="BN143" s="127"/>
      <c r="BO143" s="127"/>
      <c r="BP143" s="126"/>
      <c r="BQ143" s="126"/>
      <c r="BR143" s="126"/>
      <c r="BS143" s="128"/>
      <c r="BT143" s="128"/>
      <c r="BU143" s="128"/>
    </row>
    <row r="144" s="47" customFormat="1" spans="1:73">
      <c r="A144" s="129" t="s">
        <v>428</v>
      </c>
      <c r="B144" s="130" t="s">
        <v>1299</v>
      </c>
      <c r="C144" s="131">
        <v>2000</v>
      </c>
      <c r="D144" s="132"/>
      <c r="E144" s="81"/>
      <c r="F144" s="104"/>
      <c r="G144" s="81"/>
      <c r="H144" s="78"/>
      <c r="I144" s="81"/>
      <c r="J144" s="104"/>
      <c r="K144" s="81"/>
      <c r="L144" s="78"/>
      <c r="M144" s="81"/>
      <c r="N144" s="133"/>
      <c r="O144" s="104"/>
      <c r="P144" s="131">
        <v>-300</v>
      </c>
      <c r="Q144" s="134"/>
      <c r="R144" s="81"/>
      <c r="S144" s="78"/>
      <c r="T144" s="81">
        <v>-400</v>
      </c>
      <c r="U144" s="167">
        <v>-900</v>
      </c>
      <c r="V144" s="81"/>
      <c r="W144" s="136"/>
      <c r="X144" s="78"/>
      <c r="Y144" s="81"/>
      <c r="Z144" s="104"/>
      <c r="AA144" s="81"/>
      <c r="AB144" s="78"/>
      <c r="AC144" s="81"/>
      <c r="AD144" s="104"/>
      <c r="AE144" s="81"/>
      <c r="AF144" s="78"/>
      <c r="AG144" s="81"/>
      <c r="AH144" s="123" t="s">
        <v>428</v>
      </c>
      <c r="AI144" s="124"/>
      <c r="AJ144" s="124"/>
      <c r="AK144" s="125"/>
      <c r="AL144" s="126"/>
      <c r="AM144" s="126"/>
      <c r="AN144" s="126"/>
      <c r="AO144" s="127"/>
      <c r="AP144" s="127"/>
      <c r="AQ144" s="127"/>
      <c r="AR144" s="126"/>
      <c r="AS144" s="126"/>
      <c r="AT144" s="126"/>
      <c r="AU144" s="125"/>
      <c r="AV144" s="125"/>
      <c r="AW144" s="125"/>
      <c r="AX144" s="126"/>
      <c r="AY144" s="126"/>
      <c r="AZ144" s="126"/>
      <c r="BA144" s="127"/>
      <c r="BB144" s="127"/>
      <c r="BC144" s="127"/>
      <c r="BD144" s="126">
        <v>100</v>
      </c>
      <c r="BE144" s="126">
        <v>10.7</v>
      </c>
      <c r="BF144" s="126">
        <f t="shared" si="27"/>
        <v>1070</v>
      </c>
      <c r="BG144" s="125"/>
      <c r="BH144" s="125"/>
      <c r="BI144" s="125"/>
      <c r="BJ144" s="126"/>
      <c r="BK144" s="126"/>
      <c r="BL144" s="126"/>
      <c r="BM144" s="127"/>
      <c r="BN144" s="127"/>
      <c r="BO144" s="127"/>
      <c r="BP144" s="126"/>
      <c r="BQ144" s="126"/>
      <c r="BR144" s="126"/>
      <c r="BS144" s="128"/>
      <c r="BT144" s="128"/>
      <c r="BU144" s="128"/>
    </row>
    <row r="145" s="47" customFormat="1" spans="1:73">
      <c r="A145" s="129">
        <v>45546</v>
      </c>
      <c r="B145" s="130" t="s">
        <v>1296</v>
      </c>
      <c r="C145" s="131">
        <v>1280</v>
      </c>
      <c r="D145" s="132"/>
      <c r="E145" s="81"/>
      <c r="F145" s="104"/>
      <c r="G145" s="81"/>
      <c r="H145" s="78"/>
      <c r="I145" s="81"/>
      <c r="J145" s="104"/>
      <c r="K145" s="81"/>
      <c r="L145" s="78"/>
      <c r="M145" s="81"/>
      <c r="N145" s="133"/>
      <c r="O145" s="104"/>
      <c r="P145" s="131"/>
      <c r="Q145" s="134"/>
      <c r="R145" s="81"/>
      <c r="S145" s="78"/>
      <c r="T145" s="81"/>
      <c r="U145" s="135"/>
      <c r="V145" s="81"/>
      <c r="W145" s="136"/>
      <c r="X145" s="78"/>
      <c r="Y145" s="81"/>
      <c r="Z145" s="104"/>
      <c r="AA145" s="81"/>
      <c r="AB145" s="78"/>
      <c r="AC145" s="81"/>
      <c r="AD145" s="104"/>
      <c r="AE145" s="81"/>
      <c r="AF145" s="78"/>
      <c r="AG145" s="81"/>
      <c r="AH145" s="123">
        <v>45546</v>
      </c>
      <c r="AI145" s="124"/>
      <c r="AJ145" s="124"/>
      <c r="AK145" s="125"/>
      <c r="AL145" s="126"/>
      <c r="AM145" s="126"/>
      <c r="AN145" s="126"/>
      <c r="AO145" s="127"/>
      <c r="AP145" s="127"/>
      <c r="AQ145" s="127"/>
      <c r="AR145" s="126"/>
      <c r="AS145" s="126"/>
      <c r="AT145" s="126"/>
      <c r="AU145" s="125"/>
      <c r="AV145" s="125"/>
      <c r="AW145" s="125"/>
      <c r="AX145" s="126"/>
      <c r="AY145" s="126"/>
      <c r="AZ145" s="126"/>
      <c r="BA145" s="127"/>
      <c r="BB145" s="127"/>
      <c r="BC145" s="127"/>
      <c r="BD145" s="126"/>
      <c r="BE145" s="126"/>
      <c r="BF145" s="126"/>
      <c r="BG145" s="125">
        <v>720</v>
      </c>
      <c r="BH145" s="125">
        <v>6.2</v>
      </c>
      <c r="BI145" s="125">
        <f t="shared" ref="BI145:BI151" si="28">BG145*BH145</f>
        <v>4464</v>
      </c>
      <c r="BJ145" s="126"/>
      <c r="BK145" s="126"/>
      <c r="BL145" s="126"/>
      <c r="BM145" s="127"/>
      <c r="BN145" s="127"/>
      <c r="BO145" s="127"/>
      <c r="BP145" s="126">
        <v>360</v>
      </c>
      <c r="BQ145" s="126">
        <v>8.3</v>
      </c>
      <c r="BR145" s="126">
        <f>BP145*BQ145</f>
        <v>2988</v>
      </c>
      <c r="BS145" s="128"/>
      <c r="BT145" s="128"/>
      <c r="BU145" s="128"/>
    </row>
    <row r="146" s="47" customFormat="1" spans="1:73">
      <c r="A146" s="129">
        <v>45546</v>
      </c>
      <c r="B146" s="137" t="s">
        <v>1269</v>
      </c>
      <c r="C146" s="131"/>
      <c r="D146" s="132"/>
      <c r="E146" s="81"/>
      <c r="F146" s="104"/>
      <c r="G146" s="81"/>
      <c r="H146" s="78"/>
      <c r="I146" s="81"/>
      <c r="J146" s="104"/>
      <c r="K146" s="81"/>
      <c r="L146" s="78"/>
      <c r="M146" s="81"/>
      <c r="N146" s="133"/>
      <c r="O146" s="104"/>
      <c r="P146" s="131"/>
      <c r="Q146" s="134"/>
      <c r="R146" s="81"/>
      <c r="S146" s="78"/>
      <c r="T146" s="81"/>
      <c r="U146" s="140">
        <v>1280</v>
      </c>
      <c r="V146" s="81"/>
      <c r="W146" s="136"/>
      <c r="X146" s="78"/>
      <c r="Y146" s="81"/>
      <c r="Z146" s="104"/>
      <c r="AA146" s="81"/>
      <c r="AB146" s="78"/>
      <c r="AC146" s="81"/>
      <c r="AD146" s="104"/>
      <c r="AE146" s="81"/>
      <c r="AF146" s="78"/>
      <c r="AG146" s="81"/>
      <c r="AH146" s="123">
        <v>45546</v>
      </c>
      <c r="AI146" s="124"/>
      <c r="AJ146" s="124"/>
      <c r="AK146" s="125"/>
      <c r="AL146" s="126"/>
      <c r="AM146" s="126"/>
      <c r="AN146" s="126"/>
      <c r="AO146" s="127"/>
      <c r="AP146" s="127"/>
      <c r="AQ146" s="127"/>
      <c r="AR146" s="126"/>
      <c r="AS146" s="126"/>
      <c r="AT146" s="126"/>
      <c r="AU146" s="125"/>
      <c r="AV146" s="125"/>
      <c r="AW146" s="125"/>
      <c r="AX146" s="126"/>
      <c r="AY146" s="126"/>
      <c r="AZ146" s="126"/>
      <c r="BA146" s="127"/>
      <c r="BB146" s="127"/>
      <c r="BC146" s="127"/>
      <c r="BD146" s="126"/>
      <c r="BE146" s="126"/>
      <c r="BF146" s="126"/>
      <c r="BG146" s="125"/>
      <c r="BH146" s="125"/>
      <c r="BI146" s="125"/>
      <c r="BJ146" s="126"/>
      <c r="BK146" s="126"/>
      <c r="BL146" s="126"/>
      <c r="BM146" s="127"/>
      <c r="BN146" s="127"/>
      <c r="BO146" s="127"/>
      <c r="BP146" s="126"/>
      <c r="BQ146" s="126"/>
      <c r="BR146" s="126"/>
      <c r="BS146" s="128"/>
      <c r="BT146" s="128"/>
      <c r="BU146" s="128"/>
    </row>
    <row r="147" s="47" customFormat="1" spans="1:73">
      <c r="A147" s="129">
        <v>45554</v>
      </c>
      <c r="B147" s="130" t="s">
        <v>1300</v>
      </c>
      <c r="C147" s="131">
        <v>500</v>
      </c>
      <c r="D147" s="132"/>
      <c r="E147" s="81">
        <v>-50</v>
      </c>
      <c r="F147" s="104"/>
      <c r="G147" s="81"/>
      <c r="H147" s="78"/>
      <c r="I147" s="81"/>
      <c r="J147" s="104"/>
      <c r="K147" s="81"/>
      <c r="L147" s="78"/>
      <c r="M147" s="81"/>
      <c r="N147" s="133"/>
      <c r="O147" s="104">
        <v>-75</v>
      </c>
      <c r="P147" s="131"/>
      <c r="Q147" s="134"/>
      <c r="R147" s="81"/>
      <c r="S147" s="78"/>
      <c r="T147" s="81">
        <v>-70</v>
      </c>
      <c r="U147" s="104">
        <v>-160</v>
      </c>
      <c r="V147" s="81"/>
      <c r="W147" s="136"/>
      <c r="X147" s="78"/>
      <c r="Y147" s="81"/>
      <c r="Z147" s="104"/>
      <c r="AA147" s="81"/>
      <c r="AB147" s="78"/>
      <c r="AC147" s="81"/>
      <c r="AD147" s="104"/>
      <c r="AE147" s="81"/>
      <c r="AF147" s="78"/>
      <c r="AG147" s="81"/>
      <c r="AH147" s="123">
        <v>45554</v>
      </c>
      <c r="AI147" s="124"/>
      <c r="AJ147" s="124"/>
      <c r="AK147" s="125"/>
      <c r="AL147" s="126"/>
      <c r="AM147" s="126"/>
      <c r="AN147" s="126"/>
      <c r="AO147" s="127"/>
      <c r="AP147" s="127"/>
      <c r="AQ147" s="127"/>
      <c r="AR147" s="126"/>
      <c r="AS147" s="126"/>
      <c r="AT147" s="126"/>
      <c r="AU147" s="125"/>
      <c r="AV147" s="125"/>
      <c r="AW147" s="125"/>
      <c r="AX147" s="126"/>
      <c r="AY147" s="126"/>
      <c r="AZ147" s="126"/>
      <c r="BA147" s="127"/>
      <c r="BB147" s="127"/>
      <c r="BC147" s="127"/>
      <c r="BD147" s="126">
        <v>75</v>
      </c>
      <c r="BE147" s="126">
        <v>10.7</v>
      </c>
      <c r="BF147" s="126">
        <f t="shared" si="27"/>
        <v>802.5</v>
      </c>
      <c r="BG147" s="125"/>
      <c r="BH147" s="125"/>
      <c r="BI147" s="125"/>
      <c r="BJ147" s="126"/>
      <c r="BK147" s="126"/>
      <c r="BL147" s="126"/>
      <c r="BM147" s="127"/>
      <c r="BN147" s="127"/>
      <c r="BO147" s="127"/>
      <c r="BP147" s="126"/>
      <c r="BQ147" s="126"/>
      <c r="BR147" s="126"/>
      <c r="BS147" s="128"/>
      <c r="BT147" s="128"/>
      <c r="BU147" s="128"/>
    </row>
    <row r="148" s="47" customFormat="1" spans="1:73">
      <c r="A148" s="129">
        <v>45556</v>
      </c>
      <c r="B148" s="130" t="s">
        <v>1301</v>
      </c>
      <c r="C148" s="131">
        <v>500</v>
      </c>
      <c r="D148" s="132"/>
      <c r="E148" s="81">
        <v>-75</v>
      </c>
      <c r="F148" s="104"/>
      <c r="G148" s="81"/>
      <c r="H148" s="78"/>
      <c r="I148" s="81"/>
      <c r="J148" s="104"/>
      <c r="K148" s="81">
        <v>-75</v>
      </c>
      <c r="L148" s="78"/>
      <c r="M148" s="81"/>
      <c r="N148" s="133"/>
      <c r="O148" s="104"/>
      <c r="P148" s="131"/>
      <c r="Q148" s="134"/>
      <c r="R148" s="81"/>
      <c r="S148" s="78"/>
      <c r="T148" s="81"/>
      <c r="U148" s="104">
        <v>-190</v>
      </c>
      <c r="V148" s="81"/>
      <c r="W148" s="136"/>
      <c r="X148" s="78"/>
      <c r="Y148" s="81"/>
      <c r="Z148" s="104"/>
      <c r="AA148" s="81"/>
      <c r="AB148" s="78"/>
      <c r="AC148" s="81"/>
      <c r="AD148" s="104"/>
      <c r="AE148" s="81"/>
      <c r="AF148" s="78"/>
      <c r="AG148" s="81"/>
      <c r="AH148" s="123">
        <v>45556</v>
      </c>
      <c r="AI148" s="124"/>
      <c r="AJ148" s="124"/>
      <c r="AK148" s="125"/>
      <c r="AL148" s="126"/>
      <c r="AM148" s="126"/>
      <c r="AN148" s="126"/>
      <c r="AO148" s="127"/>
      <c r="AP148" s="127"/>
      <c r="AQ148" s="127"/>
      <c r="AR148" s="126"/>
      <c r="AS148" s="126"/>
      <c r="AT148" s="126"/>
      <c r="AU148" s="125"/>
      <c r="AV148" s="125"/>
      <c r="AW148" s="125"/>
      <c r="AX148" s="126"/>
      <c r="AY148" s="126"/>
      <c r="AZ148" s="126"/>
      <c r="BA148" s="127"/>
      <c r="BB148" s="127"/>
      <c r="BC148" s="127"/>
      <c r="BD148" s="126">
        <v>50</v>
      </c>
      <c r="BE148" s="126">
        <v>10.7</v>
      </c>
      <c r="BF148" s="126">
        <f t="shared" si="27"/>
        <v>535</v>
      </c>
      <c r="BG148" s="125">
        <v>35</v>
      </c>
      <c r="BH148" s="125">
        <v>6.2</v>
      </c>
      <c r="BI148" s="125">
        <f t="shared" si="28"/>
        <v>217</v>
      </c>
      <c r="BJ148" s="126"/>
      <c r="BK148" s="126"/>
      <c r="BL148" s="126"/>
      <c r="BM148" s="127"/>
      <c r="BN148" s="127"/>
      <c r="BO148" s="127"/>
      <c r="BP148" s="126"/>
      <c r="BQ148" s="126"/>
      <c r="BR148" s="126"/>
      <c r="BS148" s="128"/>
      <c r="BT148" s="128"/>
      <c r="BU148" s="128"/>
    </row>
    <row r="149" s="48" customFormat="1" spans="1:73">
      <c r="A149" s="129">
        <v>45556</v>
      </c>
      <c r="B149" s="130" t="s">
        <v>1302</v>
      </c>
      <c r="C149" s="131">
        <v>103</v>
      </c>
      <c r="D149" s="132"/>
      <c r="E149" s="81">
        <v>-10</v>
      </c>
      <c r="F149" s="104"/>
      <c r="G149" s="81"/>
      <c r="H149" s="78"/>
      <c r="I149" s="81"/>
      <c r="J149" s="104"/>
      <c r="K149" s="81"/>
      <c r="L149" s="78">
        <v>-15</v>
      </c>
      <c r="M149" s="81"/>
      <c r="N149" s="133"/>
      <c r="O149" s="104"/>
      <c r="P149" s="131"/>
      <c r="Q149" s="134"/>
      <c r="R149" s="81"/>
      <c r="S149" s="78"/>
      <c r="T149" s="81">
        <v>-14</v>
      </c>
      <c r="U149" s="104">
        <v>-33</v>
      </c>
      <c r="V149" s="81"/>
      <c r="W149" s="136"/>
      <c r="X149" s="78"/>
      <c r="Y149" s="81"/>
      <c r="Z149" s="104"/>
      <c r="AA149" s="81"/>
      <c r="AB149" s="78"/>
      <c r="AC149" s="81"/>
      <c r="AD149" s="104"/>
      <c r="AE149" s="81"/>
      <c r="AF149" s="78"/>
      <c r="AG149" s="81"/>
      <c r="AH149" s="123">
        <v>45556</v>
      </c>
      <c r="AI149" s="124"/>
      <c r="AJ149" s="124"/>
      <c r="AK149" s="125"/>
      <c r="AL149" s="126"/>
      <c r="AM149" s="126"/>
      <c r="AN149" s="126"/>
      <c r="AO149" s="127"/>
      <c r="AP149" s="127"/>
      <c r="AQ149" s="127"/>
      <c r="AR149" s="126"/>
      <c r="AS149" s="126"/>
      <c r="AT149" s="126"/>
      <c r="AU149" s="125"/>
      <c r="AV149" s="125"/>
      <c r="AW149" s="125"/>
      <c r="AX149" s="126"/>
      <c r="AY149" s="126"/>
      <c r="AZ149" s="126"/>
      <c r="BA149" s="127"/>
      <c r="BB149" s="127"/>
      <c r="BC149" s="127"/>
      <c r="BD149" s="126">
        <v>16</v>
      </c>
      <c r="BE149" s="126">
        <v>10.7</v>
      </c>
      <c r="BF149" s="126">
        <f t="shared" si="27"/>
        <v>171.2</v>
      </c>
      <c r="BG149" s="125"/>
      <c r="BH149" s="125"/>
      <c r="BI149" s="125"/>
      <c r="BJ149" s="126"/>
      <c r="BK149" s="126"/>
      <c r="BL149" s="126"/>
      <c r="BM149" s="127"/>
      <c r="BN149" s="127"/>
      <c r="BO149" s="127"/>
      <c r="BP149" s="126"/>
      <c r="BQ149" s="126"/>
      <c r="BR149" s="126"/>
      <c r="BS149" s="128"/>
      <c r="BT149" s="128"/>
      <c r="BU149" s="128"/>
    </row>
    <row r="150" s="47" customFormat="1" spans="1:73">
      <c r="A150" s="129">
        <v>45559</v>
      </c>
      <c r="B150" s="130" t="s">
        <v>1303</v>
      </c>
      <c r="C150" s="131">
        <v>402.2</v>
      </c>
      <c r="D150" s="132"/>
      <c r="E150" s="81"/>
      <c r="F150" s="104"/>
      <c r="G150" s="81"/>
      <c r="H150" s="78"/>
      <c r="I150" s="81"/>
      <c r="J150" s="104"/>
      <c r="K150" s="81"/>
      <c r="L150" s="78"/>
      <c r="M150" s="81"/>
      <c r="N150" s="133"/>
      <c r="O150" s="104"/>
      <c r="P150" s="131"/>
      <c r="Q150" s="134"/>
      <c r="R150" s="81">
        <v>-60</v>
      </c>
      <c r="S150" s="78">
        <v>-1</v>
      </c>
      <c r="T150" s="81">
        <v>-28</v>
      </c>
      <c r="U150" s="104">
        <v>-100</v>
      </c>
      <c r="V150" s="81"/>
      <c r="W150" s="136"/>
      <c r="X150" s="78"/>
      <c r="Y150" s="81"/>
      <c r="Z150" s="104"/>
      <c r="AA150" s="81"/>
      <c r="AB150" s="78"/>
      <c r="AC150" s="81"/>
      <c r="AD150" s="104"/>
      <c r="AE150" s="81"/>
      <c r="AF150" s="78"/>
      <c r="AG150" s="81"/>
      <c r="AH150" s="123">
        <v>45559</v>
      </c>
      <c r="AI150" s="124"/>
      <c r="AJ150" s="124"/>
      <c r="AK150" s="125"/>
      <c r="AL150" s="126"/>
      <c r="AM150" s="126"/>
      <c r="AN150" s="126"/>
      <c r="AO150" s="127">
        <v>3.2</v>
      </c>
      <c r="AP150" s="127">
        <v>17</v>
      </c>
      <c r="AQ150" s="127">
        <f>AO150*AP150</f>
        <v>54.4</v>
      </c>
      <c r="AR150" s="126"/>
      <c r="AS150" s="126"/>
      <c r="AT150" s="126"/>
      <c r="AU150" s="125"/>
      <c r="AV150" s="125"/>
      <c r="AW150" s="125"/>
      <c r="AX150" s="126"/>
      <c r="AY150" s="126"/>
      <c r="AZ150" s="126"/>
      <c r="BA150" s="127"/>
      <c r="BB150" s="127"/>
      <c r="BC150" s="127"/>
      <c r="BD150" s="126">
        <v>60</v>
      </c>
      <c r="BE150" s="126">
        <v>10.7</v>
      </c>
      <c r="BF150" s="126">
        <f t="shared" si="27"/>
        <v>642</v>
      </c>
      <c r="BG150" s="125">
        <v>77</v>
      </c>
      <c r="BH150" s="125">
        <v>6.2</v>
      </c>
      <c r="BI150" s="125">
        <f t="shared" si="28"/>
        <v>477.4</v>
      </c>
      <c r="BJ150" s="126"/>
      <c r="BK150" s="126"/>
      <c r="BL150" s="126"/>
      <c r="BM150" s="127"/>
      <c r="BN150" s="127"/>
      <c r="BO150" s="127"/>
      <c r="BP150" s="126"/>
      <c r="BQ150" s="126"/>
      <c r="BR150" s="126"/>
      <c r="BS150" s="128"/>
      <c r="BT150" s="128"/>
      <c r="BU150" s="128"/>
    </row>
    <row r="151" s="47" customFormat="1" spans="1:73">
      <c r="A151" s="129">
        <v>45561</v>
      </c>
      <c r="B151" s="130" t="s">
        <v>1304</v>
      </c>
      <c r="C151" s="131">
        <v>228.3</v>
      </c>
      <c r="D151" s="132"/>
      <c r="E151" s="81"/>
      <c r="F151" s="104"/>
      <c r="G151" s="81"/>
      <c r="H151" s="78"/>
      <c r="I151" s="81"/>
      <c r="J151" s="104"/>
      <c r="K151" s="81"/>
      <c r="L151" s="78"/>
      <c r="M151" s="81"/>
      <c r="N151" s="133"/>
      <c r="O151" s="104"/>
      <c r="P151" s="131"/>
      <c r="Q151" s="134"/>
      <c r="R151" s="81"/>
      <c r="S151" s="78">
        <v>-1.8</v>
      </c>
      <c r="T151" s="81"/>
      <c r="U151" s="135"/>
      <c r="V151" s="81"/>
      <c r="W151" s="136"/>
      <c r="X151" s="78"/>
      <c r="Y151" s="81"/>
      <c r="Z151" s="104"/>
      <c r="AA151" s="81"/>
      <c r="AB151" s="78"/>
      <c r="AC151" s="81"/>
      <c r="AD151" s="104"/>
      <c r="AE151" s="81"/>
      <c r="AF151" s="78"/>
      <c r="AG151" s="81"/>
      <c r="AH151" s="123">
        <v>45561</v>
      </c>
      <c r="AI151" s="124"/>
      <c r="AJ151" s="124"/>
      <c r="AK151" s="125"/>
      <c r="AL151" s="126"/>
      <c r="AM151" s="126"/>
      <c r="AN151" s="126"/>
      <c r="AO151" s="127"/>
      <c r="AP151" s="127"/>
      <c r="AQ151" s="127"/>
      <c r="AR151" s="126"/>
      <c r="AS151" s="126"/>
      <c r="AT151" s="126"/>
      <c r="AU151" s="125"/>
      <c r="AV151" s="125"/>
      <c r="AW151" s="125"/>
      <c r="AX151" s="126"/>
      <c r="AY151" s="126"/>
      <c r="AZ151" s="126"/>
      <c r="BA151" s="127"/>
      <c r="BB151" s="127"/>
      <c r="BC151" s="127"/>
      <c r="BD151" s="126">
        <v>64</v>
      </c>
      <c r="BE151" s="126">
        <v>10.7</v>
      </c>
      <c r="BF151" s="126">
        <f t="shared" si="27"/>
        <v>684.8</v>
      </c>
      <c r="BG151" s="125">
        <v>101</v>
      </c>
      <c r="BH151" s="125">
        <v>6.2</v>
      </c>
      <c r="BI151" s="125">
        <f t="shared" si="28"/>
        <v>626.2</v>
      </c>
      <c r="BJ151" s="126"/>
      <c r="BK151" s="126"/>
      <c r="BL151" s="126"/>
      <c r="BM151" s="127"/>
      <c r="BN151" s="127"/>
      <c r="BO151" s="127"/>
      <c r="BP151" s="126"/>
      <c r="BQ151" s="126"/>
      <c r="BR151" s="126"/>
      <c r="BS151" s="128"/>
      <c r="BT151" s="128"/>
      <c r="BU151" s="128"/>
    </row>
    <row r="152" s="47" customFormat="1" spans="1:73">
      <c r="A152" s="129">
        <v>45561</v>
      </c>
      <c r="B152" s="130" t="s">
        <v>1305</v>
      </c>
      <c r="C152" s="131"/>
      <c r="D152" s="132"/>
      <c r="E152" s="81"/>
      <c r="F152" s="135">
        <v>220</v>
      </c>
      <c r="G152" s="81"/>
      <c r="H152" s="78"/>
      <c r="I152" s="81"/>
      <c r="J152" s="104"/>
      <c r="K152" s="81"/>
      <c r="L152" s="78"/>
      <c r="M152" s="81"/>
      <c r="N152" s="133"/>
      <c r="O152" s="104"/>
      <c r="P152" s="131"/>
      <c r="Q152" s="134"/>
      <c r="R152" s="81"/>
      <c r="S152" s="78"/>
      <c r="T152" s="81"/>
      <c r="U152" s="135"/>
      <c r="V152" s="81"/>
      <c r="W152" s="136"/>
      <c r="X152" s="78"/>
      <c r="Y152" s="81"/>
      <c r="Z152" s="104"/>
      <c r="AA152" s="81"/>
      <c r="AB152" s="78"/>
      <c r="AC152" s="81"/>
      <c r="AD152" s="104"/>
      <c r="AE152" s="81"/>
      <c r="AF152" s="78"/>
      <c r="AG152" s="81"/>
      <c r="AH152" s="123">
        <v>45561</v>
      </c>
      <c r="AI152" s="124"/>
      <c r="AJ152" s="124"/>
      <c r="AK152" s="125"/>
      <c r="AL152" s="126"/>
      <c r="AM152" s="126"/>
      <c r="AN152" s="126"/>
      <c r="AO152" s="127"/>
      <c r="AP152" s="127"/>
      <c r="AQ152" s="127"/>
      <c r="AR152" s="126"/>
      <c r="AS152" s="126"/>
      <c r="AT152" s="126"/>
      <c r="AU152" s="125"/>
      <c r="AV152" s="125"/>
      <c r="AW152" s="125"/>
      <c r="AX152" s="126"/>
      <c r="AY152" s="126"/>
      <c r="AZ152" s="126"/>
      <c r="BA152" s="127"/>
      <c r="BB152" s="127"/>
      <c r="BC152" s="127"/>
      <c r="BD152" s="126"/>
      <c r="BE152" s="126"/>
      <c r="BF152" s="126"/>
      <c r="BG152" s="125"/>
      <c r="BH152" s="125"/>
      <c r="BI152" s="125"/>
      <c r="BJ152" s="126"/>
      <c r="BK152" s="126"/>
      <c r="BL152" s="126"/>
      <c r="BM152" s="127"/>
      <c r="BN152" s="127"/>
      <c r="BO152" s="127"/>
      <c r="BP152" s="126"/>
      <c r="BQ152" s="126"/>
      <c r="BR152" s="126"/>
      <c r="BS152" s="128"/>
      <c r="BT152" s="128"/>
      <c r="BU152" s="128"/>
    </row>
    <row r="153" s="47" customFormat="1" spans="1:73">
      <c r="A153" s="129">
        <v>45563</v>
      </c>
      <c r="B153" s="130" t="s">
        <v>1250</v>
      </c>
      <c r="C153" s="131"/>
      <c r="D153" s="132"/>
      <c r="E153" s="81"/>
      <c r="F153" s="104"/>
      <c r="G153" s="81"/>
      <c r="H153" s="78"/>
      <c r="I153" s="81">
        <v>-100</v>
      </c>
      <c r="J153" s="104"/>
      <c r="K153" s="81"/>
      <c r="L153" s="78"/>
      <c r="M153" s="81"/>
      <c r="N153" s="133"/>
      <c r="O153" s="104"/>
      <c r="P153" s="131"/>
      <c r="Q153" s="134"/>
      <c r="R153" s="81"/>
      <c r="S153" s="78">
        <v>-2.5</v>
      </c>
      <c r="T153" s="81">
        <v>136</v>
      </c>
      <c r="U153" s="104">
        <v>-260</v>
      </c>
      <c r="V153" s="81"/>
      <c r="W153" s="136"/>
      <c r="X153" s="78"/>
      <c r="Y153" s="81"/>
      <c r="Z153" s="104"/>
      <c r="AA153" s="81"/>
      <c r="AB153" s="78"/>
      <c r="AC153" s="81"/>
      <c r="AD153" s="104"/>
      <c r="AE153" s="81"/>
      <c r="AF153" s="78"/>
      <c r="AG153" s="81"/>
      <c r="AH153" s="123">
        <v>45563</v>
      </c>
      <c r="AI153" s="124"/>
      <c r="AJ153" s="124"/>
      <c r="AK153" s="125"/>
      <c r="AL153" s="126">
        <v>50</v>
      </c>
      <c r="AM153" s="126">
        <v>0.9</v>
      </c>
      <c r="AN153" s="126">
        <f>AL153*AM153</f>
        <v>45</v>
      </c>
      <c r="AO153" s="127">
        <v>25</v>
      </c>
      <c r="AP153" s="127">
        <v>17</v>
      </c>
      <c r="AQ153" s="127">
        <f>AO153*AP153</f>
        <v>425</v>
      </c>
      <c r="AR153" s="126"/>
      <c r="AS153" s="126"/>
      <c r="AT153" s="126"/>
      <c r="AU153" s="125"/>
      <c r="AV153" s="125"/>
      <c r="AW153" s="125"/>
      <c r="AX153" s="126"/>
      <c r="AY153" s="126"/>
      <c r="AZ153" s="126"/>
      <c r="BA153" s="127"/>
      <c r="BB153" s="127"/>
      <c r="BC153" s="127"/>
      <c r="BD153" s="126"/>
      <c r="BE153" s="126"/>
      <c r="BF153" s="126"/>
      <c r="BG153" s="125"/>
      <c r="BH153" s="125"/>
      <c r="BI153" s="125"/>
      <c r="BJ153" s="126">
        <v>279</v>
      </c>
      <c r="BK153" s="126">
        <v>3.6</v>
      </c>
      <c r="BL153" s="126">
        <f>BJ153*BK153</f>
        <v>1004.4</v>
      </c>
      <c r="BM153" s="127"/>
      <c r="BN153" s="127"/>
      <c r="BO153" s="127"/>
      <c r="BP153" s="126"/>
      <c r="BQ153" s="126"/>
      <c r="BR153" s="126"/>
      <c r="BS153" s="128"/>
      <c r="BT153" s="128"/>
      <c r="BU153" s="128"/>
    </row>
    <row r="154" s="47" customFormat="1" spans="1:73">
      <c r="A154" s="129">
        <v>45564</v>
      </c>
      <c r="B154" s="130" t="s">
        <v>1306</v>
      </c>
      <c r="C154" s="131">
        <v>300</v>
      </c>
      <c r="D154" s="132"/>
      <c r="E154" s="81">
        <v>-45</v>
      </c>
      <c r="F154" s="104">
        <v>-45</v>
      </c>
      <c r="G154" s="81"/>
      <c r="H154" s="78"/>
      <c r="I154" s="81"/>
      <c r="J154" s="104"/>
      <c r="K154" s="81"/>
      <c r="L154" s="78"/>
      <c r="M154" s="81"/>
      <c r="N154" s="133"/>
      <c r="O154" s="104"/>
      <c r="P154" s="131"/>
      <c r="Q154" s="134"/>
      <c r="R154" s="81"/>
      <c r="S154" s="78"/>
      <c r="T154" s="81"/>
      <c r="U154" s="104">
        <v>-114</v>
      </c>
      <c r="V154" s="81"/>
      <c r="W154" s="136"/>
      <c r="X154" s="78"/>
      <c r="Y154" s="81"/>
      <c r="Z154" s="104"/>
      <c r="AA154" s="81"/>
      <c r="AB154" s="78"/>
      <c r="AC154" s="81"/>
      <c r="AD154" s="104"/>
      <c r="AE154" s="81"/>
      <c r="AF154" s="78"/>
      <c r="AG154" s="81"/>
      <c r="AH154" s="123">
        <v>45564</v>
      </c>
      <c r="AI154" s="124"/>
      <c r="AJ154" s="124"/>
      <c r="AK154" s="125"/>
      <c r="AL154" s="126"/>
      <c r="AM154" s="126"/>
      <c r="AN154" s="126"/>
      <c r="AO154" s="127"/>
      <c r="AP154" s="127"/>
      <c r="AQ154" s="127"/>
      <c r="AR154" s="126"/>
      <c r="AS154" s="126"/>
      <c r="AT154" s="126"/>
      <c r="AU154" s="125"/>
      <c r="AV154" s="125"/>
      <c r="AW154" s="125"/>
      <c r="AX154" s="126"/>
      <c r="AY154" s="126"/>
      <c r="AZ154" s="126"/>
      <c r="BA154" s="127"/>
      <c r="BB154" s="127"/>
      <c r="BC154" s="127"/>
      <c r="BD154" s="126">
        <v>30</v>
      </c>
      <c r="BE154" s="126">
        <v>10.7</v>
      </c>
      <c r="BF154" s="126">
        <f>BD154*BE154</f>
        <v>321</v>
      </c>
      <c r="BG154" s="125">
        <v>21</v>
      </c>
      <c r="BH154" s="125">
        <v>6.2</v>
      </c>
      <c r="BI154" s="125">
        <f>BG154*BH154</f>
        <v>130.2</v>
      </c>
      <c r="BJ154" s="126"/>
      <c r="BK154" s="126"/>
      <c r="BL154" s="126"/>
      <c r="BM154" s="127"/>
      <c r="BN154" s="127"/>
      <c r="BO154" s="127"/>
      <c r="BP154" s="126"/>
      <c r="BQ154" s="126"/>
      <c r="BR154" s="126"/>
      <c r="BS154" s="128"/>
      <c r="BT154" s="128"/>
      <c r="BU154" s="128"/>
    </row>
    <row r="155" s="46" customFormat="1" spans="1:73">
      <c r="A155" s="129"/>
      <c r="B155" s="130"/>
      <c r="C155" s="131">
        <f t="shared" ref="C155:BN155" si="29">SUM(C137:C154)</f>
        <v>7567.2</v>
      </c>
      <c r="D155" s="131">
        <f t="shared" si="29"/>
        <v>0</v>
      </c>
      <c r="E155" s="131">
        <f t="shared" si="29"/>
        <v>212</v>
      </c>
      <c r="F155" s="131">
        <f t="shared" si="29"/>
        <v>175</v>
      </c>
      <c r="G155" s="131">
        <f t="shared" si="29"/>
        <v>0</v>
      </c>
      <c r="H155" s="131">
        <f t="shared" si="29"/>
        <v>0</v>
      </c>
      <c r="I155" s="131">
        <f t="shared" si="29"/>
        <v>566.5</v>
      </c>
      <c r="J155" s="131">
        <f t="shared" si="29"/>
        <v>727</v>
      </c>
      <c r="K155" s="131">
        <f t="shared" si="29"/>
        <v>109</v>
      </c>
      <c r="L155" s="131">
        <f t="shared" si="29"/>
        <v>-15</v>
      </c>
      <c r="M155" s="131">
        <f t="shared" si="29"/>
        <v>0</v>
      </c>
      <c r="N155" s="131">
        <f t="shared" si="29"/>
        <v>0</v>
      </c>
      <c r="O155" s="131">
        <f t="shared" si="29"/>
        <v>273</v>
      </c>
      <c r="P155" s="131">
        <f t="shared" si="29"/>
        <v>834</v>
      </c>
      <c r="Q155" s="131">
        <f t="shared" si="29"/>
        <v>0</v>
      </c>
      <c r="R155" s="131">
        <f t="shared" si="29"/>
        <v>65</v>
      </c>
      <c r="S155" s="131">
        <f t="shared" si="29"/>
        <v>6.8</v>
      </c>
      <c r="T155" s="131">
        <f t="shared" si="29"/>
        <v>1187.6</v>
      </c>
      <c r="U155" s="131">
        <f t="shared" si="29"/>
        <v>1361</v>
      </c>
      <c r="V155" s="131">
        <f t="shared" si="29"/>
        <v>141</v>
      </c>
      <c r="W155" s="131">
        <f t="shared" si="29"/>
        <v>0</v>
      </c>
      <c r="X155" s="131">
        <f t="shared" si="29"/>
        <v>13.5</v>
      </c>
      <c r="Y155" s="131">
        <f t="shared" si="29"/>
        <v>213</v>
      </c>
      <c r="Z155" s="131">
        <f t="shared" si="29"/>
        <v>0</v>
      </c>
      <c r="AA155" s="131">
        <f t="shared" si="29"/>
        <v>0</v>
      </c>
      <c r="AB155" s="131">
        <f t="shared" si="29"/>
        <v>0</v>
      </c>
      <c r="AC155" s="131">
        <f t="shared" si="29"/>
        <v>14</v>
      </c>
      <c r="AD155" s="131">
        <f t="shared" si="29"/>
        <v>0</v>
      </c>
      <c r="AE155" s="131">
        <f t="shared" si="29"/>
        <v>0</v>
      </c>
      <c r="AF155" s="131">
        <f t="shared" si="29"/>
        <v>0</v>
      </c>
      <c r="AG155" s="131">
        <f t="shared" si="29"/>
        <v>0</v>
      </c>
      <c r="AH155" s="131"/>
      <c r="AI155" s="131">
        <f t="shared" si="29"/>
        <v>0</v>
      </c>
      <c r="AJ155" s="131">
        <f t="shared" si="29"/>
        <v>0</v>
      </c>
      <c r="AK155" s="131">
        <f t="shared" si="29"/>
        <v>0</v>
      </c>
      <c r="AL155" s="131">
        <f t="shared" si="29"/>
        <v>50</v>
      </c>
      <c r="AM155" s="131"/>
      <c r="AN155" s="131">
        <f t="shared" si="29"/>
        <v>45</v>
      </c>
      <c r="AO155" s="131">
        <f t="shared" si="29"/>
        <v>28.2</v>
      </c>
      <c r="AP155" s="131"/>
      <c r="AQ155" s="131">
        <f t="shared" si="29"/>
        <v>479.4</v>
      </c>
      <c r="AR155" s="131">
        <f t="shared" si="29"/>
        <v>0</v>
      </c>
      <c r="AS155" s="131"/>
      <c r="AT155" s="131">
        <f t="shared" si="29"/>
        <v>0</v>
      </c>
      <c r="AU155" s="131">
        <f t="shared" si="29"/>
        <v>25</v>
      </c>
      <c r="AV155" s="131"/>
      <c r="AW155" s="131">
        <f t="shared" si="29"/>
        <v>1875</v>
      </c>
      <c r="AX155" s="131">
        <f t="shared" si="29"/>
        <v>0</v>
      </c>
      <c r="AY155" s="131"/>
      <c r="AZ155" s="131">
        <f t="shared" si="29"/>
        <v>0</v>
      </c>
      <c r="BA155" s="131">
        <f t="shared" si="29"/>
        <v>0</v>
      </c>
      <c r="BB155" s="131"/>
      <c r="BC155" s="131">
        <f t="shared" si="29"/>
        <v>0</v>
      </c>
      <c r="BD155" s="131">
        <f t="shared" si="29"/>
        <v>778</v>
      </c>
      <c r="BE155" s="131"/>
      <c r="BF155" s="131">
        <f t="shared" si="29"/>
        <v>8324.6</v>
      </c>
      <c r="BG155" s="131">
        <f t="shared" si="29"/>
        <v>1875</v>
      </c>
      <c r="BH155" s="131"/>
      <c r="BI155" s="131">
        <f t="shared" si="29"/>
        <v>11625</v>
      </c>
      <c r="BJ155" s="131">
        <f t="shared" si="29"/>
        <v>279</v>
      </c>
      <c r="BK155" s="131"/>
      <c r="BL155" s="131">
        <f t="shared" si="29"/>
        <v>1004.4</v>
      </c>
      <c r="BM155" s="131">
        <f t="shared" si="29"/>
        <v>0</v>
      </c>
      <c r="BN155" s="131"/>
      <c r="BO155" s="131">
        <f t="shared" ref="BO155:BU155" si="30">SUM(BO137:BO154)</f>
        <v>0</v>
      </c>
      <c r="BP155" s="131">
        <f t="shared" si="30"/>
        <v>720</v>
      </c>
      <c r="BQ155" s="131"/>
      <c r="BR155" s="131">
        <f t="shared" si="30"/>
        <v>5976</v>
      </c>
      <c r="BS155" s="131">
        <f t="shared" si="30"/>
        <v>0</v>
      </c>
      <c r="BT155" s="131"/>
      <c r="BU155" s="131">
        <f t="shared" si="30"/>
        <v>0</v>
      </c>
    </row>
    <row r="156" s="11" customFormat="1" ht="33" customHeight="1" spans="1:73">
      <c r="A156" s="168" t="s">
        <v>1307</v>
      </c>
      <c r="B156" s="168"/>
      <c r="C156" s="168"/>
      <c r="D156" s="169"/>
      <c r="E156" s="168"/>
      <c r="F156" s="168"/>
      <c r="G156" s="168"/>
      <c r="H156" s="168"/>
      <c r="I156" s="168"/>
      <c r="J156" s="168"/>
      <c r="K156" s="168"/>
      <c r="L156" s="168"/>
      <c r="M156" s="170"/>
      <c r="N156" s="168"/>
      <c r="O156" s="171"/>
      <c r="P156" s="172"/>
      <c r="Q156" s="168"/>
      <c r="R156" s="168"/>
      <c r="S156" s="168"/>
      <c r="T156" s="173"/>
      <c r="U156" s="174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75"/>
      <c r="AH156" s="176"/>
      <c r="AI156" s="176"/>
      <c r="AJ156" s="177"/>
      <c r="AK156" s="177"/>
      <c r="AL156" s="168" t="s">
        <v>908</v>
      </c>
      <c r="AM156" s="168"/>
      <c r="AN156" s="168"/>
      <c r="AO156" s="170"/>
      <c r="AP156" s="170"/>
      <c r="AQ156" s="178">
        <f>AK173+AN173+AQ173+AT173+AW173+AZ173+BC173+BF173+BI173+BL173+BO173+BR173+BU173</f>
        <v>14891.3</v>
      </c>
      <c r="AR156" s="178"/>
      <c r="AS156" s="168"/>
      <c r="AT156" s="168"/>
      <c r="AU156" s="177"/>
      <c r="AV156" s="177"/>
      <c r="AW156" s="177"/>
      <c r="AX156" s="168"/>
      <c r="AY156" s="168"/>
      <c r="AZ156" s="168"/>
      <c r="BA156" s="178"/>
      <c r="BB156" s="178"/>
      <c r="BC156" s="178"/>
      <c r="BD156" s="168"/>
      <c r="BE156" s="168"/>
      <c r="BF156" s="168"/>
      <c r="BG156" s="177"/>
      <c r="BH156" s="177"/>
      <c r="BI156" s="177"/>
      <c r="BJ156" s="168"/>
      <c r="BK156" s="168"/>
      <c r="BL156" s="168"/>
      <c r="BM156" s="178"/>
      <c r="BN156" s="178"/>
      <c r="BO156" s="179"/>
      <c r="BP156" s="180"/>
      <c r="BQ156" s="180"/>
      <c r="BR156" s="181"/>
    </row>
    <row r="157" s="12" customFormat="1" ht="27" customHeight="1" spans="1:73">
      <c r="A157" s="81" t="s">
        <v>35</v>
      </c>
      <c r="B157" s="82" t="s">
        <v>909</v>
      </c>
      <c r="C157" s="83"/>
      <c r="D157" s="84" t="s">
        <v>648</v>
      </c>
      <c r="E157" s="85" t="s">
        <v>240</v>
      </c>
      <c r="F157" s="182" t="s">
        <v>1308</v>
      </c>
      <c r="G157" s="87" t="s">
        <v>315</v>
      </c>
      <c r="H157" s="88" t="s">
        <v>316</v>
      </c>
      <c r="I157" s="89" t="s">
        <v>704</v>
      </c>
      <c r="J157" s="90" t="s">
        <v>1203</v>
      </c>
      <c r="K157" s="91" t="s">
        <v>1204</v>
      </c>
      <c r="L157" s="88" t="s">
        <v>1205</v>
      </c>
      <c r="M157" s="92" t="s">
        <v>542</v>
      </c>
      <c r="N157" s="93" t="s">
        <v>1206</v>
      </c>
      <c r="O157" s="94" t="s">
        <v>342</v>
      </c>
      <c r="P157" s="95" t="s">
        <v>977</v>
      </c>
      <c r="Q157" s="96" t="s">
        <v>1207</v>
      </c>
      <c r="R157" s="92" t="s">
        <v>1208</v>
      </c>
      <c r="S157" s="88" t="s">
        <v>1209</v>
      </c>
      <c r="T157" s="89" t="s">
        <v>149</v>
      </c>
      <c r="U157" s="183" t="s">
        <v>298</v>
      </c>
      <c r="V157" s="89" t="s">
        <v>957</v>
      </c>
      <c r="W157" s="99">
        <v>5014</v>
      </c>
      <c r="X157" s="88" t="s">
        <v>1210</v>
      </c>
      <c r="Y157" s="92" t="s">
        <v>1293</v>
      </c>
      <c r="Z157" s="90" t="s">
        <v>1212</v>
      </c>
      <c r="AA157" s="89" t="s">
        <v>872</v>
      </c>
      <c r="AB157" s="101" t="s">
        <v>896</v>
      </c>
      <c r="AC157" s="89" t="s">
        <v>1213</v>
      </c>
      <c r="AD157" s="94" t="s">
        <v>1214</v>
      </c>
      <c r="AE157" s="89" t="s">
        <v>199</v>
      </c>
      <c r="AF157" s="101" t="s">
        <v>1215</v>
      </c>
      <c r="AG157" s="102" t="s">
        <v>1216</v>
      </c>
      <c r="AH157" s="73" t="s">
        <v>35</v>
      </c>
      <c r="AI157" s="74" t="s">
        <v>289</v>
      </c>
      <c r="AJ157" s="74"/>
      <c r="AK157" s="103"/>
      <c r="AL157" s="81" t="s">
        <v>466</v>
      </c>
      <c r="AM157" s="81"/>
      <c r="AN157" s="81"/>
      <c r="AO157" s="78" t="s">
        <v>191</v>
      </c>
      <c r="AP157" s="78"/>
      <c r="AQ157" s="78"/>
      <c r="AR157" s="81" t="s">
        <v>911</v>
      </c>
      <c r="AS157" s="81"/>
      <c r="AT157" s="81"/>
      <c r="AU157" s="104" t="s">
        <v>912</v>
      </c>
      <c r="AV157" s="104"/>
      <c r="AW157" s="104"/>
      <c r="AX157" s="81" t="s">
        <v>984</v>
      </c>
      <c r="AY157" s="81"/>
      <c r="AZ157" s="81"/>
      <c r="BA157" s="78" t="s">
        <v>960</v>
      </c>
      <c r="BB157" s="78"/>
      <c r="BC157" s="78"/>
      <c r="BD157" s="81">
        <v>808</v>
      </c>
      <c r="BE157" s="81"/>
      <c r="BF157" s="81"/>
      <c r="BG157" s="104" t="s">
        <v>125</v>
      </c>
      <c r="BH157" s="104"/>
      <c r="BI157" s="104"/>
      <c r="BJ157" s="81" t="s">
        <v>132</v>
      </c>
      <c r="BK157" s="81"/>
      <c r="BL157" s="81"/>
      <c r="BM157" s="78">
        <v>811</v>
      </c>
      <c r="BN157" s="78"/>
      <c r="BO157" s="105"/>
      <c r="BP157" s="81" t="s">
        <v>152</v>
      </c>
      <c r="BQ157" s="81"/>
      <c r="BR157" s="81"/>
      <c r="BS157" s="106" t="s">
        <v>12</v>
      </c>
      <c r="BT157" s="107"/>
      <c r="BU157" s="108"/>
    </row>
    <row r="158" s="12" customFormat="1" ht="27" customHeight="1" spans="1:73">
      <c r="A158" s="81"/>
      <c r="B158" s="82" t="s">
        <v>914</v>
      </c>
      <c r="C158" s="83" t="s">
        <v>915</v>
      </c>
      <c r="D158" s="109"/>
      <c r="E158" s="110"/>
      <c r="F158" s="184"/>
      <c r="G158" s="112"/>
      <c r="H158" s="88"/>
      <c r="I158" s="89"/>
      <c r="J158" s="90"/>
      <c r="K158" s="91"/>
      <c r="L158" s="88"/>
      <c r="M158" s="92"/>
      <c r="N158" s="113"/>
      <c r="O158" s="94"/>
      <c r="P158" s="114"/>
      <c r="Q158" s="96"/>
      <c r="R158" s="92"/>
      <c r="S158" s="88"/>
      <c r="T158" s="89"/>
      <c r="U158" s="185"/>
      <c r="V158" s="89"/>
      <c r="W158" s="116"/>
      <c r="X158" s="88"/>
      <c r="Y158" s="92"/>
      <c r="Z158" s="90"/>
      <c r="AA158" s="89"/>
      <c r="AB158" s="101"/>
      <c r="AC158" s="89"/>
      <c r="AD158" s="94"/>
      <c r="AE158" s="89"/>
      <c r="AF158" s="101"/>
      <c r="AG158" s="102"/>
      <c r="AH158" s="73"/>
      <c r="AI158" s="117" t="s">
        <v>916</v>
      </c>
      <c r="AJ158" s="118" t="s">
        <v>917</v>
      </c>
      <c r="AK158" s="81" t="s">
        <v>918</v>
      </c>
      <c r="AL158" s="81" t="s">
        <v>916</v>
      </c>
      <c r="AM158" s="81" t="s">
        <v>917</v>
      </c>
      <c r="AN158" s="81" t="s">
        <v>918</v>
      </c>
      <c r="AO158" s="78" t="s">
        <v>916</v>
      </c>
      <c r="AP158" s="78" t="s">
        <v>917</v>
      </c>
      <c r="AQ158" s="78" t="s">
        <v>918</v>
      </c>
      <c r="AR158" s="81" t="s">
        <v>916</v>
      </c>
      <c r="AS158" s="81" t="s">
        <v>917</v>
      </c>
      <c r="AT158" s="81" t="s">
        <v>918</v>
      </c>
      <c r="AU158" s="104" t="s">
        <v>916</v>
      </c>
      <c r="AV158" s="104" t="s">
        <v>917</v>
      </c>
      <c r="AW158" s="104" t="s">
        <v>918</v>
      </c>
      <c r="AX158" s="81" t="s">
        <v>916</v>
      </c>
      <c r="AY158" s="81" t="s">
        <v>917</v>
      </c>
      <c r="AZ158" s="81" t="s">
        <v>918</v>
      </c>
      <c r="BA158" s="78" t="s">
        <v>916</v>
      </c>
      <c r="BB158" s="78" t="s">
        <v>917</v>
      </c>
      <c r="BC158" s="78" t="s">
        <v>918</v>
      </c>
      <c r="BD158" s="81" t="s">
        <v>916</v>
      </c>
      <c r="BE158" s="81" t="s">
        <v>917</v>
      </c>
      <c r="BF158" s="81" t="s">
        <v>918</v>
      </c>
      <c r="BG158" s="104" t="s">
        <v>916</v>
      </c>
      <c r="BH158" s="104" t="s">
        <v>917</v>
      </c>
      <c r="BI158" s="104" t="s">
        <v>918</v>
      </c>
      <c r="BJ158" s="81" t="s">
        <v>916</v>
      </c>
      <c r="BK158" s="81" t="s">
        <v>917</v>
      </c>
      <c r="BL158" s="81" t="s">
        <v>918</v>
      </c>
      <c r="BM158" s="78" t="s">
        <v>916</v>
      </c>
      <c r="BN158" s="78" t="s">
        <v>917</v>
      </c>
      <c r="BO158" s="105" t="s">
        <v>918</v>
      </c>
      <c r="BP158" s="81" t="s">
        <v>916</v>
      </c>
      <c r="BQ158" s="81" t="s">
        <v>917</v>
      </c>
      <c r="BR158" s="81" t="s">
        <v>918</v>
      </c>
      <c r="BS158" s="104" t="s">
        <v>916</v>
      </c>
      <c r="BT158" s="104" t="s">
        <v>917</v>
      </c>
      <c r="BU158" s="104" t="s">
        <v>918</v>
      </c>
    </row>
    <row r="159" s="46" customFormat="1" spans="1:73">
      <c r="A159" s="129" t="s">
        <v>778</v>
      </c>
      <c r="B159" s="137" t="s">
        <v>1309</v>
      </c>
      <c r="C159" s="131"/>
      <c r="D159" s="132">
        <f>D206</f>
        <v>0</v>
      </c>
      <c r="E159" s="132">
        <f t="shared" ref="D159:AG159" si="31">E206</f>
        <v>567</v>
      </c>
      <c r="F159" s="132">
        <f t="shared" si="31"/>
        <v>0</v>
      </c>
      <c r="G159" s="132">
        <f t="shared" si="31"/>
        <v>0</v>
      </c>
      <c r="H159" s="132">
        <f t="shared" si="31"/>
        <v>-2758.6</v>
      </c>
      <c r="I159" s="132">
        <f t="shared" si="31"/>
        <v>866.5</v>
      </c>
      <c r="J159" s="132">
        <f t="shared" si="31"/>
        <v>727</v>
      </c>
      <c r="K159" s="132">
        <f t="shared" si="31"/>
        <v>0</v>
      </c>
      <c r="L159" s="132">
        <f t="shared" si="31"/>
        <v>0</v>
      </c>
      <c r="M159" s="132">
        <f t="shared" si="31"/>
        <v>0</v>
      </c>
      <c r="N159" s="132">
        <f t="shared" si="31"/>
        <v>0</v>
      </c>
      <c r="O159" s="132">
        <f t="shared" si="31"/>
        <v>59</v>
      </c>
      <c r="P159" s="132">
        <f t="shared" si="31"/>
        <v>339</v>
      </c>
      <c r="Q159" s="132">
        <f t="shared" si="31"/>
        <v>0</v>
      </c>
      <c r="R159" s="132">
        <f t="shared" si="31"/>
        <v>245</v>
      </c>
      <c r="S159" s="132">
        <f t="shared" si="31"/>
        <v>25.7</v>
      </c>
      <c r="T159" s="132">
        <f t="shared" si="31"/>
        <v>638.6</v>
      </c>
      <c r="U159" s="132">
        <f t="shared" si="31"/>
        <v>1738</v>
      </c>
      <c r="V159" s="132">
        <f t="shared" si="31"/>
        <v>141</v>
      </c>
      <c r="W159" s="132">
        <f t="shared" si="31"/>
        <v>0</v>
      </c>
      <c r="X159" s="132">
        <f t="shared" si="31"/>
        <v>16.5</v>
      </c>
      <c r="Y159" s="132">
        <f t="shared" si="31"/>
        <v>0</v>
      </c>
      <c r="Z159" s="132">
        <f t="shared" si="31"/>
        <v>0</v>
      </c>
      <c r="AA159" s="132">
        <f t="shared" si="31"/>
        <v>0</v>
      </c>
      <c r="AB159" s="132">
        <f t="shared" si="31"/>
        <v>0</v>
      </c>
      <c r="AC159" s="132">
        <f t="shared" si="31"/>
        <v>14</v>
      </c>
      <c r="AD159" s="132">
        <f t="shared" si="31"/>
        <v>0</v>
      </c>
      <c r="AE159" s="132">
        <f t="shared" si="31"/>
        <v>0</v>
      </c>
      <c r="AF159" s="132">
        <f t="shared" si="31"/>
        <v>0</v>
      </c>
      <c r="AG159" s="132">
        <f t="shared" si="31"/>
        <v>0</v>
      </c>
      <c r="AH159" s="145"/>
      <c r="AI159" s="147"/>
      <c r="AJ159" s="147"/>
      <c r="AK159" s="104"/>
      <c r="AL159" s="81"/>
      <c r="AM159" s="81"/>
      <c r="AN159" s="81"/>
      <c r="AO159" s="78"/>
      <c r="AP159" s="78"/>
      <c r="AQ159" s="78"/>
      <c r="AR159" s="81"/>
      <c r="AS159" s="81"/>
      <c r="AT159" s="81"/>
      <c r="AU159" s="104"/>
      <c r="AV159" s="104"/>
      <c r="AW159" s="104"/>
      <c r="AX159" s="81"/>
      <c r="AY159" s="81"/>
      <c r="AZ159" s="81"/>
      <c r="BA159" s="78"/>
      <c r="BB159" s="78"/>
      <c r="BC159" s="78"/>
      <c r="BD159" s="81"/>
      <c r="BE159" s="81"/>
      <c r="BF159" s="81"/>
      <c r="BG159" s="104"/>
      <c r="BH159" s="104"/>
      <c r="BI159" s="104"/>
      <c r="BJ159" s="81"/>
      <c r="BK159" s="81"/>
      <c r="BL159" s="81"/>
      <c r="BM159" s="78"/>
      <c r="BN159" s="78"/>
      <c r="BO159" s="78"/>
      <c r="BP159" s="81"/>
      <c r="BQ159" s="81"/>
      <c r="BR159" s="81"/>
      <c r="BS159" s="146"/>
      <c r="BT159" s="146"/>
      <c r="BU159" s="146"/>
    </row>
    <row r="160" s="46" customFormat="1" spans="1:73">
      <c r="A160" s="129">
        <v>45512</v>
      </c>
      <c r="B160" s="130" t="s">
        <v>987</v>
      </c>
      <c r="C160" s="131">
        <v>1000</v>
      </c>
      <c r="D160" s="132"/>
      <c r="E160" s="81">
        <v>-125</v>
      </c>
      <c r="F160" s="81"/>
      <c r="G160" s="81"/>
      <c r="H160" s="81">
        <v>-200</v>
      </c>
      <c r="I160" s="81">
        <v>-200</v>
      </c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>
        <v>-70</v>
      </c>
      <c r="U160" s="81">
        <v>-380</v>
      </c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145">
        <v>45512</v>
      </c>
      <c r="AI160" s="147"/>
      <c r="AJ160" s="147"/>
      <c r="AK160" s="104"/>
      <c r="AL160" s="81"/>
      <c r="AM160" s="81"/>
      <c r="AN160" s="81"/>
      <c r="AO160" s="78"/>
      <c r="AP160" s="78"/>
      <c r="AQ160" s="78"/>
      <c r="AR160" s="81"/>
      <c r="AS160" s="81"/>
      <c r="AT160" s="81"/>
      <c r="AU160" s="104"/>
      <c r="AV160" s="104"/>
      <c r="AW160" s="104"/>
      <c r="AX160" s="81"/>
      <c r="AY160" s="81"/>
      <c r="AZ160" s="81"/>
      <c r="BA160" s="78"/>
      <c r="BB160" s="78"/>
      <c r="BC160" s="78"/>
      <c r="BD160" s="81">
        <v>25</v>
      </c>
      <c r="BE160" s="81">
        <v>11.2</v>
      </c>
      <c r="BF160" s="81">
        <f t="shared" ref="BF160:BF163" si="32">BD160*BE160</f>
        <v>280</v>
      </c>
      <c r="BG160" s="104"/>
      <c r="BH160" s="104"/>
      <c r="BI160" s="104"/>
      <c r="BJ160" s="81"/>
      <c r="BK160" s="81"/>
      <c r="BL160" s="81"/>
      <c r="BM160" s="78"/>
      <c r="BN160" s="78"/>
      <c r="BO160" s="78"/>
      <c r="BP160" s="81"/>
      <c r="BQ160" s="81"/>
      <c r="BR160" s="81"/>
      <c r="BS160" s="146"/>
      <c r="BT160" s="146"/>
      <c r="BU160" s="146"/>
    </row>
    <row r="161" s="46" customFormat="1" spans="1:73">
      <c r="A161" s="129">
        <v>45512</v>
      </c>
      <c r="B161" s="130" t="s">
        <v>997</v>
      </c>
      <c r="C161" s="131">
        <v>1000</v>
      </c>
      <c r="D161" s="132"/>
      <c r="E161" s="81"/>
      <c r="F161" s="81"/>
      <c r="G161" s="81"/>
      <c r="H161" s="81">
        <v>-200</v>
      </c>
      <c r="I161" s="81"/>
      <c r="J161" s="81"/>
      <c r="K161" s="81"/>
      <c r="L161" s="81"/>
      <c r="M161" s="81"/>
      <c r="N161" s="81"/>
      <c r="O161" s="81"/>
      <c r="P161" s="81">
        <v>-150</v>
      </c>
      <c r="Q161" s="81"/>
      <c r="R161" s="81"/>
      <c r="S161" s="81"/>
      <c r="T161" s="81">
        <v>-70</v>
      </c>
      <c r="U161" s="81">
        <v>-380</v>
      </c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145">
        <v>45512</v>
      </c>
      <c r="AI161" s="147"/>
      <c r="AJ161" s="147"/>
      <c r="AK161" s="104"/>
      <c r="AL161" s="81"/>
      <c r="AM161" s="81"/>
      <c r="AN161" s="81"/>
      <c r="AO161" s="78"/>
      <c r="AP161" s="78"/>
      <c r="AQ161" s="78"/>
      <c r="AR161" s="81"/>
      <c r="AS161" s="81"/>
      <c r="AT161" s="81"/>
      <c r="AU161" s="104"/>
      <c r="AV161" s="104"/>
      <c r="AW161" s="104"/>
      <c r="AX161" s="81"/>
      <c r="AY161" s="81"/>
      <c r="AZ161" s="81"/>
      <c r="BA161" s="78"/>
      <c r="BB161" s="78"/>
      <c r="BC161" s="78"/>
      <c r="BD161" s="81">
        <v>200</v>
      </c>
      <c r="BE161" s="81">
        <v>11.2</v>
      </c>
      <c r="BF161" s="81">
        <f t="shared" si="32"/>
        <v>2240</v>
      </c>
      <c r="BG161" s="104"/>
      <c r="BH161" s="104"/>
      <c r="BI161" s="104"/>
      <c r="BJ161" s="81"/>
      <c r="BK161" s="81"/>
      <c r="BL161" s="81"/>
      <c r="BM161" s="78"/>
      <c r="BN161" s="78"/>
      <c r="BO161" s="78"/>
      <c r="BP161" s="81"/>
      <c r="BQ161" s="81"/>
      <c r="BR161" s="81"/>
      <c r="BS161" s="146"/>
      <c r="BT161" s="146"/>
      <c r="BU161" s="146"/>
    </row>
    <row r="162" s="46" customFormat="1" spans="1:73">
      <c r="A162" s="129">
        <v>45513</v>
      </c>
      <c r="B162" s="130" t="s">
        <v>937</v>
      </c>
      <c r="C162" s="131">
        <v>1003</v>
      </c>
      <c r="D162" s="132"/>
      <c r="E162" s="81"/>
      <c r="F162" s="81"/>
      <c r="G162" s="81"/>
      <c r="H162" s="81">
        <v>-150</v>
      </c>
      <c r="I162" s="81"/>
      <c r="J162" s="81"/>
      <c r="K162" s="81"/>
      <c r="L162" s="81"/>
      <c r="M162" s="81"/>
      <c r="N162" s="81"/>
      <c r="O162" s="81"/>
      <c r="P162" s="81"/>
      <c r="Q162" s="81"/>
      <c r="R162" s="81">
        <v>-120</v>
      </c>
      <c r="S162" s="81">
        <v>-3</v>
      </c>
      <c r="T162" s="81">
        <v>-140</v>
      </c>
      <c r="U162" s="81">
        <v>-260</v>
      </c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145">
        <v>45513</v>
      </c>
      <c r="AI162" s="147"/>
      <c r="AJ162" s="147"/>
      <c r="AK162" s="104"/>
      <c r="AL162" s="81"/>
      <c r="AM162" s="81"/>
      <c r="AN162" s="81"/>
      <c r="AO162" s="78">
        <v>30</v>
      </c>
      <c r="AP162" s="78">
        <v>17</v>
      </c>
      <c r="AQ162" s="78">
        <f>AO162*AP162</f>
        <v>510</v>
      </c>
      <c r="AR162" s="81"/>
      <c r="AS162" s="81"/>
      <c r="AT162" s="81"/>
      <c r="AU162" s="104"/>
      <c r="AV162" s="104"/>
      <c r="AW162" s="104"/>
      <c r="AX162" s="81"/>
      <c r="AY162" s="81"/>
      <c r="AZ162" s="81"/>
      <c r="BA162" s="78"/>
      <c r="BB162" s="78"/>
      <c r="BC162" s="78"/>
      <c r="BD162" s="81">
        <v>100</v>
      </c>
      <c r="BE162" s="81">
        <v>11.2</v>
      </c>
      <c r="BF162" s="81">
        <f t="shared" si="32"/>
        <v>1120</v>
      </c>
      <c r="BG162" s="104"/>
      <c r="BH162" s="104"/>
      <c r="BI162" s="104"/>
      <c r="BJ162" s="81">
        <v>200</v>
      </c>
      <c r="BK162" s="81">
        <v>3.6</v>
      </c>
      <c r="BL162" s="81">
        <f>BJ162*BK162</f>
        <v>720</v>
      </c>
      <c r="BM162" s="78"/>
      <c r="BN162" s="78"/>
      <c r="BO162" s="78"/>
      <c r="BP162" s="81"/>
      <c r="BQ162" s="81"/>
      <c r="BR162" s="81"/>
      <c r="BS162" s="146"/>
      <c r="BT162" s="146"/>
      <c r="BU162" s="146"/>
    </row>
    <row r="163" s="46" customFormat="1" spans="1:73">
      <c r="A163" s="129">
        <v>45514</v>
      </c>
      <c r="B163" s="130" t="s">
        <v>1310</v>
      </c>
      <c r="C163" s="131">
        <v>500</v>
      </c>
      <c r="D163" s="132"/>
      <c r="E163" s="81">
        <v>-50</v>
      </c>
      <c r="F163" s="81"/>
      <c r="G163" s="81"/>
      <c r="H163" s="81">
        <v>-70</v>
      </c>
      <c r="I163" s="81"/>
      <c r="J163" s="81"/>
      <c r="K163" s="81"/>
      <c r="L163" s="81"/>
      <c r="M163" s="81"/>
      <c r="N163" s="81"/>
      <c r="O163" s="81">
        <v>-75</v>
      </c>
      <c r="P163" s="81"/>
      <c r="Q163" s="81"/>
      <c r="R163" s="81"/>
      <c r="S163" s="81"/>
      <c r="T163" s="81">
        <v>-70</v>
      </c>
      <c r="U163" s="81">
        <v>-160</v>
      </c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145">
        <v>45528</v>
      </c>
      <c r="AI163" s="147"/>
      <c r="AJ163" s="147"/>
      <c r="AK163" s="104"/>
      <c r="AL163" s="81"/>
      <c r="AM163" s="81"/>
      <c r="AN163" s="81"/>
      <c r="AO163" s="78"/>
      <c r="AP163" s="78"/>
      <c r="AQ163" s="78"/>
      <c r="AR163" s="81"/>
      <c r="AS163" s="81"/>
      <c r="AT163" s="81"/>
      <c r="AU163" s="104"/>
      <c r="AV163" s="104"/>
      <c r="AW163" s="104"/>
      <c r="AX163" s="81"/>
      <c r="AY163" s="81"/>
      <c r="AZ163" s="81"/>
      <c r="BA163" s="78"/>
      <c r="BB163" s="78"/>
      <c r="BC163" s="78"/>
      <c r="BD163" s="81">
        <v>75</v>
      </c>
      <c r="BE163" s="81">
        <v>11.2</v>
      </c>
      <c r="BF163" s="81">
        <f t="shared" si="32"/>
        <v>840</v>
      </c>
      <c r="BG163" s="104"/>
      <c r="BH163" s="104"/>
      <c r="BI163" s="104"/>
      <c r="BJ163" s="81"/>
      <c r="BK163" s="81"/>
      <c r="BL163" s="81"/>
      <c r="BM163" s="78"/>
      <c r="BN163" s="78"/>
      <c r="BO163" s="78"/>
      <c r="BP163" s="81"/>
      <c r="BQ163" s="81"/>
      <c r="BR163" s="81"/>
      <c r="BS163" s="146"/>
      <c r="BT163" s="146"/>
      <c r="BU163" s="146"/>
    </row>
    <row r="164" s="46" customFormat="1" spans="1:73">
      <c r="A164" s="129">
        <v>45528</v>
      </c>
      <c r="B164" s="137" t="s">
        <v>1311</v>
      </c>
      <c r="C164" s="131">
        <v>1275</v>
      </c>
      <c r="D164" s="132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145">
        <v>45528</v>
      </c>
      <c r="AI164" s="147"/>
      <c r="AJ164" s="147"/>
      <c r="AK164" s="104"/>
      <c r="AL164" s="81"/>
      <c r="AM164" s="81"/>
      <c r="AN164" s="81"/>
      <c r="AO164" s="78"/>
      <c r="AP164" s="78"/>
      <c r="AQ164" s="78"/>
      <c r="AR164" s="81"/>
      <c r="AS164" s="81"/>
      <c r="AT164" s="81"/>
      <c r="AU164" s="104"/>
      <c r="AV164" s="104"/>
      <c r="AW164" s="104"/>
      <c r="AX164" s="81"/>
      <c r="AY164" s="81"/>
      <c r="AZ164" s="81"/>
      <c r="BA164" s="78"/>
      <c r="BB164" s="78"/>
      <c r="BC164" s="78"/>
      <c r="BD164" s="81"/>
      <c r="BE164" s="81"/>
      <c r="BF164" s="81"/>
      <c r="BG164" s="104">
        <v>720</v>
      </c>
      <c r="BH164" s="104">
        <v>6.4</v>
      </c>
      <c r="BI164" s="104">
        <f>BG164*BH164</f>
        <v>4608</v>
      </c>
      <c r="BJ164" s="81"/>
      <c r="BK164" s="81"/>
      <c r="BL164" s="81"/>
      <c r="BM164" s="78"/>
      <c r="BN164" s="78"/>
      <c r="BO164" s="78"/>
      <c r="BP164" s="81">
        <v>180</v>
      </c>
      <c r="BQ164" s="81">
        <v>8.3</v>
      </c>
      <c r="BR164" s="81">
        <f>BP164*BQ164</f>
        <v>1494</v>
      </c>
      <c r="BS164" s="146"/>
      <c r="BT164" s="146"/>
      <c r="BU164" s="146"/>
    </row>
    <row r="165" s="46" customFormat="1" spans="1:73">
      <c r="A165" s="129">
        <v>45528</v>
      </c>
      <c r="B165" s="186" t="s">
        <v>1282</v>
      </c>
      <c r="C165" s="131"/>
      <c r="D165" s="132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138">
        <v>1275</v>
      </c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145">
        <v>45528</v>
      </c>
      <c r="AI165" s="147"/>
      <c r="AJ165" s="147"/>
      <c r="AK165" s="104"/>
      <c r="AL165" s="81"/>
      <c r="AM165" s="81"/>
      <c r="AN165" s="81"/>
      <c r="AO165" s="78"/>
      <c r="AP165" s="78"/>
      <c r="AQ165" s="78"/>
      <c r="AR165" s="81"/>
      <c r="AS165" s="81"/>
      <c r="AT165" s="81"/>
      <c r="AU165" s="104"/>
      <c r="AV165" s="104"/>
      <c r="AW165" s="104"/>
      <c r="AX165" s="81"/>
      <c r="AY165" s="81"/>
      <c r="AZ165" s="81"/>
      <c r="BA165" s="78"/>
      <c r="BB165" s="78"/>
      <c r="BC165" s="78"/>
      <c r="BD165" s="81"/>
      <c r="BE165" s="81"/>
      <c r="BF165" s="81"/>
      <c r="BG165" s="104"/>
      <c r="BH165" s="104"/>
      <c r="BI165" s="104"/>
      <c r="BJ165" s="81"/>
      <c r="BK165" s="81"/>
      <c r="BL165" s="81"/>
      <c r="BM165" s="78"/>
      <c r="BN165" s="78"/>
      <c r="BO165" s="78"/>
      <c r="BP165" s="81"/>
      <c r="BQ165" s="81"/>
      <c r="BR165" s="81"/>
      <c r="BS165" s="146"/>
      <c r="BT165" s="146"/>
      <c r="BU165" s="146"/>
    </row>
    <row r="166" s="46" customFormat="1" spans="1:73">
      <c r="A166" s="129">
        <v>45533</v>
      </c>
      <c r="B166" s="130" t="s">
        <v>1312</v>
      </c>
      <c r="C166" s="131">
        <v>378.6</v>
      </c>
      <c r="D166" s="132"/>
      <c r="E166" s="81"/>
      <c r="F166" s="81"/>
      <c r="G166" s="81"/>
      <c r="H166" s="81">
        <v>-64</v>
      </c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>
        <v>-3.6</v>
      </c>
      <c r="T166" s="81"/>
      <c r="U166" s="81"/>
      <c r="V166" s="81"/>
      <c r="W166" s="160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145">
        <v>45533</v>
      </c>
      <c r="AI166" s="147"/>
      <c r="AJ166" s="147"/>
      <c r="AK166" s="104"/>
      <c r="AL166" s="81"/>
      <c r="AM166" s="81"/>
      <c r="AN166" s="81"/>
      <c r="AO166" s="78"/>
      <c r="AP166" s="78"/>
      <c r="AQ166" s="78"/>
      <c r="AR166" s="81"/>
      <c r="AS166" s="81"/>
      <c r="AT166" s="81"/>
      <c r="AU166" s="104"/>
      <c r="AV166" s="104"/>
      <c r="AW166" s="104"/>
      <c r="AX166" s="81"/>
      <c r="AY166" s="81"/>
      <c r="AZ166" s="81"/>
      <c r="BA166" s="78"/>
      <c r="BB166" s="78"/>
      <c r="BC166" s="78"/>
      <c r="BD166" s="81">
        <v>40</v>
      </c>
      <c r="BE166" s="81">
        <v>10.7</v>
      </c>
      <c r="BF166" s="81">
        <f t="shared" ref="BF166:BF170" si="33">BD166*BE166</f>
        <v>428</v>
      </c>
      <c r="BG166" s="104">
        <v>65</v>
      </c>
      <c r="BH166" s="104">
        <v>6.2</v>
      </c>
      <c r="BI166" s="104">
        <f t="shared" ref="BI166:BI170" si="34">BG166*BH166</f>
        <v>403</v>
      </c>
      <c r="BJ166" s="81"/>
      <c r="BK166" s="81"/>
      <c r="BL166" s="81"/>
      <c r="BM166" s="78"/>
      <c r="BN166" s="78"/>
      <c r="BO166" s="78"/>
      <c r="BP166" s="81"/>
      <c r="BQ166" s="81"/>
      <c r="BR166" s="81"/>
      <c r="BS166" s="146"/>
      <c r="BT166" s="146"/>
      <c r="BU166" s="146"/>
    </row>
    <row r="167" s="46" customFormat="1" spans="1:73">
      <c r="A167" s="187">
        <v>45533</v>
      </c>
      <c r="B167" s="188" t="s">
        <v>1313</v>
      </c>
      <c r="C167" s="131"/>
      <c r="D167" s="132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189">
        <v>364</v>
      </c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145">
        <v>45533</v>
      </c>
      <c r="AI167" s="147"/>
      <c r="AJ167" s="147"/>
      <c r="AK167" s="104"/>
      <c r="AL167" s="81"/>
      <c r="AM167" s="81"/>
      <c r="AN167" s="81"/>
      <c r="AO167" s="78"/>
      <c r="AP167" s="78"/>
      <c r="AQ167" s="78"/>
      <c r="AR167" s="81"/>
      <c r="AS167" s="81"/>
      <c r="AT167" s="81"/>
      <c r="AU167" s="104"/>
      <c r="AV167" s="104"/>
      <c r="AW167" s="104"/>
      <c r="AX167" s="81"/>
      <c r="AY167" s="81"/>
      <c r="AZ167" s="81"/>
      <c r="BA167" s="78"/>
      <c r="BB167" s="78"/>
      <c r="BC167" s="78"/>
      <c r="BD167" s="81"/>
      <c r="BE167" s="81"/>
      <c r="BF167" s="81"/>
      <c r="BG167" s="104"/>
      <c r="BH167" s="104"/>
      <c r="BI167" s="104"/>
      <c r="BJ167" s="81"/>
      <c r="BK167" s="81"/>
      <c r="BL167" s="81"/>
      <c r="BM167" s="78"/>
      <c r="BN167" s="78"/>
      <c r="BO167" s="78"/>
      <c r="BP167" s="81"/>
      <c r="BQ167" s="81"/>
      <c r="BR167" s="81"/>
      <c r="BS167" s="146"/>
      <c r="BT167" s="146"/>
      <c r="BU167" s="146"/>
    </row>
    <row r="168" s="46" customFormat="1" spans="1:73">
      <c r="A168" s="129">
        <v>45535</v>
      </c>
      <c r="B168" s="130" t="s">
        <v>1314</v>
      </c>
      <c r="C168" s="131">
        <v>190.3</v>
      </c>
      <c r="D168" s="132"/>
      <c r="E168" s="81"/>
      <c r="F168" s="81"/>
      <c r="G168" s="81"/>
      <c r="H168" s="81">
        <v>-35</v>
      </c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>
        <v>-1.8</v>
      </c>
      <c r="T168" s="81"/>
      <c r="U168" s="81"/>
      <c r="V168" s="81"/>
      <c r="W168" s="160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145">
        <v>45535</v>
      </c>
      <c r="AI168" s="147"/>
      <c r="AJ168" s="147"/>
      <c r="AK168" s="104"/>
      <c r="AL168" s="81"/>
      <c r="AM168" s="81"/>
      <c r="AN168" s="81"/>
      <c r="AO168" s="78"/>
      <c r="AP168" s="78"/>
      <c r="AQ168" s="78"/>
      <c r="AR168" s="81"/>
      <c r="AS168" s="81"/>
      <c r="AT168" s="81"/>
      <c r="AU168" s="104"/>
      <c r="AV168" s="104"/>
      <c r="AW168" s="104"/>
      <c r="AX168" s="81"/>
      <c r="AY168" s="81"/>
      <c r="AZ168" s="81"/>
      <c r="BA168" s="78"/>
      <c r="BB168" s="78"/>
      <c r="BC168" s="78"/>
      <c r="BD168" s="81">
        <v>64</v>
      </c>
      <c r="BE168" s="81">
        <v>10.7</v>
      </c>
      <c r="BF168" s="81">
        <f t="shared" si="33"/>
        <v>684.8</v>
      </c>
      <c r="BG168" s="104">
        <v>63</v>
      </c>
      <c r="BH168" s="104">
        <v>6.2</v>
      </c>
      <c r="BI168" s="104">
        <f t="shared" si="34"/>
        <v>390.6</v>
      </c>
      <c r="BJ168" s="81"/>
      <c r="BK168" s="81"/>
      <c r="BL168" s="81"/>
      <c r="BM168" s="78"/>
      <c r="BN168" s="78"/>
      <c r="BO168" s="78"/>
      <c r="BP168" s="81"/>
      <c r="BQ168" s="81"/>
      <c r="BR168" s="81"/>
      <c r="BS168" s="146"/>
      <c r="BT168" s="146"/>
      <c r="BU168" s="146"/>
    </row>
    <row r="169" s="46" customFormat="1" spans="1:73">
      <c r="A169" s="187">
        <v>45535</v>
      </c>
      <c r="B169" s="190" t="s">
        <v>1315</v>
      </c>
      <c r="C169" s="131"/>
      <c r="D169" s="132"/>
      <c r="E169" s="81"/>
      <c r="F169" s="81"/>
      <c r="G169" s="81"/>
      <c r="H169" s="81"/>
      <c r="I169" s="81"/>
      <c r="J169" s="138"/>
      <c r="K169" s="189">
        <v>184</v>
      </c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145">
        <v>45535</v>
      </c>
      <c r="AI169" s="147"/>
      <c r="AJ169" s="147"/>
      <c r="AK169" s="104"/>
      <c r="AL169" s="81"/>
      <c r="AM169" s="81"/>
      <c r="AN169" s="81"/>
      <c r="AO169" s="78"/>
      <c r="AP169" s="78"/>
      <c r="AQ169" s="78"/>
      <c r="AR169" s="81"/>
      <c r="AS169" s="81"/>
      <c r="AT169" s="81"/>
      <c r="AU169" s="104"/>
      <c r="AV169" s="104"/>
      <c r="AW169" s="104"/>
      <c r="AX169" s="81"/>
      <c r="AY169" s="81"/>
      <c r="AZ169" s="81"/>
      <c r="BA169" s="78"/>
      <c r="BB169" s="78"/>
      <c r="BC169" s="78"/>
      <c r="BD169" s="81"/>
      <c r="BE169" s="81"/>
      <c r="BF169" s="81"/>
      <c r="BG169" s="104"/>
      <c r="BH169" s="104"/>
      <c r="BI169" s="104"/>
      <c r="BJ169" s="81"/>
      <c r="BK169" s="81"/>
      <c r="BL169" s="81"/>
      <c r="BM169" s="78"/>
      <c r="BN169" s="78"/>
      <c r="BO169" s="78"/>
      <c r="BP169" s="81"/>
      <c r="BQ169" s="81"/>
      <c r="BR169" s="81"/>
      <c r="BS169" s="146"/>
      <c r="BT169" s="146"/>
      <c r="BU169" s="146"/>
    </row>
    <row r="170" s="50" customFormat="1" spans="1:73">
      <c r="A170" s="191">
        <v>45535</v>
      </c>
      <c r="B170" s="192" t="s">
        <v>1316</v>
      </c>
      <c r="C170" s="131">
        <v>220.3</v>
      </c>
      <c r="D170" s="193"/>
      <c r="E170" s="146"/>
      <c r="F170" s="194"/>
      <c r="G170" s="195"/>
      <c r="H170" s="194">
        <v>-50</v>
      </c>
      <c r="I170" s="146"/>
      <c r="J170" s="194"/>
      <c r="K170" s="195"/>
      <c r="L170" s="194"/>
      <c r="M170" s="196"/>
      <c r="N170" s="146"/>
      <c r="O170" s="197"/>
      <c r="P170" s="198"/>
      <c r="Q170" s="194"/>
      <c r="R170" s="195"/>
      <c r="S170" s="194">
        <v>-1.8</v>
      </c>
      <c r="T170" s="146"/>
      <c r="U170" s="194"/>
      <c r="V170" s="199"/>
      <c r="W170" s="195"/>
      <c r="X170" s="194"/>
      <c r="Y170" s="146"/>
      <c r="Z170" s="194"/>
      <c r="AA170" s="195"/>
      <c r="AB170" s="194"/>
      <c r="AC170" s="146"/>
      <c r="AD170" s="194"/>
      <c r="AE170" s="195"/>
      <c r="AF170" s="200"/>
      <c r="AG170" s="145"/>
      <c r="AH170" s="145">
        <v>45535</v>
      </c>
      <c r="AI170" s="201"/>
      <c r="AJ170" s="202"/>
      <c r="AK170" s="194"/>
      <c r="AL170" s="194"/>
      <c r="AM170" s="194"/>
      <c r="AN170" s="195"/>
      <c r="AO170" s="195"/>
      <c r="AP170" s="195"/>
      <c r="AQ170" s="194"/>
      <c r="AR170" s="194"/>
      <c r="AS170" s="194"/>
      <c r="AT170" s="146"/>
      <c r="AU170" s="146"/>
      <c r="AV170" s="146"/>
      <c r="AW170" s="194"/>
      <c r="AX170" s="194"/>
      <c r="AY170" s="194"/>
      <c r="AZ170" s="195"/>
      <c r="BA170" s="195"/>
      <c r="BB170" s="195"/>
      <c r="BC170" s="194"/>
      <c r="BD170" s="194">
        <v>65</v>
      </c>
      <c r="BE170" s="81">
        <v>10.7</v>
      </c>
      <c r="BF170" s="81">
        <f t="shared" si="33"/>
        <v>695.5</v>
      </c>
      <c r="BG170" s="146">
        <v>77</v>
      </c>
      <c r="BH170" s="104">
        <v>6.2</v>
      </c>
      <c r="BI170" s="104">
        <f t="shared" si="34"/>
        <v>477.4</v>
      </c>
      <c r="BJ170" s="194"/>
      <c r="BK170" s="194"/>
      <c r="BL170" s="195"/>
      <c r="BM170" s="195"/>
      <c r="BN170" s="203"/>
      <c r="BO170" s="194"/>
      <c r="BP170" s="194"/>
      <c r="BQ170" s="194"/>
      <c r="BR170" s="146"/>
      <c r="BS170" s="146"/>
      <c r="BT170" s="146"/>
    </row>
    <row r="171" s="46" customFormat="1" spans="1:73">
      <c r="A171" s="129">
        <v>45535</v>
      </c>
      <c r="B171" s="130" t="s">
        <v>1317</v>
      </c>
      <c r="C171" s="131"/>
      <c r="D171" s="132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>
        <v>213</v>
      </c>
      <c r="Z171" s="81"/>
      <c r="AA171" s="81"/>
      <c r="AB171" s="81"/>
      <c r="AC171" s="81"/>
      <c r="AD171" s="81"/>
      <c r="AE171" s="81"/>
      <c r="AF171" s="81"/>
      <c r="AG171" s="81"/>
      <c r="AH171" s="145"/>
      <c r="AI171" s="147"/>
      <c r="AJ171" s="147"/>
      <c r="AK171" s="104"/>
      <c r="AL171" s="81"/>
      <c r="AM171" s="81"/>
      <c r="AN171" s="81"/>
      <c r="AO171" s="78"/>
      <c r="AP171" s="78"/>
      <c r="AQ171" s="78"/>
      <c r="AR171" s="81"/>
      <c r="AS171" s="81"/>
      <c r="AT171" s="81"/>
      <c r="AU171" s="104"/>
      <c r="AV171" s="104"/>
      <c r="AW171" s="104"/>
      <c r="AX171" s="81"/>
      <c r="AY171" s="81"/>
      <c r="AZ171" s="81"/>
      <c r="BA171" s="78"/>
      <c r="BB171" s="78"/>
      <c r="BC171" s="78"/>
      <c r="BD171" s="81"/>
      <c r="BE171" s="81"/>
      <c r="BF171" s="81"/>
      <c r="BG171" s="104"/>
      <c r="BH171" s="104"/>
      <c r="BI171" s="104"/>
      <c r="BJ171" s="81"/>
      <c r="BK171" s="81"/>
      <c r="BL171" s="81"/>
      <c r="BM171" s="78"/>
      <c r="BN171" s="78"/>
      <c r="BO171" s="78"/>
      <c r="BP171" s="81"/>
      <c r="BQ171" s="81"/>
      <c r="BR171" s="81"/>
      <c r="BS171" s="146"/>
      <c r="BT171" s="146"/>
      <c r="BU171" s="146"/>
    </row>
    <row r="172" s="46" customFormat="1" spans="1:73">
      <c r="A172" s="129"/>
      <c r="B172" s="130"/>
      <c r="C172" s="131"/>
      <c r="D172" s="132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145"/>
      <c r="AI172" s="147"/>
      <c r="AJ172" s="147"/>
      <c r="AK172" s="104"/>
      <c r="AL172" s="81"/>
      <c r="AM172" s="81"/>
      <c r="AN172" s="81"/>
      <c r="AO172" s="78"/>
      <c r="AP172" s="78"/>
      <c r="AQ172" s="78"/>
      <c r="AR172" s="81"/>
      <c r="AS172" s="81"/>
      <c r="AT172" s="81"/>
      <c r="AU172" s="104"/>
      <c r="AV172" s="104"/>
      <c r="AW172" s="104"/>
      <c r="AX172" s="81"/>
      <c r="AY172" s="81"/>
      <c r="AZ172" s="81"/>
      <c r="BA172" s="78"/>
      <c r="BB172" s="78"/>
      <c r="BC172" s="78"/>
      <c r="BD172" s="81"/>
      <c r="BE172" s="81"/>
      <c r="BF172" s="81"/>
      <c r="BG172" s="104"/>
      <c r="BH172" s="104"/>
      <c r="BI172" s="104"/>
      <c r="BJ172" s="81"/>
      <c r="BK172" s="81"/>
      <c r="BL172" s="81"/>
      <c r="BM172" s="78"/>
      <c r="BN172" s="78"/>
      <c r="BO172" s="78"/>
      <c r="BP172" s="81"/>
      <c r="BQ172" s="81"/>
      <c r="BR172" s="81"/>
      <c r="BS172" s="146"/>
      <c r="BT172" s="146"/>
      <c r="BU172" s="146"/>
    </row>
    <row r="173" s="46" customFormat="1" spans="1:73">
      <c r="A173" s="129"/>
      <c r="B173" s="130"/>
      <c r="C173" s="131">
        <f>SUM(C160:C172)</f>
        <v>5567.2</v>
      </c>
      <c r="D173" s="132">
        <f t="shared" ref="D173:BP173" si="35">SUM(D159:D172)</f>
        <v>0</v>
      </c>
      <c r="E173" s="81">
        <f t="shared" si="35"/>
        <v>392</v>
      </c>
      <c r="F173" s="81">
        <f t="shared" si="35"/>
        <v>0</v>
      </c>
      <c r="G173" s="81">
        <f t="shared" si="35"/>
        <v>0</v>
      </c>
      <c r="H173" s="81">
        <f t="shared" si="35"/>
        <v>-3527.6</v>
      </c>
      <c r="I173" s="81">
        <f t="shared" si="35"/>
        <v>666.5</v>
      </c>
      <c r="J173" s="81">
        <f t="shared" si="35"/>
        <v>727</v>
      </c>
      <c r="K173" s="81">
        <f t="shared" si="35"/>
        <v>184</v>
      </c>
      <c r="L173" s="81">
        <f t="shared" si="35"/>
        <v>0</v>
      </c>
      <c r="M173" s="81">
        <f t="shared" si="35"/>
        <v>0</v>
      </c>
      <c r="N173" s="81">
        <f t="shared" si="35"/>
        <v>0</v>
      </c>
      <c r="O173" s="81">
        <f t="shared" si="35"/>
        <v>348</v>
      </c>
      <c r="P173" s="81">
        <f t="shared" si="35"/>
        <v>189</v>
      </c>
      <c r="Q173" s="81">
        <f t="shared" si="35"/>
        <v>0</v>
      </c>
      <c r="R173" s="81">
        <f t="shared" si="35"/>
        <v>125</v>
      </c>
      <c r="S173" s="81">
        <f t="shared" si="35"/>
        <v>15.5</v>
      </c>
      <c r="T173" s="81">
        <f t="shared" si="35"/>
        <v>1563.6</v>
      </c>
      <c r="U173" s="81">
        <f t="shared" si="35"/>
        <v>558</v>
      </c>
      <c r="V173" s="81">
        <f t="shared" si="35"/>
        <v>141</v>
      </c>
      <c r="W173" s="81">
        <f t="shared" si="35"/>
        <v>0</v>
      </c>
      <c r="X173" s="81">
        <f t="shared" si="35"/>
        <v>16.5</v>
      </c>
      <c r="Y173" s="81">
        <f t="shared" si="35"/>
        <v>213</v>
      </c>
      <c r="Z173" s="81">
        <f t="shared" si="35"/>
        <v>0</v>
      </c>
      <c r="AA173" s="81">
        <f t="shared" si="35"/>
        <v>0</v>
      </c>
      <c r="AB173" s="81">
        <f t="shared" si="35"/>
        <v>0</v>
      </c>
      <c r="AC173" s="81">
        <f t="shared" si="35"/>
        <v>14</v>
      </c>
      <c r="AD173" s="81">
        <f t="shared" si="35"/>
        <v>0</v>
      </c>
      <c r="AE173" s="81">
        <f t="shared" si="35"/>
        <v>0</v>
      </c>
      <c r="AF173" s="81">
        <f t="shared" si="35"/>
        <v>0</v>
      </c>
      <c r="AG173" s="81">
        <f t="shared" si="35"/>
        <v>0</v>
      </c>
      <c r="AH173" s="145">
        <f t="shared" si="35"/>
        <v>500792</v>
      </c>
      <c r="AI173" s="147">
        <f t="shared" si="35"/>
        <v>0</v>
      </c>
      <c r="AJ173" s="147"/>
      <c r="AK173" s="104">
        <f t="shared" si="35"/>
        <v>0</v>
      </c>
      <c r="AL173" s="81">
        <f t="shared" si="35"/>
        <v>0</v>
      </c>
      <c r="AM173" s="81"/>
      <c r="AN173" s="81">
        <f t="shared" si="35"/>
        <v>0</v>
      </c>
      <c r="AO173" s="78">
        <f t="shared" si="35"/>
        <v>30</v>
      </c>
      <c r="AP173" s="78"/>
      <c r="AQ173" s="78">
        <f t="shared" si="35"/>
        <v>510</v>
      </c>
      <c r="AR173" s="81">
        <f t="shared" si="35"/>
        <v>0</v>
      </c>
      <c r="AS173" s="81"/>
      <c r="AT173" s="81">
        <f t="shared" si="35"/>
        <v>0</v>
      </c>
      <c r="AU173" s="104">
        <f t="shared" si="35"/>
        <v>0</v>
      </c>
      <c r="AV173" s="104"/>
      <c r="AW173" s="104">
        <f t="shared" si="35"/>
        <v>0</v>
      </c>
      <c r="AX173" s="81">
        <f t="shared" si="35"/>
        <v>0</v>
      </c>
      <c r="AY173" s="81"/>
      <c r="AZ173" s="81">
        <f t="shared" si="35"/>
        <v>0</v>
      </c>
      <c r="BA173" s="78">
        <f t="shared" si="35"/>
        <v>0</v>
      </c>
      <c r="BB173" s="78"/>
      <c r="BC173" s="78">
        <f t="shared" si="35"/>
        <v>0</v>
      </c>
      <c r="BD173" s="81">
        <f t="shared" si="35"/>
        <v>569</v>
      </c>
      <c r="BE173" s="81"/>
      <c r="BF173" s="81">
        <f t="shared" si="35"/>
        <v>6288.3</v>
      </c>
      <c r="BG173" s="104">
        <f t="shared" si="35"/>
        <v>925</v>
      </c>
      <c r="BH173" s="104"/>
      <c r="BI173" s="104">
        <f t="shared" si="35"/>
        <v>5879</v>
      </c>
      <c r="BJ173" s="81">
        <f t="shared" si="35"/>
        <v>200</v>
      </c>
      <c r="BK173" s="81"/>
      <c r="BL173" s="81">
        <f t="shared" si="35"/>
        <v>720</v>
      </c>
      <c r="BM173" s="78">
        <f t="shared" si="35"/>
        <v>0</v>
      </c>
      <c r="BN173" s="78"/>
      <c r="BO173" s="78">
        <f t="shared" si="35"/>
        <v>0</v>
      </c>
      <c r="BP173" s="81">
        <f t="shared" si="35"/>
        <v>180</v>
      </c>
      <c r="BQ173" s="81"/>
      <c r="BR173" s="81">
        <f>SUM(BR159:BR172)</f>
        <v>1494</v>
      </c>
      <c r="BS173" s="146">
        <f>SUM(BS159:BS172)</f>
        <v>0</v>
      </c>
      <c r="BT173" s="146"/>
      <c r="BU173" s="146">
        <f>SUM(BU159:BU172)</f>
        <v>0</v>
      </c>
    </row>
    <row r="174" s="12" customFormat="1" spans="1:73">
      <c r="A174" s="204"/>
      <c r="B174" s="205"/>
      <c r="C174" s="206"/>
      <c r="D174" s="207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81"/>
      <c r="AH174" s="208"/>
      <c r="AI174" s="74"/>
      <c r="AJ174" s="74"/>
      <c r="AK174" s="75"/>
      <c r="AL174" s="72"/>
      <c r="AM174" s="72"/>
      <c r="AN174" s="72"/>
      <c r="AO174" s="77"/>
      <c r="AP174" s="77"/>
      <c r="AQ174" s="77"/>
      <c r="AR174" s="72"/>
      <c r="AS174" s="72"/>
      <c r="AT174" s="72"/>
      <c r="AU174" s="75"/>
      <c r="AV174" s="75"/>
      <c r="AW174" s="75"/>
      <c r="AX174" s="72"/>
      <c r="AY174" s="72"/>
      <c r="AZ174" s="72"/>
      <c r="BA174" s="77"/>
      <c r="BB174" s="77"/>
      <c r="BC174" s="77"/>
      <c r="BD174" s="72"/>
      <c r="BE174" s="72"/>
      <c r="BF174" s="72"/>
      <c r="BG174" s="75"/>
      <c r="BH174" s="75"/>
      <c r="BI174" s="75"/>
      <c r="BJ174" s="72"/>
      <c r="BK174" s="72"/>
      <c r="BL174" s="72"/>
      <c r="BM174" s="77"/>
      <c r="BN174" s="77"/>
      <c r="BO174" s="78"/>
      <c r="BP174" s="81"/>
      <c r="BQ174" s="81"/>
      <c r="BR174" s="209"/>
      <c r="BS174" s="210"/>
      <c r="BT174" s="210"/>
      <c r="BU174" s="210"/>
    </row>
    <row r="175" s="11" customFormat="1" ht="33" customHeight="1" spans="1:73">
      <c r="A175" s="72" t="s">
        <v>1318</v>
      </c>
      <c r="B175" s="72"/>
      <c r="C175" s="72"/>
      <c r="D175" s="207"/>
      <c r="E175" s="72"/>
      <c r="F175" s="72"/>
      <c r="G175" s="72"/>
      <c r="H175" s="72"/>
      <c r="I175" s="72"/>
      <c r="J175" s="72"/>
      <c r="K175" s="72"/>
      <c r="L175" s="72"/>
      <c r="M175" s="76"/>
      <c r="N175" s="72"/>
      <c r="O175" s="211"/>
      <c r="P175" s="212"/>
      <c r="Q175" s="72"/>
      <c r="R175" s="72"/>
      <c r="S175" s="72"/>
      <c r="T175" s="213"/>
      <c r="U175" s="214" t="s">
        <v>1319</v>
      </c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3"/>
      <c r="AH175" s="74"/>
      <c r="AI175" s="74"/>
      <c r="AJ175" s="75"/>
      <c r="AK175" s="75"/>
      <c r="AL175" s="72" t="s">
        <v>908</v>
      </c>
      <c r="AM175" s="72"/>
      <c r="AN175" s="72"/>
      <c r="AO175" s="76"/>
      <c r="AP175" s="76"/>
      <c r="AQ175" s="77">
        <f>AK206+AN206+AQ206+AT206+AW206+AZ206+BC206+BF206+BI206+BL206+BO206+BR206+BU206</f>
        <v>53467</v>
      </c>
      <c r="AR175" s="77"/>
      <c r="AS175" s="72"/>
      <c r="AT175" s="72"/>
      <c r="AU175" s="75"/>
      <c r="AV175" s="75"/>
      <c r="AW175" s="75"/>
      <c r="AX175" s="72"/>
      <c r="AY175" s="72"/>
      <c r="AZ175" s="72"/>
      <c r="BA175" s="77"/>
      <c r="BB175" s="77"/>
      <c r="BC175" s="77"/>
      <c r="BD175" s="72"/>
      <c r="BE175" s="72"/>
      <c r="BF175" s="72"/>
      <c r="BG175" s="75"/>
      <c r="BH175" s="75"/>
      <c r="BI175" s="75"/>
      <c r="BJ175" s="72"/>
      <c r="BK175" s="72"/>
      <c r="BL175" s="72"/>
      <c r="BM175" s="77"/>
      <c r="BN175" s="77"/>
      <c r="BO175" s="78"/>
      <c r="BP175" s="79"/>
      <c r="BQ175" s="79"/>
      <c r="BR175" s="80"/>
    </row>
    <row r="176" s="12" customFormat="1" ht="27" customHeight="1" spans="1:73">
      <c r="A176" s="81" t="s">
        <v>35</v>
      </c>
      <c r="B176" s="82" t="s">
        <v>909</v>
      </c>
      <c r="C176" s="83"/>
      <c r="D176" s="84" t="s">
        <v>648</v>
      </c>
      <c r="E176" s="85" t="s">
        <v>240</v>
      </c>
      <c r="F176" s="182" t="s">
        <v>1308</v>
      </c>
      <c r="G176" s="87" t="s">
        <v>315</v>
      </c>
      <c r="H176" s="88" t="s">
        <v>316</v>
      </c>
      <c r="I176" s="89" t="s">
        <v>704</v>
      </c>
      <c r="J176" s="90" t="s">
        <v>1203</v>
      </c>
      <c r="K176" s="89"/>
      <c r="L176" s="88" t="s">
        <v>1205</v>
      </c>
      <c r="M176" s="92" t="s">
        <v>542</v>
      </c>
      <c r="N176" s="93" t="s">
        <v>1206</v>
      </c>
      <c r="O176" s="94" t="s">
        <v>342</v>
      </c>
      <c r="P176" s="95" t="s">
        <v>977</v>
      </c>
      <c r="Q176" s="96" t="s">
        <v>1207</v>
      </c>
      <c r="R176" s="92" t="s">
        <v>1208</v>
      </c>
      <c r="S176" s="88" t="s">
        <v>1209</v>
      </c>
      <c r="T176" s="89" t="s">
        <v>149</v>
      </c>
      <c r="U176" s="183" t="s">
        <v>298</v>
      </c>
      <c r="V176" s="89" t="s">
        <v>957</v>
      </c>
      <c r="W176" s="99">
        <v>5014</v>
      </c>
      <c r="X176" s="88" t="s">
        <v>1210</v>
      </c>
      <c r="Y176" s="92" t="s">
        <v>1293</v>
      </c>
      <c r="Z176" s="90" t="s">
        <v>1212</v>
      </c>
      <c r="AA176" s="89" t="s">
        <v>872</v>
      </c>
      <c r="AB176" s="101" t="s">
        <v>896</v>
      </c>
      <c r="AC176" s="89" t="s">
        <v>1213</v>
      </c>
      <c r="AD176" s="94" t="s">
        <v>1214</v>
      </c>
      <c r="AE176" s="89" t="s">
        <v>199</v>
      </c>
      <c r="AF176" s="101" t="s">
        <v>1215</v>
      </c>
      <c r="AG176" s="102" t="s">
        <v>1216</v>
      </c>
      <c r="AH176" s="73" t="s">
        <v>35</v>
      </c>
      <c r="AI176" s="74" t="s">
        <v>289</v>
      </c>
      <c r="AJ176" s="74"/>
      <c r="AK176" s="103"/>
      <c r="AL176" s="81" t="s">
        <v>466</v>
      </c>
      <c r="AM176" s="81"/>
      <c r="AN176" s="81"/>
      <c r="AO176" s="78" t="s">
        <v>191</v>
      </c>
      <c r="AP176" s="78"/>
      <c r="AQ176" s="78"/>
      <c r="AR176" s="81" t="s">
        <v>911</v>
      </c>
      <c r="AS176" s="81"/>
      <c r="AT176" s="81"/>
      <c r="AU176" s="104" t="s">
        <v>912</v>
      </c>
      <c r="AV176" s="104"/>
      <c r="AW176" s="104"/>
      <c r="AX176" s="81" t="s">
        <v>984</v>
      </c>
      <c r="AY176" s="81"/>
      <c r="AZ176" s="81"/>
      <c r="BA176" s="78" t="s">
        <v>960</v>
      </c>
      <c r="BB176" s="78"/>
      <c r="BC176" s="78"/>
      <c r="BD176" s="81">
        <v>808</v>
      </c>
      <c r="BE176" s="81"/>
      <c r="BF176" s="81"/>
      <c r="BG176" s="104" t="s">
        <v>125</v>
      </c>
      <c r="BH176" s="104"/>
      <c r="BI176" s="104"/>
      <c r="BJ176" s="81" t="s">
        <v>132</v>
      </c>
      <c r="BK176" s="81"/>
      <c r="BL176" s="81"/>
      <c r="BM176" s="78">
        <v>811</v>
      </c>
      <c r="BN176" s="78"/>
      <c r="BO176" s="105"/>
      <c r="BP176" s="81" t="s">
        <v>152</v>
      </c>
      <c r="BQ176" s="81"/>
      <c r="BR176" s="81"/>
      <c r="BS176" s="106" t="s">
        <v>12</v>
      </c>
      <c r="BT176" s="107"/>
      <c r="BU176" s="108"/>
    </row>
    <row r="177" s="12" customFormat="1" ht="27" customHeight="1" spans="1:73">
      <c r="A177" s="81"/>
      <c r="B177" s="82" t="s">
        <v>914</v>
      </c>
      <c r="C177" s="83" t="s">
        <v>915</v>
      </c>
      <c r="D177" s="109"/>
      <c r="E177" s="110"/>
      <c r="F177" s="184"/>
      <c r="G177" s="112"/>
      <c r="H177" s="88"/>
      <c r="I177" s="89"/>
      <c r="J177" s="90"/>
      <c r="K177" s="89"/>
      <c r="L177" s="88"/>
      <c r="M177" s="92"/>
      <c r="N177" s="113"/>
      <c r="O177" s="94"/>
      <c r="P177" s="114"/>
      <c r="Q177" s="96"/>
      <c r="R177" s="92"/>
      <c r="S177" s="88"/>
      <c r="T177" s="89"/>
      <c r="U177" s="185"/>
      <c r="V177" s="89"/>
      <c r="W177" s="116"/>
      <c r="X177" s="88"/>
      <c r="Y177" s="92"/>
      <c r="Z177" s="90"/>
      <c r="AA177" s="89"/>
      <c r="AB177" s="101"/>
      <c r="AC177" s="89"/>
      <c r="AD177" s="94"/>
      <c r="AE177" s="89"/>
      <c r="AF177" s="101"/>
      <c r="AG177" s="102"/>
      <c r="AH177" s="73"/>
      <c r="AI177" s="117" t="s">
        <v>916</v>
      </c>
      <c r="AJ177" s="118" t="s">
        <v>917</v>
      </c>
      <c r="AK177" s="81" t="s">
        <v>918</v>
      </c>
      <c r="AL177" s="81" t="s">
        <v>916</v>
      </c>
      <c r="AM177" s="81" t="s">
        <v>917</v>
      </c>
      <c r="AN177" s="81" t="s">
        <v>918</v>
      </c>
      <c r="AO177" s="78" t="s">
        <v>916</v>
      </c>
      <c r="AP177" s="78" t="s">
        <v>917</v>
      </c>
      <c r="AQ177" s="78" t="s">
        <v>918</v>
      </c>
      <c r="AR177" s="81" t="s">
        <v>916</v>
      </c>
      <c r="AS177" s="81" t="s">
        <v>917</v>
      </c>
      <c r="AT177" s="81" t="s">
        <v>918</v>
      </c>
      <c r="AU177" s="104" t="s">
        <v>916</v>
      </c>
      <c r="AV177" s="104" t="s">
        <v>917</v>
      </c>
      <c r="AW177" s="104" t="s">
        <v>918</v>
      </c>
      <c r="AX177" s="81" t="s">
        <v>916</v>
      </c>
      <c r="AY177" s="81" t="s">
        <v>917</v>
      </c>
      <c r="AZ177" s="81" t="s">
        <v>918</v>
      </c>
      <c r="BA177" s="78" t="s">
        <v>916</v>
      </c>
      <c r="BB177" s="78" t="s">
        <v>917</v>
      </c>
      <c r="BC177" s="78" t="s">
        <v>918</v>
      </c>
      <c r="BD177" s="81" t="s">
        <v>916</v>
      </c>
      <c r="BE177" s="81" t="s">
        <v>917</v>
      </c>
      <c r="BF177" s="81" t="s">
        <v>918</v>
      </c>
      <c r="BG177" s="104" t="s">
        <v>916</v>
      </c>
      <c r="BH177" s="104" t="s">
        <v>917</v>
      </c>
      <c r="BI177" s="104" t="s">
        <v>918</v>
      </c>
      <c r="BJ177" s="81" t="s">
        <v>916</v>
      </c>
      <c r="BK177" s="81" t="s">
        <v>917</v>
      </c>
      <c r="BL177" s="81" t="s">
        <v>918</v>
      </c>
      <c r="BM177" s="78" t="s">
        <v>916</v>
      </c>
      <c r="BN177" s="78" t="s">
        <v>917</v>
      </c>
      <c r="BO177" s="105" t="s">
        <v>918</v>
      </c>
      <c r="BP177" s="81" t="s">
        <v>916</v>
      </c>
      <c r="BQ177" s="81" t="s">
        <v>917</v>
      </c>
      <c r="BR177" s="81" t="s">
        <v>918</v>
      </c>
      <c r="BS177" s="104" t="s">
        <v>916</v>
      </c>
      <c r="BT177" s="104" t="s">
        <v>917</v>
      </c>
      <c r="BU177" s="104" t="s">
        <v>918</v>
      </c>
    </row>
    <row r="178" s="46" customFormat="1" spans="1:73">
      <c r="A178" s="129" t="s">
        <v>750</v>
      </c>
      <c r="B178" s="137" t="s">
        <v>1320</v>
      </c>
      <c r="C178" s="131"/>
      <c r="D178" s="132">
        <f t="shared" ref="D178:AG178" si="36">D258</f>
        <v>0</v>
      </c>
      <c r="E178" s="132">
        <f t="shared" si="36"/>
        <v>44.5</v>
      </c>
      <c r="F178" s="132">
        <v>300</v>
      </c>
      <c r="G178" s="132">
        <f t="shared" si="36"/>
        <v>0</v>
      </c>
      <c r="H178" s="132">
        <f t="shared" si="36"/>
        <v>-1318.8</v>
      </c>
      <c r="I178" s="132">
        <f t="shared" si="36"/>
        <v>1166.5</v>
      </c>
      <c r="J178" s="132">
        <f t="shared" si="36"/>
        <v>827</v>
      </c>
      <c r="K178" s="132">
        <f t="shared" si="36"/>
        <v>0</v>
      </c>
      <c r="L178" s="132">
        <f t="shared" si="36"/>
        <v>0</v>
      </c>
      <c r="M178" s="132">
        <f t="shared" si="36"/>
        <v>0</v>
      </c>
      <c r="N178" s="132">
        <f t="shared" si="36"/>
        <v>0</v>
      </c>
      <c r="O178" s="132">
        <f t="shared" si="36"/>
        <v>59</v>
      </c>
      <c r="P178" s="132">
        <f t="shared" si="36"/>
        <v>843</v>
      </c>
      <c r="Q178" s="132">
        <f t="shared" si="36"/>
        <v>0</v>
      </c>
      <c r="R178" s="132">
        <f t="shared" si="36"/>
        <v>569</v>
      </c>
      <c r="S178" s="132">
        <f t="shared" si="36"/>
        <v>31.7</v>
      </c>
      <c r="T178" s="132">
        <f t="shared" si="36"/>
        <v>357.6</v>
      </c>
      <c r="U178" s="215">
        <v>610</v>
      </c>
      <c r="V178" s="132">
        <f t="shared" si="36"/>
        <v>141</v>
      </c>
      <c r="W178" s="132">
        <f t="shared" si="36"/>
        <v>0</v>
      </c>
      <c r="X178" s="132">
        <f t="shared" si="36"/>
        <v>16.5</v>
      </c>
      <c r="Y178" s="132">
        <f t="shared" si="36"/>
        <v>0</v>
      </c>
      <c r="Z178" s="132">
        <f t="shared" si="36"/>
        <v>0</v>
      </c>
      <c r="AA178" s="132">
        <f t="shared" si="36"/>
        <v>0</v>
      </c>
      <c r="AB178" s="132">
        <f t="shared" si="36"/>
        <v>0</v>
      </c>
      <c r="AC178" s="132">
        <f t="shared" si="36"/>
        <v>14</v>
      </c>
      <c r="AD178" s="132">
        <f t="shared" si="36"/>
        <v>0</v>
      </c>
      <c r="AE178" s="132">
        <f t="shared" si="36"/>
        <v>0</v>
      </c>
      <c r="AF178" s="132">
        <f t="shared" si="36"/>
        <v>0</v>
      </c>
      <c r="AG178" s="132">
        <f t="shared" si="36"/>
        <v>0</v>
      </c>
      <c r="AH178" s="145"/>
      <c r="AI178" s="147"/>
      <c r="AJ178" s="147"/>
      <c r="AK178" s="104"/>
      <c r="AL178" s="81"/>
      <c r="AM178" s="81"/>
      <c r="AN178" s="81"/>
      <c r="AO178" s="78"/>
      <c r="AP178" s="78"/>
      <c r="AQ178" s="78"/>
      <c r="AR178" s="81"/>
      <c r="AS178" s="81"/>
      <c r="AT178" s="81"/>
      <c r="AU178" s="104"/>
      <c r="AV178" s="104"/>
      <c r="AW178" s="104"/>
      <c r="AX178" s="81"/>
      <c r="AY178" s="81"/>
      <c r="AZ178" s="81"/>
      <c r="BA178" s="78"/>
      <c r="BB178" s="78"/>
      <c r="BC178" s="78"/>
      <c r="BD178" s="81"/>
      <c r="BE178" s="81"/>
      <c r="BF178" s="81"/>
      <c r="BG178" s="104"/>
      <c r="BH178" s="104"/>
      <c r="BI178" s="104"/>
      <c r="BJ178" s="81"/>
      <c r="BK178" s="81"/>
      <c r="BL178" s="81"/>
      <c r="BM178" s="78"/>
      <c r="BN178" s="78"/>
      <c r="BO178" s="78"/>
      <c r="BP178" s="81"/>
      <c r="BQ178" s="81"/>
      <c r="BR178" s="81"/>
      <c r="BS178" s="146"/>
      <c r="BT178" s="146"/>
      <c r="BU178" s="146"/>
    </row>
    <row r="179" s="46" customFormat="1" spans="1:73">
      <c r="A179" s="129">
        <v>45474</v>
      </c>
      <c r="B179" s="130" t="s">
        <v>1321</v>
      </c>
      <c r="C179" s="131">
        <v>1000</v>
      </c>
      <c r="D179" s="132"/>
      <c r="E179" s="81"/>
      <c r="F179" s="81"/>
      <c r="G179" s="81"/>
      <c r="H179" s="81">
        <v>-150</v>
      </c>
      <c r="I179" s="81"/>
      <c r="J179" s="81"/>
      <c r="K179" s="81"/>
      <c r="L179" s="81"/>
      <c r="M179" s="81"/>
      <c r="N179" s="81"/>
      <c r="O179" s="81"/>
      <c r="P179" s="81">
        <v>-150</v>
      </c>
      <c r="Q179" s="81"/>
      <c r="R179" s="81"/>
      <c r="S179" s="81"/>
      <c r="T179" s="81">
        <v>-200</v>
      </c>
      <c r="U179" s="160">
        <v>-450</v>
      </c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145">
        <v>45474</v>
      </c>
      <c r="AI179" s="147"/>
      <c r="AJ179" s="147"/>
      <c r="AK179" s="104"/>
      <c r="AL179" s="81"/>
      <c r="AM179" s="81"/>
      <c r="AN179" s="81"/>
      <c r="AO179" s="78"/>
      <c r="AP179" s="78"/>
      <c r="AQ179" s="78"/>
      <c r="AR179" s="81"/>
      <c r="AS179" s="81"/>
      <c r="AT179" s="81"/>
      <c r="AU179" s="104"/>
      <c r="AV179" s="104"/>
      <c r="AW179" s="104"/>
      <c r="AX179" s="81"/>
      <c r="AY179" s="81"/>
      <c r="AZ179" s="81"/>
      <c r="BA179" s="78"/>
      <c r="BB179" s="78"/>
      <c r="BC179" s="78"/>
      <c r="BD179" s="81">
        <v>50</v>
      </c>
      <c r="BE179" s="81">
        <v>11</v>
      </c>
      <c r="BF179" s="81">
        <f t="shared" ref="BF179:BF182" si="37">BD179*BE179</f>
        <v>550</v>
      </c>
      <c r="BG179" s="104"/>
      <c r="BH179" s="104"/>
      <c r="BI179" s="104"/>
      <c r="BJ179" s="81"/>
      <c r="BK179" s="81"/>
      <c r="BL179" s="81"/>
      <c r="BM179" s="78"/>
      <c r="BN179" s="78"/>
      <c r="BO179" s="78"/>
      <c r="BP179" s="81"/>
      <c r="BQ179" s="81"/>
      <c r="BR179" s="81"/>
      <c r="BS179" s="146"/>
      <c r="BT179" s="146"/>
      <c r="BU179" s="146"/>
    </row>
    <row r="180" s="46" customFormat="1" spans="1:73">
      <c r="A180" s="129">
        <v>45474</v>
      </c>
      <c r="B180" s="130" t="s">
        <v>944</v>
      </c>
      <c r="C180" s="131">
        <v>500</v>
      </c>
      <c r="D180" s="132"/>
      <c r="E180" s="81"/>
      <c r="F180" s="104"/>
      <c r="G180" s="81"/>
      <c r="H180" s="78">
        <v>-150</v>
      </c>
      <c r="I180" s="81"/>
      <c r="J180" s="104"/>
      <c r="K180" s="81"/>
      <c r="L180" s="78"/>
      <c r="M180" s="81"/>
      <c r="N180" s="133"/>
      <c r="O180" s="104"/>
      <c r="P180" s="131"/>
      <c r="Q180" s="134"/>
      <c r="R180" s="81"/>
      <c r="S180" s="78"/>
      <c r="T180" s="81">
        <v>-85</v>
      </c>
      <c r="U180" s="135">
        <v>-160</v>
      </c>
      <c r="V180" s="81"/>
      <c r="W180" s="136"/>
      <c r="X180" s="78"/>
      <c r="Y180" s="81"/>
      <c r="Z180" s="104"/>
      <c r="AA180" s="81"/>
      <c r="AB180" s="78"/>
      <c r="AC180" s="81"/>
      <c r="AD180" s="104"/>
      <c r="AE180" s="81"/>
      <c r="AF180" s="78"/>
      <c r="AG180" s="81"/>
      <c r="AH180" s="145">
        <v>45474</v>
      </c>
      <c r="AI180" s="147"/>
      <c r="AJ180" s="147"/>
      <c r="AK180" s="104"/>
      <c r="AL180" s="81"/>
      <c r="AM180" s="81"/>
      <c r="AN180" s="81"/>
      <c r="AO180" s="78"/>
      <c r="AP180" s="78"/>
      <c r="AQ180" s="78"/>
      <c r="AR180" s="81"/>
      <c r="AS180" s="81"/>
      <c r="AT180" s="81"/>
      <c r="AU180" s="104"/>
      <c r="AV180" s="104"/>
      <c r="AW180" s="104"/>
      <c r="AX180" s="81"/>
      <c r="AY180" s="81"/>
      <c r="AZ180" s="81"/>
      <c r="BA180" s="78"/>
      <c r="BB180" s="78"/>
      <c r="BC180" s="78"/>
      <c r="BD180" s="81">
        <v>105</v>
      </c>
      <c r="BE180" s="81">
        <v>11</v>
      </c>
      <c r="BF180" s="81">
        <f t="shared" si="37"/>
        <v>1155</v>
      </c>
      <c r="BG180" s="104"/>
      <c r="BH180" s="104"/>
      <c r="BI180" s="104"/>
      <c r="BJ180" s="81"/>
      <c r="BK180" s="81"/>
      <c r="BL180" s="81"/>
      <c r="BM180" s="78"/>
      <c r="BN180" s="78"/>
      <c r="BO180" s="78"/>
      <c r="BP180" s="81"/>
      <c r="BQ180" s="81"/>
      <c r="BR180" s="81"/>
      <c r="BS180" s="146"/>
      <c r="BT180" s="146"/>
      <c r="BU180" s="146"/>
    </row>
    <row r="181" s="46" customFormat="1" spans="1:73">
      <c r="A181" s="129">
        <v>45477</v>
      </c>
      <c r="B181" s="130" t="s">
        <v>1322</v>
      </c>
      <c r="C181" s="131"/>
      <c r="D181" s="132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>
        <v>200</v>
      </c>
      <c r="AC181" s="81"/>
      <c r="AD181" s="81"/>
      <c r="AE181" s="81"/>
      <c r="AF181" s="81"/>
      <c r="AG181" s="81"/>
      <c r="AH181" s="145">
        <v>45477</v>
      </c>
      <c r="AI181" s="147"/>
      <c r="AJ181" s="147"/>
      <c r="AK181" s="104"/>
      <c r="AL181" s="81"/>
      <c r="AM181" s="81"/>
      <c r="AN181" s="81"/>
      <c r="AO181" s="78"/>
      <c r="AP181" s="78"/>
      <c r="AQ181" s="78"/>
      <c r="AR181" s="81"/>
      <c r="AS181" s="81"/>
      <c r="AT181" s="81"/>
      <c r="AU181" s="104"/>
      <c r="AV181" s="104"/>
      <c r="AW181" s="104"/>
      <c r="AX181" s="81"/>
      <c r="AY181" s="81"/>
      <c r="AZ181" s="81"/>
      <c r="BA181" s="78"/>
      <c r="BB181" s="78"/>
      <c r="BC181" s="78"/>
      <c r="BD181" s="81"/>
      <c r="BE181" s="81"/>
      <c r="BF181" s="81"/>
      <c r="BG181" s="104"/>
      <c r="BH181" s="104"/>
      <c r="BI181" s="104"/>
      <c r="BJ181" s="81"/>
      <c r="BK181" s="81"/>
      <c r="BL181" s="81"/>
      <c r="BM181" s="78"/>
      <c r="BN181" s="78"/>
      <c r="BO181" s="78"/>
      <c r="BP181" s="81"/>
      <c r="BQ181" s="81"/>
      <c r="BR181" s="81"/>
      <c r="BS181" s="146"/>
      <c r="BT181" s="146"/>
      <c r="BU181" s="146"/>
    </row>
    <row r="182" s="46" customFormat="1" spans="1:73">
      <c r="A182" s="129">
        <v>45477</v>
      </c>
      <c r="B182" s="130" t="s">
        <v>240</v>
      </c>
      <c r="C182" s="131">
        <v>750</v>
      </c>
      <c r="D182" s="149"/>
      <c r="E182" s="81"/>
      <c r="F182" s="81">
        <v>-300</v>
      </c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145">
        <v>45477</v>
      </c>
      <c r="AI182" s="147"/>
      <c r="AJ182" s="147"/>
      <c r="AK182" s="104"/>
      <c r="AL182" s="81"/>
      <c r="AM182" s="81"/>
      <c r="AN182" s="81"/>
      <c r="AO182" s="78"/>
      <c r="AP182" s="78"/>
      <c r="AQ182" s="78"/>
      <c r="AR182" s="81"/>
      <c r="AS182" s="81"/>
      <c r="AT182" s="81"/>
      <c r="AU182" s="104"/>
      <c r="AV182" s="104"/>
      <c r="AW182" s="104"/>
      <c r="AX182" s="81"/>
      <c r="AY182" s="81"/>
      <c r="AZ182" s="81"/>
      <c r="BA182" s="78"/>
      <c r="BB182" s="78"/>
      <c r="BC182" s="78"/>
      <c r="BD182" s="81">
        <v>450</v>
      </c>
      <c r="BE182" s="81">
        <v>11</v>
      </c>
      <c r="BF182" s="81">
        <f t="shared" si="37"/>
        <v>4950</v>
      </c>
      <c r="BG182" s="104"/>
      <c r="BH182" s="104"/>
      <c r="BI182" s="104"/>
      <c r="BJ182" s="81"/>
      <c r="BK182" s="81"/>
      <c r="BL182" s="81"/>
      <c r="BM182" s="78"/>
      <c r="BN182" s="78"/>
      <c r="BO182" s="78"/>
      <c r="BP182" s="81"/>
      <c r="BQ182" s="81"/>
      <c r="BR182" s="81"/>
      <c r="BS182" s="146"/>
      <c r="BT182" s="146"/>
      <c r="BU182" s="146"/>
    </row>
    <row r="183" s="46" customFormat="1" spans="1:73">
      <c r="A183" s="129">
        <v>45477</v>
      </c>
      <c r="B183" s="137" t="s">
        <v>1256</v>
      </c>
      <c r="C183" s="131"/>
      <c r="D183" s="149"/>
      <c r="E183" s="138">
        <v>735</v>
      </c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145">
        <v>45477</v>
      </c>
      <c r="AI183" s="147"/>
      <c r="AJ183" s="147"/>
      <c r="AK183" s="104"/>
      <c r="AL183" s="81"/>
      <c r="AM183" s="81"/>
      <c r="AN183" s="81"/>
      <c r="AO183" s="78"/>
      <c r="AP183" s="78"/>
      <c r="AQ183" s="78"/>
      <c r="AR183" s="81"/>
      <c r="AS183" s="81"/>
      <c r="AT183" s="81"/>
      <c r="AU183" s="104"/>
      <c r="AV183" s="104"/>
      <c r="AW183" s="104"/>
      <c r="AX183" s="81"/>
      <c r="AY183" s="81"/>
      <c r="AZ183" s="81"/>
      <c r="BA183" s="78"/>
      <c r="BB183" s="78"/>
      <c r="BC183" s="78"/>
      <c r="BD183" s="81"/>
      <c r="BE183" s="81"/>
      <c r="BF183" s="81"/>
      <c r="BG183" s="104"/>
      <c r="BH183" s="104"/>
      <c r="BI183" s="104"/>
      <c r="BJ183" s="81"/>
      <c r="BK183" s="81"/>
      <c r="BL183" s="81"/>
      <c r="BM183" s="78"/>
      <c r="BN183" s="78"/>
      <c r="BO183" s="78"/>
      <c r="BP183" s="81"/>
      <c r="BQ183" s="81"/>
      <c r="BR183" s="81"/>
      <c r="BS183" s="146"/>
      <c r="BT183" s="146"/>
      <c r="BU183" s="146"/>
    </row>
    <row r="184" s="46" customFormat="1" spans="1:73">
      <c r="A184" s="129">
        <v>45477</v>
      </c>
      <c r="B184" s="130" t="s">
        <v>298</v>
      </c>
      <c r="C184" s="131">
        <v>1280</v>
      </c>
      <c r="D184" s="132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>
        <v>-200</v>
      </c>
      <c r="AC184" s="81"/>
      <c r="AD184" s="81"/>
      <c r="AE184" s="81"/>
      <c r="AF184" s="81"/>
      <c r="AG184" s="81"/>
      <c r="AH184" s="145">
        <v>45477</v>
      </c>
      <c r="AI184" s="147"/>
      <c r="AJ184" s="147"/>
      <c r="AK184" s="104"/>
      <c r="AL184" s="81"/>
      <c r="AM184" s="81"/>
      <c r="AN184" s="81"/>
      <c r="AO184" s="78"/>
      <c r="AP184" s="78"/>
      <c r="AQ184" s="78"/>
      <c r="AR184" s="81"/>
      <c r="AS184" s="81"/>
      <c r="AT184" s="81"/>
      <c r="AU184" s="104"/>
      <c r="AV184" s="104"/>
      <c r="AW184" s="104"/>
      <c r="AX184" s="81"/>
      <c r="AY184" s="81"/>
      <c r="AZ184" s="81"/>
      <c r="BA184" s="78"/>
      <c r="BB184" s="78"/>
      <c r="BC184" s="78"/>
      <c r="BD184" s="81"/>
      <c r="BE184" s="81"/>
      <c r="BF184" s="81"/>
      <c r="BG184" s="104">
        <v>720</v>
      </c>
      <c r="BH184" s="104">
        <v>6.7</v>
      </c>
      <c r="BI184" s="104">
        <f>BG184*BH184</f>
        <v>4824</v>
      </c>
      <c r="BJ184" s="81"/>
      <c r="BK184" s="81"/>
      <c r="BL184" s="81"/>
      <c r="BM184" s="78"/>
      <c r="BN184" s="78"/>
      <c r="BO184" s="78"/>
      <c r="BP184" s="81">
        <v>360</v>
      </c>
      <c r="BQ184" s="81">
        <v>8.6</v>
      </c>
      <c r="BR184" s="81">
        <f>BP184*BQ184</f>
        <v>3096</v>
      </c>
      <c r="BS184" s="146"/>
      <c r="BT184" s="146"/>
      <c r="BU184" s="146"/>
    </row>
    <row r="185" s="46" customFormat="1" spans="1:73">
      <c r="A185" s="129">
        <v>45477</v>
      </c>
      <c r="B185" s="186" t="s">
        <v>1269</v>
      </c>
      <c r="C185" s="131"/>
      <c r="D185" s="132"/>
      <c r="E185" s="104"/>
      <c r="F185" s="81"/>
      <c r="G185" s="78"/>
      <c r="H185" s="81"/>
      <c r="I185" s="104"/>
      <c r="J185" s="81"/>
      <c r="K185" s="78"/>
      <c r="L185" s="81"/>
      <c r="M185" s="133"/>
      <c r="N185" s="104"/>
      <c r="O185" s="131"/>
      <c r="P185" s="134"/>
      <c r="Q185" s="81"/>
      <c r="R185" s="78"/>
      <c r="S185" s="78"/>
      <c r="T185" s="81"/>
      <c r="U185" s="140">
        <v>1280</v>
      </c>
      <c r="V185" s="136"/>
      <c r="W185" s="78"/>
      <c r="X185" s="81"/>
      <c r="Y185" s="104"/>
      <c r="Z185" s="81"/>
      <c r="AA185" s="78"/>
      <c r="AB185" s="81"/>
      <c r="AC185" s="104"/>
      <c r="AD185" s="81"/>
      <c r="AE185" s="78"/>
      <c r="AF185" s="81"/>
      <c r="AG185" s="81"/>
      <c r="AH185" s="145">
        <v>45477</v>
      </c>
      <c r="AI185" s="147"/>
      <c r="AJ185" s="104"/>
      <c r="AK185" s="104"/>
      <c r="AL185" s="81"/>
      <c r="AM185" s="81"/>
      <c r="AN185" s="81"/>
      <c r="AO185" s="78"/>
      <c r="AP185" s="78"/>
      <c r="AQ185" s="78"/>
      <c r="AR185" s="81"/>
      <c r="AS185" s="81"/>
      <c r="AT185" s="104"/>
      <c r="AU185" s="104"/>
      <c r="AV185" s="104"/>
      <c r="AW185" s="81"/>
      <c r="AX185" s="81"/>
      <c r="AY185" s="81"/>
      <c r="AZ185" s="78"/>
      <c r="BA185" s="78"/>
      <c r="BB185" s="78"/>
      <c r="BC185" s="78"/>
      <c r="BD185" s="81"/>
      <c r="BE185" s="81"/>
      <c r="BF185" s="81"/>
      <c r="BG185" s="104"/>
      <c r="BH185" s="104"/>
      <c r="BI185" s="104"/>
      <c r="BJ185" s="81"/>
      <c r="BK185" s="81"/>
      <c r="BL185" s="81"/>
      <c r="BM185" s="78"/>
      <c r="BN185" s="78"/>
      <c r="BO185" s="78"/>
      <c r="BP185" s="81"/>
      <c r="BQ185" s="81"/>
      <c r="BR185" s="81"/>
      <c r="BS185" s="146"/>
      <c r="BT185" s="146"/>
      <c r="BU185" s="146"/>
    </row>
    <row r="186" s="46" customFormat="1" spans="1:73">
      <c r="A186" s="129">
        <v>45483</v>
      </c>
      <c r="B186" s="137" t="s">
        <v>1311</v>
      </c>
      <c r="C186" s="131">
        <v>1275</v>
      </c>
      <c r="D186" s="13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145">
        <v>45483</v>
      </c>
      <c r="AI186" s="147"/>
      <c r="AJ186" s="147"/>
      <c r="AK186" s="104"/>
      <c r="AL186" s="81"/>
      <c r="AM186" s="81"/>
      <c r="AN186" s="81"/>
      <c r="AO186" s="78"/>
      <c r="AP186" s="78"/>
      <c r="AQ186" s="78"/>
      <c r="AR186" s="81"/>
      <c r="AS186" s="81"/>
      <c r="AT186" s="81"/>
      <c r="AU186" s="104"/>
      <c r="AV186" s="104"/>
      <c r="AW186" s="104"/>
      <c r="AX186" s="81"/>
      <c r="AY186" s="81"/>
      <c r="AZ186" s="81"/>
      <c r="BA186" s="78"/>
      <c r="BB186" s="78"/>
      <c r="BC186" s="78"/>
      <c r="BD186" s="81"/>
      <c r="BE186" s="81"/>
      <c r="BF186" s="81"/>
      <c r="BG186" s="104">
        <v>720</v>
      </c>
      <c r="BH186" s="104">
        <v>6.7</v>
      </c>
      <c r="BI186" s="104">
        <f>BG186*BH186</f>
        <v>4824</v>
      </c>
      <c r="BJ186" s="81"/>
      <c r="BK186" s="81"/>
      <c r="BL186" s="81"/>
      <c r="BM186" s="78"/>
      <c r="BN186" s="78"/>
      <c r="BO186" s="78"/>
      <c r="BP186" s="81">
        <v>180</v>
      </c>
      <c r="BQ186" s="81">
        <v>8.6</v>
      </c>
      <c r="BR186" s="81">
        <f>BP186*BQ186</f>
        <v>1548</v>
      </c>
      <c r="BS186" s="146"/>
      <c r="BT186" s="146"/>
      <c r="BU186" s="146"/>
    </row>
    <row r="187" s="46" customFormat="1" spans="1:73">
      <c r="A187" s="129">
        <v>45483</v>
      </c>
      <c r="B187" s="216" t="s">
        <v>1282</v>
      </c>
      <c r="C187" s="131"/>
      <c r="D187" s="132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138">
        <v>1275</v>
      </c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145">
        <v>45483</v>
      </c>
      <c r="AI187" s="147"/>
      <c r="AJ187" s="147"/>
      <c r="AK187" s="104"/>
      <c r="AL187" s="81"/>
      <c r="AM187" s="81"/>
      <c r="AN187" s="81"/>
      <c r="AO187" s="78"/>
      <c r="AP187" s="78"/>
      <c r="AQ187" s="78"/>
      <c r="AR187" s="81"/>
      <c r="AS187" s="81"/>
      <c r="AT187" s="81"/>
      <c r="AU187" s="104"/>
      <c r="AV187" s="104"/>
      <c r="AW187" s="104"/>
      <c r="AX187" s="81"/>
      <c r="AY187" s="81"/>
      <c r="AZ187" s="81"/>
      <c r="BA187" s="78"/>
      <c r="BB187" s="78"/>
      <c r="BC187" s="78"/>
      <c r="BD187" s="81"/>
      <c r="BE187" s="81"/>
      <c r="BF187" s="81"/>
      <c r="BG187" s="104"/>
      <c r="BH187" s="104"/>
      <c r="BI187" s="104"/>
      <c r="BJ187" s="81"/>
      <c r="BK187" s="81"/>
      <c r="BL187" s="81"/>
      <c r="BM187" s="78"/>
      <c r="BN187" s="78"/>
      <c r="BO187" s="78"/>
      <c r="BP187" s="81"/>
      <c r="BQ187" s="81"/>
      <c r="BR187" s="81"/>
      <c r="BS187" s="146"/>
      <c r="BT187" s="146"/>
      <c r="BU187" s="146"/>
    </row>
    <row r="188" s="46" customFormat="1" spans="1:73">
      <c r="A188" s="129">
        <v>45483</v>
      </c>
      <c r="B188" s="130" t="s">
        <v>997</v>
      </c>
      <c r="C188" s="131">
        <v>1000</v>
      </c>
      <c r="D188" s="132"/>
      <c r="E188" s="81"/>
      <c r="F188" s="81"/>
      <c r="G188" s="81"/>
      <c r="H188" s="81">
        <v>-200</v>
      </c>
      <c r="I188" s="81"/>
      <c r="J188" s="81"/>
      <c r="K188" s="81"/>
      <c r="L188" s="81"/>
      <c r="M188" s="81"/>
      <c r="N188" s="81"/>
      <c r="O188" s="81"/>
      <c r="P188" s="81">
        <v>-150</v>
      </c>
      <c r="Q188" s="81"/>
      <c r="R188" s="81"/>
      <c r="S188" s="81"/>
      <c r="T188" s="81">
        <v>-70</v>
      </c>
      <c r="U188" s="81">
        <v>-380</v>
      </c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145">
        <v>45483</v>
      </c>
      <c r="AI188" s="147"/>
      <c r="AJ188" s="147"/>
      <c r="AK188" s="104"/>
      <c r="AL188" s="81"/>
      <c r="AM188" s="81"/>
      <c r="AN188" s="81"/>
      <c r="AO188" s="78"/>
      <c r="AP188" s="78"/>
      <c r="AQ188" s="78"/>
      <c r="AR188" s="81"/>
      <c r="AS188" s="81"/>
      <c r="AT188" s="81"/>
      <c r="AU188" s="104"/>
      <c r="AV188" s="104"/>
      <c r="AW188" s="104"/>
      <c r="AX188" s="81"/>
      <c r="AY188" s="81"/>
      <c r="AZ188" s="81"/>
      <c r="BA188" s="78"/>
      <c r="BB188" s="78"/>
      <c r="BC188" s="78"/>
      <c r="BD188" s="81">
        <v>200</v>
      </c>
      <c r="BE188" s="81">
        <v>11.2</v>
      </c>
      <c r="BF188" s="81">
        <f t="shared" ref="BF188:BF191" si="38">BD188*BE188</f>
        <v>2240</v>
      </c>
      <c r="BG188" s="104"/>
      <c r="BH188" s="104"/>
      <c r="BI188" s="104"/>
      <c r="BJ188" s="81"/>
      <c r="BK188" s="81"/>
      <c r="BL188" s="81"/>
      <c r="BM188" s="78"/>
      <c r="BN188" s="78"/>
      <c r="BO188" s="78"/>
      <c r="BP188" s="81"/>
      <c r="BQ188" s="81"/>
      <c r="BR188" s="81"/>
      <c r="BS188" s="146"/>
      <c r="BT188" s="146"/>
      <c r="BU188" s="146"/>
    </row>
    <row r="189" s="46" customFormat="1" spans="1:73">
      <c r="A189" s="129">
        <v>45483</v>
      </c>
      <c r="B189" s="130" t="s">
        <v>1323</v>
      </c>
      <c r="C189" s="131">
        <v>360</v>
      </c>
      <c r="D189" s="132"/>
      <c r="E189" s="81"/>
      <c r="F189" s="81"/>
      <c r="G189" s="81"/>
      <c r="H189" s="138">
        <v>-30</v>
      </c>
      <c r="I189" s="81"/>
      <c r="J189" s="81"/>
      <c r="K189" s="81"/>
      <c r="L189" s="81"/>
      <c r="M189" s="81"/>
      <c r="N189" s="81"/>
      <c r="O189" s="81"/>
      <c r="P189" s="81"/>
      <c r="Q189" s="81"/>
      <c r="R189" s="81">
        <v>-24</v>
      </c>
      <c r="S189" s="81"/>
      <c r="T189" s="81">
        <v>-28</v>
      </c>
      <c r="U189" s="81">
        <v>-52</v>
      </c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145">
        <v>45483</v>
      </c>
      <c r="AI189" s="147"/>
      <c r="AJ189" s="147"/>
      <c r="AK189" s="104"/>
      <c r="AL189" s="81"/>
      <c r="AM189" s="81"/>
      <c r="AN189" s="81"/>
      <c r="AO189" s="78">
        <v>6</v>
      </c>
      <c r="AP189" s="78">
        <v>17</v>
      </c>
      <c r="AQ189" s="78">
        <f t="shared" ref="AQ189:AQ194" si="39">AO189*AP189</f>
        <v>102</v>
      </c>
      <c r="AR189" s="81"/>
      <c r="AS189" s="81"/>
      <c r="AT189" s="81"/>
      <c r="AU189" s="104"/>
      <c r="AV189" s="104"/>
      <c r="AW189" s="104"/>
      <c r="AX189" s="81"/>
      <c r="AY189" s="81"/>
      <c r="AZ189" s="81"/>
      <c r="BA189" s="78"/>
      <c r="BB189" s="78"/>
      <c r="BC189" s="78"/>
      <c r="BD189" s="81">
        <v>20</v>
      </c>
      <c r="BE189" s="81">
        <v>11.2</v>
      </c>
      <c r="BF189" s="81">
        <f t="shared" si="38"/>
        <v>224</v>
      </c>
      <c r="BG189" s="104">
        <v>80</v>
      </c>
      <c r="BH189" s="104">
        <v>6.7</v>
      </c>
      <c r="BI189" s="104">
        <f>BG189*BH189</f>
        <v>536</v>
      </c>
      <c r="BJ189" s="81">
        <v>40</v>
      </c>
      <c r="BK189" s="81">
        <v>3.6</v>
      </c>
      <c r="BL189" s="81">
        <f t="shared" ref="BL189:BL194" si="40">BJ189*BK189</f>
        <v>144</v>
      </c>
      <c r="BM189" s="78"/>
      <c r="BN189" s="78"/>
      <c r="BO189" s="78"/>
      <c r="BP189" s="81">
        <v>60</v>
      </c>
      <c r="BQ189" s="81">
        <v>8.6</v>
      </c>
      <c r="BR189" s="81">
        <f>BP189*BQ189</f>
        <v>516</v>
      </c>
      <c r="BS189" s="146"/>
      <c r="BT189" s="146"/>
      <c r="BU189" s="146"/>
    </row>
    <row r="190" s="46" customFormat="1" spans="1:73">
      <c r="A190" s="129">
        <v>45483</v>
      </c>
      <c r="B190" s="130" t="s">
        <v>987</v>
      </c>
      <c r="C190" s="131">
        <v>1000</v>
      </c>
      <c r="D190" s="132"/>
      <c r="E190" s="81">
        <v>-125</v>
      </c>
      <c r="F190" s="81"/>
      <c r="G190" s="81"/>
      <c r="H190" s="81">
        <v>-200</v>
      </c>
      <c r="I190" s="81">
        <v>-200</v>
      </c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>
        <v>-70</v>
      </c>
      <c r="U190" s="81">
        <v>-380</v>
      </c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145">
        <v>45483</v>
      </c>
      <c r="AI190" s="147"/>
      <c r="AJ190" s="147"/>
      <c r="AK190" s="104"/>
      <c r="AL190" s="81"/>
      <c r="AM190" s="81"/>
      <c r="AN190" s="81"/>
      <c r="AO190" s="78"/>
      <c r="AP190" s="78"/>
      <c r="AQ190" s="78"/>
      <c r="AR190" s="81"/>
      <c r="AS190" s="81"/>
      <c r="AT190" s="81"/>
      <c r="AU190" s="104"/>
      <c r="AV190" s="104"/>
      <c r="AW190" s="104"/>
      <c r="AX190" s="81"/>
      <c r="AY190" s="81"/>
      <c r="AZ190" s="81"/>
      <c r="BA190" s="78"/>
      <c r="BB190" s="78"/>
      <c r="BC190" s="78"/>
      <c r="BD190" s="81">
        <v>25</v>
      </c>
      <c r="BE190" s="81">
        <v>11.2</v>
      </c>
      <c r="BF190" s="81">
        <f t="shared" si="38"/>
        <v>280</v>
      </c>
      <c r="BG190" s="104"/>
      <c r="BH190" s="104"/>
      <c r="BI190" s="104"/>
      <c r="BJ190" s="81"/>
      <c r="BK190" s="81"/>
      <c r="BL190" s="81"/>
      <c r="BM190" s="78"/>
      <c r="BN190" s="78"/>
      <c r="BO190" s="78"/>
      <c r="BP190" s="81"/>
      <c r="BQ190" s="81"/>
      <c r="BR190" s="81"/>
      <c r="BS190" s="146"/>
      <c r="BT190" s="146"/>
      <c r="BU190" s="146"/>
    </row>
    <row r="191" s="46" customFormat="1" spans="1:73">
      <c r="A191" s="129">
        <v>45484</v>
      </c>
      <c r="B191" s="130" t="s">
        <v>937</v>
      </c>
      <c r="C191" s="131">
        <v>1003</v>
      </c>
      <c r="D191" s="132"/>
      <c r="E191" s="81"/>
      <c r="F191" s="81"/>
      <c r="G191" s="81"/>
      <c r="H191" s="81">
        <v>-150</v>
      </c>
      <c r="I191" s="81"/>
      <c r="J191" s="81"/>
      <c r="K191" s="81"/>
      <c r="L191" s="81"/>
      <c r="M191" s="81"/>
      <c r="N191" s="81"/>
      <c r="O191" s="81"/>
      <c r="P191" s="81"/>
      <c r="Q191" s="81"/>
      <c r="R191" s="81">
        <v>-120</v>
      </c>
      <c r="S191" s="81">
        <v>-3</v>
      </c>
      <c r="T191" s="81">
        <v>-140</v>
      </c>
      <c r="U191" s="81">
        <v>-260</v>
      </c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145">
        <v>45484</v>
      </c>
      <c r="AI191" s="147"/>
      <c r="AJ191" s="147"/>
      <c r="AK191" s="104"/>
      <c r="AL191" s="81"/>
      <c r="AM191" s="81"/>
      <c r="AN191" s="81"/>
      <c r="AO191" s="78">
        <v>30</v>
      </c>
      <c r="AP191" s="78">
        <v>17</v>
      </c>
      <c r="AQ191" s="78">
        <f t="shared" si="39"/>
        <v>510</v>
      </c>
      <c r="AR191" s="81"/>
      <c r="AS191" s="81"/>
      <c r="AT191" s="81"/>
      <c r="AU191" s="104"/>
      <c r="AV191" s="104"/>
      <c r="AW191" s="104"/>
      <c r="AX191" s="81"/>
      <c r="AY191" s="81"/>
      <c r="AZ191" s="81"/>
      <c r="BA191" s="78"/>
      <c r="BB191" s="78"/>
      <c r="BC191" s="78"/>
      <c r="BD191" s="81">
        <v>100</v>
      </c>
      <c r="BE191" s="81">
        <v>11.2</v>
      </c>
      <c r="BF191" s="81">
        <f t="shared" si="38"/>
        <v>1120</v>
      </c>
      <c r="BG191" s="104"/>
      <c r="BH191" s="104"/>
      <c r="BI191" s="104"/>
      <c r="BJ191" s="81">
        <v>200</v>
      </c>
      <c r="BK191" s="81">
        <v>3.6</v>
      </c>
      <c r="BL191" s="81">
        <f t="shared" si="40"/>
        <v>720</v>
      </c>
      <c r="BM191" s="78"/>
      <c r="BN191" s="78"/>
      <c r="BO191" s="78"/>
      <c r="BP191" s="81"/>
      <c r="BQ191" s="81"/>
      <c r="BR191" s="81"/>
      <c r="BS191" s="146"/>
      <c r="BT191" s="146"/>
      <c r="BU191" s="146"/>
    </row>
    <row r="192" s="46" customFormat="1" spans="1:73">
      <c r="A192" s="129">
        <v>45485</v>
      </c>
      <c r="B192" s="130" t="s">
        <v>1324</v>
      </c>
      <c r="C192" s="131">
        <v>2560</v>
      </c>
      <c r="D192" s="132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145">
        <v>45484</v>
      </c>
      <c r="AI192" s="147"/>
      <c r="AJ192" s="147"/>
      <c r="AK192" s="104"/>
      <c r="AL192" s="81"/>
      <c r="AM192" s="81"/>
      <c r="AN192" s="81"/>
      <c r="AO192" s="78"/>
      <c r="AP192" s="78"/>
      <c r="AQ192" s="78"/>
      <c r="AR192" s="81"/>
      <c r="AS192" s="81"/>
      <c r="AT192" s="81"/>
      <c r="AU192" s="104"/>
      <c r="AV192" s="104"/>
      <c r="AW192" s="104"/>
      <c r="AX192" s="81"/>
      <c r="AY192" s="81"/>
      <c r="AZ192" s="81"/>
      <c r="BA192" s="78"/>
      <c r="BB192" s="78"/>
      <c r="BC192" s="78"/>
      <c r="BD192" s="81"/>
      <c r="BE192" s="81"/>
      <c r="BF192" s="81"/>
      <c r="BG192" s="104">
        <v>1440</v>
      </c>
      <c r="BH192" s="104">
        <v>6.4</v>
      </c>
      <c r="BI192" s="104">
        <f>BG192*BH192</f>
        <v>9216</v>
      </c>
      <c r="BJ192" s="81"/>
      <c r="BK192" s="81"/>
      <c r="BL192" s="81"/>
      <c r="BM192" s="78"/>
      <c r="BN192" s="78"/>
      <c r="BO192" s="78"/>
      <c r="BP192" s="81">
        <v>720</v>
      </c>
      <c r="BQ192" s="81">
        <v>8.6</v>
      </c>
      <c r="BR192" s="81">
        <f>BP192*BQ192</f>
        <v>6192</v>
      </c>
      <c r="BS192" s="146"/>
      <c r="BT192" s="146"/>
      <c r="BU192" s="146"/>
    </row>
    <row r="193" s="46" customFormat="1" spans="1:73">
      <c r="A193" s="129">
        <v>45485</v>
      </c>
      <c r="B193" s="186" t="s">
        <v>1269</v>
      </c>
      <c r="C193" s="131"/>
      <c r="D193" s="132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138">
        <v>2560</v>
      </c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145">
        <v>45485</v>
      </c>
      <c r="AI193" s="147"/>
      <c r="AJ193" s="147"/>
      <c r="AK193" s="104"/>
      <c r="AL193" s="81"/>
      <c r="AM193" s="81"/>
      <c r="AN193" s="81"/>
      <c r="AO193" s="78"/>
      <c r="AP193" s="78"/>
      <c r="AQ193" s="78"/>
      <c r="AR193" s="81"/>
      <c r="AS193" s="81"/>
      <c r="AT193" s="81"/>
      <c r="AU193" s="104"/>
      <c r="AV193" s="104"/>
      <c r="AW193" s="104"/>
      <c r="AX193" s="81"/>
      <c r="AY193" s="81"/>
      <c r="AZ193" s="81"/>
      <c r="BA193" s="78"/>
      <c r="BB193" s="78"/>
      <c r="BC193" s="78"/>
      <c r="BD193" s="81"/>
      <c r="BE193" s="81"/>
      <c r="BF193" s="81"/>
      <c r="BG193" s="104"/>
      <c r="BH193" s="104"/>
      <c r="BI193" s="104"/>
      <c r="BJ193" s="81"/>
      <c r="BK193" s="81"/>
      <c r="BL193" s="81"/>
      <c r="BM193" s="78"/>
      <c r="BN193" s="78"/>
      <c r="BO193" s="78"/>
      <c r="BP193" s="81"/>
      <c r="BQ193" s="81"/>
      <c r="BR193" s="81"/>
      <c r="BS193" s="146"/>
      <c r="BT193" s="146"/>
      <c r="BU193" s="146"/>
    </row>
    <row r="194" s="46" customFormat="1" spans="1:73">
      <c r="A194" s="129">
        <v>45485</v>
      </c>
      <c r="B194" s="130" t="s">
        <v>1325</v>
      </c>
      <c r="C194" s="131">
        <v>1000</v>
      </c>
      <c r="D194" s="132"/>
      <c r="E194" s="81"/>
      <c r="F194" s="81"/>
      <c r="G194" s="81"/>
      <c r="H194" s="81">
        <v>-100</v>
      </c>
      <c r="I194" s="81">
        <v>-100</v>
      </c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>
        <v>-136</v>
      </c>
      <c r="U194" s="81">
        <v>-260</v>
      </c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145">
        <v>45485</v>
      </c>
      <c r="AI194" s="147"/>
      <c r="AJ194" s="147"/>
      <c r="AK194" s="104"/>
      <c r="AL194" s="81">
        <v>50</v>
      </c>
      <c r="AM194" s="81">
        <v>0.9</v>
      </c>
      <c r="AN194" s="81">
        <f>AL194*AM194</f>
        <v>45</v>
      </c>
      <c r="AO194" s="78">
        <v>25</v>
      </c>
      <c r="AP194" s="78">
        <v>17</v>
      </c>
      <c r="AQ194" s="78">
        <f t="shared" si="39"/>
        <v>425</v>
      </c>
      <c r="AR194" s="81"/>
      <c r="AS194" s="81"/>
      <c r="AT194" s="81"/>
      <c r="AU194" s="104"/>
      <c r="AV194" s="104"/>
      <c r="AW194" s="104"/>
      <c r="AX194" s="81"/>
      <c r="AY194" s="81"/>
      <c r="AZ194" s="81"/>
      <c r="BA194" s="78"/>
      <c r="BB194" s="78"/>
      <c r="BC194" s="78"/>
      <c r="BD194" s="81"/>
      <c r="BE194" s="81"/>
      <c r="BF194" s="81"/>
      <c r="BG194" s="104"/>
      <c r="BH194" s="104"/>
      <c r="BI194" s="104"/>
      <c r="BJ194" s="81">
        <v>279</v>
      </c>
      <c r="BK194" s="81">
        <v>3.6</v>
      </c>
      <c r="BL194" s="81">
        <f t="shared" si="40"/>
        <v>1004.4</v>
      </c>
      <c r="BM194" s="78"/>
      <c r="BN194" s="78"/>
      <c r="BO194" s="78"/>
      <c r="BP194" s="81"/>
      <c r="BQ194" s="81"/>
      <c r="BR194" s="81"/>
      <c r="BS194" s="146"/>
      <c r="BT194" s="146"/>
      <c r="BU194" s="146"/>
    </row>
    <row r="195" s="46" customFormat="1" spans="1:73">
      <c r="A195" s="129">
        <v>45486</v>
      </c>
      <c r="B195" s="130" t="s">
        <v>1326</v>
      </c>
      <c r="C195" s="131">
        <v>500</v>
      </c>
      <c r="D195" s="132"/>
      <c r="E195" s="81">
        <v>-87.5</v>
      </c>
      <c r="F195" s="81"/>
      <c r="G195" s="81"/>
      <c r="H195" s="81">
        <v>-100</v>
      </c>
      <c r="I195" s="81"/>
      <c r="J195" s="81">
        <v>-100</v>
      </c>
      <c r="K195" s="81"/>
      <c r="L195" s="81"/>
      <c r="M195" s="81"/>
      <c r="N195" s="81"/>
      <c r="O195" s="81"/>
      <c r="P195" s="81"/>
      <c r="Q195" s="81"/>
      <c r="R195" s="81"/>
      <c r="S195" s="81"/>
      <c r="T195" s="81">
        <v>-55</v>
      </c>
      <c r="U195" s="81">
        <v>-130</v>
      </c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145">
        <v>45486</v>
      </c>
      <c r="AI195" s="147"/>
      <c r="AJ195" s="147"/>
      <c r="AK195" s="104"/>
      <c r="AL195" s="81"/>
      <c r="AM195" s="81"/>
      <c r="AN195" s="81"/>
      <c r="AO195" s="78"/>
      <c r="AP195" s="78"/>
      <c r="AQ195" s="78"/>
      <c r="AR195" s="81"/>
      <c r="AS195" s="81"/>
      <c r="AT195" s="81"/>
      <c r="AU195" s="104"/>
      <c r="AV195" s="104"/>
      <c r="AW195" s="104"/>
      <c r="AX195" s="81"/>
      <c r="AY195" s="81"/>
      <c r="AZ195" s="81"/>
      <c r="BA195" s="78"/>
      <c r="BB195" s="78"/>
      <c r="BC195" s="78"/>
      <c r="BD195" s="81">
        <v>27.5</v>
      </c>
      <c r="BE195" s="81">
        <v>11.2</v>
      </c>
      <c r="BF195" s="81">
        <f t="shared" ref="BF195:BF199" si="41">BD195*BE195</f>
        <v>308</v>
      </c>
      <c r="BG195" s="104"/>
      <c r="BH195" s="104"/>
      <c r="BI195" s="104"/>
      <c r="BJ195" s="81"/>
      <c r="BK195" s="81"/>
      <c r="BL195" s="81"/>
      <c r="BM195" s="78"/>
      <c r="BN195" s="78"/>
      <c r="BO195" s="78"/>
      <c r="BP195" s="81"/>
      <c r="BQ195" s="81"/>
      <c r="BR195" s="81"/>
      <c r="BS195" s="146"/>
      <c r="BT195" s="146"/>
      <c r="BU195" s="146"/>
    </row>
    <row r="196" s="46" customFormat="1" spans="1:73">
      <c r="A196" s="129">
        <v>45486</v>
      </c>
      <c r="B196" s="130" t="s">
        <v>1327</v>
      </c>
      <c r="C196" s="131">
        <v>10</v>
      </c>
      <c r="D196" s="132"/>
      <c r="E196" s="81"/>
      <c r="F196" s="104"/>
      <c r="G196" s="81"/>
      <c r="H196" s="78"/>
      <c r="I196" s="81"/>
      <c r="J196" s="104"/>
      <c r="K196" s="81"/>
      <c r="L196" s="78"/>
      <c r="M196" s="81"/>
      <c r="N196" s="133"/>
      <c r="O196" s="104"/>
      <c r="P196" s="131"/>
      <c r="Q196" s="134"/>
      <c r="R196" s="81"/>
      <c r="S196" s="78"/>
      <c r="T196" s="81"/>
      <c r="U196" s="104"/>
      <c r="V196" s="81"/>
      <c r="W196" s="136"/>
      <c r="X196" s="78"/>
      <c r="Y196" s="81"/>
      <c r="Z196" s="104"/>
      <c r="AA196" s="81"/>
      <c r="AB196" s="78"/>
      <c r="AC196" s="81"/>
      <c r="AD196" s="104"/>
      <c r="AE196" s="81"/>
      <c r="AF196" s="78"/>
      <c r="AG196" s="81"/>
      <c r="AH196" s="145">
        <v>45486</v>
      </c>
      <c r="AI196" s="147"/>
      <c r="AJ196" s="147"/>
      <c r="AK196" s="104"/>
      <c r="AL196" s="81"/>
      <c r="AM196" s="81"/>
      <c r="AN196" s="81"/>
      <c r="AO196" s="78"/>
      <c r="AP196" s="78"/>
      <c r="AQ196" s="78"/>
      <c r="AR196" s="81"/>
      <c r="AS196" s="81"/>
      <c r="AT196" s="81"/>
      <c r="AU196" s="104"/>
      <c r="AV196" s="104"/>
      <c r="AW196" s="104"/>
      <c r="AX196" s="81"/>
      <c r="AY196" s="81"/>
      <c r="AZ196" s="81"/>
      <c r="BA196" s="78"/>
      <c r="BB196" s="78"/>
      <c r="BC196" s="78"/>
      <c r="BD196" s="81"/>
      <c r="BE196" s="81"/>
      <c r="BF196" s="81"/>
      <c r="BG196" s="104"/>
      <c r="BH196" s="104"/>
      <c r="BI196" s="104"/>
      <c r="BJ196" s="81"/>
      <c r="BK196" s="81"/>
      <c r="BL196" s="81"/>
      <c r="BM196" s="78"/>
      <c r="BN196" s="78"/>
      <c r="BO196" s="78"/>
      <c r="BP196" s="81"/>
      <c r="BQ196" s="81"/>
      <c r="BR196" s="81"/>
      <c r="BS196" s="146">
        <v>3</v>
      </c>
      <c r="BT196" s="146">
        <v>8.6</v>
      </c>
      <c r="BU196" s="146">
        <f>BS196*BT196</f>
        <v>25.8</v>
      </c>
    </row>
    <row r="197" s="46" customFormat="1" spans="1:73">
      <c r="A197" s="129">
        <v>45488</v>
      </c>
      <c r="B197" s="130" t="s">
        <v>1328</v>
      </c>
      <c r="C197" s="131"/>
      <c r="D197" s="13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>
        <v>-54</v>
      </c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145">
        <v>45488</v>
      </c>
      <c r="AI197" s="147"/>
      <c r="AJ197" s="147"/>
      <c r="AK197" s="104"/>
      <c r="AL197" s="81"/>
      <c r="AM197" s="81"/>
      <c r="AN197" s="81"/>
      <c r="AO197" s="78"/>
      <c r="AP197" s="78"/>
      <c r="AQ197" s="78"/>
      <c r="AR197" s="81"/>
      <c r="AS197" s="81"/>
      <c r="AT197" s="81"/>
      <c r="AU197" s="104"/>
      <c r="AV197" s="104"/>
      <c r="AW197" s="104"/>
      <c r="AX197" s="81"/>
      <c r="AY197" s="81"/>
      <c r="AZ197" s="81"/>
      <c r="BA197" s="78"/>
      <c r="BB197" s="78"/>
      <c r="BC197" s="78"/>
      <c r="BD197" s="81"/>
      <c r="BE197" s="81"/>
      <c r="BF197" s="81"/>
      <c r="BG197" s="104"/>
      <c r="BH197" s="104"/>
      <c r="BI197" s="104"/>
      <c r="BJ197" s="81"/>
      <c r="BK197" s="81"/>
      <c r="BL197" s="81"/>
      <c r="BM197" s="78"/>
      <c r="BN197" s="78"/>
      <c r="BO197" s="78"/>
      <c r="BP197" s="81"/>
      <c r="BQ197" s="81"/>
      <c r="BR197" s="81"/>
      <c r="BS197" s="146"/>
      <c r="BT197" s="146"/>
      <c r="BU197" s="146"/>
    </row>
    <row r="198" s="46" customFormat="1" spans="1:73">
      <c r="A198" s="129">
        <v>45491</v>
      </c>
      <c r="B198" s="130" t="s">
        <v>937</v>
      </c>
      <c r="C198" s="131">
        <v>1003</v>
      </c>
      <c r="D198" s="132"/>
      <c r="E198" s="81"/>
      <c r="F198" s="81"/>
      <c r="G198" s="81"/>
      <c r="H198" s="81">
        <v>-150</v>
      </c>
      <c r="I198" s="81"/>
      <c r="J198" s="81"/>
      <c r="K198" s="81"/>
      <c r="L198" s="81"/>
      <c r="M198" s="81"/>
      <c r="N198" s="81"/>
      <c r="O198" s="81"/>
      <c r="P198" s="81"/>
      <c r="Q198" s="81"/>
      <c r="R198" s="81">
        <v>-120</v>
      </c>
      <c r="S198" s="81">
        <v>-3</v>
      </c>
      <c r="T198" s="81">
        <v>-140</v>
      </c>
      <c r="U198" s="81">
        <v>-260</v>
      </c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145">
        <v>45491</v>
      </c>
      <c r="AI198" s="147"/>
      <c r="AJ198" s="147"/>
      <c r="AK198" s="104"/>
      <c r="AL198" s="81"/>
      <c r="AM198" s="81"/>
      <c r="AN198" s="81"/>
      <c r="AO198" s="78">
        <v>30</v>
      </c>
      <c r="AP198" s="78">
        <v>17</v>
      </c>
      <c r="AQ198" s="78">
        <f t="shared" ref="AQ198:AQ202" si="42">AO198*AP198</f>
        <v>510</v>
      </c>
      <c r="AR198" s="81"/>
      <c r="AS198" s="81"/>
      <c r="AT198" s="81"/>
      <c r="AU198" s="104"/>
      <c r="AV198" s="104"/>
      <c r="AW198" s="104"/>
      <c r="AX198" s="81"/>
      <c r="AY198" s="81"/>
      <c r="AZ198" s="81"/>
      <c r="BA198" s="78"/>
      <c r="BB198" s="78"/>
      <c r="BC198" s="78"/>
      <c r="BD198" s="81">
        <v>100</v>
      </c>
      <c r="BE198" s="81">
        <v>11.2</v>
      </c>
      <c r="BF198" s="81">
        <f t="shared" si="41"/>
        <v>1120</v>
      </c>
      <c r="BG198" s="104"/>
      <c r="BH198" s="104"/>
      <c r="BI198" s="104"/>
      <c r="BJ198" s="81">
        <v>200</v>
      </c>
      <c r="BK198" s="81">
        <v>3.6</v>
      </c>
      <c r="BL198" s="81">
        <f>BJ198*BK198</f>
        <v>720</v>
      </c>
      <c r="BM198" s="78"/>
      <c r="BN198" s="78"/>
      <c r="BO198" s="78"/>
      <c r="BP198" s="81"/>
      <c r="BQ198" s="81"/>
      <c r="BR198" s="81"/>
      <c r="BS198" s="146"/>
      <c r="BT198" s="146"/>
      <c r="BU198" s="146"/>
    </row>
    <row r="199" s="46" customFormat="1" spans="1:73">
      <c r="A199" s="129">
        <v>45492</v>
      </c>
      <c r="B199" s="130" t="s">
        <v>997</v>
      </c>
      <c r="C199" s="131">
        <v>1000</v>
      </c>
      <c r="D199" s="132"/>
      <c r="E199" s="81"/>
      <c r="F199" s="81"/>
      <c r="G199" s="81"/>
      <c r="H199" s="81">
        <v>-200</v>
      </c>
      <c r="I199" s="81"/>
      <c r="J199" s="81"/>
      <c r="K199" s="81"/>
      <c r="L199" s="81"/>
      <c r="M199" s="81"/>
      <c r="N199" s="81"/>
      <c r="O199" s="81"/>
      <c r="P199" s="81">
        <v>-150</v>
      </c>
      <c r="Q199" s="81"/>
      <c r="R199" s="81"/>
      <c r="S199" s="81"/>
      <c r="T199" s="81">
        <v>-70</v>
      </c>
      <c r="U199" s="81">
        <v>-380</v>
      </c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145">
        <v>45492</v>
      </c>
      <c r="AI199" s="147"/>
      <c r="AJ199" s="147"/>
      <c r="AK199" s="104"/>
      <c r="AL199" s="81"/>
      <c r="AM199" s="81"/>
      <c r="AN199" s="81"/>
      <c r="AO199" s="78"/>
      <c r="AP199" s="78"/>
      <c r="AQ199" s="78"/>
      <c r="AR199" s="81"/>
      <c r="AS199" s="81"/>
      <c r="AT199" s="81"/>
      <c r="AU199" s="104"/>
      <c r="AV199" s="104"/>
      <c r="AW199" s="104"/>
      <c r="AX199" s="81"/>
      <c r="AY199" s="81"/>
      <c r="AZ199" s="81"/>
      <c r="BA199" s="78"/>
      <c r="BB199" s="78"/>
      <c r="BC199" s="78"/>
      <c r="BD199" s="81">
        <v>200</v>
      </c>
      <c r="BE199" s="81">
        <v>11.2</v>
      </c>
      <c r="BF199" s="81">
        <f t="shared" si="41"/>
        <v>2240</v>
      </c>
      <c r="BG199" s="104"/>
      <c r="BH199" s="104"/>
      <c r="BI199" s="104"/>
      <c r="BJ199" s="81"/>
      <c r="BK199" s="81"/>
      <c r="BL199" s="81"/>
      <c r="BM199" s="78"/>
      <c r="BN199" s="78"/>
      <c r="BO199" s="78"/>
      <c r="BP199" s="81"/>
      <c r="BQ199" s="81"/>
      <c r="BR199" s="81"/>
      <c r="BS199" s="146"/>
      <c r="BT199" s="146"/>
      <c r="BU199" s="146"/>
    </row>
    <row r="200" s="46" customFormat="1" spans="1:73">
      <c r="A200" s="129">
        <v>45495</v>
      </c>
      <c r="B200" s="130" t="s">
        <v>1329</v>
      </c>
      <c r="C200" s="131">
        <v>364</v>
      </c>
      <c r="D200" s="132"/>
      <c r="E200" s="81"/>
      <c r="F200" s="81"/>
      <c r="G200" s="81"/>
      <c r="H200" s="81">
        <v>-8</v>
      </c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145">
        <v>45495</v>
      </c>
      <c r="AI200" s="147"/>
      <c r="AJ200" s="147"/>
      <c r="AK200" s="104"/>
      <c r="AL200" s="81"/>
      <c r="AM200" s="81"/>
      <c r="AN200" s="81"/>
      <c r="AO200" s="78">
        <v>20</v>
      </c>
      <c r="AP200" s="78">
        <v>17</v>
      </c>
      <c r="AQ200" s="78">
        <f t="shared" si="42"/>
        <v>340</v>
      </c>
      <c r="AR200" s="81"/>
      <c r="AS200" s="81"/>
      <c r="AT200" s="81"/>
      <c r="AU200" s="104"/>
      <c r="AV200" s="104"/>
      <c r="AW200" s="104"/>
      <c r="AX200" s="81"/>
      <c r="AY200" s="81"/>
      <c r="AZ200" s="81"/>
      <c r="BA200" s="78"/>
      <c r="BB200" s="78"/>
      <c r="BC200" s="78"/>
      <c r="BD200" s="81"/>
      <c r="BE200" s="81"/>
      <c r="BF200" s="81"/>
      <c r="BG200" s="104">
        <v>88</v>
      </c>
      <c r="BH200" s="104">
        <v>6.4</v>
      </c>
      <c r="BI200" s="104">
        <f t="shared" ref="BI200:BI202" si="43">BG200*BH200</f>
        <v>563.2</v>
      </c>
      <c r="BJ200" s="81"/>
      <c r="BK200" s="81"/>
      <c r="BL200" s="81"/>
      <c r="BM200" s="78"/>
      <c r="BN200" s="78"/>
      <c r="BO200" s="78"/>
      <c r="BP200" s="81">
        <v>68</v>
      </c>
      <c r="BQ200" s="81">
        <v>8.6</v>
      </c>
      <c r="BR200" s="81">
        <f t="shared" ref="BR200:BR202" si="44">BP200*BQ200</f>
        <v>584.8</v>
      </c>
      <c r="BS200" s="146"/>
      <c r="BT200" s="146"/>
      <c r="BU200" s="146"/>
    </row>
    <row r="201" s="46" customFormat="1" spans="1:73">
      <c r="A201" s="129">
        <v>45495</v>
      </c>
      <c r="B201" s="130" t="s">
        <v>1225</v>
      </c>
      <c r="C201" s="131">
        <v>472</v>
      </c>
      <c r="D201" s="132"/>
      <c r="E201" s="81"/>
      <c r="F201" s="81"/>
      <c r="G201" s="81"/>
      <c r="H201" s="81">
        <v>-1.8</v>
      </c>
      <c r="I201" s="81"/>
      <c r="J201" s="81"/>
      <c r="K201" s="81"/>
      <c r="L201" s="81"/>
      <c r="M201" s="81"/>
      <c r="N201" s="81"/>
      <c r="O201" s="81"/>
      <c r="P201" s="81"/>
      <c r="Q201" s="81"/>
      <c r="R201" s="81">
        <v>-60</v>
      </c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145">
        <v>45496</v>
      </c>
      <c r="AI201" s="147"/>
      <c r="AJ201" s="147"/>
      <c r="AK201" s="104"/>
      <c r="AL201" s="81"/>
      <c r="AM201" s="81"/>
      <c r="AN201" s="81"/>
      <c r="AO201" s="78">
        <v>22</v>
      </c>
      <c r="AP201" s="78">
        <v>17</v>
      </c>
      <c r="AQ201" s="78">
        <f t="shared" si="42"/>
        <v>374</v>
      </c>
      <c r="AR201" s="81"/>
      <c r="AS201" s="81"/>
      <c r="AT201" s="81"/>
      <c r="AU201" s="104"/>
      <c r="AV201" s="104"/>
      <c r="AW201" s="104"/>
      <c r="AX201" s="81"/>
      <c r="AY201" s="81"/>
      <c r="AZ201" s="81"/>
      <c r="BA201" s="78"/>
      <c r="BB201" s="78"/>
      <c r="BC201" s="78"/>
      <c r="BD201" s="81">
        <v>80</v>
      </c>
      <c r="BE201" s="81">
        <v>11.2</v>
      </c>
      <c r="BF201" s="81">
        <f>BD201*BE201</f>
        <v>896</v>
      </c>
      <c r="BG201" s="104">
        <v>110</v>
      </c>
      <c r="BH201" s="104">
        <v>6.4</v>
      </c>
      <c r="BI201" s="104">
        <f t="shared" si="43"/>
        <v>704</v>
      </c>
      <c r="BJ201" s="81">
        <v>60</v>
      </c>
      <c r="BK201" s="81">
        <v>3.6</v>
      </c>
      <c r="BL201" s="81">
        <f>BJ201*BK201</f>
        <v>216</v>
      </c>
      <c r="BM201" s="78"/>
      <c r="BN201" s="78"/>
      <c r="BO201" s="78"/>
      <c r="BP201" s="81">
        <v>40</v>
      </c>
      <c r="BQ201" s="81">
        <v>8.6</v>
      </c>
      <c r="BR201" s="81">
        <f t="shared" si="44"/>
        <v>344</v>
      </c>
      <c r="BS201" s="146"/>
      <c r="BT201" s="146"/>
      <c r="BU201" s="146"/>
    </row>
    <row r="202" s="46" customFormat="1" spans="1:73">
      <c r="A202" s="148">
        <v>45503</v>
      </c>
      <c r="B202" s="137" t="s">
        <v>1330</v>
      </c>
      <c r="C202" s="131">
        <v>36.2</v>
      </c>
      <c r="D202" s="132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138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145">
        <v>45503</v>
      </c>
      <c r="AI202" s="147"/>
      <c r="AJ202" s="147"/>
      <c r="AK202" s="104"/>
      <c r="AL202" s="81"/>
      <c r="AM202" s="81"/>
      <c r="AN202" s="81"/>
      <c r="AO202" s="78">
        <v>4.4</v>
      </c>
      <c r="AP202" s="78">
        <v>17</v>
      </c>
      <c r="AQ202" s="78">
        <f t="shared" si="42"/>
        <v>74.8</v>
      </c>
      <c r="AR202" s="81"/>
      <c r="AS202" s="81"/>
      <c r="AT202" s="81"/>
      <c r="AU202" s="104"/>
      <c r="AV202" s="104"/>
      <c r="AW202" s="104"/>
      <c r="AX202" s="81"/>
      <c r="AY202" s="81"/>
      <c r="AZ202" s="81"/>
      <c r="BA202" s="78"/>
      <c r="BB202" s="78"/>
      <c r="BC202" s="78"/>
      <c r="BD202" s="81"/>
      <c r="BE202" s="81"/>
      <c r="BF202" s="81"/>
      <c r="BG202" s="104">
        <v>15</v>
      </c>
      <c r="BH202" s="104">
        <v>6.4</v>
      </c>
      <c r="BI202" s="104">
        <f t="shared" si="43"/>
        <v>96</v>
      </c>
      <c r="BJ202" s="81"/>
      <c r="BK202" s="81"/>
      <c r="BL202" s="81"/>
      <c r="BM202" s="78"/>
      <c r="BN202" s="78"/>
      <c r="BO202" s="78"/>
      <c r="BP202" s="81">
        <v>15</v>
      </c>
      <c r="BQ202" s="81">
        <v>8.6</v>
      </c>
      <c r="BR202" s="81">
        <f t="shared" si="44"/>
        <v>129</v>
      </c>
      <c r="BS202" s="146"/>
      <c r="BT202" s="146"/>
      <c r="BU202" s="146"/>
    </row>
    <row r="203" s="46" customFormat="1" spans="1:73">
      <c r="A203" s="129"/>
      <c r="B203" s="130"/>
      <c r="C203" s="131"/>
      <c r="D203" s="132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145"/>
      <c r="AI203" s="147"/>
      <c r="AJ203" s="147"/>
      <c r="AK203" s="104"/>
      <c r="AL203" s="81"/>
      <c r="AM203" s="81"/>
      <c r="AN203" s="81"/>
      <c r="AO203" s="78"/>
      <c r="AP203" s="78"/>
      <c r="AQ203" s="78"/>
      <c r="AR203" s="81"/>
      <c r="AS203" s="81"/>
      <c r="AT203" s="81"/>
      <c r="AU203" s="104"/>
      <c r="AV203" s="104"/>
      <c r="AW203" s="104"/>
      <c r="AX203" s="81"/>
      <c r="AY203" s="81"/>
      <c r="AZ203" s="81"/>
      <c r="BA203" s="78"/>
      <c r="BB203" s="78"/>
      <c r="BC203" s="78"/>
      <c r="BD203" s="81"/>
      <c r="BE203" s="81"/>
      <c r="BF203" s="81"/>
      <c r="BG203" s="104"/>
      <c r="BH203" s="104"/>
      <c r="BI203" s="104"/>
      <c r="BJ203" s="81"/>
      <c r="BK203" s="81"/>
      <c r="BL203" s="81"/>
      <c r="BM203" s="78"/>
      <c r="BN203" s="78"/>
      <c r="BO203" s="78"/>
      <c r="BP203" s="81"/>
      <c r="BQ203" s="81"/>
      <c r="BR203" s="81"/>
      <c r="BS203" s="146"/>
      <c r="BT203" s="146"/>
      <c r="BU203" s="146"/>
    </row>
    <row r="204" s="46" customFormat="1" spans="1:73">
      <c r="A204" s="129"/>
      <c r="B204" s="137"/>
      <c r="C204" s="131"/>
      <c r="D204" s="132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145"/>
      <c r="AI204" s="147"/>
      <c r="AJ204" s="147"/>
      <c r="AK204" s="104"/>
      <c r="AL204" s="81"/>
      <c r="AM204" s="81"/>
      <c r="AN204" s="81"/>
      <c r="AO204" s="78"/>
      <c r="AP204" s="78"/>
      <c r="AQ204" s="78"/>
      <c r="AR204" s="81"/>
      <c r="AS204" s="81"/>
      <c r="AT204" s="81"/>
      <c r="AU204" s="104"/>
      <c r="AV204" s="104"/>
      <c r="AW204" s="104"/>
      <c r="AX204" s="81"/>
      <c r="AY204" s="81"/>
      <c r="AZ204" s="81"/>
      <c r="BA204" s="78"/>
      <c r="BB204" s="78"/>
      <c r="BC204" s="78"/>
      <c r="BD204" s="81"/>
      <c r="BE204" s="81"/>
      <c r="BF204" s="81"/>
      <c r="BG204" s="104"/>
      <c r="BH204" s="104"/>
      <c r="BI204" s="104"/>
      <c r="BJ204" s="81"/>
      <c r="BK204" s="81"/>
      <c r="BL204" s="81"/>
      <c r="BM204" s="78"/>
      <c r="BN204" s="78"/>
      <c r="BO204" s="78"/>
      <c r="BP204" s="81"/>
      <c r="BQ204" s="81"/>
      <c r="BR204" s="81"/>
      <c r="BS204" s="146"/>
      <c r="BT204" s="146"/>
      <c r="BU204" s="146"/>
    </row>
    <row r="205" s="46" customFormat="1" spans="1:73">
      <c r="A205" s="129"/>
      <c r="B205" s="137"/>
      <c r="C205" s="131"/>
      <c r="D205" s="132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145"/>
      <c r="AI205" s="147"/>
      <c r="AJ205" s="147"/>
      <c r="AK205" s="104"/>
      <c r="AL205" s="81"/>
      <c r="AM205" s="81"/>
      <c r="AN205" s="81"/>
      <c r="AO205" s="78"/>
      <c r="AP205" s="78"/>
      <c r="AQ205" s="78"/>
      <c r="AR205" s="81"/>
      <c r="AS205" s="81"/>
      <c r="AT205" s="81"/>
      <c r="AU205" s="104"/>
      <c r="AV205" s="104"/>
      <c r="AW205" s="104"/>
      <c r="AX205" s="81"/>
      <c r="AY205" s="81"/>
      <c r="AZ205" s="81"/>
      <c r="BA205" s="78"/>
      <c r="BB205" s="78"/>
      <c r="BC205" s="78"/>
      <c r="BD205" s="81"/>
      <c r="BE205" s="81"/>
      <c r="BF205" s="81"/>
      <c r="BG205" s="104"/>
      <c r="BH205" s="104"/>
      <c r="BI205" s="104"/>
      <c r="BJ205" s="81"/>
      <c r="BK205" s="81"/>
      <c r="BL205" s="81"/>
      <c r="BM205" s="78"/>
      <c r="BN205" s="78"/>
      <c r="BO205" s="78"/>
      <c r="BP205" s="81"/>
      <c r="BQ205" s="81"/>
      <c r="BR205" s="81"/>
      <c r="BS205" s="146"/>
      <c r="BT205" s="146"/>
      <c r="BU205" s="146"/>
    </row>
    <row r="206" s="12" customFormat="1" spans="1:73">
      <c r="A206" s="129"/>
      <c r="B206" s="217"/>
      <c r="C206" s="131">
        <f t="shared" ref="C206:AG206" si="45">SUM(C178:C205)</f>
        <v>15113.2</v>
      </c>
      <c r="D206" s="131">
        <f t="shared" si="45"/>
        <v>0</v>
      </c>
      <c r="E206" s="131">
        <f t="shared" si="45"/>
        <v>567</v>
      </c>
      <c r="F206" s="131">
        <f t="shared" si="45"/>
        <v>0</v>
      </c>
      <c r="G206" s="131">
        <f t="shared" si="45"/>
        <v>0</v>
      </c>
      <c r="H206" s="131">
        <f t="shared" si="45"/>
        <v>-2758.6</v>
      </c>
      <c r="I206" s="131">
        <f t="shared" si="45"/>
        <v>866.5</v>
      </c>
      <c r="J206" s="131">
        <f t="shared" si="45"/>
        <v>727</v>
      </c>
      <c r="K206" s="131">
        <f t="shared" si="45"/>
        <v>0</v>
      </c>
      <c r="L206" s="131">
        <f t="shared" si="45"/>
        <v>0</v>
      </c>
      <c r="M206" s="131">
        <f t="shared" si="45"/>
        <v>0</v>
      </c>
      <c r="N206" s="131">
        <f t="shared" si="45"/>
        <v>0</v>
      </c>
      <c r="O206" s="131">
        <f t="shared" si="45"/>
        <v>59</v>
      </c>
      <c r="P206" s="131">
        <f t="shared" si="45"/>
        <v>339</v>
      </c>
      <c r="Q206" s="131">
        <f t="shared" si="45"/>
        <v>0</v>
      </c>
      <c r="R206" s="131">
        <f t="shared" si="45"/>
        <v>245</v>
      </c>
      <c r="S206" s="131">
        <f t="shared" si="45"/>
        <v>25.7</v>
      </c>
      <c r="T206" s="131">
        <f t="shared" si="45"/>
        <v>638.6</v>
      </c>
      <c r="U206" s="131">
        <f t="shared" si="45"/>
        <v>1738</v>
      </c>
      <c r="V206" s="131">
        <f t="shared" si="45"/>
        <v>141</v>
      </c>
      <c r="W206" s="131">
        <f t="shared" si="45"/>
        <v>0</v>
      </c>
      <c r="X206" s="131">
        <f t="shared" si="45"/>
        <v>16.5</v>
      </c>
      <c r="Y206" s="131">
        <f t="shared" si="45"/>
        <v>0</v>
      </c>
      <c r="Z206" s="131">
        <f t="shared" si="45"/>
        <v>0</v>
      </c>
      <c r="AA206" s="131">
        <f t="shared" si="45"/>
        <v>0</v>
      </c>
      <c r="AB206" s="131">
        <f t="shared" si="45"/>
        <v>0</v>
      </c>
      <c r="AC206" s="131">
        <f t="shared" si="45"/>
        <v>14</v>
      </c>
      <c r="AD206" s="131">
        <f t="shared" si="45"/>
        <v>0</v>
      </c>
      <c r="AE206" s="131">
        <f t="shared" si="45"/>
        <v>0</v>
      </c>
      <c r="AF206" s="131">
        <f t="shared" si="45"/>
        <v>0</v>
      </c>
      <c r="AG206" s="131">
        <f t="shared" si="45"/>
        <v>0</v>
      </c>
      <c r="AH206" s="145"/>
      <c r="AI206" s="104">
        <f>SUM(AI178:AI205)</f>
        <v>0</v>
      </c>
      <c r="AJ206" s="147"/>
      <c r="AK206" s="104">
        <f>SUM(AK178:AK205)</f>
        <v>0</v>
      </c>
      <c r="AL206" s="104">
        <f>SUM(AL178:AL205)</f>
        <v>50</v>
      </c>
      <c r="AM206" s="147"/>
      <c r="AN206" s="104">
        <f>SUM(AN178:AN205)</f>
        <v>45</v>
      </c>
      <c r="AO206" s="104">
        <f>SUM(AO178:AO205)</f>
        <v>137.4</v>
      </c>
      <c r="AP206" s="147"/>
      <c r="AQ206" s="104">
        <f>SUM(AQ178:AQ205)</f>
        <v>2335.8</v>
      </c>
      <c r="AR206" s="104">
        <f>SUM(AR178:AR205)</f>
        <v>0</v>
      </c>
      <c r="AS206" s="147"/>
      <c r="AT206" s="104">
        <f>SUM(AT178:AT205)</f>
        <v>0</v>
      </c>
      <c r="AU206" s="104">
        <f>SUM(AU178:AU205)</f>
        <v>0</v>
      </c>
      <c r="AV206" s="147"/>
      <c r="AW206" s="104">
        <f>SUM(AW178:AW205)</f>
        <v>0</v>
      </c>
      <c r="AX206" s="104">
        <f>SUM(AX178:AX205)</f>
        <v>0</v>
      </c>
      <c r="AY206" s="147"/>
      <c r="AZ206" s="104">
        <f>SUM(AZ178:AZ205)</f>
        <v>0</v>
      </c>
      <c r="BA206" s="104">
        <f>SUM(BA178:BA205)</f>
        <v>0</v>
      </c>
      <c r="BB206" s="147"/>
      <c r="BC206" s="104">
        <f>SUM(BC178:BC205)</f>
        <v>0</v>
      </c>
      <c r="BD206" s="104">
        <f>SUM(BD178:BD205)</f>
        <v>1357.5</v>
      </c>
      <c r="BE206" s="147"/>
      <c r="BF206" s="104">
        <f>SUM(BF178:BF205)</f>
        <v>15083</v>
      </c>
      <c r="BG206" s="104">
        <f>SUM(BG178:BG205)</f>
        <v>3173</v>
      </c>
      <c r="BH206" s="147"/>
      <c r="BI206" s="104">
        <f>SUM(BI178:BI205)</f>
        <v>20763.2</v>
      </c>
      <c r="BJ206" s="104">
        <f>SUM(BJ178:BJ205)</f>
        <v>779</v>
      </c>
      <c r="BK206" s="147"/>
      <c r="BL206" s="104">
        <f>SUM(BL178:BL205)</f>
        <v>2804.4</v>
      </c>
      <c r="BM206" s="104">
        <f>SUM(BM178:BM205)</f>
        <v>0</v>
      </c>
      <c r="BN206" s="147"/>
      <c r="BO206" s="104">
        <f>SUM(BO178:BO205)</f>
        <v>0</v>
      </c>
      <c r="BP206" s="104">
        <f>SUM(BP178:BP205)</f>
        <v>1443</v>
      </c>
      <c r="BQ206" s="147"/>
      <c r="BR206" s="104">
        <f>SUM(BR178:BR205)</f>
        <v>12409.8</v>
      </c>
      <c r="BS206" s="104">
        <f>SUM(BS178:BS205)</f>
        <v>3</v>
      </c>
      <c r="BT206" s="147"/>
      <c r="BU206" s="104">
        <f>SUM(BU178:BU205)</f>
        <v>25.8</v>
      </c>
    </row>
    <row r="211" s="11" customFormat="1" ht="33" customHeight="1" spans="1:73">
      <c r="A211" s="72" t="s">
        <v>1331</v>
      </c>
      <c r="B211" s="72"/>
      <c r="C211" s="72"/>
      <c r="D211" s="207"/>
      <c r="E211" s="72"/>
      <c r="F211" s="72"/>
      <c r="G211" s="72"/>
      <c r="H211" s="72"/>
      <c r="I211" s="72"/>
      <c r="J211" s="72"/>
      <c r="K211" s="72"/>
      <c r="L211" s="72"/>
      <c r="M211" s="76"/>
      <c r="N211" s="72"/>
      <c r="O211" s="211"/>
      <c r="P211" s="21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3"/>
      <c r="AH211" s="74"/>
      <c r="AI211" s="74"/>
      <c r="AJ211" s="75"/>
      <c r="AK211" s="75"/>
      <c r="AL211" s="72" t="s">
        <v>908</v>
      </c>
      <c r="AM211" s="72"/>
      <c r="AN211" s="72"/>
      <c r="AO211" s="76"/>
      <c r="AP211" s="76"/>
      <c r="AQ211" s="77">
        <f>AK258+AN258+AQ258+AT258+AW258+AZ258+BC258+BF258+BI258+BL258+BO258+BR258+BU258</f>
        <v>71703.84</v>
      </c>
      <c r="AR211" s="77"/>
      <c r="AS211" s="72"/>
      <c r="AT211" s="72"/>
      <c r="AU211" s="75"/>
      <c r="AV211" s="75"/>
      <c r="AW211" s="75"/>
      <c r="AX211" s="72"/>
      <c r="AY211" s="72"/>
      <c r="AZ211" s="72"/>
      <c r="BA211" s="77"/>
      <c r="BB211" s="77"/>
      <c r="BC211" s="77"/>
      <c r="BD211" s="72"/>
      <c r="BE211" s="72"/>
      <c r="BF211" s="72"/>
      <c r="BG211" s="75"/>
      <c r="BH211" s="75"/>
      <c r="BI211" s="75"/>
      <c r="BJ211" s="72"/>
      <c r="BK211" s="72"/>
      <c r="BL211" s="72"/>
      <c r="BM211" s="77"/>
      <c r="BN211" s="77"/>
      <c r="BO211" s="78"/>
      <c r="BP211" s="79"/>
      <c r="BQ211" s="79"/>
      <c r="BR211" s="80"/>
    </row>
    <row r="212" s="12" customFormat="1" ht="27" customHeight="1" spans="1:73">
      <c r="A212" s="81" t="s">
        <v>35</v>
      </c>
      <c r="B212" s="82" t="s">
        <v>909</v>
      </c>
      <c r="C212" s="83"/>
      <c r="D212" s="84" t="s">
        <v>648</v>
      </c>
      <c r="E212" s="85" t="s">
        <v>240</v>
      </c>
      <c r="F212" s="182" t="s">
        <v>1308</v>
      </c>
      <c r="G212" s="87" t="s">
        <v>315</v>
      </c>
      <c r="H212" s="88" t="s">
        <v>316</v>
      </c>
      <c r="I212" s="89" t="s">
        <v>704</v>
      </c>
      <c r="J212" s="90" t="s">
        <v>1203</v>
      </c>
      <c r="K212" s="89"/>
      <c r="L212" s="88" t="s">
        <v>1205</v>
      </c>
      <c r="M212" s="92" t="s">
        <v>542</v>
      </c>
      <c r="N212" s="93" t="s">
        <v>1206</v>
      </c>
      <c r="O212" s="94" t="s">
        <v>342</v>
      </c>
      <c r="P212" s="95" t="s">
        <v>977</v>
      </c>
      <c r="Q212" s="96" t="s">
        <v>1207</v>
      </c>
      <c r="R212" s="92" t="s">
        <v>1208</v>
      </c>
      <c r="S212" s="88" t="s">
        <v>1209</v>
      </c>
      <c r="T212" s="89" t="s">
        <v>149</v>
      </c>
      <c r="U212" s="183" t="s">
        <v>298</v>
      </c>
      <c r="V212" s="89" t="s">
        <v>957</v>
      </c>
      <c r="W212" s="99">
        <v>5014</v>
      </c>
      <c r="X212" s="88" t="s">
        <v>1210</v>
      </c>
      <c r="Y212" s="92" t="s">
        <v>1293</v>
      </c>
      <c r="Z212" s="90" t="s">
        <v>1212</v>
      </c>
      <c r="AA212" s="89" t="s">
        <v>872</v>
      </c>
      <c r="AB212" s="101" t="s">
        <v>896</v>
      </c>
      <c r="AC212" s="89" t="s">
        <v>1213</v>
      </c>
      <c r="AD212" s="94" t="s">
        <v>1214</v>
      </c>
      <c r="AE212" s="89" t="s">
        <v>199</v>
      </c>
      <c r="AF212" s="101" t="s">
        <v>1215</v>
      </c>
      <c r="AG212" s="102" t="s">
        <v>1216</v>
      </c>
      <c r="AH212" s="73" t="s">
        <v>35</v>
      </c>
      <c r="AI212" s="74" t="s">
        <v>289</v>
      </c>
      <c r="AJ212" s="74"/>
      <c r="AK212" s="103"/>
      <c r="AL212" s="81" t="s">
        <v>466</v>
      </c>
      <c r="AM212" s="81"/>
      <c r="AN212" s="81"/>
      <c r="AO212" s="78" t="s">
        <v>191</v>
      </c>
      <c r="AP212" s="78"/>
      <c r="AQ212" s="78"/>
      <c r="AR212" s="81" t="s">
        <v>911</v>
      </c>
      <c r="AS212" s="81"/>
      <c r="AT212" s="81"/>
      <c r="AU212" s="104" t="s">
        <v>912</v>
      </c>
      <c r="AV212" s="104"/>
      <c r="AW212" s="104"/>
      <c r="AX212" s="81" t="s">
        <v>984</v>
      </c>
      <c r="AY212" s="81"/>
      <c r="AZ212" s="81"/>
      <c r="BA212" s="78" t="s">
        <v>960</v>
      </c>
      <c r="BB212" s="78"/>
      <c r="BC212" s="78"/>
      <c r="BD212" s="81">
        <v>808</v>
      </c>
      <c r="BE212" s="81"/>
      <c r="BF212" s="81"/>
      <c r="BG212" s="104" t="s">
        <v>125</v>
      </c>
      <c r="BH212" s="104"/>
      <c r="BI212" s="104"/>
      <c r="BJ212" s="81" t="s">
        <v>132</v>
      </c>
      <c r="BK212" s="81"/>
      <c r="BL212" s="81"/>
      <c r="BM212" s="78">
        <v>811</v>
      </c>
      <c r="BN212" s="78"/>
      <c r="BO212" s="105"/>
      <c r="BP212" s="81" t="s">
        <v>152</v>
      </c>
      <c r="BQ212" s="81"/>
      <c r="BR212" s="81"/>
      <c r="BS212" s="106" t="s">
        <v>12</v>
      </c>
      <c r="BT212" s="107"/>
      <c r="BU212" s="108"/>
    </row>
    <row r="213" s="12" customFormat="1" ht="27" customHeight="1" spans="1:73">
      <c r="A213" s="81"/>
      <c r="B213" s="82" t="s">
        <v>914</v>
      </c>
      <c r="C213" s="83" t="s">
        <v>915</v>
      </c>
      <c r="D213" s="109"/>
      <c r="E213" s="110"/>
      <c r="F213" s="184"/>
      <c r="G213" s="112"/>
      <c r="H213" s="88"/>
      <c r="I213" s="89"/>
      <c r="J213" s="90"/>
      <c r="K213" s="89"/>
      <c r="L213" s="88"/>
      <c r="M213" s="92"/>
      <c r="N213" s="113"/>
      <c r="O213" s="94"/>
      <c r="P213" s="114"/>
      <c r="Q213" s="96"/>
      <c r="R213" s="92"/>
      <c r="S213" s="88"/>
      <c r="T213" s="89"/>
      <c r="U213" s="185"/>
      <c r="V213" s="89"/>
      <c r="W213" s="116"/>
      <c r="X213" s="88"/>
      <c r="Y213" s="92"/>
      <c r="Z213" s="90"/>
      <c r="AA213" s="89"/>
      <c r="AB213" s="101"/>
      <c r="AC213" s="89"/>
      <c r="AD213" s="94"/>
      <c r="AE213" s="89"/>
      <c r="AF213" s="101"/>
      <c r="AG213" s="102"/>
      <c r="AH213" s="73"/>
      <c r="AI213" s="117" t="s">
        <v>916</v>
      </c>
      <c r="AJ213" s="118" t="s">
        <v>917</v>
      </c>
      <c r="AK213" s="81" t="s">
        <v>918</v>
      </c>
      <c r="AL213" s="81" t="s">
        <v>916</v>
      </c>
      <c r="AM213" s="81" t="s">
        <v>917</v>
      </c>
      <c r="AN213" s="81" t="s">
        <v>918</v>
      </c>
      <c r="AO213" s="78" t="s">
        <v>916</v>
      </c>
      <c r="AP213" s="78" t="s">
        <v>917</v>
      </c>
      <c r="AQ213" s="78" t="s">
        <v>918</v>
      </c>
      <c r="AR213" s="81" t="s">
        <v>916</v>
      </c>
      <c r="AS213" s="81" t="s">
        <v>917</v>
      </c>
      <c r="AT213" s="81" t="s">
        <v>918</v>
      </c>
      <c r="AU213" s="104" t="s">
        <v>916</v>
      </c>
      <c r="AV213" s="104" t="s">
        <v>917</v>
      </c>
      <c r="AW213" s="104" t="s">
        <v>918</v>
      </c>
      <c r="AX213" s="81" t="s">
        <v>916</v>
      </c>
      <c r="AY213" s="81" t="s">
        <v>917</v>
      </c>
      <c r="AZ213" s="81" t="s">
        <v>918</v>
      </c>
      <c r="BA213" s="78" t="s">
        <v>916</v>
      </c>
      <c r="BB213" s="78" t="s">
        <v>917</v>
      </c>
      <c r="BC213" s="78" t="s">
        <v>918</v>
      </c>
      <c r="BD213" s="81" t="s">
        <v>916</v>
      </c>
      <c r="BE213" s="81" t="s">
        <v>917</v>
      </c>
      <c r="BF213" s="81" t="s">
        <v>918</v>
      </c>
      <c r="BG213" s="104" t="s">
        <v>916</v>
      </c>
      <c r="BH213" s="104" t="s">
        <v>917</v>
      </c>
      <c r="BI213" s="104" t="s">
        <v>918</v>
      </c>
      <c r="BJ213" s="81" t="s">
        <v>916</v>
      </c>
      <c r="BK213" s="81" t="s">
        <v>917</v>
      </c>
      <c r="BL213" s="81" t="s">
        <v>918</v>
      </c>
      <c r="BM213" s="78" t="s">
        <v>916</v>
      </c>
      <c r="BN213" s="78" t="s">
        <v>917</v>
      </c>
      <c r="BO213" s="105" t="s">
        <v>918</v>
      </c>
      <c r="BP213" s="81" t="s">
        <v>916</v>
      </c>
      <c r="BQ213" s="81" t="s">
        <v>917</v>
      </c>
      <c r="BR213" s="81" t="s">
        <v>918</v>
      </c>
      <c r="BS213" s="104" t="s">
        <v>916</v>
      </c>
      <c r="BT213" s="104" t="s">
        <v>917</v>
      </c>
      <c r="BU213" s="104" t="s">
        <v>918</v>
      </c>
    </row>
    <row r="214" s="46" customFormat="1" spans="1:73">
      <c r="A214" s="129" t="s">
        <v>708</v>
      </c>
      <c r="B214" s="137" t="s">
        <v>1332</v>
      </c>
      <c r="C214" s="131"/>
      <c r="D214" s="132"/>
      <c r="E214" s="81">
        <f t="shared" ref="E214:AG214" si="46">D302</f>
        <v>500</v>
      </c>
      <c r="F214" s="81">
        <f t="shared" si="46"/>
        <v>300</v>
      </c>
      <c r="G214" s="81">
        <f t="shared" si="46"/>
        <v>0</v>
      </c>
      <c r="H214" s="81">
        <f t="shared" si="46"/>
        <v>205</v>
      </c>
      <c r="I214" s="81">
        <f t="shared" si="46"/>
        <v>1041.5</v>
      </c>
      <c r="J214" s="81">
        <v>296</v>
      </c>
      <c r="K214" s="81"/>
      <c r="L214" s="81">
        <f t="shared" si="46"/>
        <v>0</v>
      </c>
      <c r="M214" s="81">
        <f t="shared" si="46"/>
        <v>0</v>
      </c>
      <c r="N214" s="81">
        <f t="shared" si="46"/>
        <v>0</v>
      </c>
      <c r="O214" s="81">
        <f t="shared" si="46"/>
        <v>213</v>
      </c>
      <c r="P214" s="81">
        <f t="shared" si="46"/>
        <v>285</v>
      </c>
      <c r="R214" s="81">
        <v>629</v>
      </c>
      <c r="S214" s="81">
        <f t="shared" si="46"/>
        <v>33.5</v>
      </c>
      <c r="T214" s="81">
        <f t="shared" si="46"/>
        <v>658.6</v>
      </c>
      <c r="U214" s="81">
        <v>1127</v>
      </c>
      <c r="V214" s="81">
        <f t="shared" si="46"/>
        <v>0</v>
      </c>
      <c r="W214" s="81">
        <f t="shared" si="46"/>
        <v>0</v>
      </c>
      <c r="X214" s="81">
        <f t="shared" si="46"/>
        <v>3</v>
      </c>
      <c r="Y214" s="81">
        <f t="shared" si="46"/>
        <v>0</v>
      </c>
      <c r="Z214" s="81">
        <f t="shared" si="46"/>
        <v>0</v>
      </c>
      <c r="AA214" s="81">
        <f t="shared" si="46"/>
        <v>0</v>
      </c>
      <c r="AB214" s="81">
        <v>0</v>
      </c>
      <c r="AC214" s="81">
        <f t="shared" si="46"/>
        <v>15</v>
      </c>
      <c r="AD214" s="81">
        <f t="shared" si="46"/>
        <v>0</v>
      </c>
      <c r="AE214" s="81">
        <f t="shared" si="46"/>
        <v>0</v>
      </c>
      <c r="AF214" s="81">
        <f t="shared" si="46"/>
        <v>0</v>
      </c>
      <c r="AG214" s="81">
        <f t="shared" si="46"/>
        <v>0</v>
      </c>
      <c r="AH214" s="145"/>
      <c r="AI214" s="147"/>
      <c r="AJ214" s="147"/>
      <c r="AK214" s="104"/>
      <c r="AL214" s="81"/>
      <c r="AM214" s="81"/>
      <c r="AN214" s="81"/>
      <c r="AO214" s="78"/>
      <c r="AP214" s="78"/>
      <c r="AQ214" s="78"/>
      <c r="AR214" s="81"/>
      <c r="AS214" s="81"/>
      <c r="AT214" s="81"/>
      <c r="AU214" s="104"/>
      <c r="AV214" s="104"/>
      <c r="AW214" s="104"/>
      <c r="AX214" s="81"/>
      <c r="AY214" s="81"/>
      <c r="AZ214" s="81"/>
      <c r="BA214" s="78"/>
      <c r="BB214" s="78"/>
      <c r="BC214" s="78"/>
      <c r="BD214" s="81"/>
      <c r="BE214" s="81"/>
      <c r="BF214" s="81"/>
      <c r="BG214" s="104"/>
      <c r="BH214" s="104"/>
      <c r="BI214" s="104"/>
      <c r="BJ214" s="81"/>
      <c r="BK214" s="81"/>
      <c r="BL214" s="81"/>
      <c r="BM214" s="78"/>
      <c r="BN214" s="78"/>
      <c r="BO214" s="78"/>
      <c r="BP214" s="81"/>
      <c r="BQ214" s="81"/>
      <c r="BR214" s="81"/>
      <c r="BS214" s="146"/>
      <c r="BT214" s="146"/>
      <c r="BU214" s="146"/>
    </row>
    <row r="215" s="46" customFormat="1" spans="1:73">
      <c r="A215" s="129">
        <v>45445</v>
      </c>
      <c r="B215" s="137" t="s">
        <v>1333</v>
      </c>
      <c r="C215" s="131"/>
      <c r="D215" s="132"/>
      <c r="E215" s="81"/>
      <c r="F215" s="81"/>
      <c r="G215" s="81"/>
      <c r="H215" s="81">
        <v>-26</v>
      </c>
      <c r="I215" s="81"/>
      <c r="J215" s="81"/>
      <c r="K215" s="81"/>
      <c r="L215" s="81"/>
      <c r="M215" s="81"/>
      <c r="N215" s="81"/>
      <c r="O215" s="81"/>
      <c r="P215" s="81">
        <v>-10</v>
      </c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145"/>
      <c r="AI215" s="147"/>
      <c r="AJ215" s="147"/>
      <c r="AK215" s="104"/>
      <c r="AL215" s="81"/>
      <c r="AM215" s="81"/>
      <c r="AN215" s="81"/>
      <c r="AO215" s="78"/>
      <c r="AP215" s="78"/>
      <c r="AQ215" s="78"/>
      <c r="AR215" s="81"/>
      <c r="AS215" s="81"/>
      <c r="AT215" s="81"/>
      <c r="AU215" s="104"/>
      <c r="AV215" s="104"/>
      <c r="AW215" s="104"/>
      <c r="AX215" s="81"/>
      <c r="AY215" s="81"/>
      <c r="AZ215" s="81"/>
      <c r="BA215" s="78"/>
      <c r="BB215" s="78"/>
      <c r="BC215" s="78"/>
      <c r="BD215" s="81"/>
      <c r="BE215" s="81"/>
      <c r="BF215" s="81"/>
      <c r="BG215" s="104"/>
      <c r="BH215" s="104"/>
      <c r="BI215" s="104"/>
      <c r="BJ215" s="81"/>
      <c r="BK215" s="81"/>
      <c r="BL215" s="81"/>
      <c r="BM215" s="78"/>
      <c r="BN215" s="78"/>
      <c r="BO215" s="78"/>
      <c r="BP215" s="81"/>
      <c r="BQ215" s="81"/>
      <c r="BR215" s="81"/>
      <c r="BS215" s="146"/>
      <c r="BT215" s="146"/>
      <c r="BU215" s="146"/>
    </row>
    <row r="216" s="46" customFormat="1" spans="1:73">
      <c r="A216" s="129">
        <v>45447</v>
      </c>
      <c r="B216" s="130" t="s">
        <v>987</v>
      </c>
      <c r="C216" s="131">
        <v>1000</v>
      </c>
      <c r="D216" s="132"/>
      <c r="E216" s="81">
        <v>-125</v>
      </c>
      <c r="F216" s="104"/>
      <c r="G216" s="81"/>
      <c r="H216" s="78">
        <v>-200</v>
      </c>
      <c r="I216" s="81">
        <v>-200</v>
      </c>
      <c r="J216" s="104"/>
      <c r="K216" s="81"/>
      <c r="L216" s="78"/>
      <c r="M216" s="81"/>
      <c r="N216" s="133"/>
      <c r="O216" s="104"/>
      <c r="P216" s="131"/>
      <c r="Q216" s="134"/>
      <c r="R216" s="81"/>
      <c r="S216" s="78"/>
      <c r="T216" s="81">
        <v>-70</v>
      </c>
      <c r="U216" s="104">
        <v>-380</v>
      </c>
      <c r="V216" s="81"/>
      <c r="W216" s="136"/>
      <c r="X216" s="78"/>
      <c r="Y216" s="81"/>
      <c r="Z216" s="104"/>
      <c r="AA216" s="81"/>
      <c r="AB216" s="78"/>
      <c r="AC216" s="81"/>
      <c r="AD216" s="104"/>
      <c r="AE216" s="81"/>
      <c r="AF216" s="78"/>
      <c r="AG216" s="81"/>
      <c r="AH216" s="145">
        <v>45447</v>
      </c>
      <c r="AI216" s="147"/>
      <c r="AJ216" s="147"/>
      <c r="AK216" s="104"/>
      <c r="AL216" s="81"/>
      <c r="AM216" s="81"/>
      <c r="AN216" s="81"/>
      <c r="AO216" s="78"/>
      <c r="AP216" s="78"/>
      <c r="AQ216" s="78"/>
      <c r="AR216" s="81"/>
      <c r="AS216" s="81"/>
      <c r="AT216" s="81"/>
      <c r="AU216" s="104"/>
      <c r="AV216" s="104"/>
      <c r="AW216" s="104"/>
      <c r="AX216" s="81"/>
      <c r="AY216" s="81"/>
      <c r="AZ216" s="81"/>
      <c r="BA216" s="78"/>
      <c r="BB216" s="78"/>
      <c r="BC216" s="78"/>
      <c r="BD216" s="81">
        <v>25</v>
      </c>
      <c r="BE216" s="81">
        <v>11</v>
      </c>
      <c r="BF216" s="81">
        <f t="shared" ref="BF216:BF220" si="47">BD216*BE216</f>
        <v>275</v>
      </c>
      <c r="BG216" s="104"/>
      <c r="BH216" s="104"/>
      <c r="BI216" s="104"/>
      <c r="BJ216" s="81"/>
      <c r="BK216" s="81"/>
      <c r="BL216" s="81"/>
      <c r="BM216" s="78"/>
      <c r="BN216" s="78"/>
      <c r="BO216" s="78"/>
      <c r="BP216" s="81"/>
      <c r="BQ216" s="81"/>
      <c r="BR216" s="81"/>
      <c r="BS216" s="146"/>
      <c r="BT216" s="146"/>
      <c r="BU216" s="146"/>
    </row>
    <row r="217" s="46" customFormat="1" spans="1:73">
      <c r="A217" s="129">
        <v>45448</v>
      </c>
      <c r="B217" s="130" t="s">
        <v>1334</v>
      </c>
      <c r="C217" s="131">
        <v>619</v>
      </c>
      <c r="D217" s="132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145">
        <v>45448</v>
      </c>
      <c r="AI217" s="147"/>
      <c r="AJ217" s="147"/>
      <c r="AK217" s="104"/>
      <c r="AL217" s="81"/>
      <c r="AM217" s="81"/>
      <c r="AN217" s="81"/>
      <c r="AO217" s="78"/>
      <c r="AP217" s="78"/>
      <c r="AQ217" s="78"/>
      <c r="AR217" s="81"/>
      <c r="AS217" s="81"/>
      <c r="AT217" s="81"/>
      <c r="AU217" s="104"/>
      <c r="AV217" s="104"/>
      <c r="AW217" s="104"/>
      <c r="AX217" s="81"/>
      <c r="AY217" s="81"/>
      <c r="AZ217" s="81"/>
      <c r="BA217" s="78"/>
      <c r="BB217" s="78"/>
      <c r="BC217" s="78"/>
      <c r="BD217" s="81">
        <v>108</v>
      </c>
      <c r="BE217" s="81">
        <v>11</v>
      </c>
      <c r="BF217" s="81">
        <f t="shared" si="47"/>
        <v>1188</v>
      </c>
      <c r="BG217" s="104">
        <v>227</v>
      </c>
      <c r="BH217" s="104">
        <v>7.5</v>
      </c>
      <c r="BI217" s="104">
        <f>BG217*BH217</f>
        <v>1702.5</v>
      </c>
      <c r="BJ217" s="81"/>
      <c r="BK217" s="81"/>
      <c r="BL217" s="81"/>
      <c r="BM217" s="78"/>
      <c r="BN217" s="78"/>
      <c r="BO217" s="78"/>
      <c r="BP217" s="81"/>
      <c r="BQ217" s="81"/>
      <c r="BR217" s="81"/>
      <c r="BS217" s="146">
        <v>55</v>
      </c>
      <c r="BT217" s="146">
        <v>8.5</v>
      </c>
      <c r="BU217" s="146">
        <f>BS217*BT217</f>
        <v>467.5</v>
      </c>
    </row>
    <row r="218" s="46" customFormat="1" spans="1:73">
      <c r="A218" s="129">
        <v>45448</v>
      </c>
      <c r="B218" s="137" t="s">
        <v>1335</v>
      </c>
      <c r="C218" s="131"/>
      <c r="D218" s="149">
        <v>619</v>
      </c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145">
        <v>45448</v>
      </c>
      <c r="AI218" s="147"/>
      <c r="AJ218" s="147"/>
      <c r="AK218" s="104"/>
      <c r="AL218" s="81"/>
      <c r="AM218" s="81"/>
      <c r="AN218" s="81"/>
      <c r="AO218" s="78"/>
      <c r="AP218" s="78"/>
      <c r="AQ218" s="78"/>
      <c r="AR218" s="81"/>
      <c r="AS218" s="81"/>
      <c r="AT218" s="81"/>
      <c r="AU218" s="104"/>
      <c r="AV218" s="104"/>
      <c r="AW218" s="104"/>
      <c r="AX218" s="81"/>
      <c r="AY218" s="81"/>
      <c r="AZ218" s="81"/>
      <c r="BA218" s="78"/>
      <c r="BB218" s="78"/>
      <c r="BC218" s="78"/>
      <c r="BD218" s="81"/>
      <c r="BE218" s="81"/>
      <c r="BF218" s="81"/>
      <c r="BG218" s="104"/>
      <c r="BH218" s="104"/>
      <c r="BI218" s="104"/>
      <c r="BJ218" s="81"/>
      <c r="BK218" s="81"/>
      <c r="BL218" s="81"/>
      <c r="BM218" s="78"/>
      <c r="BN218" s="78"/>
      <c r="BO218" s="78"/>
      <c r="BP218" s="81"/>
      <c r="BQ218" s="81"/>
      <c r="BR218" s="81"/>
      <c r="BS218" s="146"/>
      <c r="BT218" s="146"/>
      <c r="BU218" s="146"/>
    </row>
    <row r="219" s="46" customFormat="1" spans="1:73">
      <c r="A219" s="129">
        <v>45448</v>
      </c>
      <c r="B219" s="216" t="s">
        <v>1336</v>
      </c>
      <c r="C219" s="131">
        <v>1051.8</v>
      </c>
      <c r="D219" s="132"/>
      <c r="E219" s="104"/>
      <c r="F219" s="81"/>
      <c r="G219" s="78"/>
      <c r="H219" s="81">
        <v>-100</v>
      </c>
      <c r="I219" s="104">
        <v>-100</v>
      </c>
      <c r="J219" s="81"/>
      <c r="K219" s="78"/>
      <c r="L219" s="81"/>
      <c r="M219" s="133"/>
      <c r="N219" s="104"/>
      <c r="O219" s="131"/>
      <c r="P219" s="134"/>
      <c r="Q219" s="81"/>
      <c r="R219" s="78"/>
      <c r="S219" s="78">
        <v>-1.8</v>
      </c>
      <c r="T219" s="81">
        <v>-136</v>
      </c>
      <c r="U219" s="104">
        <v>-260</v>
      </c>
      <c r="V219" s="136"/>
      <c r="W219" s="78"/>
      <c r="X219" s="81"/>
      <c r="Y219" s="104"/>
      <c r="Z219" s="81"/>
      <c r="AA219" s="78"/>
      <c r="AB219" s="81"/>
      <c r="AC219" s="104"/>
      <c r="AD219" s="81"/>
      <c r="AE219" s="78"/>
      <c r="AF219" s="81"/>
      <c r="AG219" s="81"/>
      <c r="AH219" s="145">
        <v>45448</v>
      </c>
      <c r="AI219" s="147"/>
      <c r="AJ219" s="104"/>
      <c r="AK219" s="104"/>
      <c r="AL219" s="81">
        <v>50</v>
      </c>
      <c r="AM219" s="81">
        <v>0.9</v>
      </c>
      <c r="AN219" s="81">
        <f>AL219*AM219</f>
        <v>45</v>
      </c>
      <c r="AO219" s="78">
        <v>25</v>
      </c>
      <c r="AP219" s="78">
        <v>17</v>
      </c>
      <c r="AQ219" s="78">
        <f>AO219*AP219</f>
        <v>425</v>
      </c>
      <c r="AR219" s="81"/>
      <c r="AS219" s="81"/>
      <c r="AT219" s="104"/>
      <c r="AU219" s="104"/>
      <c r="AV219" s="104"/>
      <c r="AW219" s="81"/>
      <c r="AX219" s="81"/>
      <c r="AY219" s="81"/>
      <c r="AZ219" s="78"/>
      <c r="BA219" s="78"/>
      <c r="BB219" s="78"/>
      <c r="BC219" s="78"/>
      <c r="BD219" s="81"/>
      <c r="BE219" s="81"/>
      <c r="BF219" s="81"/>
      <c r="BG219" s="104"/>
      <c r="BH219" s="104"/>
      <c r="BI219" s="104"/>
      <c r="BJ219" s="81">
        <v>279</v>
      </c>
      <c r="BK219" s="81">
        <v>3.6</v>
      </c>
      <c r="BL219" s="81">
        <f>BJ219*BK219</f>
        <v>1004.4</v>
      </c>
      <c r="BM219" s="78"/>
      <c r="BN219" s="78"/>
      <c r="BO219" s="78"/>
      <c r="BP219" s="81"/>
      <c r="BQ219" s="81"/>
      <c r="BR219" s="81"/>
      <c r="BS219" s="146"/>
      <c r="BT219" s="146"/>
      <c r="BU219" s="146"/>
    </row>
    <row r="220" s="46" customFormat="1" spans="1:73">
      <c r="A220" s="129">
        <v>45448</v>
      </c>
      <c r="B220" s="216" t="s">
        <v>1337</v>
      </c>
      <c r="C220" s="131">
        <v>400</v>
      </c>
      <c r="D220" s="132">
        <v>-195</v>
      </c>
      <c r="E220" s="104"/>
      <c r="F220" s="81"/>
      <c r="G220" s="78"/>
      <c r="H220" s="81">
        <v>-55</v>
      </c>
      <c r="I220" s="104"/>
      <c r="J220" s="81"/>
      <c r="K220" s="78"/>
      <c r="L220" s="81"/>
      <c r="M220" s="133"/>
      <c r="N220" s="104"/>
      <c r="O220" s="131"/>
      <c r="P220" s="134"/>
      <c r="Q220" s="81"/>
      <c r="R220" s="78"/>
      <c r="S220" s="78"/>
      <c r="T220" s="81">
        <v>-38</v>
      </c>
      <c r="U220" s="104">
        <v>-72</v>
      </c>
      <c r="V220" s="136"/>
      <c r="W220" s="78"/>
      <c r="X220" s="81"/>
      <c r="Y220" s="104"/>
      <c r="Z220" s="81"/>
      <c r="AA220" s="78"/>
      <c r="AB220" s="81"/>
      <c r="AC220" s="104"/>
      <c r="AD220" s="81"/>
      <c r="AE220" s="78"/>
      <c r="AF220" s="81"/>
      <c r="AG220" s="81"/>
      <c r="AH220" s="145">
        <v>45448</v>
      </c>
      <c r="AI220" s="147"/>
      <c r="AJ220" s="104"/>
      <c r="AK220" s="104"/>
      <c r="AL220" s="81"/>
      <c r="AM220" s="81"/>
      <c r="AN220" s="81"/>
      <c r="AO220" s="78"/>
      <c r="AP220" s="78"/>
      <c r="AQ220" s="78"/>
      <c r="AR220" s="81"/>
      <c r="AS220" s="81"/>
      <c r="AT220" s="104"/>
      <c r="AU220" s="104"/>
      <c r="AV220" s="104"/>
      <c r="AW220" s="81"/>
      <c r="AX220" s="81"/>
      <c r="AY220" s="81"/>
      <c r="AZ220" s="78"/>
      <c r="BA220" s="78"/>
      <c r="BB220" s="78"/>
      <c r="BC220" s="78"/>
      <c r="BD220" s="81">
        <v>40</v>
      </c>
      <c r="BE220" s="81">
        <v>11</v>
      </c>
      <c r="BF220" s="81">
        <f t="shared" si="47"/>
        <v>440</v>
      </c>
      <c r="BG220" s="104"/>
      <c r="BH220" s="104"/>
      <c r="BI220" s="104"/>
      <c r="BJ220" s="81"/>
      <c r="BK220" s="81"/>
      <c r="BL220" s="81"/>
      <c r="BM220" s="78"/>
      <c r="BN220" s="78"/>
      <c r="BO220" s="78"/>
      <c r="BP220" s="81"/>
      <c r="BQ220" s="81"/>
      <c r="BR220" s="81"/>
      <c r="BS220" s="146"/>
      <c r="BT220" s="146"/>
      <c r="BU220" s="146"/>
    </row>
    <row r="221" s="46" customFormat="1" spans="1:73">
      <c r="A221" s="129">
        <v>45449</v>
      </c>
      <c r="B221" s="137" t="s">
        <v>1338</v>
      </c>
      <c r="C221" s="131"/>
      <c r="D221" s="132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>
        <v>300</v>
      </c>
      <c r="AB221" s="81">
        <v>200</v>
      </c>
      <c r="AC221" s="81"/>
      <c r="AD221" s="81"/>
      <c r="AE221" s="81"/>
      <c r="AF221" s="81"/>
      <c r="AG221" s="81"/>
      <c r="AH221" s="145">
        <v>45449</v>
      </c>
      <c r="AI221" s="147"/>
      <c r="AJ221" s="147"/>
      <c r="AK221" s="104"/>
      <c r="AL221" s="81"/>
      <c r="AM221" s="81"/>
      <c r="AN221" s="81"/>
      <c r="AO221" s="78"/>
      <c r="AP221" s="78"/>
      <c r="AQ221" s="78"/>
      <c r="AR221" s="81"/>
      <c r="AS221" s="81"/>
      <c r="AT221" s="81"/>
      <c r="AU221" s="104"/>
      <c r="AV221" s="104"/>
      <c r="AW221" s="104"/>
      <c r="AX221" s="81"/>
      <c r="AY221" s="81"/>
      <c r="AZ221" s="81"/>
      <c r="BA221" s="78"/>
      <c r="BB221" s="78"/>
      <c r="BC221" s="78"/>
      <c r="BD221" s="81"/>
      <c r="BE221" s="81"/>
      <c r="BF221" s="81"/>
      <c r="BG221" s="104"/>
      <c r="BH221" s="104"/>
      <c r="BI221" s="104"/>
      <c r="BJ221" s="81"/>
      <c r="BK221" s="81"/>
      <c r="BL221" s="81"/>
      <c r="BM221" s="78"/>
      <c r="BN221" s="78"/>
      <c r="BO221" s="78"/>
      <c r="BP221" s="81"/>
      <c r="BQ221" s="81"/>
      <c r="BR221" s="81"/>
      <c r="BS221" s="146"/>
      <c r="BT221" s="146"/>
      <c r="BU221" s="146"/>
    </row>
    <row r="222" s="46" customFormat="1" spans="1:73">
      <c r="A222" s="129">
        <v>45449</v>
      </c>
      <c r="B222" s="130" t="s">
        <v>149</v>
      </c>
      <c r="C222" s="131">
        <v>1020</v>
      </c>
      <c r="D222" s="132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>
        <v>-300</v>
      </c>
      <c r="AB222" s="81"/>
      <c r="AC222" s="81"/>
      <c r="AD222" s="81"/>
      <c r="AE222" s="81"/>
      <c r="AF222" s="81"/>
      <c r="AG222" s="81"/>
      <c r="AH222" s="145">
        <v>45449</v>
      </c>
      <c r="AI222" s="147"/>
      <c r="AJ222" s="147"/>
      <c r="AK222" s="104"/>
      <c r="AL222" s="81"/>
      <c r="AM222" s="81"/>
      <c r="AN222" s="81"/>
      <c r="AO222" s="78"/>
      <c r="AP222" s="78"/>
      <c r="AQ222" s="78"/>
      <c r="AR222" s="81"/>
      <c r="AS222" s="81"/>
      <c r="AT222" s="81"/>
      <c r="AU222" s="104"/>
      <c r="AV222" s="104"/>
      <c r="AW222" s="104"/>
      <c r="AX222" s="81"/>
      <c r="AY222" s="81"/>
      <c r="AZ222" s="81"/>
      <c r="BA222" s="78"/>
      <c r="BB222" s="78"/>
      <c r="BC222" s="78"/>
      <c r="BD222" s="81"/>
      <c r="BE222" s="81"/>
      <c r="BF222" s="81"/>
      <c r="BG222" s="104">
        <v>540</v>
      </c>
      <c r="BH222" s="104">
        <v>7.4</v>
      </c>
      <c r="BI222" s="104">
        <f>BG222*BH222</f>
        <v>3996</v>
      </c>
      <c r="BJ222" s="81"/>
      <c r="BK222" s="81"/>
      <c r="BL222" s="81"/>
      <c r="BM222" s="78"/>
      <c r="BN222" s="78"/>
      <c r="BO222" s="78"/>
      <c r="BP222" s="81">
        <v>180</v>
      </c>
      <c r="BQ222" s="81">
        <v>8.6</v>
      </c>
      <c r="BR222" s="81">
        <f>BP222*BQ222</f>
        <v>1548</v>
      </c>
      <c r="BS222" s="146"/>
      <c r="BT222" s="146"/>
      <c r="BU222" s="146"/>
    </row>
    <row r="223" s="46" customFormat="1" spans="1:73">
      <c r="A223" s="129">
        <v>45449</v>
      </c>
      <c r="B223" s="130" t="s">
        <v>298</v>
      </c>
      <c r="C223" s="131">
        <v>1280</v>
      </c>
      <c r="D223" s="132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>
        <v>-200</v>
      </c>
      <c r="AC223" s="81"/>
      <c r="AD223" s="81"/>
      <c r="AE223" s="81"/>
      <c r="AF223" s="81"/>
      <c r="AG223" s="81"/>
      <c r="AH223" s="145">
        <v>45449</v>
      </c>
      <c r="AI223" s="147"/>
      <c r="AJ223" s="147"/>
      <c r="AK223" s="104"/>
      <c r="AL223" s="81"/>
      <c r="AM223" s="81"/>
      <c r="AN223" s="81"/>
      <c r="AO223" s="78"/>
      <c r="AP223" s="78"/>
      <c r="AQ223" s="78"/>
      <c r="AR223" s="81"/>
      <c r="AS223" s="81"/>
      <c r="AT223" s="81"/>
      <c r="AU223" s="104"/>
      <c r="AV223" s="104"/>
      <c r="AW223" s="104"/>
      <c r="AX223" s="81"/>
      <c r="AY223" s="81"/>
      <c r="AZ223" s="81"/>
      <c r="BA223" s="78"/>
      <c r="BB223" s="78"/>
      <c r="BC223" s="78"/>
      <c r="BD223" s="81"/>
      <c r="BE223" s="81"/>
      <c r="BF223" s="81"/>
      <c r="BG223" s="104">
        <v>720</v>
      </c>
      <c r="BH223" s="104">
        <v>7.4</v>
      </c>
      <c r="BI223" s="104">
        <f>BG223*BH223</f>
        <v>5328</v>
      </c>
      <c r="BJ223" s="81"/>
      <c r="BK223" s="81"/>
      <c r="BL223" s="81"/>
      <c r="BM223" s="78"/>
      <c r="BN223" s="78"/>
      <c r="BO223" s="78"/>
      <c r="BP223" s="81">
        <v>360</v>
      </c>
      <c r="BQ223" s="81">
        <v>8.6</v>
      </c>
      <c r="BR223" s="81">
        <f>BP223*BQ223</f>
        <v>3096</v>
      </c>
      <c r="BS223" s="146"/>
      <c r="BT223" s="146"/>
      <c r="BU223" s="146"/>
    </row>
    <row r="224" s="46" customFormat="1" spans="1:73">
      <c r="A224" s="129">
        <v>45449</v>
      </c>
      <c r="B224" s="137" t="s">
        <v>1339</v>
      </c>
      <c r="C224" s="131"/>
      <c r="D224" s="132"/>
      <c r="E224" s="81"/>
      <c r="F224" s="81"/>
      <c r="G224" s="81"/>
      <c r="H224" s="138">
        <v>1140</v>
      </c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138">
        <v>1020</v>
      </c>
      <c r="U224" s="138">
        <v>1280</v>
      </c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145">
        <v>45449</v>
      </c>
      <c r="AI224" s="147"/>
      <c r="AJ224" s="147"/>
      <c r="AK224" s="104"/>
      <c r="AL224" s="81"/>
      <c r="AM224" s="81"/>
      <c r="AN224" s="81"/>
      <c r="AO224" s="78"/>
      <c r="AP224" s="78"/>
      <c r="AQ224" s="78"/>
      <c r="AR224" s="81"/>
      <c r="AS224" s="81"/>
      <c r="AT224" s="81"/>
      <c r="AU224" s="104"/>
      <c r="AV224" s="104"/>
      <c r="AW224" s="104"/>
      <c r="AX224" s="81"/>
      <c r="AY224" s="81"/>
      <c r="AZ224" s="81"/>
      <c r="BA224" s="78"/>
      <c r="BB224" s="78"/>
      <c r="BC224" s="78"/>
      <c r="BD224" s="81"/>
      <c r="BE224" s="81"/>
      <c r="BF224" s="81"/>
      <c r="BG224" s="104"/>
      <c r="BH224" s="104"/>
      <c r="BI224" s="104"/>
      <c r="BJ224" s="81"/>
      <c r="BK224" s="81"/>
      <c r="BL224" s="81"/>
      <c r="BM224" s="78"/>
      <c r="BN224" s="78"/>
      <c r="BO224" s="78"/>
      <c r="BP224" s="81"/>
      <c r="BQ224" s="81"/>
      <c r="BR224" s="81"/>
      <c r="BS224" s="146"/>
      <c r="BT224" s="146"/>
      <c r="BU224" s="146"/>
    </row>
    <row r="225" s="46" customFormat="1" spans="1:73">
      <c r="A225" s="129">
        <v>45449</v>
      </c>
      <c r="B225" s="130" t="s">
        <v>962</v>
      </c>
      <c r="C225" s="131">
        <v>501</v>
      </c>
      <c r="D225" s="132"/>
      <c r="E225" s="81">
        <v>-63</v>
      </c>
      <c r="F225" s="81"/>
      <c r="G225" s="81"/>
      <c r="H225" s="81">
        <v>-75</v>
      </c>
      <c r="I225" s="81"/>
      <c r="J225" s="81">
        <v>-100</v>
      </c>
      <c r="K225" s="81"/>
      <c r="L225" s="81"/>
      <c r="M225" s="81"/>
      <c r="N225" s="81"/>
      <c r="O225" s="81"/>
      <c r="P225" s="81"/>
      <c r="Q225" s="81"/>
      <c r="R225" s="81"/>
      <c r="S225" s="81"/>
      <c r="T225" s="81">
        <v>-70</v>
      </c>
      <c r="U225" s="81">
        <v>-130</v>
      </c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145">
        <v>45449</v>
      </c>
      <c r="AI225" s="147"/>
      <c r="AJ225" s="147"/>
      <c r="AK225" s="104"/>
      <c r="AL225" s="81"/>
      <c r="AM225" s="81"/>
      <c r="AN225" s="81"/>
      <c r="AO225" s="78"/>
      <c r="AP225" s="78"/>
      <c r="AQ225" s="78"/>
      <c r="AR225" s="81"/>
      <c r="AS225" s="81"/>
      <c r="AT225" s="81"/>
      <c r="AU225" s="104"/>
      <c r="AV225" s="104"/>
      <c r="AW225" s="104"/>
      <c r="AX225" s="81"/>
      <c r="AY225" s="81"/>
      <c r="AZ225" s="81"/>
      <c r="BA225" s="78"/>
      <c r="BB225" s="78"/>
      <c r="BC225" s="78"/>
      <c r="BD225" s="81">
        <v>63</v>
      </c>
      <c r="BE225" s="81">
        <v>11</v>
      </c>
      <c r="BF225" s="81">
        <f>BD225*BE225</f>
        <v>693</v>
      </c>
      <c r="BG225" s="104"/>
      <c r="BH225" s="104"/>
      <c r="BI225" s="104"/>
      <c r="BJ225" s="81"/>
      <c r="BK225" s="81"/>
      <c r="BL225" s="81"/>
      <c r="BM225" s="78"/>
      <c r="BN225" s="78"/>
      <c r="BO225" s="78"/>
      <c r="BP225" s="81"/>
      <c r="BQ225" s="81"/>
      <c r="BR225" s="81"/>
      <c r="BS225" s="146"/>
      <c r="BT225" s="146"/>
      <c r="BU225" s="146"/>
    </row>
    <row r="226" s="46" customFormat="1" spans="1:73">
      <c r="A226" s="129">
        <v>45455</v>
      </c>
      <c r="B226" s="130" t="s">
        <v>997</v>
      </c>
      <c r="C226" s="131">
        <v>1000</v>
      </c>
      <c r="D226" s="132"/>
      <c r="E226" s="81"/>
      <c r="F226" s="81"/>
      <c r="G226" s="81"/>
      <c r="H226" s="81">
        <v>-200</v>
      </c>
      <c r="I226" s="81"/>
      <c r="J226" s="81"/>
      <c r="K226" s="81"/>
      <c r="L226" s="81"/>
      <c r="M226" s="81"/>
      <c r="N226" s="81"/>
      <c r="O226" s="81"/>
      <c r="P226" s="81">
        <v>-150</v>
      </c>
      <c r="Q226" s="81"/>
      <c r="R226" s="81"/>
      <c r="S226" s="81"/>
      <c r="T226" s="81">
        <v>-70</v>
      </c>
      <c r="U226" s="81">
        <v>-380</v>
      </c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145">
        <v>45455</v>
      </c>
      <c r="AI226" s="147"/>
      <c r="AJ226" s="147"/>
      <c r="AK226" s="104"/>
      <c r="AL226" s="81"/>
      <c r="AM226" s="81"/>
      <c r="AN226" s="81"/>
      <c r="AO226" s="78"/>
      <c r="AP226" s="78"/>
      <c r="AQ226" s="78"/>
      <c r="AR226" s="81"/>
      <c r="AS226" s="81"/>
      <c r="AT226" s="81"/>
      <c r="AU226" s="104"/>
      <c r="AV226" s="104"/>
      <c r="AW226" s="104"/>
      <c r="AX226" s="81"/>
      <c r="AY226" s="81"/>
      <c r="AZ226" s="81"/>
      <c r="BA226" s="78"/>
      <c r="BB226" s="78"/>
      <c r="BC226" s="78"/>
      <c r="BD226" s="81">
        <v>200</v>
      </c>
      <c r="BE226" s="81">
        <v>10.8</v>
      </c>
      <c r="BF226" s="81">
        <f>BD226*BE226</f>
        <v>2160</v>
      </c>
      <c r="BG226" s="104"/>
      <c r="BH226" s="104"/>
      <c r="BI226" s="104"/>
      <c r="BJ226" s="81"/>
      <c r="BK226" s="81"/>
      <c r="BL226" s="81"/>
      <c r="BM226" s="78"/>
      <c r="BN226" s="78"/>
      <c r="BO226" s="78"/>
      <c r="BP226" s="81"/>
      <c r="BQ226" s="81"/>
      <c r="BR226" s="81"/>
      <c r="BS226" s="146"/>
      <c r="BT226" s="146"/>
      <c r="BU226" s="146"/>
    </row>
    <row r="227" s="46" customFormat="1" spans="1:73">
      <c r="A227" s="129">
        <v>45456</v>
      </c>
      <c r="B227" s="130" t="s">
        <v>937</v>
      </c>
      <c r="C227" s="131">
        <v>1000</v>
      </c>
      <c r="D227" s="132"/>
      <c r="E227" s="81"/>
      <c r="F227" s="81"/>
      <c r="G227" s="81"/>
      <c r="H227" s="81">
        <v>-150</v>
      </c>
      <c r="I227" s="81"/>
      <c r="J227" s="81"/>
      <c r="K227" s="81"/>
      <c r="L227" s="81"/>
      <c r="M227" s="81"/>
      <c r="N227" s="81"/>
      <c r="O227" s="81"/>
      <c r="P227" s="81">
        <v>-120</v>
      </c>
      <c r="Q227" s="81"/>
      <c r="R227" s="81"/>
      <c r="S227" s="81"/>
      <c r="T227" s="81">
        <v>-140</v>
      </c>
      <c r="U227" s="81">
        <v>-260</v>
      </c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145">
        <v>45456</v>
      </c>
      <c r="AI227" s="147"/>
      <c r="AJ227" s="147"/>
      <c r="AK227" s="104"/>
      <c r="AL227" s="81"/>
      <c r="AM227" s="81"/>
      <c r="AN227" s="81"/>
      <c r="AO227" s="78">
        <v>30</v>
      </c>
      <c r="AP227" s="78">
        <v>17</v>
      </c>
      <c r="AQ227" s="78">
        <f>AO227*AP227</f>
        <v>510</v>
      </c>
      <c r="AR227" s="81"/>
      <c r="AS227" s="81"/>
      <c r="AT227" s="81"/>
      <c r="AU227" s="104"/>
      <c r="AV227" s="104"/>
      <c r="AW227" s="104"/>
      <c r="AX227" s="81"/>
      <c r="AY227" s="81"/>
      <c r="AZ227" s="81"/>
      <c r="BA227" s="78"/>
      <c r="BB227" s="78"/>
      <c r="BC227" s="78"/>
      <c r="BD227" s="81">
        <v>100</v>
      </c>
      <c r="BE227" s="81">
        <v>10.8</v>
      </c>
      <c r="BF227" s="81">
        <f>BD227*BE227</f>
        <v>1080</v>
      </c>
      <c r="BG227" s="104"/>
      <c r="BH227" s="104"/>
      <c r="BI227" s="104"/>
      <c r="BJ227" s="81">
        <v>200</v>
      </c>
      <c r="BK227" s="81">
        <v>3.4</v>
      </c>
      <c r="BL227" s="81">
        <f>BJ227*BK227</f>
        <v>680</v>
      </c>
      <c r="BM227" s="78"/>
      <c r="BN227" s="78"/>
      <c r="BO227" s="78"/>
      <c r="BP227" s="81"/>
      <c r="BQ227" s="81"/>
      <c r="BR227" s="81"/>
      <c r="BS227" s="146"/>
      <c r="BT227" s="146"/>
      <c r="BU227" s="146"/>
    </row>
    <row r="228" s="46" customFormat="1" spans="1:73">
      <c r="A228" s="129">
        <v>45458</v>
      </c>
      <c r="B228" s="130" t="s">
        <v>1340</v>
      </c>
      <c r="C228" s="131">
        <v>16</v>
      </c>
      <c r="D228" s="132"/>
      <c r="E228" s="81"/>
      <c r="F228" s="81"/>
      <c r="G228" s="81"/>
      <c r="H228" s="81">
        <v>-0.4</v>
      </c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145">
        <v>45458</v>
      </c>
      <c r="AI228" s="147"/>
      <c r="AJ228" s="147"/>
      <c r="AK228" s="104"/>
      <c r="AL228" s="81"/>
      <c r="AM228" s="81"/>
      <c r="AN228" s="81"/>
      <c r="AO228" s="78">
        <v>1.8</v>
      </c>
      <c r="AP228" s="78">
        <v>17</v>
      </c>
      <c r="AQ228" s="78">
        <f>AO228*AP228</f>
        <v>30.6</v>
      </c>
      <c r="AR228" s="81"/>
      <c r="AS228" s="81"/>
      <c r="AT228" s="81"/>
      <c r="AU228" s="104"/>
      <c r="AV228" s="104"/>
      <c r="AW228" s="104"/>
      <c r="AX228" s="81"/>
      <c r="AY228" s="81"/>
      <c r="AZ228" s="81"/>
      <c r="BA228" s="78"/>
      <c r="BB228" s="78"/>
      <c r="BC228" s="78"/>
      <c r="BD228" s="81"/>
      <c r="BE228" s="81"/>
      <c r="BF228" s="81"/>
      <c r="BG228" s="104">
        <v>6.9</v>
      </c>
      <c r="BH228" s="104">
        <v>7.4</v>
      </c>
      <c r="BI228" s="104">
        <f>BG228*BH228</f>
        <v>51.06</v>
      </c>
      <c r="BJ228" s="81"/>
      <c r="BK228" s="81"/>
      <c r="BL228" s="81"/>
      <c r="BM228" s="78"/>
      <c r="BN228" s="78"/>
      <c r="BO228" s="78"/>
      <c r="BP228" s="81">
        <v>6.9</v>
      </c>
      <c r="BQ228" s="81">
        <v>8.6</v>
      </c>
      <c r="BR228" s="81">
        <f>BP228*BQ228</f>
        <v>59.34</v>
      </c>
      <c r="BS228" s="146"/>
      <c r="BT228" s="146"/>
      <c r="BU228" s="146"/>
    </row>
    <row r="229" s="46" customFormat="1" spans="1:73">
      <c r="A229" s="129">
        <v>45461</v>
      </c>
      <c r="B229" s="130" t="s">
        <v>1225</v>
      </c>
      <c r="C229" s="131">
        <v>472</v>
      </c>
      <c r="D229" s="132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>
        <v>-60</v>
      </c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145">
        <v>45461</v>
      </c>
      <c r="AI229" s="147"/>
      <c r="AJ229" s="147"/>
      <c r="AK229" s="104"/>
      <c r="AL229" s="81"/>
      <c r="AM229" s="81"/>
      <c r="AN229" s="81"/>
      <c r="AO229" s="78">
        <v>22</v>
      </c>
      <c r="AP229" s="78">
        <v>17</v>
      </c>
      <c r="AQ229" s="78">
        <f>AO229*AP229</f>
        <v>374</v>
      </c>
      <c r="AR229" s="81"/>
      <c r="AS229" s="81"/>
      <c r="AT229" s="81"/>
      <c r="AU229" s="104"/>
      <c r="AV229" s="104"/>
      <c r="AW229" s="104"/>
      <c r="AX229" s="81"/>
      <c r="AY229" s="81"/>
      <c r="AZ229" s="81"/>
      <c r="BA229" s="78"/>
      <c r="BB229" s="78"/>
      <c r="BC229" s="78"/>
      <c r="BD229" s="81">
        <v>80</v>
      </c>
      <c r="BE229" s="81">
        <v>10.8</v>
      </c>
      <c r="BF229" s="81">
        <f>BD229*BE229</f>
        <v>864</v>
      </c>
      <c r="BG229" s="104">
        <v>110</v>
      </c>
      <c r="BH229" s="104">
        <v>7.4</v>
      </c>
      <c r="BI229" s="104">
        <f>BG229*BH229</f>
        <v>814</v>
      </c>
      <c r="BJ229" s="81">
        <v>60</v>
      </c>
      <c r="BK229" s="81">
        <v>3.4</v>
      </c>
      <c r="BL229" s="81">
        <f>BJ229*BK229</f>
        <v>204</v>
      </c>
      <c r="BM229" s="78"/>
      <c r="BN229" s="78"/>
      <c r="BO229" s="78"/>
      <c r="BP229" s="81">
        <v>40</v>
      </c>
      <c r="BQ229" s="81">
        <v>8.6</v>
      </c>
      <c r="BR229" s="81">
        <f>BP229*BQ229</f>
        <v>344</v>
      </c>
      <c r="BS229" s="146"/>
      <c r="BT229" s="146"/>
      <c r="BU229" s="146"/>
    </row>
    <row r="230" s="46" customFormat="1" spans="1:73">
      <c r="A230" s="129">
        <v>45461</v>
      </c>
      <c r="B230" s="130" t="s">
        <v>1341</v>
      </c>
      <c r="C230" s="131">
        <v>787.5</v>
      </c>
      <c r="D230" s="132"/>
      <c r="E230" s="81"/>
      <c r="F230" s="81"/>
      <c r="G230" s="81"/>
      <c r="H230" s="81">
        <v>-144</v>
      </c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>
        <v>13.5</v>
      </c>
      <c r="Y230" s="81"/>
      <c r="Z230" s="81"/>
      <c r="AA230" s="81"/>
      <c r="AB230" s="81"/>
      <c r="AC230" s="81"/>
      <c r="AD230" s="81"/>
      <c r="AE230" s="81"/>
      <c r="AF230" s="81"/>
      <c r="AG230" s="81"/>
      <c r="AH230" s="145">
        <v>45461</v>
      </c>
      <c r="AI230" s="147">
        <v>450</v>
      </c>
      <c r="AJ230" s="147"/>
      <c r="AK230" s="104"/>
      <c r="AL230" s="81"/>
      <c r="AM230" s="81"/>
      <c r="AN230" s="81"/>
      <c r="AO230" s="78"/>
      <c r="AP230" s="78"/>
      <c r="AQ230" s="78"/>
      <c r="AR230" s="81"/>
      <c r="AS230" s="81"/>
      <c r="AT230" s="81"/>
      <c r="AU230" s="104"/>
      <c r="AV230" s="104"/>
      <c r="AW230" s="104"/>
      <c r="AX230" s="81"/>
      <c r="AY230" s="81"/>
      <c r="AZ230" s="81"/>
      <c r="BA230" s="78"/>
      <c r="BB230" s="78"/>
      <c r="BC230" s="78"/>
      <c r="BD230" s="81"/>
      <c r="BE230" s="81"/>
      <c r="BF230" s="81"/>
      <c r="BG230" s="104"/>
      <c r="BH230" s="104"/>
      <c r="BI230" s="104"/>
      <c r="BJ230" s="81"/>
      <c r="BK230" s="81"/>
      <c r="BL230" s="81"/>
      <c r="BM230" s="78"/>
      <c r="BN230" s="78"/>
      <c r="BO230" s="78"/>
      <c r="BP230" s="81">
        <v>90</v>
      </c>
      <c r="BQ230" s="81">
        <v>8.6</v>
      </c>
      <c r="BR230" s="81">
        <f>BP230*BQ230</f>
        <v>774</v>
      </c>
      <c r="BS230" s="146">
        <v>90</v>
      </c>
      <c r="BT230" s="146">
        <v>8.5</v>
      </c>
      <c r="BU230" s="146">
        <f>BS230*BT230</f>
        <v>765</v>
      </c>
    </row>
    <row r="231" s="46" customFormat="1" spans="1:73">
      <c r="A231" s="148">
        <v>45461</v>
      </c>
      <c r="B231" s="137" t="s">
        <v>1041</v>
      </c>
      <c r="C231" s="131"/>
      <c r="D231" s="132"/>
      <c r="E231" s="81"/>
      <c r="F231" s="81"/>
      <c r="G231" s="81"/>
      <c r="H231" s="81"/>
      <c r="I231" s="138">
        <v>750</v>
      </c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145"/>
      <c r="AI231" s="147"/>
      <c r="AJ231" s="147"/>
      <c r="AK231" s="104"/>
      <c r="AL231" s="81"/>
      <c r="AM231" s="81"/>
      <c r="AN231" s="81"/>
      <c r="AO231" s="78"/>
      <c r="AP231" s="78"/>
      <c r="AQ231" s="78"/>
      <c r="AR231" s="81"/>
      <c r="AS231" s="81"/>
      <c r="AT231" s="81"/>
      <c r="AU231" s="104"/>
      <c r="AV231" s="104"/>
      <c r="AW231" s="104"/>
      <c r="AX231" s="81"/>
      <c r="AY231" s="81"/>
      <c r="AZ231" s="81"/>
      <c r="BA231" s="78"/>
      <c r="BB231" s="78"/>
      <c r="BC231" s="78"/>
      <c r="BD231" s="81"/>
      <c r="BE231" s="81"/>
      <c r="BF231" s="81"/>
      <c r="BG231" s="104"/>
      <c r="BH231" s="104"/>
      <c r="BI231" s="104"/>
      <c r="BJ231" s="81"/>
      <c r="BK231" s="81"/>
      <c r="BL231" s="81"/>
      <c r="BM231" s="78"/>
      <c r="BN231" s="78"/>
      <c r="BO231" s="78"/>
      <c r="BP231" s="81"/>
      <c r="BQ231" s="81"/>
      <c r="BR231" s="81"/>
      <c r="BS231" s="146"/>
      <c r="BT231" s="146"/>
      <c r="BU231" s="146"/>
    </row>
    <row r="232" s="46" customFormat="1" spans="1:73">
      <c r="A232" s="129">
        <v>45461</v>
      </c>
      <c r="B232" s="130" t="s">
        <v>987</v>
      </c>
      <c r="C232" s="131">
        <v>1000</v>
      </c>
      <c r="D232" s="132"/>
      <c r="E232" s="81">
        <v>-125</v>
      </c>
      <c r="F232" s="104"/>
      <c r="G232" s="81"/>
      <c r="H232" s="78">
        <v>-200</v>
      </c>
      <c r="I232" s="81">
        <v>-200</v>
      </c>
      <c r="J232" s="104"/>
      <c r="K232" s="81"/>
      <c r="L232" s="78"/>
      <c r="M232" s="81"/>
      <c r="N232" s="133"/>
      <c r="O232" s="104"/>
      <c r="P232" s="131"/>
      <c r="Q232" s="134"/>
      <c r="R232" s="81"/>
      <c r="S232" s="78"/>
      <c r="T232" s="81">
        <v>-70</v>
      </c>
      <c r="U232" s="104">
        <v>-380</v>
      </c>
      <c r="V232" s="81"/>
      <c r="W232" s="136"/>
      <c r="X232" s="78"/>
      <c r="Y232" s="81"/>
      <c r="Z232" s="104"/>
      <c r="AA232" s="81"/>
      <c r="AB232" s="78"/>
      <c r="AC232" s="81"/>
      <c r="AD232" s="104"/>
      <c r="AE232" s="81"/>
      <c r="AF232" s="78"/>
      <c r="AG232" s="81"/>
      <c r="AH232" s="145">
        <v>45461</v>
      </c>
      <c r="AI232" s="147"/>
      <c r="AJ232" s="147"/>
      <c r="AK232" s="104"/>
      <c r="AL232" s="81"/>
      <c r="AM232" s="81"/>
      <c r="AN232" s="81"/>
      <c r="AO232" s="78"/>
      <c r="AP232" s="78"/>
      <c r="AQ232" s="78"/>
      <c r="AR232" s="81"/>
      <c r="AS232" s="81"/>
      <c r="AT232" s="81"/>
      <c r="AU232" s="104"/>
      <c r="AV232" s="104"/>
      <c r="AW232" s="104"/>
      <c r="AX232" s="81"/>
      <c r="AY232" s="81"/>
      <c r="AZ232" s="81"/>
      <c r="BA232" s="78"/>
      <c r="BB232" s="78"/>
      <c r="BC232" s="78"/>
      <c r="BD232" s="81">
        <v>25</v>
      </c>
      <c r="BE232" s="81">
        <v>10.8</v>
      </c>
      <c r="BF232" s="81">
        <f t="shared" ref="BF232:BF237" si="48">BD232*BE232</f>
        <v>270</v>
      </c>
      <c r="BG232" s="104"/>
      <c r="BH232" s="104"/>
      <c r="BI232" s="104"/>
      <c r="BJ232" s="81"/>
      <c r="BK232" s="81"/>
      <c r="BL232" s="81"/>
      <c r="BM232" s="78"/>
      <c r="BN232" s="78"/>
      <c r="BO232" s="78"/>
      <c r="BP232" s="81"/>
      <c r="BQ232" s="81"/>
      <c r="BR232" s="81"/>
      <c r="BS232" s="146"/>
      <c r="BT232" s="146"/>
      <c r="BU232" s="146"/>
    </row>
    <row r="233" s="46" customFormat="1" spans="1:73">
      <c r="A233" s="129">
        <v>45463</v>
      </c>
      <c r="B233" s="130" t="s">
        <v>1342</v>
      </c>
      <c r="C233" s="131">
        <v>500</v>
      </c>
      <c r="D233" s="132"/>
      <c r="E233" s="81"/>
      <c r="F233" s="81"/>
      <c r="G233" s="81"/>
      <c r="H233" s="81">
        <v>-15</v>
      </c>
      <c r="I233" s="81">
        <v>-125</v>
      </c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>
        <v>-35</v>
      </c>
      <c r="U233" s="81">
        <v>-125</v>
      </c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145">
        <v>45463</v>
      </c>
      <c r="AI233" s="147"/>
      <c r="AJ233" s="147"/>
      <c r="AK233" s="104"/>
      <c r="AL233" s="81"/>
      <c r="AM233" s="81"/>
      <c r="AN233" s="81"/>
      <c r="AO233" s="78"/>
      <c r="AP233" s="78"/>
      <c r="AQ233" s="78"/>
      <c r="AR233" s="81"/>
      <c r="AS233" s="81"/>
      <c r="AT233" s="81"/>
      <c r="AU233" s="104"/>
      <c r="AV233" s="104"/>
      <c r="AW233" s="104"/>
      <c r="AX233" s="81"/>
      <c r="AY233" s="81"/>
      <c r="AZ233" s="81"/>
      <c r="BA233" s="78"/>
      <c r="BB233" s="78"/>
      <c r="BC233" s="78"/>
      <c r="BD233" s="81">
        <v>100</v>
      </c>
      <c r="BE233" s="81">
        <v>10.8</v>
      </c>
      <c r="BF233" s="81">
        <f t="shared" si="48"/>
        <v>1080</v>
      </c>
      <c r="BG233" s="104">
        <v>20</v>
      </c>
      <c r="BH233" s="104">
        <v>7.4</v>
      </c>
      <c r="BI233" s="104">
        <f>BG233*BH233</f>
        <v>148</v>
      </c>
      <c r="BJ233" s="81"/>
      <c r="BK233" s="81"/>
      <c r="BL233" s="81"/>
      <c r="BM233" s="78"/>
      <c r="BN233" s="78"/>
      <c r="BO233" s="78"/>
      <c r="BP233" s="81"/>
      <c r="BQ233" s="81"/>
      <c r="BR233" s="81"/>
      <c r="BS233" s="146"/>
      <c r="BT233" s="146"/>
      <c r="BU233" s="146"/>
    </row>
    <row r="234" s="46" customFormat="1" spans="1:73">
      <c r="A234" s="129">
        <v>45464</v>
      </c>
      <c r="B234" s="130" t="s">
        <v>1343</v>
      </c>
      <c r="C234" s="131">
        <v>2560</v>
      </c>
      <c r="D234" s="13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145">
        <v>45464</v>
      </c>
      <c r="AI234" s="147"/>
      <c r="AJ234" s="147"/>
      <c r="AK234" s="104"/>
      <c r="AL234" s="81"/>
      <c r="AM234" s="81"/>
      <c r="AN234" s="81"/>
      <c r="AO234" s="78"/>
      <c r="AP234" s="78"/>
      <c r="AQ234" s="78"/>
      <c r="AR234" s="81"/>
      <c r="AS234" s="81"/>
      <c r="AT234" s="81"/>
      <c r="AU234" s="104"/>
      <c r="AV234" s="104"/>
      <c r="AW234" s="104"/>
      <c r="AX234" s="81"/>
      <c r="AY234" s="81"/>
      <c r="AZ234" s="81"/>
      <c r="BA234" s="78"/>
      <c r="BB234" s="78"/>
      <c r="BC234" s="78"/>
      <c r="BD234" s="81"/>
      <c r="BE234" s="81"/>
      <c r="BF234" s="81"/>
      <c r="BG234" s="104">
        <v>1440</v>
      </c>
      <c r="BH234" s="104">
        <v>6.875</v>
      </c>
      <c r="BI234" s="104">
        <f>BG234*BH234</f>
        <v>9900</v>
      </c>
      <c r="BJ234" s="81"/>
      <c r="BK234" s="81"/>
      <c r="BL234" s="81"/>
      <c r="BM234" s="78"/>
      <c r="BN234" s="78"/>
      <c r="BO234" s="78"/>
      <c r="BP234" s="81">
        <v>720</v>
      </c>
      <c r="BQ234" s="81">
        <v>8.6</v>
      </c>
      <c r="BR234" s="81">
        <f>BP234*BQ234</f>
        <v>6192</v>
      </c>
      <c r="BS234" s="146"/>
      <c r="BT234" s="146"/>
      <c r="BU234" s="146"/>
    </row>
    <row r="235" s="46" customFormat="1" spans="1:73">
      <c r="A235" s="129">
        <v>45464</v>
      </c>
      <c r="B235" s="137" t="s">
        <v>1269</v>
      </c>
      <c r="C235" s="131"/>
      <c r="D235" s="132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138">
        <v>2560</v>
      </c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145">
        <v>45464</v>
      </c>
      <c r="AI235" s="147"/>
      <c r="AJ235" s="147"/>
      <c r="AK235" s="104"/>
      <c r="AL235" s="81"/>
      <c r="AM235" s="81"/>
      <c r="AN235" s="81"/>
      <c r="AO235" s="78"/>
      <c r="AP235" s="78"/>
      <c r="AQ235" s="78"/>
      <c r="AR235" s="81"/>
      <c r="AS235" s="81"/>
      <c r="AT235" s="81"/>
      <c r="AU235" s="104"/>
      <c r="AV235" s="104"/>
      <c r="AW235" s="104"/>
      <c r="AX235" s="81"/>
      <c r="AY235" s="81"/>
      <c r="AZ235" s="81"/>
      <c r="BA235" s="78"/>
      <c r="BB235" s="78"/>
      <c r="BC235" s="78"/>
      <c r="BD235" s="81"/>
      <c r="BE235" s="81"/>
      <c r="BF235" s="81"/>
      <c r="BG235" s="104"/>
      <c r="BH235" s="104"/>
      <c r="BI235" s="104"/>
      <c r="BJ235" s="81"/>
      <c r="BK235" s="81"/>
      <c r="BL235" s="81"/>
      <c r="BM235" s="78"/>
      <c r="BN235" s="78"/>
      <c r="BO235" s="78"/>
      <c r="BP235" s="81"/>
      <c r="BQ235" s="81"/>
      <c r="BR235" s="81"/>
      <c r="BS235" s="146"/>
      <c r="BT235" s="146"/>
      <c r="BU235" s="146"/>
    </row>
    <row r="236" s="46" customFormat="1" spans="1:73">
      <c r="A236" s="129" t="s">
        <v>1344</v>
      </c>
      <c r="B236" s="130" t="s">
        <v>1345</v>
      </c>
      <c r="C236" s="131">
        <v>750</v>
      </c>
      <c r="D236" s="132"/>
      <c r="E236" s="81"/>
      <c r="F236" s="81"/>
      <c r="G236" s="81"/>
      <c r="H236" s="81">
        <v>-200</v>
      </c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145" t="s">
        <v>1344</v>
      </c>
      <c r="AI236" s="147"/>
      <c r="AJ236" s="147"/>
      <c r="AK236" s="104"/>
      <c r="AL236" s="81"/>
      <c r="AM236" s="81"/>
      <c r="AN236" s="81"/>
      <c r="AO236" s="78"/>
      <c r="AP236" s="78"/>
      <c r="AQ236" s="78"/>
      <c r="AR236" s="81"/>
      <c r="AS236" s="81"/>
      <c r="AT236" s="81"/>
      <c r="AU236" s="104">
        <v>25</v>
      </c>
      <c r="AV236" s="104">
        <v>75</v>
      </c>
      <c r="AW236" s="104">
        <f>AU236*AV236</f>
        <v>1875</v>
      </c>
      <c r="AX236" s="81"/>
      <c r="AY236" s="81"/>
      <c r="AZ236" s="81"/>
      <c r="BA236" s="78"/>
      <c r="BB236" s="78"/>
      <c r="BC236" s="78"/>
      <c r="BD236" s="81">
        <v>300</v>
      </c>
      <c r="BE236" s="81">
        <v>11</v>
      </c>
      <c r="BF236" s="81">
        <f t="shared" si="48"/>
        <v>3300</v>
      </c>
      <c r="BG236" s="104">
        <v>125</v>
      </c>
      <c r="BH236" s="104">
        <v>6.7</v>
      </c>
      <c r="BI236" s="104">
        <f>BG236*BH236</f>
        <v>837.5</v>
      </c>
      <c r="BJ236" s="81"/>
      <c r="BK236" s="81"/>
      <c r="BL236" s="81"/>
      <c r="BM236" s="78"/>
      <c r="BN236" s="78"/>
      <c r="BO236" s="78"/>
      <c r="BP236" s="81"/>
      <c r="BQ236" s="81"/>
      <c r="BR236" s="81"/>
      <c r="BS236" s="146"/>
      <c r="BT236" s="146"/>
      <c r="BU236" s="146"/>
    </row>
    <row r="237" s="46" customFormat="1" spans="1:73">
      <c r="A237" s="129" t="s">
        <v>1344</v>
      </c>
      <c r="B237" s="130" t="s">
        <v>1345</v>
      </c>
      <c r="C237" s="131">
        <v>750</v>
      </c>
      <c r="D237" s="132"/>
      <c r="E237" s="81"/>
      <c r="F237" s="81"/>
      <c r="G237" s="81"/>
      <c r="H237" s="81">
        <v>-200</v>
      </c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145" t="s">
        <v>1344</v>
      </c>
      <c r="AI237" s="147"/>
      <c r="AJ237" s="147"/>
      <c r="AK237" s="104"/>
      <c r="AL237" s="81"/>
      <c r="AM237" s="81"/>
      <c r="AN237" s="81"/>
      <c r="AO237" s="78"/>
      <c r="AP237" s="78"/>
      <c r="AQ237" s="78"/>
      <c r="AR237" s="81"/>
      <c r="AS237" s="81"/>
      <c r="AT237" s="81"/>
      <c r="AU237" s="104">
        <v>25</v>
      </c>
      <c r="AV237" s="104">
        <v>75</v>
      </c>
      <c r="AW237" s="104">
        <f>AU237*AV237</f>
        <v>1875</v>
      </c>
      <c r="AX237" s="81"/>
      <c r="AY237" s="81"/>
      <c r="AZ237" s="81"/>
      <c r="BA237" s="78"/>
      <c r="BB237" s="78"/>
      <c r="BC237" s="78"/>
      <c r="BD237" s="81">
        <v>300</v>
      </c>
      <c r="BE237" s="81">
        <v>11</v>
      </c>
      <c r="BF237" s="81">
        <f t="shared" si="48"/>
        <v>3300</v>
      </c>
      <c r="BG237" s="104">
        <v>125</v>
      </c>
      <c r="BH237" s="104">
        <v>6.7</v>
      </c>
      <c r="BI237" s="104">
        <f>BG237*BH237</f>
        <v>837.5</v>
      </c>
      <c r="BJ237" s="81"/>
      <c r="BK237" s="81"/>
      <c r="BL237" s="81"/>
      <c r="BM237" s="78"/>
      <c r="BN237" s="78"/>
      <c r="BO237" s="78"/>
      <c r="BP237" s="81"/>
      <c r="BQ237" s="81"/>
      <c r="BR237" s="81"/>
      <c r="BS237" s="146"/>
      <c r="BT237" s="146"/>
      <c r="BU237" s="146"/>
    </row>
    <row r="238" s="46" customFormat="1" spans="1:73">
      <c r="A238" s="148">
        <v>45464</v>
      </c>
      <c r="B238" s="137" t="s">
        <v>1346</v>
      </c>
      <c r="C238" s="131"/>
      <c r="D238" s="132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138">
        <v>1438</v>
      </c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145" t="s">
        <v>1344</v>
      </c>
      <c r="AI238" s="147"/>
      <c r="AJ238" s="147"/>
      <c r="AK238" s="104"/>
      <c r="AL238" s="81"/>
      <c r="AM238" s="81"/>
      <c r="AN238" s="81"/>
      <c r="AO238" s="78"/>
      <c r="AP238" s="78"/>
      <c r="AQ238" s="78"/>
      <c r="AR238" s="81"/>
      <c r="AS238" s="81"/>
      <c r="AT238" s="81"/>
      <c r="AU238" s="104"/>
      <c r="AV238" s="104"/>
      <c r="AW238" s="104"/>
      <c r="AX238" s="81"/>
      <c r="AY238" s="81"/>
      <c r="AZ238" s="81"/>
      <c r="BA238" s="78"/>
      <c r="BB238" s="78"/>
      <c r="BC238" s="78"/>
      <c r="BD238" s="81"/>
      <c r="BE238" s="81"/>
      <c r="BF238" s="81"/>
      <c r="BG238" s="104"/>
      <c r="BH238" s="104"/>
      <c r="BI238" s="104"/>
      <c r="BJ238" s="81"/>
      <c r="BK238" s="81"/>
      <c r="BL238" s="81"/>
      <c r="BM238" s="78"/>
      <c r="BN238" s="78"/>
      <c r="BO238" s="78"/>
      <c r="BP238" s="81"/>
      <c r="BQ238" s="81"/>
      <c r="BR238" s="81"/>
      <c r="BS238" s="146"/>
      <c r="BT238" s="146"/>
      <c r="BU238" s="146"/>
    </row>
    <row r="239" s="46" customFormat="1" spans="1:73">
      <c r="A239" s="129">
        <v>45465</v>
      </c>
      <c r="B239" s="130" t="s">
        <v>1321</v>
      </c>
      <c r="C239" s="131">
        <v>1000</v>
      </c>
      <c r="D239" s="132"/>
      <c r="E239" s="81"/>
      <c r="F239" s="81"/>
      <c r="G239" s="81"/>
      <c r="H239" s="81">
        <v>-150</v>
      </c>
      <c r="I239" s="81"/>
      <c r="J239" s="81"/>
      <c r="K239" s="81"/>
      <c r="L239" s="81"/>
      <c r="M239" s="81"/>
      <c r="N239" s="81"/>
      <c r="O239" s="81"/>
      <c r="P239" s="81">
        <v>-150</v>
      </c>
      <c r="Q239" s="81"/>
      <c r="R239" s="81"/>
      <c r="S239" s="81"/>
      <c r="T239" s="81">
        <v>-200</v>
      </c>
      <c r="U239" s="81">
        <v>-450</v>
      </c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145">
        <v>45465</v>
      </c>
      <c r="AI239" s="147"/>
      <c r="AJ239" s="147"/>
      <c r="AK239" s="104"/>
      <c r="AL239" s="81"/>
      <c r="AM239" s="81"/>
      <c r="AN239" s="81"/>
      <c r="AO239" s="78"/>
      <c r="AP239" s="78"/>
      <c r="AQ239" s="78"/>
      <c r="AR239" s="81"/>
      <c r="AS239" s="81"/>
      <c r="AT239" s="81"/>
      <c r="AU239" s="104"/>
      <c r="AV239" s="104"/>
      <c r="AW239" s="104"/>
      <c r="AX239" s="81"/>
      <c r="AY239" s="81"/>
      <c r="AZ239" s="81"/>
      <c r="BA239" s="78"/>
      <c r="BB239" s="78"/>
      <c r="BC239" s="78"/>
      <c r="BD239" s="81">
        <v>50</v>
      </c>
      <c r="BE239" s="81">
        <v>11</v>
      </c>
      <c r="BF239" s="81">
        <f t="shared" ref="BF239:BF248" si="49">BD239*BE239</f>
        <v>550</v>
      </c>
      <c r="BG239" s="104"/>
      <c r="BH239" s="104"/>
      <c r="BI239" s="104"/>
      <c r="BJ239" s="81"/>
      <c r="BK239" s="81"/>
      <c r="BL239" s="81"/>
      <c r="BM239" s="78"/>
      <c r="BN239" s="78"/>
      <c r="BO239" s="78"/>
      <c r="BP239" s="81"/>
      <c r="BQ239" s="81"/>
      <c r="BR239" s="81"/>
      <c r="BS239" s="146"/>
      <c r="BT239" s="146"/>
      <c r="BU239" s="146"/>
    </row>
    <row r="240" s="46" customFormat="1" spans="1:73">
      <c r="A240" s="129">
        <v>45465</v>
      </c>
      <c r="B240" s="130" t="s">
        <v>1347</v>
      </c>
      <c r="C240" s="131">
        <v>136</v>
      </c>
      <c r="D240" s="132"/>
      <c r="E240" s="81">
        <v>-17</v>
      </c>
      <c r="F240" s="81"/>
      <c r="G240" s="81"/>
      <c r="H240" s="81">
        <v>-21</v>
      </c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>
        <v>-19</v>
      </c>
      <c r="U240" s="81">
        <v>-35</v>
      </c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145">
        <v>45465</v>
      </c>
      <c r="AI240" s="147"/>
      <c r="AJ240" s="147"/>
      <c r="AK240" s="104"/>
      <c r="AL240" s="81"/>
      <c r="AM240" s="81"/>
      <c r="AN240" s="81"/>
      <c r="AO240" s="78"/>
      <c r="AP240" s="78"/>
      <c r="AQ240" s="78"/>
      <c r="AR240" s="81"/>
      <c r="AS240" s="81"/>
      <c r="AT240" s="81"/>
      <c r="AU240" s="104"/>
      <c r="AV240" s="104"/>
      <c r="AW240" s="104"/>
      <c r="AX240" s="81"/>
      <c r="AY240" s="81"/>
      <c r="AZ240" s="81"/>
      <c r="BA240" s="78"/>
      <c r="BB240" s="78"/>
      <c r="BC240" s="78"/>
      <c r="BD240" s="81">
        <v>17</v>
      </c>
      <c r="BE240" s="81">
        <v>11</v>
      </c>
      <c r="BF240" s="81">
        <f t="shared" si="49"/>
        <v>187</v>
      </c>
      <c r="BG240" s="104"/>
      <c r="BH240" s="104"/>
      <c r="BI240" s="104"/>
      <c r="BJ240" s="81"/>
      <c r="BK240" s="81"/>
      <c r="BL240" s="81"/>
      <c r="BM240" s="78"/>
      <c r="BN240" s="78"/>
      <c r="BO240" s="78"/>
      <c r="BP240" s="81"/>
      <c r="BQ240" s="81"/>
      <c r="BR240" s="81"/>
      <c r="BS240" s="146"/>
      <c r="BT240" s="146"/>
      <c r="BU240" s="146"/>
    </row>
    <row r="241" s="46" customFormat="1" spans="1:73">
      <c r="A241" s="129">
        <v>45467</v>
      </c>
      <c r="B241" s="130" t="s">
        <v>1348</v>
      </c>
      <c r="C241" s="131">
        <v>249</v>
      </c>
      <c r="D241" s="132"/>
      <c r="E241" s="81"/>
      <c r="F241" s="81"/>
      <c r="G241" s="81"/>
      <c r="H241" s="81">
        <v>-50</v>
      </c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145">
        <v>45467</v>
      </c>
      <c r="AI241" s="147"/>
      <c r="AJ241" s="147"/>
      <c r="AK241" s="104"/>
      <c r="AL241" s="81"/>
      <c r="AM241" s="81"/>
      <c r="AN241" s="81"/>
      <c r="AO241" s="78"/>
      <c r="AP241" s="78"/>
      <c r="AQ241" s="78"/>
      <c r="AR241" s="81"/>
      <c r="AS241" s="81"/>
      <c r="AT241" s="81"/>
      <c r="AU241" s="104"/>
      <c r="AV241" s="104"/>
      <c r="AW241" s="104"/>
      <c r="AX241" s="81"/>
      <c r="AY241" s="81"/>
      <c r="AZ241" s="81"/>
      <c r="BA241" s="78"/>
      <c r="BB241" s="78"/>
      <c r="BC241" s="78"/>
      <c r="BD241" s="81">
        <v>15</v>
      </c>
      <c r="BE241" s="81">
        <v>11</v>
      </c>
      <c r="BF241" s="81">
        <f t="shared" si="49"/>
        <v>165</v>
      </c>
      <c r="BG241" s="104"/>
      <c r="BH241" s="104"/>
      <c r="BI241" s="104"/>
      <c r="BJ241" s="81"/>
      <c r="BK241" s="81"/>
      <c r="BL241" s="81"/>
      <c r="BM241" s="78"/>
      <c r="BN241" s="78"/>
      <c r="BO241" s="78"/>
      <c r="BP241" s="81">
        <v>76</v>
      </c>
      <c r="BQ241" s="81">
        <v>8.6</v>
      </c>
      <c r="BR241" s="81">
        <f>BP241*BQ241</f>
        <v>653.6</v>
      </c>
      <c r="BS241" s="146">
        <v>76</v>
      </c>
      <c r="BT241" s="146">
        <v>8.5</v>
      </c>
      <c r="BU241" s="146">
        <f>BS241*BT241</f>
        <v>646</v>
      </c>
    </row>
    <row r="242" s="46" customFormat="1" spans="1:73">
      <c r="A242" s="129">
        <v>45467</v>
      </c>
      <c r="B242" s="137" t="s">
        <v>1349</v>
      </c>
      <c r="C242" s="131"/>
      <c r="D242" s="132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138">
        <v>241</v>
      </c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145">
        <v>45467</v>
      </c>
      <c r="AI242" s="147"/>
      <c r="AJ242" s="147"/>
      <c r="AK242" s="104"/>
      <c r="AL242" s="81"/>
      <c r="AM242" s="81"/>
      <c r="AN242" s="81"/>
      <c r="AO242" s="78"/>
      <c r="AP242" s="78"/>
      <c r="AQ242" s="78"/>
      <c r="AR242" s="81"/>
      <c r="AS242" s="81"/>
      <c r="AT242" s="81"/>
      <c r="AU242" s="104"/>
      <c r="AV242" s="104"/>
      <c r="AW242" s="104"/>
      <c r="AX242" s="81"/>
      <c r="AY242" s="81"/>
      <c r="AZ242" s="81"/>
      <c r="BA242" s="78"/>
      <c r="BB242" s="78"/>
      <c r="BC242" s="78"/>
      <c r="BD242" s="81"/>
      <c r="BE242" s="81"/>
      <c r="BF242" s="81"/>
      <c r="BG242" s="104"/>
      <c r="BH242" s="104"/>
      <c r="BI242" s="104"/>
      <c r="BJ242" s="81"/>
      <c r="BK242" s="81"/>
      <c r="BL242" s="81"/>
      <c r="BM242" s="78"/>
      <c r="BN242" s="78"/>
      <c r="BO242" s="78"/>
      <c r="BP242" s="81"/>
      <c r="BQ242" s="81"/>
      <c r="BR242" s="81"/>
      <c r="BS242" s="146"/>
      <c r="BT242" s="146"/>
      <c r="BU242" s="146"/>
    </row>
    <row r="243" s="46" customFormat="1" spans="1:73">
      <c r="A243" s="129">
        <v>45468</v>
      </c>
      <c r="B243" s="130" t="s">
        <v>958</v>
      </c>
      <c r="C243" s="131">
        <v>500</v>
      </c>
      <c r="D243" s="132"/>
      <c r="E243" s="81">
        <v>-63</v>
      </c>
      <c r="F243" s="81"/>
      <c r="G243" s="81"/>
      <c r="H243" s="81">
        <v>-75</v>
      </c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>
        <v>-70</v>
      </c>
      <c r="U243" s="81">
        <v>-130</v>
      </c>
      <c r="V243" s="81">
        <v>-100</v>
      </c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145">
        <v>45468</v>
      </c>
      <c r="AI243" s="147"/>
      <c r="AJ243" s="147"/>
      <c r="AK243" s="104"/>
      <c r="AL243" s="81"/>
      <c r="AM243" s="81"/>
      <c r="AN243" s="81"/>
      <c r="AO243" s="78"/>
      <c r="AP243" s="78"/>
      <c r="AQ243" s="78"/>
      <c r="AR243" s="81"/>
      <c r="AS243" s="81"/>
      <c r="AT243" s="81"/>
      <c r="AU243" s="104"/>
      <c r="AV243" s="104"/>
      <c r="AW243" s="104"/>
      <c r="AX243" s="81"/>
      <c r="AY243" s="81"/>
      <c r="AZ243" s="81"/>
      <c r="BA243" s="78"/>
      <c r="BB243" s="78"/>
      <c r="BC243" s="78"/>
      <c r="BD243" s="81">
        <v>62</v>
      </c>
      <c r="BE243" s="81">
        <v>11</v>
      </c>
      <c r="BF243" s="81">
        <f t="shared" si="49"/>
        <v>682</v>
      </c>
      <c r="BG243" s="104"/>
      <c r="BH243" s="104"/>
      <c r="BI243" s="104"/>
      <c r="BJ243" s="81"/>
      <c r="BK243" s="81"/>
      <c r="BL243" s="81"/>
      <c r="BM243" s="78"/>
      <c r="BN243" s="78"/>
      <c r="BO243" s="78"/>
      <c r="BP243" s="81"/>
      <c r="BQ243" s="81"/>
      <c r="BR243" s="81"/>
      <c r="BS243" s="146"/>
      <c r="BT243" s="146"/>
      <c r="BU243" s="146"/>
    </row>
    <row r="244" s="46" customFormat="1" spans="1:73">
      <c r="A244" s="129">
        <v>45469</v>
      </c>
      <c r="B244" s="130" t="s">
        <v>1350</v>
      </c>
      <c r="C244" s="131">
        <v>200</v>
      </c>
      <c r="D244" s="132"/>
      <c r="E244" s="81"/>
      <c r="F244" s="81"/>
      <c r="G244" s="81"/>
      <c r="H244" s="81">
        <v>-6</v>
      </c>
      <c r="I244" s="81"/>
      <c r="J244" s="81"/>
      <c r="K244" s="81"/>
      <c r="L244" s="81"/>
      <c r="M244" s="81"/>
      <c r="N244" s="81"/>
      <c r="O244" s="81">
        <v>-44</v>
      </c>
      <c r="P244" s="81"/>
      <c r="Q244" s="81"/>
      <c r="R244" s="81"/>
      <c r="S244" s="81"/>
      <c r="T244" s="81">
        <v>-14</v>
      </c>
      <c r="U244" s="81">
        <v>-50</v>
      </c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145">
        <v>45469</v>
      </c>
      <c r="AI244" s="147"/>
      <c r="AJ244" s="147"/>
      <c r="AK244" s="104"/>
      <c r="AL244" s="81"/>
      <c r="AM244" s="81"/>
      <c r="AN244" s="81"/>
      <c r="AO244" s="78"/>
      <c r="AP244" s="78"/>
      <c r="AQ244" s="78"/>
      <c r="AR244" s="81"/>
      <c r="AS244" s="81"/>
      <c r="AT244" s="81"/>
      <c r="AU244" s="104"/>
      <c r="AV244" s="104"/>
      <c r="AW244" s="104"/>
      <c r="AX244" s="81"/>
      <c r="AY244" s="81"/>
      <c r="AZ244" s="81"/>
      <c r="BA244" s="78"/>
      <c r="BB244" s="78"/>
      <c r="BC244" s="78"/>
      <c r="BD244" s="81">
        <v>40</v>
      </c>
      <c r="BE244" s="81">
        <v>11</v>
      </c>
      <c r="BF244" s="81">
        <f t="shared" si="49"/>
        <v>440</v>
      </c>
      <c r="BG244" s="104">
        <v>6</v>
      </c>
      <c r="BH244" s="104">
        <v>6.7</v>
      </c>
      <c r="BI244" s="104">
        <f t="shared" ref="BI244:BI248" si="50">BG244*BH244</f>
        <v>40.2</v>
      </c>
      <c r="BJ244" s="81"/>
      <c r="BK244" s="81"/>
      <c r="BL244" s="81"/>
      <c r="BM244" s="78"/>
      <c r="BN244" s="78"/>
      <c r="BO244" s="78"/>
      <c r="BP244" s="81"/>
      <c r="BQ244" s="81"/>
      <c r="BR244" s="81"/>
      <c r="BS244" s="146"/>
      <c r="BT244" s="146"/>
      <c r="BU244" s="146"/>
    </row>
    <row r="245" s="46" customFormat="1" spans="1:73">
      <c r="A245" s="129">
        <v>45469</v>
      </c>
      <c r="B245" s="130" t="s">
        <v>1351</v>
      </c>
      <c r="C245" s="131">
        <v>200</v>
      </c>
      <c r="D245" s="132"/>
      <c r="E245" s="81"/>
      <c r="F245" s="81"/>
      <c r="G245" s="81"/>
      <c r="H245" s="81">
        <v>-6</v>
      </c>
      <c r="I245" s="81"/>
      <c r="J245" s="81">
        <v>-40</v>
      </c>
      <c r="K245" s="81"/>
      <c r="L245" s="81"/>
      <c r="M245" s="81"/>
      <c r="N245" s="81"/>
      <c r="O245" s="81"/>
      <c r="P245" s="81"/>
      <c r="Q245" s="81"/>
      <c r="R245" s="81"/>
      <c r="S245" s="81"/>
      <c r="T245" s="81">
        <v>-14</v>
      </c>
      <c r="U245" s="81">
        <v>-50</v>
      </c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145">
        <v>45469</v>
      </c>
      <c r="AI245" s="147"/>
      <c r="AJ245" s="147"/>
      <c r="AK245" s="104"/>
      <c r="AL245" s="81"/>
      <c r="AM245" s="81"/>
      <c r="AN245" s="81"/>
      <c r="AO245" s="78"/>
      <c r="AP245" s="78"/>
      <c r="AQ245" s="78"/>
      <c r="AR245" s="81"/>
      <c r="AS245" s="81"/>
      <c r="AT245" s="81"/>
      <c r="AU245" s="104"/>
      <c r="AV245" s="104"/>
      <c r="AW245" s="104"/>
      <c r="AX245" s="81"/>
      <c r="AY245" s="81"/>
      <c r="AZ245" s="81"/>
      <c r="BA245" s="78"/>
      <c r="BB245" s="78"/>
      <c r="BC245" s="78"/>
      <c r="BD245" s="81">
        <v>40</v>
      </c>
      <c r="BE245" s="81">
        <v>11</v>
      </c>
      <c r="BF245" s="81">
        <f t="shared" si="49"/>
        <v>440</v>
      </c>
      <c r="BG245" s="104">
        <v>10</v>
      </c>
      <c r="BH245" s="104">
        <v>6.7</v>
      </c>
      <c r="BI245" s="104">
        <f t="shared" si="50"/>
        <v>67</v>
      </c>
      <c r="BJ245" s="81"/>
      <c r="BK245" s="81"/>
      <c r="BL245" s="81"/>
      <c r="BM245" s="78"/>
      <c r="BN245" s="78"/>
      <c r="BO245" s="78"/>
      <c r="BP245" s="81"/>
      <c r="BQ245" s="81"/>
      <c r="BR245" s="81"/>
      <c r="BS245" s="146"/>
      <c r="BT245" s="146"/>
      <c r="BU245" s="146"/>
    </row>
    <row r="246" s="46" customFormat="1" spans="1:73">
      <c r="A246" s="129">
        <v>45470</v>
      </c>
      <c r="B246" s="130" t="s">
        <v>1321</v>
      </c>
      <c r="C246" s="131">
        <v>1000</v>
      </c>
      <c r="D246" s="132"/>
      <c r="E246" s="81"/>
      <c r="F246" s="81"/>
      <c r="G246" s="81"/>
      <c r="H246" s="81">
        <v>-150</v>
      </c>
      <c r="I246" s="81"/>
      <c r="J246" s="81"/>
      <c r="K246" s="81"/>
      <c r="L246" s="81"/>
      <c r="M246" s="81"/>
      <c r="N246" s="81"/>
      <c r="O246" s="81"/>
      <c r="P246" s="81">
        <v>-150</v>
      </c>
      <c r="Q246" s="81"/>
      <c r="R246" s="81"/>
      <c r="S246" s="81"/>
      <c r="T246" s="81">
        <v>-200</v>
      </c>
      <c r="U246" s="81">
        <v>-450</v>
      </c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145">
        <v>45470</v>
      </c>
      <c r="AI246" s="147"/>
      <c r="AJ246" s="147"/>
      <c r="AK246" s="104"/>
      <c r="AL246" s="81"/>
      <c r="AM246" s="81"/>
      <c r="AN246" s="81"/>
      <c r="AO246" s="78"/>
      <c r="AP246" s="78"/>
      <c r="AQ246" s="78"/>
      <c r="AR246" s="81"/>
      <c r="AS246" s="81"/>
      <c r="AT246" s="81"/>
      <c r="AU246" s="104"/>
      <c r="AV246" s="104"/>
      <c r="AW246" s="104"/>
      <c r="AX246" s="81"/>
      <c r="AY246" s="81"/>
      <c r="AZ246" s="81"/>
      <c r="BA246" s="78"/>
      <c r="BB246" s="78"/>
      <c r="BC246" s="78"/>
      <c r="BD246" s="81">
        <v>50</v>
      </c>
      <c r="BE246" s="81">
        <v>11</v>
      </c>
      <c r="BF246" s="81">
        <f t="shared" si="49"/>
        <v>550</v>
      </c>
      <c r="BG246" s="104"/>
      <c r="BH246" s="104"/>
      <c r="BI246" s="104"/>
      <c r="BJ246" s="81"/>
      <c r="BK246" s="81"/>
      <c r="BL246" s="81"/>
      <c r="BM246" s="78"/>
      <c r="BN246" s="78"/>
      <c r="BO246" s="78"/>
      <c r="BP246" s="81"/>
      <c r="BQ246" s="81"/>
      <c r="BR246" s="81"/>
      <c r="BS246" s="146"/>
      <c r="BT246" s="146"/>
      <c r="BU246" s="146"/>
    </row>
    <row r="247" s="46" customFormat="1" spans="1:73">
      <c r="A247" s="129">
        <v>45470</v>
      </c>
      <c r="B247" s="130" t="s">
        <v>997</v>
      </c>
      <c r="C247" s="131">
        <v>1000</v>
      </c>
      <c r="D247" s="132"/>
      <c r="E247" s="81"/>
      <c r="F247" s="81"/>
      <c r="G247" s="81"/>
      <c r="H247" s="81">
        <v>-200</v>
      </c>
      <c r="I247" s="81"/>
      <c r="J247" s="81"/>
      <c r="K247" s="81"/>
      <c r="L247" s="81"/>
      <c r="M247" s="81"/>
      <c r="N247" s="81"/>
      <c r="O247" s="81"/>
      <c r="P247" s="81">
        <v>-150</v>
      </c>
      <c r="Q247" s="81"/>
      <c r="R247" s="81"/>
      <c r="S247" s="81"/>
      <c r="T247" s="81">
        <v>-70</v>
      </c>
      <c r="U247" s="81">
        <v>-380</v>
      </c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145">
        <v>45470</v>
      </c>
      <c r="AI247" s="147"/>
      <c r="AJ247" s="147"/>
      <c r="AK247" s="104"/>
      <c r="AL247" s="81"/>
      <c r="AM247" s="81"/>
      <c r="AN247" s="81"/>
      <c r="AO247" s="78"/>
      <c r="AP247" s="78"/>
      <c r="AQ247" s="78"/>
      <c r="AR247" s="81"/>
      <c r="AS247" s="81"/>
      <c r="AT247" s="81"/>
      <c r="AU247" s="104"/>
      <c r="AV247" s="104"/>
      <c r="AW247" s="104"/>
      <c r="AX247" s="81"/>
      <c r="AY247" s="81"/>
      <c r="AZ247" s="81"/>
      <c r="BA247" s="78"/>
      <c r="BB247" s="78"/>
      <c r="BC247" s="78"/>
      <c r="BD247" s="81">
        <v>200</v>
      </c>
      <c r="BE247" s="81">
        <v>11</v>
      </c>
      <c r="BF247" s="81">
        <f t="shared" si="49"/>
        <v>2200</v>
      </c>
      <c r="BG247" s="104"/>
      <c r="BH247" s="104"/>
      <c r="BI247" s="104"/>
      <c r="BJ247" s="81"/>
      <c r="BK247" s="81"/>
      <c r="BL247" s="81"/>
      <c r="BM247" s="78"/>
      <c r="BN247" s="78"/>
      <c r="BO247" s="78"/>
      <c r="BP247" s="81"/>
      <c r="BQ247" s="81"/>
      <c r="BR247" s="81"/>
      <c r="BS247" s="146"/>
      <c r="BT247" s="146"/>
      <c r="BU247" s="146"/>
    </row>
    <row r="248" s="46" customFormat="1" spans="1:73">
      <c r="A248" s="129" t="s">
        <v>1352</v>
      </c>
      <c r="B248" s="130" t="s">
        <v>1353</v>
      </c>
      <c r="C248" s="131">
        <v>690</v>
      </c>
      <c r="D248" s="132"/>
      <c r="E248" s="81"/>
      <c r="F248" s="81"/>
      <c r="G248" s="81"/>
      <c r="H248" s="81">
        <v>-140</v>
      </c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145" t="s">
        <v>1352</v>
      </c>
      <c r="AI248" s="147"/>
      <c r="AJ248" s="147"/>
      <c r="AK248" s="104"/>
      <c r="AL248" s="81"/>
      <c r="AM248" s="81"/>
      <c r="AN248" s="81"/>
      <c r="AO248" s="78"/>
      <c r="AP248" s="78"/>
      <c r="AQ248" s="78"/>
      <c r="AR248" s="81"/>
      <c r="AS248" s="81"/>
      <c r="AT248" s="81"/>
      <c r="AU248" s="104"/>
      <c r="AV248" s="104"/>
      <c r="AW248" s="104"/>
      <c r="AX248" s="81"/>
      <c r="AY248" s="81"/>
      <c r="AZ248" s="81"/>
      <c r="BA248" s="78"/>
      <c r="BB248" s="78"/>
      <c r="BC248" s="78"/>
      <c r="BD248" s="81">
        <v>210</v>
      </c>
      <c r="BE248" s="81">
        <v>11</v>
      </c>
      <c r="BF248" s="81">
        <f t="shared" si="49"/>
        <v>2310</v>
      </c>
      <c r="BG248" s="104">
        <v>233</v>
      </c>
      <c r="BH248" s="104">
        <v>6.7</v>
      </c>
      <c r="BI248" s="104">
        <f t="shared" si="50"/>
        <v>1561.1</v>
      </c>
      <c r="BJ248" s="81"/>
      <c r="BK248" s="81"/>
      <c r="BL248" s="81"/>
      <c r="BM248" s="78"/>
      <c r="BN248" s="78"/>
      <c r="BO248" s="78"/>
      <c r="BP248" s="81"/>
      <c r="BQ248" s="81"/>
      <c r="BR248" s="81"/>
      <c r="BS248" s="146"/>
      <c r="BT248" s="146"/>
      <c r="BU248" s="146"/>
    </row>
    <row r="249" s="46" customFormat="1" spans="1:73">
      <c r="A249" s="129">
        <v>45471</v>
      </c>
      <c r="B249" s="137" t="s">
        <v>1354</v>
      </c>
      <c r="C249" s="131"/>
      <c r="D249" s="132"/>
      <c r="E249" s="81"/>
      <c r="F249" s="81"/>
      <c r="G249" s="81"/>
      <c r="H249" s="81"/>
      <c r="I249" s="81"/>
      <c r="J249" s="138">
        <v>671</v>
      </c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145">
        <v>45471</v>
      </c>
      <c r="AI249" s="147"/>
      <c r="AJ249" s="147"/>
      <c r="AK249" s="104"/>
      <c r="AL249" s="81"/>
      <c r="AM249" s="81"/>
      <c r="AN249" s="81"/>
      <c r="AO249" s="78"/>
      <c r="AP249" s="78"/>
      <c r="AQ249" s="78"/>
      <c r="AR249" s="81"/>
      <c r="AS249" s="81"/>
      <c r="AT249" s="81"/>
      <c r="AU249" s="104"/>
      <c r="AV249" s="104"/>
      <c r="AW249" s="104"/>
      <c r="AX249" s="81"/>
      <c r="AY249" s="81"/>
      <c r="AZ249" s="81"/>
      <c r="BA249" s="78"/>
      <c r="BB249" s="78"/>
      <c r="BC249" s="78"/>
      <c r="BD249" s="81"/>
      <c r="BE249" s="81"/>
      <c r="BF249" s="81"/>
      <c r="BG249" s="104"/>
      <c r="BH249" s="104"/>
      <c r="BI249" s="104"/>
      <c r="BJ249" s="81"/>
      <c r="BK249" s="81"/>
      <c r="BL249" s="81"/>
      <c r="BM249" s="78"/>
      <c r="BN249" s="78"/>
      <c r="BO249" s="78"/>
      <c r="BP249" s="81"/>
      <c r="BQ249" s="81"/>
      <c r="BR249" s="81"/>
      <c r="BS249" s="146"/>
      <c r="BT249" s="146"/>
      <c r="BU249" s="146"/>
    </row>
    <row r="250" s="46" customFormat="1" spans="1:73">
      <c r="A250" s="129">
        <v>45471</v>
      </c>
      <c r="B250" s="130" t="s">
        <v>1355</v>
      </c>
      <c r="C250" s="131">
        <v>16</v>
      </c>
      <c r="D250" s="132"/>
      <c r="E250" s="81"/>
      <c r="F250" s="81"/>
      <c r="G250" s="81"/>
      <c r="H250" s="81">
        <v>-0.4</v>
      </c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>
        <v>-1</v>
      </c>
      <c r="AD250" s="81"/>
      <c r="AE250" s="81"/>
      <c r="AF250" s="81"/>
      <c r="AG250" s="81"/>
      <c r="AH250" s="145">
        <v>45471</v>
      </c>
      <c r="AI250" s="147"/>
      <c r="AJ250" s="147"/>
      <c r="AK250" s="104"/>
      <c r="AL250" s="81"/>
      <c r="AM250" s="81"/>
      <c r="AN250" s="81"/>
      <c r="AO250" s="78">
        <v>1</v>
      </c>
      <c r="AP250" s="78">
        <v>17</v>
      </c>
      <c r="AQ250" s="78">
        <f>AO250*AP250</f>
        <v>17</v>
      </c>
      <c r="AR250" s="81"/>
      <c r="AS250" s="81"/>
      <c r="AT250" s="81"/>
      <c r="AU250" s="104"/>
      <c r="AV250" s="104"/>
      <c r="AW250" s="104"/>
      <c r="AX250" s="81"/>
      <c r="AY250" s="81"/>
      <c r="AZ250" s="81"/>
      <c r="BA250" s="78"/>
      <c r="BB250" s="78"/>
      <c r="BC250" s="78"/>
      <c r="BD250" s="81"/>
      <c r="BE250" s="81"/>
      <c r="BF250" s="81"/>
      <c r="BG250" s="104">
        <v>6.8</v>
      </c>
      <c r="BH250" s="104">
        <v>6.7</v>
      </c>
      <c r="BI250" s="104">
        <f>BG250*BH250</f>
        <v>45.56</v>
      </c>
      <c r="BJ250" s="81"/>
      <c r="BK250" s="81"/>
      <c r="BL250" s="81"/>
      <c r="BM250" s="78"/>
      <c r="BN250" s="78"/>
      <c r="BO250" s="78"/>
      <c r="BP250" s="81">
        <v>6.8</v>
      </c>
      <c r="BQ250" s="81">
        <v>8.6</v>
      </c>
      <c r="BR250" s="81">
        <f>BP250*BQ250</f>
        <v>58.48</v>
      </c>
      <c r="BS250" s="146"/>
      <c r="BT250" s="146"/>
      <c r="BU250" s="146"/>
    </row>
    <row r="251" s="46" customFormat="1" spans="1:73">
      <c r="A251" s="129">
        <v>45471</v>
      </c>
      <c r="B251" s="137" t="s">
        <v>1356</v>
      </c>
      <c r="C251" s="131">
        <v>500</v>
      </c>
      <c r="D251" s="132"/>
      <c r="E251" s="81">
        <v>-62.5</v>
      </c>
      <c r="F251" s="81"/>
      <c r="G251" s="81"/>
      <c r="H251" s="81">
        <v>-100</v>
      </c>
      <c r="I251" s="81"/>
      <c r="J251" s="81"/>
      <c r="K251" s="81"/>
      <c r="L251" s="81"/>
      <c r="M251" s="81"/>
      <c r="N251" s="81"/>
      <c r="O251" s="81">
        <v>-110</v>
      </c>
      <c r="P251" s="81"/>
      <c r="Q251" s="81"/>
      <c r="R251" s="81"/>
      <c r="S251" s="81"/>
      <c r="T251" s="81">
        <v>-35</v>
      </c>
      <c r="U251" s="81">
        <v>-160</v>
      </c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145">
        <v>45471</v>
      </c>
      <c r="AI251" s="147"/>
      <c r="AJ251" s="147"/>
      <c r="AK251" s="104"/>
      <c r="AL251" s="81"/>
      <c r="AM251" s="81"/>
      <c r="AN251" s="81"/>
      <c r="AO251" s="78"/>
      <c r="AP251" s="78"/>
      <c r="AQ251" s="78"/>
      <c r="AR251" s="81"/>
      <c r="AS251" s="81"/>
      <c r="AT251" s="81"/>
      <c r="AU251" s="104"/>
      <c r="AV251" s="104"/>
      <c r="AW251" s="104"/>
      <c r="AX251" s="81"/>
      <c r="AY251" s="81"/>
      <c r="AZ251" s="81"/>
      <c r="BA251" s="78"/>
      <c r="BB251" s="78"/>
      <c r="BC251" s="78"/>
      <c r="BD251" s="81">
        <v>32.5</v>
      </c>
      <c r="BE251" s="81">
        <v>11</v>
      </c>
      <c r="BF251" s="81">
        <f>BD251*BE251</f>
        <v>357.5</v>
      </c>
      <c r="BG251" s="104"/>
      <c r="BH251" s="104"/>
      <c r="BI251" s="104"/>
      <c r="BJ251" s="81"/>
      <c r="BK251" s="81"/>
      <c r="BL251" s="81"/>
      <c r="BM251" s="78"/>
      <c r="BN251" s="78"/>
      <c r="BO251" s="78"/>
      <c r="BP251" s="81"/>
      <c r="BQ251" s="81"/>
      <c r="BR251" s="81"/>
      <c r="BS251" s="146"/>
      <c r="BT251" s="146"/>
      <c r="BU251" s="146"/>
    </row>
    <row r="252" s="46" customFormat="1" spans="1:73">
      <c r="A252" s="129">
        <v>45472</v>
      </c>
      <c r="B252" s="130" t="s">
        <v>997</v>
      </c>
      <c r="C252" s="131">
        <v>1000</v>
      </c>
      <c r="D252" s="132"/>
      <c r="E252" s="81"/>
      <c r="F252" s="81"/>
      <c r="G252" s="81"/>
      <c r="H252" s="81">
        <v>-200</v>
      </c>
      <c r="I252" s="81"/>
      <c r="J252" s="81"/>
      <c r="K252" s="81"/>
      <c r="L252" s="81"/>
      <c r="M252" s="81"/>
      <c r="N252" s="81"/>
      <c r="O252" s="81"/>
      <c r="P252" s="81">
        <v>-150</v>
      </c>
      <c r="Q252" s="81"/>
      <c r="R252" s="81"/>
      <c r="S252" s="81"/>
      <c r="T252" s="81">
        <v>-70</v>
      </c>
      <c r="U252" s="81">
        <v>-380</v>
      </c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145">
        <v>45470</v>
      </c>
      <c r="AI252" s="147"/>
      <c r="AJ252" s="147"/>
      <c r="AK252" s="104"/>
      <c r="AL252" s="81"/>
      <c r="AM252" s="81"/>
      <c r="AN252" s="81"/>
      <c r="AO252" s="78"/>
      <c r="AP252" s="78"/>
      <c r="AQ252" s="78"/>
      <c r="AR252" s="81"/>
      <c r="AS252" s="81"/>
      <c r="AT252" s="81"/>
      <c r="AU252" s="104"/>
      <c r="AV252" s="104"/>
      <c r="AW252" s="104"/>
      <c r="AX252" s="81"/>
      <c r="AY252" s="81"/>
      <c r="AZ252" s="81"/>
      <c r="BA252" s="78"/>
      <c r="BB252" s="78"/>
      <c r="BC252" s="78"/>
      <c r="BD252" s="81">
        <v>200</v>
      </c>
      <c r="BE252" s="81">
        <v>11</v>
      </c>
      <c r="BF252" s="81">
        <f>BD252*BE252</f>
        <v>2200</v>
      </c>
      <c r="BG252" s="104"/>
      <c r="BH252" s="104"/>
      <c r="BI252" s="104"/>
      <c r="BJ252" s="81"/>
      <c r="BK252" s="81"/>
      <c r="BL252" s="81"/>
      <c r="BM252" s="78"/>
      <c r="BN252" s="78"/>
      <c r="BO252" s="78"/>
      <c r="BP252" s="81"/>
      <c r="BQ252" s="81"/>
      <c r="BR252" s="81"/>
      <c r="BS252" s="146"/>
      <c r="BT252" s="146"/>
      <c r="BU252" s="146"/>
    </row>
    <row r="253" s="46" customFormat="1" spans="1:73">
      <c r="A253" s="129"/>
      <c r="B253" s="137"/>
      <c r="C253" s="131"/>
      <c r="D253" s="132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145"/>
      <c r="AI253" s="147"/>
      <c r="AJ253" s="147"/>
      <c r="AK253" s="104"/>
      <c r="AL253" s="81"/>
      <c r="AM253" s="81"/>
      <c r="AN253" s="81"/>
      <c r="AO253" s="78"/>
      <c r="AP253" s="78"/>
      <c r="AQ253" s="78"/>
      <c r="AR253" s="81"/>
      <c r="AS253" s="81"/>
      <c r="AT253" s="81"/>
      <c r="AU253" s="104"/>
      <c r="AV253" s="104"/>
      <c r="AW253" s="104"/>
      <c r="AX253" s="81"/>
      <c r="AY253" s="81"/>
      <c r="AZ253" s="81"/>
      <c r="BA253" s="78"/>
      <c r="BB253" s="78"/>
      <c r="BC253" s="78"/>
      <c r="BD253" s="81"/>
      <c r="BE253" s="81"/>
      <c r="BF253" s="81"/>
      <c r="BG253" s="104"/>
      <c r="BH253" s="104"/>
      <c r="BI253" s="104"/>
      <c r="BJ253" s="81"/>
      <c r="BK253" s="81"/>
      <c r="BL253" s="81"/>
      <c r="BM253" s="78"/>
      <c r="BN253" s="78"/>
      <c r="BO253" s="78"/>
      <c r="BP253" s="81"/>
      <c r="BQ253" s="81"/>
      <c r="BR253" s="81"/>
      <c r="BS253" s="146"/>
      <c r="BT253" s="146"/>
      <c r="BU253" s="146"/>
    </row>
    <row r="254" s="46" customFormat="1" spans="1:73">
      <c r="A254" s="129"/>
      <c r="B254" s="137"/>
      <c r="C254" s="131"/>
      <c r="D254" s="132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145"/>
      <c r="AI254" s="147"/>
      <c r="AJ254" s="147"/>
      <c r="AK254" s="104"/>
      <c r="AL254" s="81"/>
      <c r="AM254" s="81"/>
      <c r="AN254" s="81"/>
      <c r="AO254" s="78"/>
      <c r="AP254" s="78"/>
      <c r="AQ254" s="78"/>
      <c r="AR254" s="81"/>
      <c r="AS254" s="81"/>
      <c r="AT254" s="81"/>
      <c r="AU254" s="104"/>
      <c r="AV254" s="104"/>
      <c r="AW254" s="104"/>
      <c r="AX254" s="81"/>
      <c r="AY254" s="81"/>
      <c r="AZ254" s="81"/>
      <c r="BA254" s="78"/>
      <c r="BB254" s="78"/>
      <c r="BC254" s="78"/>
      <c r="BD254" s="81"/>
      <c r="BE254" s="81"/>
      <c r="BF254" s="81"/>
      <c r="BG254" s="104"/>
      <c r="BH254" s="104"/>
      <c r="BI254" s="104"/>
      <c r="BJ254" s="81"/>
      <c r="BK254" s="81"/>
      <c r="BL254" s="81"/>
      <c r="BM254" s="78"/>
      <c r="BN254" s="78"/>
      <c r="BO254" s="78"/>
      <c r="BP254" s="81"/>
      <c r="BQ254" s="81"/>
      <c r="BR254" s="81"/>
      <c r="BS254" s="146"/>
      <c r="BT254" s="146"/>
      <c r="BU254" s="146"/>
    </row>
    <row r="255" s="46" customFormat="1" spans="1:73">
      <c r="A255" s="129"/>
      <c r="B255" s="137"/>
      <c r="C255" s="131"/>
      <c r="D255" s="132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145"/>
      <c r="AI255" s="147"/>
      <c r="AJ255" s="147"/>
      <c r="AK255" s="104"/>
      <c r="AL255" s="81"/>
      <c r="AM255" s="81"/>
      <c r="AN255" s="81"/>
      <c r="AO255" s="78"/>
      <c r="AP255" s="78"/>
      <c r="AQ255" s="78"/>
      <c r="AR255" s="81"/>
      <c r="AS255" s="81"/>
      <c r="AT255" s="81"/>
      <c r="AU255" s="104"/>
      <c r="AV255" s="104"/>
      <c r="AW255" s="104"/>
      <c r="AX255" s="81"/>
      <c r="AY255" s="81"/>
      <c r="AZ255" s="81"/>
      <c r="BA255" s="78"/>
      <c r="BB255" s="78"/>
      <c r="BC255" s="78"/>
      <c r="BD255" s="81"/>
      <c r="BE255" s="81"/>
      <c r="BF255" s="81"/>
      <c r="BG255" s="104"/>
      <c r="BH255" s="104"/>
      <c r="BI255" s="104"/>
      <c r="BJ255" s="81"/>
      <c r="BK255" s="81"/>
      <c r="BL255" s="81"/>
      <c r="BM255" s="78"/>
      <c r="BN255" s="78"/>
      <c r="BO255" s="78"/>
      <c r="BP255" s="81"/>
      <c r="BQ255" s="81"/>
      <c r="BR255" s="81"/>
      <c r="BS255" s="146"/>
      <c r="BT255" s="146"/>
      <c r="BU255" s="146"/>
    </row>
    <row r="256" s="46" customFormat="1" spans="1:73">
      <c r="A256" s="129"/>
      <c r="B256" s="137"/>
      <c r="C256" s="131"/>
      <c r="D256" s="13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145"/>
      <c r="AI256" s="147"/>
      <c r="AJ256" s="147"/>
      <c r="AK256" s="104"/>
      <c r="AL256" s="81"/>
      <c r="AM256" s="81"/>
      <c r="AN256" s="81"/>
      <c r="AO256" s="78"/>
      <c r="AP256" s="78"/>
      <c r="AQ256" s="78"/>
      <c r="AR256" s="81"/>
      <c r="AS256" s="81"/>
      <c r="AT256" s="81"/>
      <c r="AU256" s="104"/>
      <c r="AV256" s="104"/>
      <c r="AW256" s="104"/>
      <c r="AX256" s="81"/>
      <c r="AY256" s="81"/>
      <c r="AZ256" s="81"/>
      <c r="BA256" s="78"/>
      <c r="BB256" s="78"/>
      <c r="BC256" s="78"/>
      <c r="BD256" s="81"/>
      <c r="BE256" s="81"/>
      <c r="BF256" s="81"/>
      <c r="BG256" s="104"/>
      <c r="BH256" s="104"/>
      <c r="BI256" s="104"/>
      <c r="BJ256" s="81"/>
      <c r="BK256" s="81"/>
      <c r="BL256" s="81"/>
      <c r="BM256" s="78"/>
      <c r="BN256" s="78"/>
      <c r="BO256" s="78"/>
      <c r="BP256" s="81"/>
      <c r="BQ256" s="81"/>
      <c r="BR256" s="81"/>
      <c r="BS256" s="146"/>
      <c r="BT256" s="146"/>
      <c r="BU256" s="146"/>
    </row>
    <row r="257" s="46" customFormat="1" spans="1:73">
      <c r="A257" s="129"/>
      <c r="B257" s="137"/>
      <c r="C257" s="131"/>
      <c r="D257" s="13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145"/>
      <c r="AI257" s="147"/>
      <c r="AJ257" s="147"/>
      <c r="AK257" s="104"/>
      <c r="AL257" s="81"/>
      <c r="AM257" s="81"/>
      <c r="AN257" s="81"/>
      <c r="AO257" s="78"/>
      <c r="AP257" s="78"/>
      <c r="AQ257" s="78"/>
      <c r="AR257" s="81"/>
      <c r="AS257" s="81"/>
      <c r="AT257" s="81"/>
      <c r="AU257" s="104"/>
      <c r="AV257" s="104"/>
      <c r="AW257" s="104"/>
      <c r="AX257" s="81"/>
      <c r="AY257" s="81"/>
      <c r="AZ257" s="81"/>
      <c r="BA257" s="78"/>
      <c r="BB257" s="78"/>
      <c r="BC257" s="78"/>
      <c r="BD257" s="81"/>
      <c r="BE257" s="81"/>
      <c r="BF257" s="81"/>
      <c r="BG257" s="104"/>
      <c r="BH257" s="104"/>
      <c r="BI257" s="104"/>
      <c r="BJ257" s="81"/>
      <c r="BK257" s="81"/>
      <c r="BL257" s="81"/>
      <c r="BM257" s="78"/>
      <c r="BN257" s="78"/>
      <c r="BO257" s="78"/>
      <c r="BP257" s="81"/>
      <c r="BQ257" s="81"/>
      <c r="BR257" s="81"/>
      <c r="BS257" s="146"/>
      <c r="BT257" s="146"/>
      <c r="BU257" s="146"/>
    </row>
    <row r="258" s="12" customFormat="1" spans="1:73">
      <c r="A258" s="129"/>
      <c r="B258" s="217"/>
      <c r="C258" s="131">
        <f>SUM(C214:C257)</f>
        <v>21198.3</v>
      </c>
      <c r="D258" s="132"/>
      <c r="E258" s="131">
        <f>SUM(E214:E257)</f>
        <v>44.5</v>
      </c>
      <c r="F258" s="131">
        <f t="shared" ref="E258:AG258" si="51">SUM(F214:F257)</f>
        <v>300</v>
      </c>
      <c r="G258" s="131">
        <f t="shared" si="51"/>
        <v>0</v>
      </c>
      <c r="H258" s="131">
        <f t="shared" si="51"/>
        <v>-1318.8</v>
      </c>
      <c r="I258" s="131">
        <f t="shared" si="51"/>
        <v>1166.5</v>
      </c>
      <c r="J258" s="131">
        <f t="shared" si="51"/>
        <v>827</v>
      </c>
      <c r="K258" s="131">
        <f t="shared" si="51"/>
        <v>0</v>
      </c>
      <c r="L258" s="131">
        <f t="shared" si="51"/>
        <v>0</v>
      </c>
      <c r="M258" s="131">
        <f t="shared" si="51"/>
        <v>0</v>
      </c>
      <c r="N258" s="131">
        <f t="shared" si="51"/>
        <v>0</v>
      </c>
      <c r="O258" s="131">
        <f t="shared" si="51"/>
        <v>59</v>
      </c>
      <c r="P258" s="131">
        <f t="shared" si="51"/>
        <v>843</v>
      </c>
      <c r="Q258" s="131">
        <f t="shared" si="51"/>
        <v>0</v>
      </c>
      <c r="R258" s="131">
        <f>SUM(R213:R257)</f>
        <v>569</v>
      </c>
      <c r="S258" s="131">
        <f t="shared" si="51"/>
        <v>31.7</v>
      </c>
      <c r="T258" s="131">
        <f t="shared" si="51"/>
        <v>357.6</v>
      </c>
      <c r="U258" s="131">
        <f t="shared" si="51"/>
        <v>895</v>
      </c>
      <c r="V258" s="131">
        <f t="shared" si="51"/>
        <v>141</v>
      </c>
      <c r="W258" s="131">
        <f t="shared" si="51"/>
        <v>0</v>
      </c>
      <c r="X258" s="131">
        <f t="shared" si="51"/>
        <v>16.5</v>
      </c>
      <c r="Y258" s="131">
        <f t="shared" si="51"/>
        <v>0</v>
      </c>
      <c r="Z258" s="131">
        <f t="shared" si="51"/>
        <v>0</v>
      </c>
      <c r="AA258" s="131">
        <f t="shared" si="51"/>
        <v>0</v>
      </c>
      <c r="AB258" s="131">
        <f t="shared" si="51"/>
        <v>0</v>
      </c>
      <c r="AC258" s="131">
        <f t="shared" si="51"/>
        <v>14</v>
      </c>
      <c r="AD258" s="131">
        <f t="shared" si="51"/>
        <v>0</v>
      </c>
      <c r="AE258" s="131">
        <f t="shared" si="51"/>
        <v>0</v>
      </c>
      <c r="AF258" s="131">
        <f t="shared" si="51"/>
        <v>0</v>
      </c>
      <c r="AG258" s="131">
        <f t="shared" si="51"/>
        <v>0</v>
      </c>
      <c r="AH258" s="145"/>
      <c r="AI258" s="104">
        <f>SUM(AI214:AI257)</f>
        <v>450</v>
      </c>
      <c r="AJ258" s="147"/>
      <c r="AK258" s="104">
        <f>SUM(AK214:AK257)</f>
        <v>0</v>
      </c>
      <c r="AL258" s="104">
        <f>SUM(AL214:AL257)</f>
        <v>50</v>
      </c>
      <c r="AM258" s="147"/>
      <c r="AN258" s="104">
        <f>SUM(AN214:AN257)</f>
        <v>45</v>
      </c>
      <c r="AO258" s="104">
        <f>SUM(AO214:AO257)</f>
        <v>79.8</v>
      </c>
      <c r="AP258" s="147"/>
      <c r="AQ258" s="104">
        <f>SUM(AQ214:AQ257)</f>
        <v>1356.6</v>
      </c>
      <c r="AR258" s="104">
        <f>SUM(AR214:AR257)</f>
        <v>0</v>
      </c>
      <c r="AS258" s="147"/>
      <c r="AT258" s="104">
        <f>SUM(AT214:AT257)</f>
        <v>0</v>
      </c>
      <c r="AU258" s="104">
        <f>SUM(AU214:AU257)</f>
        <v>50</v>
      </c>
      <c r="AV258" s="147"/>
      <c r="AW258" s="104">
        <f>SUM(AW214:AW257)</f>
        <v>3750</v>
      </c>
      <c r="AX258" s="104">
        <f>SUM(AX214:AX257)</f>
        <v>0</v>
      </c>
      <c r="AY258" s="147"/>
      <c r="AZ258" s="104">
        <f>SUM(AZ214:AZ257)</f>
        <v>0</v>
      </c>
      <c r="BA258" s="104">
        <f>SUM(BA214:BA257)</f>
        <v>0</v>
      </c>
      <c r="BB258" s="147"/>
      <c r="BC258" s="104">
        <f>SUM(BC214:BC257)</f>
        <v>0</v>
      </c>
      <c r="BD258" s="104">
        <f>SUM(BD214:BD257)</f>
        <v>2257.5</v>
      </c>
      <c r="BE258" s="147"/>
      <c r="BF258" s="104">
        <f>SUM(BF214:BF257)</f>
        <v>24731.5</v>
      </c>
      <c r="BG258" s="104">
        <f>SUM(BG214:BG257)</f>
        <v>3569.7</v>
      </c>
      <c r="BH258" s="147"/>
      <c r="BI258" s="104">
        <f>SUM(BI214:BI257)</f>
        <v>25328.42</v>
      </c>
      <c r="BJ258" s="104">
        <f>SUM(BJ214:BJ257)</f>
        <v>539</v>
      </c>
      <c r="BK258" s="147"/>
      <c r="BL258" s="104">
        <f>SUM(BL214:BL257)</f>
        <v>1888.4</v>
      </c>
      <c r="BM258" s="104">
        <f>SUM(BM214:BM257)</f>
        <v>0</v>
      </c>
      <c r="BN258" s="147"/>
      <c r="BO258" s="104">
        <f>SUM(BO214:BO257)</f>
        <v>0</v>
      </c>
      <c r="BP258" s="104">
        <f>SUM(BP214:BP257)</f>
        <v>1479.7</v>
      </c>
      <c r="BQ258" s="147"/>
      <c r="BR258" s="104">
        <f>SUM(BR214:BR257)</f>
        <v>12725.42</v>
      </c>
      <c r="BS258" s="104">
        <f>SUM(BS214:BS257)</f>
        <v>221</v>
      </c>
      <c r="BT258" s="147"/>
      <c r="BU258" s="104">
        <f>SUM(BU214:BU257)</f>
        <v>1878.5</v>
      </c>
    </row>
    <row r="259" s="11" customFormat="1" ht="33" customHeight="1" spans="1:73">
      <c r="A259" s="72" t="s">
        <v>1357</v>
      </c>
      <c r="B259" s="72"/>
      <c r="C259" s="72"/>
      <c r="D259" s="207"/>
      <c r="E259" s="72"/>
      <c r="F259" s="72"/>
      <c r="G259" s="72"/>
      <c r="H259" s="72"/>
      <c r="I259" s="72"/>
      <c r="J259" s="72"/>
      <c r="K259" s="72"/>
      <c r="L259" s="72"/>
      <c r="M259" s="76"/>
      <c r="N259" s="72"/>
      <c r="O259" s="211" t="s">
        <v>1358</v>
      </c>
      <c r="P259" s="212" t="s">
        <v>1359</v>
      </c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3"/>
      <c r="AH259" s="74"/>
      <c r="AI259" s="74"/>
      <c r="AJ259" s="75"/>
      <c r="AK259" s="75"/>
      <c r="AL259" s="72" t="s">
        <v>908</v>
      </c>
      <c r="AM259" s="72"/>
      <c r="AN259" s="72"/>
      <c r="AO259" s="76"/>
      <c r="AP259" s="76"/>
      <c r="AQ259" s="77">
        <f>SUM(AJ302+AM302+AP302+AS302+AV302+AY302+BB302+BE302+BH302+BK302+BN302+BQ302+BT302)</f>
        <v>55350.3</v>
      </c>
      <c r="AR259" s="77"/>
      <c r="AS259" s="72"/>
      <c r="AT259" s="72"/>
      <c r="AU259" s="75"/>
      <c r="AV259" s="75"/>
      <c r="AW259" s="75"/>
      <c r="AX259" s="72"/>
      <c r="AY259" s="72"/>
      <c r="AZ259" s="72"/>
      <c r="BA259" s="77"/>
      <c r="BB259" s="77"/>
      <c r="BC259" s="77"/>
      <c r="BD259" s="72"/>
      <c r="BE259" s="72"/>
      <c r="BF259" s="72"/>
      <c r="BG259" s="75"/>
      <c r="BH259" s="75"/>
      <c r="BI259" s="75"/>
      <c r="BJ259" s="72"/>
      <c r="BK259" s="72"/>
      <c r="BL259" s="72"/>
      <c r="BM259" s="77"/>
      <c r="BN259" s="77"/>
      <c r="BO259" s="78"/>
      <c r="BP259" s="79"/>
      <c r="BQ259" s="79"/>
      <c r="BR259" s="80"/>
    </row>
    <row r="260" s="12" customFormat="1" ht="27" customHeight="1" spans="1:73">
      <c r="A260" s="81" t="s">
        <v>35</v>
      </c>
      <c r="B260" s="82" t="s">
        <v>909</v>
      </c>
      <c r="C260" s="83"/>
      <c r="D260" s="218" t="s">
        <v>240</v>
      </c>
      <c r="E260" s="182" t="s">
        <v>1308</v>
      </c>
      <c r="F260" s="87" t="s">
        <v>315</v>
      </c>
      <c r="G260" s="88" t="s">
        <v>316</v>
      </c>
      <c r="H260" s="89" t="s">
        <v>704</v>
      </c>
      <c r="I260" s="90" t="s">
        <v>1203</v>
      </c>
      <c r="J260" s="89" t="s">
        <v>979</v>
      </c>
      <c r="K260" s="88" t="s">
        <v>1205</v>
      </c>
      <c r="L260" s="92" t="s">
        <v>542</v>
      </c>
      <c r="M260" s="93" t="s">
        <v>1206</v>
      </c>
      <c r="N260" s="94" t="s">
        <v>342</v>
      </c>
      <c r="O260" s="95" t="s">
        <v>977</v>
      </c>
      <c r="P260" s="96" t="s">
        <v>1207</v>
      </c>
      <c r="Q260" s="92" t="s">
        <v>1208</v>
      </c>
      <c r="R260" s="88" t="s">
        <v>1209</v>
      </c>
      <c r="S260" s="89" t="s">
        <v>149</v>
      </c>
      <c r="T260" s="183" t="s">
        <v>298</v>
      </c>
      <c r="U260" s="89" t="s">
        <v>1360</v>
      </c>
      <c r="V260" s="99">
        <v>5014</v>
      </c>
      <c r="W260" s="88" t="s">
        <v>1210</v>
      </c>
      <c r="X260" s="92" t="s">
        <v>1293</v>
      </c>
      <c r="Y260" s="90" t="s">
        <v>1212</v>
      </c>
      <c r="Z260" s="89" t="s">
        <v>872</v>
      </c>
      <c r="AA260" s="101" t="s">
        <v>896</v>
      </c>
      <c r="AB260" s="89" t="s">
        <v>1213</v>
      </c>
      <c r="AC260" s="94" t="s">
        <v>1214</v>
      </c>
      <c r="AD260" s="89" t="s">
        <v>199</v>
      </c>
      <c r="AE260" s="101" t="s">
        <v>1215</v>
      </c>
      <c r="AF260" s="102" t="s">
        <v>1216</v>
      </c>
      <c r="AG260" s="73" t="s">
        <v>35</v>
      </c>
      <c r="AH260" s="74" t="s">
        <v>289</v>
      </c>
      <c r="AI260" s="74"/>
      <c r="AJ260" s="103"/>
      <c r="AK260" s="81" t="s">
        <v>466</v>
      </c>
      <c r="AL260" s="81"/>
      <c r="AM260" s="81"/>
      <c r="AN260" s="78" t="s">
        <v>191</v>
      </c>
      <c r="AO260" s="78"/>
      <c r="AP260" s="78"/>
      <c r="AQ260" s="81" t="s">
        <v>911</v>
      </c>
      <c r="AR260" s="81"/>
      <c r="AS260" s="81"/>
      <c r="AT260" s="104" t="s">
        <v>912</v>
      </c>
      <c r="AU260" s="104"/>
      <c r="AV260" s="104"/>
      <c r="AW260" s="81" t="s">
        <v>984</v>
      </c>
      <c r="AX260" s="81"/>
      <c r="AY260" s="81"/>
      <c r="AZ260" s="78" t="s">
        <v>960</v>
      </c>
      <c r="BA260" s="78"/>
      <c r="BB260" s="78"/>
      <c r="BC260" s="81">
        <v>808</v>
      </c>
      <c r="BD260" s="81"/>
      <c r="BE260" s="81"/>
      <c r="BF260" s="104" t="s">
        <v>125</v>
      </c>
      <c r="BG260" s="104"/>
      <c r="BH260" s="104"/>
      <c r="BI260" s="81" t="s">
        <v>132</v>
      </c>
      <c r="BJ260" s="81"/>
      <c r="BK260" s="81"/>
      <c r="BL260" s="78">
        <v>811</v>
      </c>
      <c r="BM260" s="78"/>
      <c r="BN260" s="105"/>
      <c r="BO260" s="81" t="s">
        <v>152</v>
      </c>
      <c r="BP260" s="81"/>
      <c r="BQ260" s="81"/>
      <c r="BR260" s="106" t="s">
        <v>12</v>
      </c>
      <c r="BS260" s="107"/>
      <c r="BT260" s="108"/>
    </row>
    <row r="261" s="12" customFormat="1" ht="27" customHeight="1" spans="1:73">
      <c r="A261" s="81"/>
      <c r="B261" s="82" t="s">
        <v>914</v>
      </c>
      <c r="C261" s="83" t="s">
        <v>915</v>
      </c>
      <c r="D261" s="219"/>
      <c r="E261" s="184"/>
      <c r="F261" s="112"/>
      <c r="G261" s="88"/>
      <c r="H261" s="89"/>
      <c r="I261" s="90"/>
      <c r="J261" s="89"/>
      <c r="K261" s="88"/>
      <c r="L261" s="92"/>
      <c r="M261" s="113"/>
      <c r="N261" s="94"/>
      <c r="O261" s="114"/>
      <c r="P261" s="96"/>
      <c r="Q261" s="92"/>
      <c r="R261" s="88"/>
      <c r="S261" s="89"/>
      <c r="T261" s="185"/>
      <c r="U261" s="89"/>
      <c r="V261" s="116"/>
      <c r="W261" s="88"/>
      <c r="X261" s="92"/>
      <c r="Y261" s="90"/>
      <c r="Z261" s="89"/>
      <c r="AA261" s="101"/>
      <c r="AB261" s="89"/>
      <c r="AC261" s="94"/>
      <c r="AD261" s="89"/>
      <c r="AE261" s="101"/>
      <c r="AF261" s="102"/>
      <c r="AG261" s="73"/>
      <c r="AH261" s="117" t="s">
        <v>916</v>
      </c>
      <c r="AI261" s="118" t="s">
        <v>917</v>
      </c>
      <c r="AJ261" s="81" t="s">
        <v>918</v>
      </c>
      <c r="AK261" s="81" t="s">
        <v>916</v>
      </c>
      <c r="AL261" s="81" t="s">
        <v>917</v>
      </c>
      <c r="AM261" s="81" t="s">
        <v>918</v>
      </c>
      <c r="AN261" s="78" t="s">
        <v>916</v>
      </c>
      <c r="AO261" s="78" t="s">
        <v>917</v>
      </c>
      <c r="AP261" s="78" t="s">
        <v>918</v>
      </c>
      <c r="AQ261" s="81" t="s">
        <v>916</v>
      </c>
      <c r="AR261" s="81" t="s">
        <v>917</v>
      </c>
      <c r="AS261" s="81" t="s">
        <v>918</v>
      </c>
      <c r="AT261" s="104" t="s">
        <v>916</v>
      </c>
      <c r="AU261" s="104" t="s">
        <v>917</v>
      </c>
      <c r="AV261" s="104" t="s">
        <v>918</v>
      </c>
      <c r="AW261" s="81" t="s">
        <v>916</v>
      </c>
      <c r="AX261" s="81" t="s">
        <v>917</v>
      </c>
      <c r="AY261" s="81" t="s">
        <v>918</v>
      </c>
      <c r="AZ261" s="78" t="s">
        <v>916</v>
      </c>
      <c r="BA261" s="78" t="s">
        <v>917</v>
      </c>
      <c r="BB261" s="78" t="s">
        <v>918</v>
      </c>
      <c r="BC261" s="81" t="s">
        <v>916</v>
      </c>
      <c r="BD261" s="81" t="s">
        <v>917</v>
      </c>
      <c r="BE261" s="81" t="s">
        <v>918</v>
      </c>
      <c r="BF261" s="104" t="s">
        <v>916</v>
      </c>
      <c r="BG261" s="104" t="s">
        <v>917</v>
      </c>
      <c r="BH261" s="104" t="s">
        <v>918</v>
      </c>
      <c r="BI261" s="81" t="s">
        <v>916</v>
      </c>
      <c r="BJ261" s="81" t="s">
        <v>917</v>
      </c>
      <c r="BK261" s="81" t="s">
        <v>918</v>
      </c>
      <c r="BL261" s="78" t="s">
        <v>916</v>
      </c>
      <c r="BM261" s="78" t="s">
        <v>917</v>
      </c>
      <c r="BN261" s="105" t="s">
        <v>918</v>
      </c>
      <c r="BO261" s="81" t="s">
        <v>916</v>
      </c>
      <c r="BP261" s="81" t="s">
        <v>917</v>
      </c>
      <c r="BQ261" s="81" t="s">
        <v>918</v>
      </c>
      <c r="BR261" s="104" t="s">
        <v>916</v>
      </c>
      <c r="BS261" s="104" t="s">
        <v>917</v>
      </c>
      <c r="BT261" s="104" t="s">
        <v>918</v>
      </c>
    </row>
    <row r="262" s="12" customFormat="1" ht="17" customHeight="1" spans="1:73">
      <c r="A262" s="81" t="s">
        <v>1361</v>
      </c>
      <c r="B262" s="82" t="s">
        <v>1362</v>
      </c>
      <c r="C262" s="83"/>
      <c r="D262" s="219"/>
      <c r="E262" s="184"/>
      <c r="F262" s="112"/>
      <c r="G262" s="88"/>
      <c r="H262" s="89">
        <v>527.5</v>
      </c>
      <c r="I262" s="90"/>
      <c r="J262" s="89"/>
      <c r="K262" s="88"/>
      <c r="L262" s="92"/>
      <c r="M262" s="113"/>
      <c r="N262" s="94"/>
      <c r="O262" s="114"/>
      <c r="P262" s="96"/>
      <c r="Q262" s="92"/>
      <c r="R262" s="116">
        <f t="shared" ref="R262:W262" si="52">R389</f>
        <v>40.9</v>
      </c>
      <c r="S262" s="116">
        <f t="shared" si="52"/>
        <v>448.6</v>
      </c>
      <c r="T262" s="116">
        <f t="shared" si="52"/>
        <v>1046</v>
      </c>
      <c r="U262" s="89"/>
      <c r="V262" s="116">
        <f t="shared" si="52"/>
        <v>0</v>
      </c>
      <c r="W262" s="116">
        <f t="shared" si="52"/>
        <v>24</v>
      </c>
      <c r="X262" s="92"/>
      <c r="Y262" s="90"/>
      <c r="Z262" s="89"/>
      <c r="AA262" s="101"/>
      <c r="AB262" s="89"/>
      <c r="AC262" s="94"/>
      <c r="AD262" s="89"/>
      <c r="AE262" s="101"/>
      <c r="AF262" s="102"/>
      <c r="AG262" s="73"/>
      <c r="AH262" s="117"/>
      <c r="AI262" s="118"/>
      <c r="AJ262" s="81"/>
      <c r="AK262" s="81"/>
      <c r="AL262" s="81"/>
      <c r="AM262" s="81"/>
      <c r="AN262" s="78"/>
      <c r="AO262" s="78"/>
      <c r="AP262" s="78"/>
      <c r="AQ262" s="81"/>
      <c r="AR262" s="81"/>
      <c r="AS262" s="81"/>
      <c r="AT262" s="104"/>
      <c r="AU262" s="104"/>
      <c r="AV262" s="104"/>
      <c r="AW262" s="81"/>
      <c r="AX262" s="81"/>
      <c r="AY262" s="81"/>
      <c r="AZ262" s="78"/>
      <c r="BA262" s="78"/>
      <c r="BB262" s="78"/>
      <c r="BC262" s="81"/>
      <c r="BD262" s="81"/>
      <c r="BE262" s="81"/>
      <c r="BF262" s="104"/>
      <c r="BG262" s="104"/>
      <c r="BH262" s="104"/>
      <c r="BI262" s="81"/>
      <c r="BJ262" s="81"/>
      <c r="BK262" s="81"/>
      <c r="BL262" s="78"/>
      <c r="BM262" s="78"/>
      <c r="BN262" s="105"/>
      <c r="BO262" s="81"/>
      <c r="BP262" s="81"/>
      <c r="BQ262" s="81"/>
      <c r="BR262" s="104"/>
      <c r="BS262" s="104"/>
      <c r="BT262" s="104"/>
    </row>
    <row r="263" s="46" customFormat="1" spans="1:73">
      <c r="A263" s="129">
        <v>45418</v>
      </c>
      <c r="B263" s="137" t="s">
        <v>1363</v>
      </c>
      <c r="C263" s="131"/>
      <c r="D263" s="132"/>
      <c r="E263" s="140">
        <v>75</v>
      </c>
      <c r="F263" s="81"/>
      <c r="G263" s="150">
        <v>1140</v>
      </c>
      <c r="H263" s="81"/>
      <c r="I263" s="104"/>
      <c r="J263" s="81"/>
      <c r="K263" s="78"/>
      <c r="L263" s="81"/>
      <c r="M263" s="133"/>
      <c r="N263" s="104"/>
      <c r="O263" s="144">
        <v>130</v>
      </c>
      <c r="P263" s="152"/>
      <c r="Q263" s="81">
        <v>704</v>
      </c>
      <c r="R263" s="78"/>
      <c r="S263" s="81"/>
      <c r="T263" s="104"/>
      <c r="U263" s="81"/>
      <c r="V263" s="136"/>
      <c r="W263" s="78"/>
      <c r="X263" s="81"/>
      <c r="Y263" s="140">
        <v>200</v>
      </c>
      <c r="Z263" s="81"/>
      <c r="AA263" s="78"/>
      <c r="AB263" s="81"/>
      <c r="AC263" s="104"/>
      <c r="AD263" s="81"/>
      <c r="AE263" s="78"/>
      <c r="AF263" s="138">
        <v>50</v>
      </c>
      <c r="AG263" s="145"/>
      <c r="AH263" s="147"/>
      <c r="AI263" s="147"/>
      <c r="AJ263" s="104"/>
      <c r="AK263" s="81"/>
      <c r="AL263" s="81"/>
      <c r="AM263" s="81"/>
      <c r="AN263" s="78"/>
      <c r="AO263" s="78"/>
      <c r="AP263" s="78"/>
      <c r="AQ263" s="81"/>
      <c r="AR263" s="81"/>
      <c r="AS263" s="81"/>
      <c r="AT263" s="104"/>
      <c r="AU263" s="104"/>
      <c r="AV263" s="104"/>
      <c r="AW263" s="81"/>
      <c r="AX263" s="81"/>
      <c r="AY263" s="81"/>
      <c r="AZ263" s="78"/>
      <c r="BA263" s="78"/>
      <c r="BB263" s="78"/>
      <c r="BC263" s="81"/>
      <c r="BD263" s="81"/>
      <c r="BE263" s="81"/>
      <c r="BF263" s="104"/>
      <c r="BG263" s="104"/>
      <c r="BH263" s="104"/>
      <c r="BI263" s="81"/>
      <c r="BJ263" s="81"/>
      <c r="BK263" s="81"/>
      <c r="BL263" s="78"/>
      <c r="BM263" s="78"/>
      <c r="BN263" s="78"/>
      <c r="BO263" s="81"/>
      <c r="BP263" s="81"/>
      <c r="BQ263" s="81"/>
      <c r="BR263" s="146"/>
      <c r="BS263" s="146"/>
      <c r="BT263" s="146"/>
    </row>
    <row r="264" s="46" customFormat="1" spans="1:73">
      <c r="A264" s="129">
        <v>45418</v>
      </c>
      <c r="B264" s="130" t="s">
        <v>240</v>
      </c>
      <c r="C264" s="131">
        <v>187.5</v>
      </c>
      <c r="D264" s="132"/>
      <c r="E264" s="104">
        <v>-75</v>
      </c>
      <c r="F264" s="81"/>
      <c r="G264" s="78"/>
      <c r="H264" s="81"/>
      <c r="I264" s="104"/>
      <c r="J264" s="81"/>
      <c r="K264" s="78"/>
      <c r="L264" s="81"/>
      <c r="M264" s="133"/>
      <c r="N264" s="104"/>
      <c r="O264" s="131"/>
      <c r="P264" s="134"/>
      <c r="Q264" s="81"/>
      <c r="R264" s="78"/>
      <c r="S264" s="81"/>
      <c r="T264" s="104"/>
      <c r="U264" s="81"/>
      <c r="V264" s="136"/>
      <c r="W264" s="78"/>
      <c r="X264" s="81"/>
      <c r="Y264" s="104"/>
      <c r="Z264" s="81"/>
      <c r="AA264" s="78"/>
      <c r="AB264" s="81"/>
      <c r="AC264" s="104"/>
      <c r="AD264" s="81"/>
      <c r="AE264" s="78"/>
      <c r="AF264" s="81"/>
      <c r="AG264" s="145">
        <v>45418</v>
      </c>
      <c r="AH264" s="147"/>
      <c r="AI264" s="147"/>
      <c r="AJ264" s="104"/>
      <c r="AK264" s="81"/>
      <c r="AL264" s="81"/>
      <c r="AM264" s="81"/>
      <c r="AN264" s="78"/>
      <c r="AO264" s="78"/>
      <c r="AP264" s="78"/>
      <c r="AQ264" s="81"/>
      <c r="AR264" s="81"/>
      <c r="AS264" s="81"/>
      <c r="AT264" s="104"/>
      <c r="AU264" s="104"/>
      <c r="AV264" s="104"/>
      <c r="AW264" s="81"/>
      <c r="AX264" s="81"/>
      <c r="AY264" s="81"/>
      <c r="AZ264" s="78"/>
      <c r="BA264" s="78"/>
      <c r="BB264" s="78"/>
      <c r="BC264" s="81">
        <v>112.5</v>
      </c>
      <c r="BD264" s="81">
        <v>11</v>
      </c>
      <c r="BE264" s="81">
        <f>BC264*BD264</f>
        <v>1237.5</v>
      </c>
      <c r="BF264" s="104"/>
      <c r="BG264" s="104"/>
      <c r="BH264" s="104"/>
      <c r="BI264" s="81"/>
      <c r="BJ264" s="81"/>
      <c r="BK264" s="81"/>
      <c r="BL264" s="78"/>
      <c r="BM264" s="78"/>
      <c r="BN264" s="78"/>
      <c r="BO264" s="81"/>
      <c r="BP264" s="81"/>
      <c r="BQ264" s="81"/>
      <c r="BR264" s="146"/>
      <c r="BS264" s="146"/>
      <c r="BT264" s="146"/>
    </row>
    <row r="265" s="46" customFormat="1" spans="1:73">
      <c r="A265" s="129">
        <v>45418</v>
      </c>
      <c r="B265" s="220" t="s">
        <v>1256</v>
      </c>
      <c r="C265" s="131"/>
      <c r="D265" s="149">
        <v>183</v>
      </c>
      <c r="E265" s="104"/>
      <c r="F265" s="81"/>
      <c r="G265" s="78"/>
      <c r="H265" s="81"/>
      <c r="I265" s="104"/>
      <c r="J265" s="81"/>
      <c r="K265" s="78"/>
      <c r="L265" s="81"/>
      <c r="M265" s="133"/>
      <c r="N265" s="104"/>
      <c r="O265" s="131"/>
      <c r="P265" s="134"/>
      <c r="Q265" s="81"/>
      <c r="R265" s="78"/>
      <c r="S265" s="81"/>
      <c r="T265" s="104"/>
      <c r="U265" s="81"/>
      <c r="V265" s="136"/>
      <c r="W265" s="78"/>
      <c r="X265" s="81"/>
      <c r="Y265" s="104"/>
      <c r="Z265" s="81"/>
      <c r="AA265" s="78"/>
      <c r="AB265" s="81"/>
      <c r="AC265" s="104"/>
      <c r="AD265" s="81"/>
      <c r="AE265" s="78"/>
      <c r="AF265" s="81"/>
      <c r="AG265" s="145">
        <v>45418</v>
      </c>
      <c r="AH265" s="147"/>
      <c r="AI265" s="147"/>
      <c r="AJ265" s="104"/>
      <c r="AK265" s="81"/>
      <c r="AL265" s="81"/>
      <c r="AM265" s="81"/>
      <c r="AN265" s="78"/>
      <c r="AO265" s="78"/>
      <c r="AP265" s="78"/>
      <c r="AQ265" s="81"/>
      <c r="AR265" s="81"/>
      <c r="AS265" s="81"/>
      <c r="AT265" s="104"/>
      <c r="AU265" s="104"/>
      <c r="AV265" s="104"/>
      <c r="AW265" s="81"/>
      <c r="AX265" s="81"/>
      <c r="AY265" s="81"/>
      <c r="AZ265" s="78"/>
      <c r="BA265" s="78"/>
      <c r="BB265" s="78"/>
      <c r="BC265" s="81"/>
      <c r="BD265" s="81"/>
      <c r="BE265" s="81"/>
      <c r="BF265" s="104"/>
      <c r="BG265" s="104"/>
      <c r="BH265" s="104"/>
      <c r="BI265" s="81"/>
      <c r="BJ265" s="81"/>
      <c r="BK265" s="81"/>
      <c r="BL265" s="78"/>
      <c r="BM265" s="78"/>
      <c r="BN265" s="78"/>
      <c r="BO265" s="81"/>
      <c r="BP265" s="81"/>
      <c r="BQ265" s="81"/>
      <c r="BR265" s="146"/>
      <c r="BS265" s="146"/>
      <c r="BT265" s="146"/>
    </row>
    <row r="266" s="46" customFormat="1" spans="1:73">
      <c r="A266" s="129">
        <v>45418</v>
      </c>
      <c r="B266" s="130" t="s">
        <v>1364</v>
      </c>
      <c r="C266" s="131">
        <v>526</v>
      </c>
      <c r="D266" s="132">
        <v>-65</v>
      </c>
      <c r="E266" s="104"/>
      <c r="F266" s="81"/>
      <c r="G266" s="78"/>
      <c r="H266" s="81"/>
      <c r="I266" s="104"/>
      <c r="J266" s="81"/>
      <c r="K266" s="78"/>
      <c r="L266" s="81"/>
      <c r="M266" s="133"/>
      <c r="N266" s="104"/>
      <c r="O266" s="131"/>
      <c r="P266" s="134"/>
      <c r="Q266" s="81"/>
      <c r="R266" s="78"/>
      <c r="S266" s="81"/>
      <c r="T266" s="104"/>
      <c r="U266" s="81"/>
      <c r="V266" s="136"/>
      <c r="W266" s="78"/>
      <c r="X266" s="81"/>
      <c r="Y266" s="104"/>
      <c r="Z266" s="81"/>
      <c r="AA266" s="78"/>
      <c r="AB266" s="81"/>
      <c r="AC266" s="104"/>
      <c r="AD266" s="81"/>
      <c r="AE266" s="78"/>
      <c r="AF266" s="81"/>
      <c r="AG266" s="145">
        <v>45418</v>
      </c>
      <c r="AH266" s="147"/>
      <c r="AI266" s="147"/>
      <c r="AJ266" s="104"/>
      <c r="AK266" s="81"/>
      <c r="AL266" s="81"/>
      <c r="AM266" s="81"/>
      <c r="AN266" s="78"/>
      <c r="AO266" s="78"/>
      <c r="AP266" s="78"/>
      <c r="AQ266" s="81"/>
      <c r="AR266" s="81"/>
      <c r="AS266" s="81"/>
      <c r="AT266" s="104"/>
      <c r="AU266" s="104"/>
      <c r="AV266" s="104"/>
      <c r="AW266" s="81"/>
      <c r="AX266" s="81"/>
      <c r="AY266" s="81"/>
      <c r="AZ266" s="78"/>
      <c r="BA266" s="78"/>
      <c r="BB266" s="78"/>
      <c r="BC266" s="81">
        <v>3</v>
      </c>
      <c r="BD266" s="81">
        <v>11</v>
      </c>
      <c r="BE266" s="81">
        <f>BC266*BD266</f>
        <v>33</v>
      </c>
      <c r="BF266" s="104"/>
      <c r="BG266" s="104"/>
      <c r="BH266" s="104"/>
      <c r="BI266" s="81"/>
      <c r="BJ266" s="81"/>
      <c r="BK266" s="81"/>
      <c r="BL266" s="78"/>
      <c r="BM266" s="78"/>
      <c r="BN266" s="78"/>
      <c r="BO266" s="81"/>
      <c r="BP266" s="81"/>
      <c r="BQ266" s="81"/>
      <c r="BR266" s="146"/>
      <c r="BS266" s="146"/>
      <c r="BT266" s="146"/>
    </row>
    <row r="267" s="46" customFormat="1" spans="1:73">
      <c r="A267" s="129">
        <v>45419</v>
      </c>
      <c r="B267" s="130" t="s">
        <v>1365</v>
      </c>
      <c r="C267" s="131">
        <v>685</v>
      </c>
      <c r="D267" s="132"/>
      <c r="E267" s="104"/>
      <c r="F267" s="81"/>
      <c r="G267" s="78">
        <v>-190</v>
      </c>
      <c r="H267" s="81"/>
      <c r="I267" s="104"/>
      <c r="J267" s="81"/>
      <c r="K267" s="78"/>
      <c r="L267" s="81"/>
      <c r="M267" s="133"/>
      <c r="N267" s="104"/>
      <c r="O267" s="131"/>
      <c r="P267" s="134"/>
      <c r="Q267" s="81"/>
      <c r="R267" s="78"/>
      <c r="S267" s="81"/>
      <c r="T267" s="104"/>
      <c r="U267" s="81"/>
      <c r="V267" s="136"/>
      <c r="W267" s="78"/>
      <c r="X267" s="81"/>
      <c r="Y267" s="104"/>
      <c r="Z267" s="81"/>
      <c r="AA267" s="78"/>
      <c r="AB267" s="81"/>
      <c r="AC267" s="104"/>
      <c r="AD267" s="81"/>
      <c r="AE267" s="78"/>
      <c r="AF267" s="81"/>
      <c r="AG267" s="145">
        <v>45419</v>
      </c>
      <c r="AH267" s="147"/>
      <c r="AI267" s="147"/>
      <c r="AJ267" s="104"/>
      <c r="AK267" s="81"/>
      <c r="AL267" s="81"/>
      <c r="AM267" s="81"/>
      <c r="AN267" s="78"/>
      <c r="AO267" s="78"/>
      <c r="AP267" s="78"/>
      <c r="AQ267" s="81"/>
      <c r="AR267" s="81"/>
      <c r="AS267" s="81"/>
      <c r="AT267" s="104">
        <v>22.5</v>
      </c>
      <c r="AU267" s="104">
        <v>75</v>
      </c>
      <c r="AV267" s="104">
        <f>AT267*AU267</f>
        <v>1687.5</v>
      </c>
      <c r="AW267" s="81"/>
      <c r="AX267" s="81"/>
      <c r="AY267" s="81"/>
      <c r="AZ267" s="78"/>
      <c r="BA267" s="78"/>
      <c r="BB267" s="78"/>
      <c r="BC267" s="81">
        <v>270</v>
      </c>
      <c r="BD267" s="81">
        <v>11</v>
      </c>
      <c r="BE267" s="81">
        <f>BC267*BD267</f>
        <v>2970</v>
      </c>
      <c r="BF267" s="104">
        <v>112.5</v>
      </c>
      <c r="BG267" s="104">
        <v>7.2</v>
      </c>
      <c r="BH267" s="104">
        <f>BF267*BG267</f>
        <v>810</v>
      </c>
      <c r="BI267" s="81"/>
      <c r="BJ267" s="81"/>
      <c r="BK267" s="81"/>
      <c r="BL267" s="78"/>
      <c r="BM267" s="78"/>
      <c r="BN267" s="78"/>
      <c r="BO267" s="81"/>
      <c r="BP267" s="81"/>
      <c r="BQ267" s="81"/>
      <c r="BR267" s="146"/>
      <c r="BS267" s="146"/>
      <c r="BT267" s="146"/>
    </row>
    <row r="268" s="46" customFormat="1" spans="1:73">
      <c r="A268" s="129" t="s">
        <v>244</v>
      </c>
      <c r="B268" s="137" t="s">
        <v>1366</v>
      </c>
      <c r="C268" s="131"/>
      <c r="D268" s="132"/>
      <c r="E268" s="104"/>
      <c r="F268" s="81"/>
      <c r="G268" s="78"/>
      <c r="H268" s="81"/>
      <c r="I268" s="104"/>
      <c r="J268" s="81"/>
      <c r="K268" s="78"/>
      <c r="L268" s="81"/>
      <c r="M268" s="133"/>
      <c r="N268" s="104"/>
      <c r="O268" s="144">
        <v>662</v>
      </c>
      <c r="P268" s="134"/>
      <c r="Q268" s="81"/>
      <c r="R268" s="78"/>
      <c r="S268" s="81"/>
      <c r="T268" s="104"/>
      <c r="U268" s="81"/>
      <c r="V268" s="136"/>
      <c r="W268" s="78"/>
      <c r="X268" s="81"/>
      <c r="Y268" s="104"/>
      <c r="Z268" s="81"/>
      <c r="AA268" s="78"/>
      <c r="AB268" s="81"/>
      <c r="AC268" s="104"/>
      <c r="AD268" s="81"/>
      <c r="AE268" s="78"/>
      <c r="AF268" s="81"/>
      <c r="AG268" s="145" t="s">
        <v>244</v>
      </c>
      <c r="AH268" s="147"/>
      <c r="AI268" s="147"/>
      <c r="AJ268" s="104"/>
      <c r="AK268" s="81"/>
      <c r="AL268" s="81"/>
      <c r="AM268" s="81"/>
      <c r="AN268" s="78"/>
      <c r="AO268" s="78"/>
      <c r="AP268" s="78"/>
      <c r="AQ268" s="81"/>
      <c r="AR268" s="81"/>
      <c r="AS268" s="81"/>
      <c r="AT268" s="104"/>
      <c r="AU268" s="104"/>
      <c r="AV268" s="104"/>
      <c r="AW268" s="81"/>
      <c r="AX268" s="81"/>
      <c r="AY268" s="81"/>
      <c r="AZ268" s="78"/>
      <c r="BA268" s="78"/>
      <c r="BB268" s="78"/>
      <c r="BC268" s="81"/>
      <c r="BD268" s="81"/>
      <c r="BE268" s="81"/>
      <c r="BF268" s="104"/>
      <c r="BG268" s="104"/>
      <c r="BH268" s="104"/>
      <c r="BI268" s="81"/>
      <c r="BJ268" s="81"/>
      <c r="BK268" s="81"/>
      <c r="BL268" s="78"/>
      <c r="BM268" s="78"/>
      <c r="BN268" s="78"/>
      <c r="BO268" s="81"/>
      <c r="BP268" s="81"/>
      <c r="BQ268" s="81"/>
      <c r="BR268" s="146"/>
      <c r="BS268" s="146"/>
      <c r="BT268" s="146"/>
    </row>
    <row r="269" s="46" customFormat="1" spans="1:73">
      <c r="A269" s="129">
        <v>45419</v>
      </c>
      <c r="B269" s="216" t="s">
        <v>1367</v>
      </c>
      <c r="C269" s="131">
        <v>1061.8</v>
      </c>
      <c r="D269" s="132"/>
      <c r="E269" s="104"/>
      <c r="F269" s="81"/>
      <c r="G269" s="78">
        <v>-100</v>
      </c>
      <c r="H269" s="81"/>
      <c r="I269" s="104"/>
      <c r="J269" s="81"/>
      <c r="K269" s="78"/>
      <c r="L269" s="81"/>
      <c r="M269" s="133"/>
      <c r="N269" s="104"/>
      <c r="O269" s="131"/>
      <c r="P269" s="134"/>
      <c r="Q269" s="81"/>
      <c r="R269" s="78">
        <v>-1.8</v>
      </c>
      <c r="S269" s="81">
        <v>-136</v>
      </c>
      <c r="T269" s="104">
        <v>-260</v>
      </c>
      <c r="U269" s="81"/>
      <c r="V269" s="136"/>
      <c r="W269" s="78"/>
      <c r="X269" s="81"/>
      <c r="Y269" s="104"/>
      <c r="Z269" s="81"/>
      <c r="AA269" s="78"/>
      <c r="AB269" s="81"/>
      <c r="AC269" s="104"/>
      <c r="AD269" s="81"/>
      <c r="AE269" s="78"/>
      <c r="AF269" s="81"/>
      <c r="AG269" s="145">
        <v>45419</v>
      </c>
      <c r="AH269" s="147"/>
      <c r="AI269" s="147"/>
      <c r="AJ269" s="104"/>
      <c r="AK269" s="81">
        <v>50</v>
      </c>
      <c r="AL269" s="81">
        <v>0.9</v>
      </c>
      <c r="AM269" s="81">
        <f>AK269*AL269</f>
        <v>45</v>
      </c>
      <c r="AN269" s="78">
        <v>25</v>
      </c>
      <c r="AO269" s="78">
        <v>17</v>
      </c>
      <c r="AP269" s="78">
        <f>AN269*AO269</f>
        <v>425</v>
      </c>
      <c r="AQ269" s="81"/>
      <c r="AR269" s="81"/>
      <c r="AS269" s="81"/>
      <c r="AT269" s="104"/>
      <c r="AU269" s="104"/>
      <c r="AV269" s="104"/>
      <c r="AW269" s="81"/>
      <c r="AX269" s="81"/>
      <c r="AY269" s="81"/>
      <c r="AZ269" s="78"/>
      <c r="BA269" s="78"/>
      <c r="BB269" s="78"/>
      <c r="BC269" s="81"/>
      <c r="BD269" s="81"/>
      <c r="BE269" s="81"/>
      <c r="BF269" s="104"/>
      <c r="BG269" s="104"/>
      <c r="BH269" s="104"/>
      <c r="BI269" s="81">
        <v>279</v>
      </c>
      <c r="BJ269" s="81">
        <v>3.6</v>
      </c>
      <c r="BK269" s="81">
        <f>BI269*BJ269</f>
        <v>1004.4</v>
      </c>
      <c r="BL269" s="78"/>
      <c r="BM269" s="78"/>
      <c r="BN269" s="78"/>
      <c r="BO269" s="81"/>
      <c r="BP269" s="81"/>
      <c r="BQ269" s="81"/>
      <c r="BR269" s="146"/>
      <c r="BS269" s="146"/>
      <c r="BT269" s="146"/>
    </row>
    <row r="270" s="46" customFormat="1" spans="1:73">
      <c r="A270" s="129">
        <v>45420</v>
      </c>
      <c r="B270" s="130" t="s">
        <v>1368</v>
      </c>
      <c r="C270" s="131">
        <v>348</v>
      </c>
      <c r="D270" s="132"/>
      <c r="E270" s="104"/>
      <c r="F270" s="81"/>
      <c r="G270" s="78">
        <v>-8</v>
      </c>
      <c r="H270" s="81"/>
      <c r="I270" s="104"/>
      <c r="J270" s="81"/>
      <c r="K270" s="78"/>
      <c r="L270" s="81"/>
      <c r="M270" s="133"/>
      <c r="N270" s="104"/>
      <c r="O270" s="131"/>
      <c r="P270" s="134"/>
      <c r="Q270" s="81"/>
      <c r="R270" s="78"/>
      <c r="S270" s="81"/>
      <c r="T270" s="104"/>
      <c r="U270" s="81"/>
      <c r="V270" s="136"/>
      <c r="W270" s="78"/>
      <c r="X270" s="81"/>
      <c r="Y270" s="104"/>
      <c r="Z270" s="81"/>
      <c r="AA270" s="78"/>
      <c r="AB270" s="81"/>
      <c r="AC270" s="104"/>
      <c r="AD270" s="81"/>
      <c r="AE270" s="78"/>
      <c r="AF270" s="81"/>
      <c r="AG270" s="145">
        <v>45420</v>
      </c>
      <c r="AH270" s="147"/>
      <c r="AI270" s="147"/>
      <c r="AJ270" s="104"/>
      <c r="AK270" s="81"/>
      <c r="AL270" s="81"/>
      <c r="AM270" s="81"/>
      <c r="AN270" s="78"/>
      <c r="AO270" s="78"/>
      <c r="AP270" s="78"/>
      <c r="AQ270" s="81"/>
      <c r="AR270" s="81"/>
      <c r="AS270" s="81"/>
      <c r="AT270" s="104"/>
      <c r="AU270" s="104"/>
      <c r="AV270" s="104"/>
      <c r="AW270" s="81"/>
      <c r="AX270" s="81"/>
      <c r="AY270" s="81"/>
      <c r="AZ270" s="78"/>
      <c r="BA270" s="78"/>
      <c r="BB270" s="78"/>
      <c r="BC270" s="81"/>
      <c r="BD270" s="81"/>
      <c r="BE270" s="81"/>
      <c r="BF270" s="104">
        <v>150</v>
      </c>
      <c r="BG270" s="104">
        <v>7.2</v>
      </c>
      <c r="BH270" s="104">
        <f>BF270*BG270</f>
        <v>1080</v>
      </c>
      <c r="BI270" s="81"/>
      <c r="BJ270" s="81"/>
      <c r="BK270" s="81"/>
      <c r="BL270" s="78"/>
      <c r="BM270" s="78"/>
      <c r="BN270" s="78"/>
      <c r="BO270" s="81">
        <v>150</v>
      </c>
      <c r="BP270" s="81">
        <v>8.8</v>
      </c>
      <c r="BQ270" s="81">
        <f>BO270*BP270</f>
        <v>1320</v>
      </c>
      <c r="BR270" s="146"/>
      <c r="BS270" s="146"/>
      <c r="BT270" s="146"/>
    </row>
    <row r="271" s="46" customFormat="1" spans="1:73">
      <c r="A271" s="129">
        <v>45421</v>
      </c>
      <c r="B271" s="130" t="s">
        <v>1369</v>
      </c>
      <c r="C271" s="131">
        <v>353.6</v>
      </c>
      <c r="D271" s="132"/>
      <c r="E271" s="104"/>
      <c r="F271" s="81"/>
      <c r="G271" s="78">
        <v>-64</v>
      </c>
      <c r="H271" s="81"/>
      <c r="I271" s="104"/>
      <c r="J271" s="81"/>
      <c r="K271" s="78"/>
      <c r="L271" s="81"/>
      <c r="M271" s="133"/>
      <c r="N271" s="104"/>
      <c r="O271" s="131"/>
      <c r="P271" s="134"/>
      <c r="Q271" s="81"/>
      <c r="R271" s="78">
        <v>-3.6</v>
      </c>
      <c r="S271" s="81"/>
      <c r="T271" s="104"/>
      <c r="U271" s="81"/>
      <c r="V271" s="136"/>
      <c r="W271" s="78">
        <v>-6</v>
      </c>
      <c r="X271" s="81"/>
      <c r="Y271" s="104">
        <v>-200</v>
      </c>
      <c r="Z271" s="81"/>
      <c r="AA271" s="78"/>
      <c r="AB271" s="81"/>
      <c r="AC271" s="104"/>
      <c r="AD271" s="81"/>
      <c r="AE271" s="78"/>
      <c r="AF271" s="81"/>
      <c r="AG271" s="145">
        <v>45421</v>
      </c>
      <c r="AH271" s="147"/>
      <c r="AI271" s="147"/>
      <c r="AJ271" s="104"/>
      <c r="AK271" s="81"/>
      <c r="AL271" s="81"/>
      <c r="AM271" s="81"/>
      <c r="AN271" s="78"/>
      <c r="AO271" s="78"/>
      <c r="AP271" s="78"/>
      <c r="AQ271" s="81"/>
      <c r="AR271" s="81"/>
      <c r="AS271" s="81"/>
      <c r="AT271" s="104"/>
      <c r="AU271" s="104"/>
      <c r="AV271" s="104"/>
      <c r="AW271" s="81"/>
      <c r="AX271" s="81"/>
      <c r="AY271" s="81"/>
      <c r="AZ271" s="78"/>
      <c r="BA271" s="78"/>
      <c r="BB271" s="78"/>
      <c r="BC271" s="81"/>
      <c r="BD271" s="81"/>
      <c r="BE271" s="81"/>
      <c r="BF271" s="104"/>
      <c r="BG271" s="104"/>
      <c r="BH271" s="104"/>
      <c r="BI271" s="81"/>
      <c r="BJ271" s="81"/>
      <c r="BK271" s="81"/>
      <c r="BL271" s="78"/>
      <c r="BM271" s="78"/>
      <c r="BN271" s="78"/>
      <c r="BO271" s="81">
        <v>40</v>
      </c>
      <c r="BP271" s="81">
        <v>8.8</v>
      </c>
      <c r="BQ271" s="81">
        <f>BO271*BP271</f>
        <v>352</v>
      </c>
      <c r="BR271" s="146">
        <v>40</v>
      </c>
      <c r="BS271" s="146">
        <v>9</v>
      </c>
      <c r="BT271" s="146">
        <f>BR271*BS271</f>
        <v>360</v>
      </c>
    </row>
    <row r="272" s="46" customFormat="1" spans="1:73">
      <c r="A272" s="129">
        <v>45421</v>
      </c>
      <c r="B272" s="221" t="s">
        <v>1035</v>
      </c>
      <c r="C272" s="131"/>
      <c r="D272" s="132"/>
      <c r="E272" s="104"/>
      <c r="F272" s="81"/>
      <c r="G272" s="78"/>
      <c r="H272" s="81"/>
      <c r="I272" s="104"/>
      <c r="J272" s="81"/>
      <c r="K272" s="78"/>
      <c r="L272" s="81"/>
      <c r="M272" s="133"/>
      <c r="N272" s="140">
        <v>323</v>
      </c>
      <c r="O272" s="131"/>
      <c r="P272" s="134"/>
      <c r="Q272" s="81"/>
      <c r="R272" s="78"/>
      <c r="S272" s="81"/>
      <c r="T272" s="104"/>
      <c r="U272" s="81"/>
      <c r="V272" s="136"/>
      <c r="W272" s="78"/>
      <c r="X272" s="81"/>
      <c r="Y272" s="104"/>
      <c r="Z272" s="81"/>
      <c r="AA272" s="78"/>
      <c r="AB272" s="81"/>
      <c r="AC272" s="104"/>
      <c r="AD272" s="81"/>
      <c r="AE272" s="78"/>
      <c r="AF272" s="81"/>
      <c r="AG272" s="145"/>
      <c r="AH272" s="147"/>
      <c r="AI272" s="147"/>
      <c r="AJ272" s="104"/>
      <c r="AK272" s="81"/>
      <c r="AL272" s="81"/>
      <c r="AM272" s="81"/>
      <c r="AN272" s="78"/>
      <c r="AO272" s="78"/>
      <c r="AP272" s="78"/>
      <c r="AQ272" s="81"/>
      <c r="AR272" s="81"/>
      <c r="AS272" s="81"/>
      <c r="AT272" s="104"/>
      <c r="AU272" s="104"/>
      <c r="AV272" s="104"/>
      <c r="AW272" s="81"/>
      <c r="AX272" s="81"/>
      <c r="AY272" s="81"/>
      <c r="AZ272" s="78"/>
      <c r="BA272" s="78"/>
      <c r="BB272" s="78"/>
      <c r="BC272" s="81"/>
      <c r="BD272" s="81"/>
      <c r="BE272" s="81"/>
      <c r="BF272" s="104"/>
      <c r="BG272" s="104"/>
      <c r="BH272" s="104"/>
      <c r="BI272" s="81"/>
      <c r="BJ272" s="81"/>
      <c r="BK272" s="81"/>
      <c r="BL272" s="78"/>
      <c r="BM272" s="78"/>
      <c r="BN272" s="78"/>
      <c r="BO272" s="81"/>
      <c r="BP272" s="81"/>
      <c r="BQ272" s="81"/>
      <c r="BR272" s="146"/>
      <c r="BS272" s="146"/>
      <c r="BT272" s="146"/>
    </row>
    <row r="273" s="46" customFormat="1" spans="1:72">
      <c r="A273" s="129">
        <v>45421</v>
      </c>
      <c r="B273" s="130" t="s">
        <v>1370</v>
      </c>
      <c r="C273" s="131">
        <v>400</v>
      </c>
      <c r="D273" s="132"/>
      <c r="E273" s="104"/>
      <c r="F273" s="81"/>
      <c r="G273" s="78"/>
      <c r="H273" s="81"/>
      <c r="I273" s="104"/>
      <c r="J273" s="81"/>
      <c r="K273" s="78"/>
      <c r="L273" s="81"/>
      <c r="M273" s="133"/>
      <c r="N273" s="104"/>
      <c r="O273" s="131">
        <v>-60</v>
      </c>
      <c r="P273" s="134"/>
      <c r="Q273" s="81"/>
      <c r="R273" s="78"/>
      <c r="S273" s="81"/>
      <c r="T273" s="104"/>
      <c r="U273" s="81"/>
      <c r="V273" s="136"/>
      <c r="W273" s="78"/>
      <c r="X273" s="81"/>
      <c r="Y273" s="104"/>
      <c r="Z273" s="81"/>
      <c r="AA273" s="78"/>
      <c r="AB273" s="81"/>
      <c r="AC273" s="104"/>
      <c r="AD273" s="81"/>
      <c r="AE273" s="78"/>
      <c r="AF273" s="81"/>
      <c r="AG273" s="145">
        <v>45421</v>
      </c>
      <c r="AH273" s="147"/>
      <c r="AI273" s="147"/>
      <c r="AJ273" s="104"/>
      <c r="AK273" s="81"/>
      <c r="AL273" s="81"/>
      <c r="AM273" s="81"/>
      <c r="AN273" s="78">
        <v>18</v>
      </c>
      <c r="AO273" s="78">
        <v>17</v>
      </c>
      <c r="AP273" s="78">
        <f>AN273*AO273</f>
        <v>306</v>
      </c>
      <c r="AQ273" s="81"/>
      <c r="AR273" s="81"/>
      <c r="AS273" s="81"/>
      <c r="AT273" s="104"/>
      <c r="AU273" s="104"/>
      <c r="AV273" s="104"/>
      <c r="AW273" s="81"/>
      <c r="AX273" s="81"/>
      <c r="AY273" s="81"/>
      <c r="AZ273" s="78"/>
      <c r="BA273" s="78"/>
      <c r="BB273" s="78"/>
      <c r="BC273" s="81">
        <v>80</v>
      </c>
      <c r="BD273" s="81">
        <v>11</v>
      </c>
      <c r="BE273" s="81">
        <f>BC273*BD273</f>
        <v>880</v>
      </c>
      <c r="BF273" s="104">
        <v>40</v>
      </c>
      <c r="BG273" s="104">
        <v>7.2</v>
      </c>
      <c r="BH273" s="104">
        <f>BF273*BG273</f>
        <v>288</v>
      </c>
      <c r="BI273" s="81">
        <v>62</v>
      </c>
      <c r="BJ273" s="81">
        <v>3.6</v>
      </c>
      <c r="BK273" s="81">
        <f>BI273*BJ273</f>
        <v>223.2</v>
      </c>
      <c r="BL273" s="78"/>
      <c r="BM273" s="78"/>
      <c r="BN273" s="78"/>
      <c r="BO273" s="81">
        <v>40</v>
      </c>
      <c r="BP273" s="81">
        <v>8.8</v>
      </c>
      <c r="BQ273" s="81">
        <f>BO273*BP273</f>
        <v>352</v>
      </c>
      <c r="BR273" s="146"/>
      <c r="BS273" s="146"/>
      <c r="BT273" s="146"/>
    </row>
    <row r="274" s="46" customFormat="1" spans="1:72">
      <c r="A274" s="129">
        <v>45421</v>
      </c>
      <c r="B274" s="130" t="s">
        <v>1371</v>
      </c>
      <c r="C274" s="131">
        <v>573.5</v>
      </c>
      <c r="D274" s="132"/>
      <c r="E274" s="104"/>
      <c r="F274" s="81"/>
      <c r="G274" s="78"/>
      <c r="H274" s="81"/>
      <c r="I274" s="104"/>
      <c r="J274" s="81"/>
      <c r="K274" s="78"/>
      <c r="L274" s="81"/>
      <c r="M274" s="133"/>
      <c r="N274" s="104"/>
      <c r="O274" s="131"/>
      <c r="P274" s="134"/>
      <c r="Q274" s="81"/>
      <c r="R274" s="78">
        <v>-2</v>
      </c>
      <c r="S274" s="81"/>
      <c r="T274" s="104"/>
      <c r="U274" s="81"/>
      <c r="V274" s="136"/>
      <c r="W274" s="78"/>
      <c r="X274" s="81"/>
      <c r="Y274" s="104"/>
      <c r="Z274" s="81"/>
      <c r="AA274" s="78"/>
      <c r="AB274" s="81"/>
      <c r="AC274" s="104"/>
      <c r="AD274" s="81"/>
      <c r="AE274" s="78"/>
      <c r="AF274" s="81"/>
      <c r="AG274" s="145">
        <v>45421</v>
      </c>
      <c r="AH274" s="147"/>
      <c r="AI274" s="147"/>
      <c r="AJ274" s="104"/>
      <c r="AK274" s="81">
        <v>50</v>
      </c>
      <c r="AL274" s="81">
        <v>0.9</v>
      </c>
      <c r="AM274" s="81">
        <f>AK274*AL274</f>
        <v>45</v>
      </c>
      <c r="AN274" s="78">
        <v>12.5</v>
      </c>
      <c r="AO274" s="78">
        <v>17</v>
      </c>
      <c r="AP274" s="78">
        <f>AN274*AO274</f>
        <v>212.5</v>
      </c>
      <c r="AQ274" s="81"/>
      <c r="AR274" s="81"/>
      <c r="AS274" s="81"/>
      <c r="AT274" s="104"/>
      <c r="AU274" s="104"/>
      <c r="AV274" s="104"/>
      <c r="AW274" s="81"/>
      <c r="AX274" s="81"/>
      <c r="AY274" s="81"/>
      <c r="AZ274" s="78"/>
      <c r="BA274" s="78"/>
      <c r="BB274" s="78"/>
      <c r="BC274" s="81"/>
      <c r="BD274" s="81"/>
      <c r="BE274" s="81"/>
      <c r="BF274" s="104">
        <v>2</v>
      </c>
      <c r="BG274" s="104">
        <v>7.2</v>
      </c>
      <c r="BH274" s="104">
        <f>BF274*BG274</f>
        <v>14.4</v>
      </c>
      <c r="BI274" s="81">
        <v>3</v>
      </c>
      <c r="BJ274" s="81">
        <v>3.6</v>
      </c>
      <c r="BK274" s="81">
        <f>BI274*BJ274</f>
        <v>10.8</v>
      </c>
      <c r="BL274" s="78"/>
      <c r="BM274" s="78"/>
      <c r="BN274" s="78"/>
      <c r="BO274" s="81"/>
      <c r="BP274" s="81"/>
      <c r="BQ274" s="81"/>
      <c r="BR274" s="146"/>
      <c r="BS274" s="146"/>
      <c r="BT274" s="146"/>
    </row>
    <row r="275" s="46" customFormat="1" spans="1:72">
      <c r="A275" s="129">
        <v>45422</v>
      </c>
      <c r="B275" s="137" t="s">
        <v>1372</v>
      </c>
      <c r="C275" s="131"/>
      <c r="D275" s="132"/>
      <c r="E275" s="104"/>
      <c r="F275" s="81"/>
      <c r="G275" s="150">
        <v>760</v>
      </c>
      <c r="H275" s="81"/>
      <c r="I275" s="104"/>
      <c r="J275" s="81"/>
      <c r="K275" s="78"/>
      <c r="L275" s="81"/>
      <c r="M275" s="133"/>
      <c r="N275" s="104"/>
      <c r="O275" s="131"/>
      <c r="P275" s="134"/>
      <c r="Q275" s="81"/>
      <c r="R275" s="78"/>
      <c r="S275" s="81"/>
      <c r="T275" s="104"/>
      <c r="U275" s="81"/>
      <c r="V275" s="136"/>
      <c r="W275" s="78"/>
      <c r="X275" s="81"/>
      <c r="Y275" s="104"/>
      <c r="Z275" s="81"/>
      <c r="AA275" s="78"/>
      <c r="AB275" s="81">
        <v>100</v>
      </c>
      <c r="AC275" s="104"/>
      <c r="AD275" s="81"/>
      <c r="AE275" s="78"/>
      <c r="AF275" s="81"/>
      <c r="AG275" s="145" t="s">
        <v>1373</v>
      </c>
      <c r="AH275" s="147"/>
      <c r="AI275" s="147"/>
      <c r="AJ275" s="104"/>
      <c r="AK275" s="81"/>
      <c r="AL275" s="81"/>
      <c r="AM275" s="81"/>
      <c r="AN275" s="78"/>
      <c r="AO275" s="78"/>
      <c r="AP275" s="78"/>
      <c r="AQ275" s="81"/>
      <c r="AR275" s="81"/>
      <c r="AS275" s="81"/>
      <c r="AT275" s="104"/>
      <c r="AU275" s="104"/>
      <c r="AV275" s="104"/>
      <c r="AW275" s="81"/>
      <c r="AX275" s="81"/>
      <c r="AY275" s="81"/>
      <c r="AZ275" s="78"/>
      <c r="BA275" s="78"/>
      <c r="BB275" s="78"/>
      <c r="BC275" s="81"/>
      <c r="BD275" s="81"/>
      <c r="BE275" s="81"/>
      <c r="BF275" s="104"/>
      <c r="BG275" s="104"/>
      <c r="BH275" s="104"/>
      <c r="BI275" s="81"/>
      <c r="BJ275" s="81"/>
      <c r="BK275" s="81"/>
      <c r="BL275" s="78"/>
      <c r="BM275" s="78"/>
      <c r="BN275" s="78"/>
      <c r="BO275" s="81"/>
      <c r="BP275" s="81"/>
      <c r="BQ275" s="81"/>
      <c r="BR275" s="146"/>
      <c r="BS275" s="146"/>
      <c r="BT275" s="146"/>
    </row>
    <row r="276" s="46" customFormat="1" spans="1:72">
      <c r="A276" s="129">
        <v>45422</v>
      </c>
      <c r="B276" s="130" t="s">
        <v>1374</v>
      </c>
      <c r="C276" s="131">
        <v>380</v>
      </c>
      <c r="D276" s="132"/>
      <c r="E276" s="104"/>
      <c r="F276" s="81"/>
      <c r="G276" s="78">
        <v>-20</v>
      </c>
      <c r="H276" s="81"/>
      <c r="I276" s="104"/>
      <c r="J276" s="81"/>
      <c r="K276" s="78"/>
      <c r="L276" s="81"/>
      <c r="M276" s="133"/>
      <c r="N276" s="104"/>
      <c r="O276" s="131"/>
      <c r="P276" s="134"/>
      <c r="Q276" s="81"/>
      <c r="R276" s="78"/>
      <c r="S276" s="81">
        <v>-27</v>
      </c>
      <c r="T276" s="104">
        <v>-52</v>
      </c>
      <c r="U276" s="81"/>
      <c r="V276" s="136"/>
      <c r="W276" s="78"/>
      <c r="X276" s="81"/>
      <c r="Y276" s="104"/>
      <c r="Z276" s="81"/>
      <c r="AA276" s="78"/>
      <c r="AB276" s="81">
        <v>-25</v>
      </c>
      <c r="AC276" s="104"/>
      <c r="AD276" s="81"/>
      <c r="AE276" s="78"/>
      <c r="AF276" s="81"/>
      <c r="AG276" s="145">
        <v>45422</v>
      </c>
      <c r="AH276" s="147"/>
      <c r="AI276" s="147"/>
      <c r="AJ276" s="104"/>
      <c r="AK276" s="81"/>
      <c r="AL276" s="81"/>
      <c r="AM276" s="81"/>
      <c r="AN276" s="78"/>
      <c r="AO276" s="78"/>
      <c r="AP276" s="78"/>
      <c r="AQ276" s="81"/>
      <c r="AR276" s="81"/>
      <c r="AS276" s="81"/>
      <c r="AT276" s="104"/>
      <c r="AU276" s="104"/>
      <c r="AV276" s="104"/>
      <c r="AW276" s="81"/>
      <c r="AX276" s="81"/>
      <c r="AY276" s="81"/>
      <c r="AZ276" s="78"/>
      <c r="BA276" s="78"/>
      <c r="BB276" s="78"/>
      <c r="BC276" s="81"/>
      <c r="BD276" s="81"/>
      <c r="BE276" s="81"/>
      <c r="BF276" s="104">
        <v>80</v>
      </c>
      <c r="BG276" s="104">
        <v>7.2</v>
      </c>
      <c r="BH276" s="104">
        <f>BF276*BG276</f>
        <v>576</v>
      </c>
      <c r="BI276" s="81">
        <v>136</v>
      </c>
      <c r="BJ276" s="81">
        <v>3.6</v>
      </c>
      <c r="BK276" s="81">
        <f>BI276*BJ276</f>
        <v>489.6</v>
      </c>
      <c r="BL276" s="78"/>
      <c r="BM276" s="78"/>
      <c r="BN276" s="78"/>
      <c r="BO276" s="81"/>
      <c r="BP276" s="81"/>
      <c r="BQ276" s="81"/>
      <c r="BR276" s="146"/>
      <c r="BS276" s="146"/>
      <c r="BT276" s="146"/>
    </row>
    <row r="277" s="46" customFormat="1" spans="1:72">
      <c r="A277" s="129" t="s">
        <v>1375</v>
      </c>
      <c r="B277" s="130" t="s">
        <v>1376</v>
      </c>
      <c r="C277" s="131">
        <v>340</v>
      </c>
      <c r="D277" s="132"/>
      <c r="E277" s="104"/>
      <c r="F277" s="81"/>
      <c r="G277" s="78">
        <v>-100</v>
      </c>
      <c r="H277" s="81"/>
      <c r="I277" s="104"/>
      <c r="J277" s="81"/>
      <c r="K277" s="78"/>
      <c r="L277" s="81"/>
      <c r="M277" s="133"/>
      <c r="N277" s="104"/>
      <c r="O277" s="131"/>
      <c r="P277" s="134"/>
      <c r="Q277" s="81"/>
      <c r="R277" s="78"/>
      <c r="S277" s="81"/>
      <c r="T277" s="104"/>
      <c r="U277" s="81"/>
      <c r="V277" s="136"/>
      <c r="W277" s="78">
        <v>-6</v>
      </c>
      <c r="X277" s="81"/>
      <c r="Y277" s="104"/>
      <c r="Z277" s="81"/>
      <c r="AA277" s="78"/>
      <c r="AB277" s="81"/>
      <c r="AC277" s="104"/>
      <c r="AD277" s="81"/>
      <c r="AE277" s="78"/>
      <c r="AF277" s="81">
        <v>-50</v>
      </c>
      <c r="AG277" s="222" t="s">
        <v>1373</v>
      </c>
      <c r="AH277" s="147"/>
      <c r="AI277" s="147"/>
      <c r="AJ277" s="104"/>
      <c r="AK277" s="81"/>
      <c r="AL277" s="81"/>
      <c r="AM277" s="81"/>
      <c r="AN277" s="78"/>
      <c r="AO277" s="78"/>
      <c r="AP277" s="78"/>
      <c r="AQ277" s="81"/>
      <c r="AR277" s="81"/>
      <c r="AS277" s="81"/>
      <c r="AT277" s="104"/>
      <c r="AU277" s="104"/>
      <c r="AV277" s="104"/>
      <c r="AW277" s="81"/>
      <c r="AX277" s="81"/>
      <c r="AY277" s="81"/>
      <c r="AZ277" s="78"/>
      <c r="BA277" s="78"/>
      <c r="BB277" s="78"/>
      <c r="BC277" s="81">
        <v>24</v>
      </c>
      <c r="BD277" s="81">
        <v>11</v>
      </c>
      <c r="BE277" s="81">
        <f>BC277*BD277</f>
        <v>264</v>
      </c>
      <c r="BF277" s="104"/>
      <c r="BG277" s="104"/>
      <c r="BH277" s="104"/>
      <c r="BI277" s="81"/>
      <c r="BJ277" s="81"/>
      <c r="BK277" s="81"/>
      <c r="BL277" s="78"/>
      <c r="BM277" s="78"/>
      <c r="BN277" s="78"/>
      <c r="BO277" s="81">
        <v>80</v>
      </c>
      <c r="BP277" s="81">
        <v>8.8</v>
      </c>
      <c r="BQ277" s="81">
        <f>BO277*BP277</f>
        <v>704</v>
      </c>
      <c r="BR277" s="146">
        <v>80</v>
      </c>
      <c r="BS277" s="146">
        <v>9</v>
      </c>
      <c r="BT277" s="146">
        <f>BR277*BS277</f>
        <v>720</v>
      </c>
    </row>
    <row r="278" s="46" customFormat="1" spans="1:72">
      <c r="A278" s="129" t="s">
        <v>1375</v>
      </c>
      <c r="B278" s="137" t="s">
        <v>1354</v>
      </c>
      <c r="C278" s="131"/>
      <c r="D278" s="132"/>
      <c r="E278" s="104"/>
      <c r="F278" s="81"/>
      <c r="G278" s="78"/>
      <c r="H278" s="81"/>
      <c r="I278" s="140"/>
      <c r="J278" s="138">
        <v>296</v>
      </c>
      <c r="K278" s="78"/>
      <c r="L278" s="81"/>
      <c r="M278" s="133"/>
      <c r="N278" s="104"/>
      <c r="O278" s="131"/>
      <c r="P278" s="134"/>
      <c r="Q278" s="81"/>
      <c r="R278" s="78"/>
      <c r="S278" s="81"/>
      <c r="T278" s="104"/>
      <c r="U278" s="81"/>
      <c r="V278" s="136"/>
      <c r="W278" s="78"/>
      <c r="X278" s="81"/>
      <c r="Y278" s="104"/>
      <c r="Z278" s="81"/>
      <c r="AA278" s="78"/>
      <c r="AB278" s="81"/>
      <c r="AC278" s="104"/>
      <c r="AD278" s="81"/>
      <c r="AE278" s="78"/>
      <c r="AF278" s="81"/>
      <c r="AG278" s="222" t="s">
        <v>1373</v>
      </c>
      <c r="AH278" s="147"/>
      <c r="AI278" s="147"/>
      <c r="AJ278" s="104"/>
      <c r="AK278" s="81"/>
      <c r="AL278" s="81"/>
      <c r="AM278" s="81"/>
      <c r="AN278" s="78"/>
      <c r="AO278" s="78"/>
      <c r="AP278" s="78"/>
      <c r="AQ278" s="81"/>
      <c r="AR278" s="81"/>
      <c r="AS278" s="81"/>
      <c r="AT278" s="104"/>
      <c r="AU278" s="104"/>
      <c r="AV278" s="104"/>
      <c r="AW278" s="81"/>
      <c r="AX278" s="81"/>
      <c r="AY278" s="81"/>
      <c r="AZ278" s="78"/>
      <c r="BA278" s="78"/>
      <c r="BB278" s="78"/>
      <c r="BC278" s="81"/>
      <c r="BD278" s="81"/>
      <c r="BE278" s="81"/>
      <c r="BF278" s="104"/>
      <c r="BG278" s="104"/>
      <c r="BH278" s="104"/>
      <c r="BI278" s="81"/>
      <c r="BJ278" s="81"/>
      <c r="BK278" s="81"/>
      <c r="BL278" s="78"/>
      <c r="BM278" s="78"/>
      <c r="BN278" s="78"/>
      <c r="BO278" s="81"/>
      <c r="BP278" s="81"/>
      <c r="BQ278" s="81"/>
      <c r="BR278" s="146"/>
      <c r="BS278" s="146"/>
      <c r="BT278" s="146"/>
    </row>
    <row r="279" s="46" customFormat="1" spans="1:72">
      <c r="A279" s="129">
        <v>45426</v>
      </c>
      <c r="B279" s="137" t="s">
        <v>1377</v>
      </c>
      <c r="C279" s="131"/>
      <c r="D279" s="132"/>
      <c r="E279" s="140">
        <v>500</v>
      </c>
      <c r="F279" s="81"/>
      <c r="G279" s="78"/>
      <c r="H279" s="81"/>
      <c r="I279" s="140"/>
      <c r="J279" s="81"/>
      <c r="K279" s="78"/>
      <c r="L279" s="81"/>
      <c r="M279" s="133"/>
      <c r="N279" s="104"/>
      <c r="O279" s="131"/>
      <c r="P279" s="134"/>
      <c r="Q279" s="81"/>
      <c r="R279" s="78"/>
      <c r="S279" s="81"/>
      <c r="T279" s="104"/>
      <c r="U279" s="81"/>
      <c r="V279" s="136"/>
      <c r="W279" s="78"/>
      <c r="X279" s="81"/>
      <c r="Y279" s="104"/>
      <c r="Z279" s="81"/>
      <c r="AA279" s="78"/>
      <c r="AB279" s="81"/>
      <c r="AC279" s="104"/>
      <c r="AD279" s="81"/>
      <c r="AE279" s="78"/>
      <c r="AF279" s="81"/>
      <c r="AG279" s="222">
        <v>45426</v>
      </c>
      <c r="AH279" s="147"/>
      <c r="AI279" s="147"/>
      <c r="AJ279" s="104"/>
      <c r="AK279" s="81"/>
      <c r="AL279" s="81"/>
      <c r="AM279" s="81"/>
      <c r="AN279" s="78"/>
      <c r="AO279" s="78"/>
      <c r="AP279" s="78"/>
      <c r="AQ279" s="81"/>
      <c r="AR279" s="81"/>
      <c r="AS279" s="81"/>
      <c r="AT279" s="104"/>
      <c r="AU279" s="104"/>
      <c r="AV279" s="104"/>
      <c r="AW279" s="81"/>
      <c r="AX279" s="81"/>
      <c r="AY279" s="81"/>
      <c r="AZ279" s="78"/>
      <c r="BA279" s="78"/>
      <c r="BB279" s="78"/>
      <c r="BC279" s="81"/>
      <c r="BD279" s="81"/>
      <c r="BE279" s="81"/>
      <c r="BF279" s="104"/>
      <c r="BG279" s="104"/>
      <c r="BH279" s="104"/>
      <c r="BI279" s="81"/>
      <c r="BJ279" s="81"/>
      <c r="BK279" s="81"/>
      <c r="BL279" s="78"/>
      <c r="BM279" s="78"/>
      <c r="BN279" s="78"/>
      <c r="BO279" s="81"/>
      <c r="BP279" s="81"/>
      <c r="BQ279" s="81"/>
      <c r="BR279" s="146"/>
      <c r="BS279" s="146"/>
      <c r="BT279" s="146"/>
    </row>
    <row r="280" s="46" customFormat="1" spans="1:72">
      <c r="A280" s="129">
        <v>45427</v>
      </c>
      <c r="B280" s="137" t="s">
        <v>1378</v>
      </c>
      <c r="C280" s="131"/>
      <c r="D280" s="132"/>
      <c r="E280" s="104"/>
      <c r="F280" s="81"/>
      <c r="G280" s="78"/>
      <c r="H280" s="81"/>
      <c r="I280" s="104"/>
      <c r="J280" s="81"/>
      <c r="K280" s="78"/>
      <c r="L280" s="81"/>
      <c r="M280" s="133"/>
      <c r="N280" s="104"/>
      <c r="O280" s="131"/>
      <c r="P280" s="134"/>
      <c r="Q280" s="81"/>
      <c r="R280" s="78"/>
      <c r="S280" s="81"/>
      <c r="T280" s="104"/>
      <c r="U280" s="81"/>
      <c r="V280" s="136"/>
      <c r="W280" s="78"/>
      <c r="X280" s="81"/>
      <c r="Y280" s="104"/>
      <c r="Z280" s="81">
        <v>300</v>
      </c>
      <c r="AA280" s="78">
        <v>200</v>
      </c>
      <c r="AB280" s="81"/>
      <c r="AC280" s="104"/>
      <c r="AD280" s="81"/>
      <c r="AE280" s="78"/>
      <c r="AF280" s="81"/>
      <c r="AG280" s="145">
        <v>45427</v>
      </c>
      <c r="AH280" s="147"/>
      <c r="AI280" s="147"/>
      <c r="AJ280" s="104"/>
      <c r="AK280" s="81"/>
      <c r="AL280" s="81"/>
      <c r="AM280" s="81"/>
      <c r="AN280" s="78"/>
      <c r="AO280" s="78"/>
      <c r="AP280" s="78"/>
      <c r="AQ280" s="81"/>
      <c r="AR280" s="81"/>
      <c r="AS280" s="81"/>
      <c r="AT280" s="104"/>
      <c r="AU280" s="104"/>
      <c r="AV280" s="104"/>
      <c r="AW280" s="81"/>
      <c r="AX280" s="81"/>
      <c r="AY280" s="81"/>
      <c r="AZ280" s="78"/>
      <c r="BA280" s="78"/>
      <c r="BB280" s="78"/>
      <c r="BC280" s="81"/>
      <c r="BD280" s="81"/>
      <c r="BE280" s="81"/>
      <c r="BF280" s="104"/>
      <c r="BG280" s="104"/>
      <c r="BH280" s="104"/>
      <c r="BI280" s="81"/>
      <c r="BJ280" s="81"/>
      <c r="BK280" s="81"/>
      <c r="BL280" s="78"/>
      <c r="BM280" s="78"/>
      <c r="BN280" s="78"/>
      <c r="BO280" s="81"/>
      <c r="BP280" s="81"/>
      <c r="BQ280" s="81"/>
      <c r="BR280" s="146"/>
      <c r="BS280" s="146"/>
      <c r="BT280" s="146"/>
    </row>
    <row r="281" s="46" customFormat="1" spans="1:72">
      <c r="A281" s="129">
        <v>45427</v>
      </c>
      <c r="B281" s="130" t="s">
        <v>149</v>
      </c>
      <c r="C281" s="131">
        <v>1020</v>
      </c>
      <c r="D281" s="132"/>
      <c r="E281" s="104"/>
      <c r="F281" s="81"/>
      <c r="G281" s="78"/>
      <c r="H281" s="81"/>
      <c r="I281" s="104"/>
      <c r="J281" s="81"/>
      <c r="K281" s="78"/>
      <c r="L281" s="81"/>
      <c r="M281" s="133"/>
      <c r="N281" s="104"/>
      <c r="O281" s="131"/>
      <c r="P281" s="134"/>
      <c r="Q281" s="81"/>
      <c r="R281" s="78"/>
      <c r="S281" s="81"/>
      <c r="T281" s="104"/>
      <c r="U281" s="81"/>
      <c r="V281" s="136"/>
      <c r="W281" s="78"/>
      <c r="X281" s="81"/>
      <c r="Y281" s="104"/>
      <c r="Z281" s="81">
        <v>-300</v>
      </c>
      <c r="AA281" s="78"/>
      <c r="AB281" s="81"/>
      <c r="AC281" s="104"/>
      <c r="AD281" s="81"/>
      <c r="AE281" s="78"/>
      <c r="AF281" s="81"/>
      <c r="AG281" s="145">
        <v>45427</v>
      </c>
      <c r="AH281" s="147"/>
      <c r="AI281" s="147"/>
      <c r="AJ281" s="104"/>
      <c r="AK281" s="81"/>
      <c r="AL281" s="81"/>
      <c r="AM281" s="81"/>
      <c r="AN281" s="78"/>
      <c r="AO281" s="78"/>
      <c r="AP281" s="78"/>
      <c r="AQ281" s="81"/>
      <c r="AR281" s="81"/>
      <c r="AS281" s="81"/>
      <c r="AT281" s="104"/>
      <c r="AU281" s="104"/>
      <c r="AV281" s="104"/>
      <c r="AW281" s="81"/>
      <c r="AX281" s="81"/>
      <c r="AY281" s="81"/>
      <c r="AZ281" s="78"/>
      <c r="BA281" s="78"/>
      <c r="BB281" s="78"/>
      <c r="BC281" s="81"/>
      <c r="BD281" s="81"/>
      <c r="BE281" s="81"/>
      <c r="BF281" s="104">
        <v>540</v>
      </c>
      <c r="BG281" s="104">
        <v>7.5</v>
      </c>
      <c r="BH281" s="104">
        <f>BF281*BG281</f>
        <v>4050</v>
      </c>
      <c r="BI281" s="81"/>
      <c r="BJ281" s="81"/>
      <c r="BK281" s="81"/>
      <c r="BL281" s="78"/>
      <c r="BM281" s="78"/>
      <c r="BN281" s="78"/>
      <c r="BO281" s="81">
        <v>180</v>
      </c>
      <c r="BP281" s="81">
        <v>8.5</v>
      </c>
      <c r="BQ281" s="81">
        <f>BO281*BP281</f>
        <v>1530</v>
      </c>
      <c r="BR281" s="146"/>
      <c r="BS281" s="146"/>
      <c r="BT281" s="146"/>
    </row>
    <row r="282" s="46" customFormat="1" spans="1:72">
      <c r="A282" s="129">
        <v>45427</v>
      </c>
      <c r="B282" s="130" t="s">
        <v>298</v>
      </c>
      <c r="C282" s="131">
        <v>1280</v>
      </c>
      <c r="D282" s="132"/>
      <c r="E282" s="104"/>
      <c r="F282" s="81"/>
      <c r="G282" s="78"/>
      <c r="H282" s="81"/>
      <c r="I282" s="104"/>
      <c r="J282" s="81"/>
      <c r="K282" s="78"/>
      <c r="L282" s="81"/>
      <c r="M282" s="133"/>
      <c r="N282" s="104"/>
      <c r="O282" s="131"/>
      <c r="P282" s="134"/>
      <c r="Q282" s="81"/>
      <c r="R282" s="78"/>
      <c r="S282" s="81"/>
      <c r="T282" s="104"/>
      <c r="U282" s="81"/>
      <c r="V282" s="136"/>
      <c r="W282" s="78"/>
      <c r="X282" s="81"/>
      <c r="Y282" s="104"/>
      <c r="Z282" s="81"/>
      <c r="AA282" s="78">
        <v>-200</v>
      </c>
      <c r="AB282" s="81"/>
      <c r="AC282" s="104"/>
      <c r="AD282" s="81"/>
      <c r="AE282" s="78"/>
      <c r="AF282" s="81"/>
      <c r="AG282" s="145">
        <v>45427</v>
      </c>
      <c r="AH282" s="147"/>
      <c r="AI282" s="147"/>
      <c r="AJ282" s="104"/>
      <c r="AK282" s="81"/>
      <c r="AL282" s="81"/>
      <c r="AM282" s="81"/>
      <c r="AN282" s="78"/>
      <c r="AO282" s="78"/>
      <c r="AP282" s="78"/>
      <c r="AQ282" s="81"/>
      <c r="AR282" s="81"/>
      <c r="AS282" s="81"/>
      <c r="AT282" s="104"/>
      <c r="AU282" s="104"/>
      <c r="AV282" s="104"/>
      <c r="AW282" s="81"/>
      <c r="AX282" s="81"/>
      <c r="AY282" s="81"/>
      <c r="AZ282" s="78"/>
      <c r="BA282" s="78"/>
      <c r="BB282" s="78"/>
      <c r="BC282" s="81"/>
      <c r="BD282" s="81"/>
      <c r="BE282" s="81"/>
      <c r="BF282" s="104">
        <v>720</v>
      </c>
      <c r="BG282" s="104">
        <v>7.5</v>
      </c>
      <c r="BH282" s="104">
        <f>BF282*BG282</f>
        <v>5400</v>
      </c>
      <c r="BI282" s="81"/>
      <c r="BJ282" s="81"/>
      <c r="BK282" s="81"/>
      <c r="BL282" s="78"/>
      <c r="BM282" s="78"/>
      <c r="BN282" s="78"/>
      <c r="BO282" s="81">
        <v>360</v>
      </c>
      <c r="BP282" s="81">
        <v>8.5</v>
      </c>
      <c r="BQ282" s="81">
        <f>BO282*BP282</f>
        <v>3060</v>
      </c>
      <c r="BR282" s="146"/>
      <c r="BS282" s="146"/>
      <c r="BT282" s="146"/>
    </row>
    <row r="283" s="46" customFormat="1" spans="1:72">
      <c r="A283" s="129">
        <v>45427</v>
      </c>
      <c r="B283" s="137" t="s">
        <v>1379</v>
      </c>
      <c r="C283" s="131"/>
      <c r="D283" s="132"/>
      <c r="E283" s="104"/>
      <c r="F283" s="81"/>
      <c r="G283" s="78"/>
      <c r="H283" s="81"/>
      <c r="I283" s="104"/>
      <c r="J283" s="81"/>
      <c r="K283" s="78"/>
      <c r="L283" s="81"/>
      <c r="M283" s="133"/>
      <c r="N283" s="104"/>
      <c r="O283" s="131"/>
      <c r="P283" s="134"/>
      <c r="Q283" s="81"/>
      <c r="R283" s="78"/>
      <c r="S283" s="138">
        <v>1020</v>
      </c>
      <c r="T283" s="140">
        <v>1280</v>
      </c>
      <c r="U283" s="81"/>
      <c r="V283" s="136"/>
      <c r="W283" s="78"/>
      <c r="X283" s="81"/>
      <c r="Y283" s="104"/>
      <c r="Z283" s="81"/>
      <c r="AA283" s="78"/>
      <c r="AB283" s="81"/>
      <c r="AC283" s="104"/>
      <c r="AD283" s="81"/>
      <c r="AE283" s="78"/>
      <c r="AF283" s="81"/>
      <c r="AG283" s="145">
        <v>45427</v>
      </c>
      <c r="AH283" s="147"/>
      <c r="AI283" s="147"/>
      <c r="AJ283" s="104"/>
      <c r="AK283" s="81"/>
      <c r="AL283" s="81"/>
      <c r="AM283" s="81"/>
      <c r="AN283" s="78"/>
      <c r="AO283" s="78"/>
      <c r="AP283" s="78"/>
      <c r="AQ283" s="81"/>
      <c r="AR283" s="81"/>
      <c r="AS283" s="81"/>
      <c r="AT283" s="104"/>
      <c r="AU283" s="104"/>
      <c r="AV283" s="104"/>
      <c r="AW283" s="81"/>
      <c r="AX283" s="81"/>
      <c r="AY283" s="81"/>
      <c r="AZ283" s="78"/>
      <c r="BA283" s="78"/>
      <c r="BB283" s="78"/>
      <c r="BC283" s="81"/>
      <c r="BD283" s="81"/>
      <c r="BE283" s="81"/>
      <c r="BF283" s="104"/>
      <c r="BG283" s="104"/>
      <c r="BH283" s="104"/>
      <c r="BI283" s="81"/>
      <c r="BJ283" s="81"/>
      <c r="BK283" s="81"/>
      <c r="BL283" s="78"/>
      <c r="BM283" s="78"/>
      <c r="BN283" s="78"/>
      <c r="BO283" s="81"/>
      <c r="BP283" s="81"/>
      <c r="BQ283" s="81"/>
      <c r="BR283" s="146"/>
      <c r="BS283" s="146"/>
      <c r="BT283" s="146"/>
    </row>
    <row r="284" s="46" customFormat="1" spans="1:72">
      <c r="A284" s="129">
        <v>45427</v>
      </c>
      <c r="B284" s="130" t="s">
        <v>944</v>
      </c>
      <c r="C284" s="131">
        <v>600</v>
      </c>
      <c r="D284" s="132"/>
      <c r="E284" s="104"/>
      <c r="F284" s="81"/>
      <c r="G284" s="78">
        <v>-180</v>
      </c>
      <c r="H284" s="81"/>
      <c r="I284" s="104"/>
      <c r="J284" s="81"/>
      <c r="K284" s="78"/>
      <c r="L284" s="81"/>
      <c r="M284" s="133"/>
      <c r="N284" s="104"/>
      <c r="O284" s="131"/>
      <c r="P284" s="134"/>
      <c r="Q284" s="81"/>
      <c r="R284" s="78"/>
      <c r="S284" s="81">
        <v>-102</v>
      </c>
      <c r="T284" s="104">
        <v>-192</v>
      </c>
      <c r="U284" s="81"/>
      <c r="V284" s="136"/>
      <c r="W284" s="78"/>
      <c r="X284" s="81"/>
      <c r="Y284" s="104"/>
      <c r="Z284" s="81"/>
      <c r="AA284" s="78"/>
      <c r="AB284" s="81"/>
      <c r="AC284" s="104"/>
      <c r="AD284" s="81"/>
      <c r="AE284" s="78"/>
      <c r="AF284" s="81"/>
      <c r="AG284" s="145">
        <v>45427</v>
      </c>
      <c r="AH284" s="147"/>
      <c r="AI284" s="147"/>
      <c r="AJ284" s="104"/>
      <c r="AK284" s="81"/>
      <c r="AL284" s="81"/>
      <c r="AM284" s="81"/>
      <c r="AN284" s="78"/>
      <c r="AO284" s="78"/>
      <c r="AP284" s="78"/>
      <c r="AQ284" s="81"/>
      <c r="AR284" s="81"/>
      <c r="AS284" s="81"/>
      <c r="AT284" s="104"/>
      <c r="AU284" s="104"/>
      <c r="AV284" s="104"/>
      <c r="AW284" s="81"/>
      <c r="AX284" s="81"/>
      <c r="AY284" s="81"/>
      <c r="AZ284" s="78"/>
      <c r="BA284" s="78"/>
      <c r="BB284" s="78"/>
      <c r="BC284" s="81">
        <v>126</v>
      </c>
      <c r="BD284" s="81">
        <v>11</v>
      </c>
      <c r="BE284" s="81">
        <f>BC284*BD284</f>
        <v>1386</v>
      </c>
      <c r="BF284" s="104"/>
      <c r="BG284" s="104"/>
      <c r="BH284" s="104"/>
      <c r="BI284" s="81"/>
      <c r="BJ284" s="81"/>
      <c r="BK284" s="81"/>
      <c r="BL284" s="78"/>
      <c r="BM284" s="78"/>
      <c r="BN284" s="78"/>
      <c r="BO284" s="81"/>
      <c r="BP284" s="81"/>
      <c r="BQ284" s="81"/>
      <c r="BR284" s="146"/>
      <c r="BS284" s="146"/>
      <c r="BT284" s="146"/>
    </row>
    <row r="285" s="46" customFormat="1" spans="1:72">
      <c r="A285" s="129">
        <v>45427</v>
      </c>
      <c r="B285" s="130" t="s">
        <v>1321</v>
      </c>
      <c r="C285" s="131">
        <v>1000</v>
      </c>
      <c r="D285" s="132"/>
      <c r="E285" s="104"/>
      <c r="F285" s="81"/>
      <c r="G285" s="78">
        <v>-150</v>
      </c>
      <c r="H285" s="81"/>
      <c r="I285" s="104"/>
      <c r="J285" s="81"/>
      <c r="K285" s="78"/>
      <c r="L285" s="81"/>
      <c r="M285" s="133"/>
      <c r="N285" s="104"/>
      <c r="O285" s="131">
        <v>-147</v>
      </c>
      <c r="P285" s="134"/>
      <c r="Q285" s="81"/>
      <c r="R285" s="78"/>
      <c r="S285" s="81">
        <v>-200</v>
      </c>
      <c r="T285" s="104">
        <v>-450</v>
      </c>
      <c r="U285" s="81"/>
      <c r="V285" s="136"/>
      <c r="W285" s="78"/>
      <c r="X285" s="81"/>
      <c r="Y285" s="104"/>
      <c r="Z285" s="81"/>
      <c r="AA285" s="78"/>
      <c r="AB285" s="81"/>
      <c r="AC285" s="104"/>
      <c r="AD285" s="81"/>
      <c r="AE285" s="78"/>
      <c r="AF285" s="81"/>
      <c r="AG285" s="145">
        <v>45427</v>
      </c>
      <c r="AH285" s="147"/>
      <c r="AI285" s="147"/>
      <c r="AJ285" s="104"/>
      <c r="AK285" s="81"/>
      <c r="AL285" s="81"/>
      <c r="AM285" s="81"/>
      <c r="AN285" s="78"/>
      <c r="AO285" s="78"/>
      <c r="AP285" s="78"/>
      <c r="AQ285" s="81"/>
      <c r="AR285" s="81"/>
      <c r="AS285" s="81"/>
      <c r="AT285" s="104"/>
      <c r="AU285" s="104"/>
      <c r="AV285" s="104"/>
      <c r="AW285" s="81"/>
      <c r="AX285" s="81"/>
      <c r="AY285" s="81"/>
      <c r="AZ285" s="78"/>
      <c r="BA285" s="78"/>
      <c r="BB285" s="78"/>
      <c r="BC285" s="81">
        <v>53</v>
      </c>
      <c r="BD285" s="81">
        <v>11</v>
      </c>
      <c r="BE285" s="81">
        <f>BC285*BD285</f>
        <v>583</v>
      </c>
      <c r="BF285" s="104"/>
      <c r="BG285" s="104"/>
      <c r="BH285" s="104"/>
      <c r="BI285" s="81"/>
      <c r="BJ285" s="81"/>
      <c r="BK285" s="81"/>
      <c r="BL285" s="78"/>
      <c r="BM285" s="78"/>
      <c r="BN285" s="78"/>
      <c r="BO285" s="81"/>
      <c r="BP285" s="81"/>
      <c r="BQ285" s="81"/>
      <c r="BR285" s="146"/>
      <c r="BS285" s="146"/>
      <c r="BT285" s="146"/>
    </row>
    <row r="286" s="46" customFormat="1" spans="1:72">
      <c r="A286" s="129">
        <v>45428</v>
      </c>
      <c r="B286" s="130" t="s">
        <v>997</v>
      </c>
      <c r="C286" s="131">
        <v>2000</v>
      </c>
      <c r="D286" s="132"/>
      <c r="E286" s="104"/>
      <c r="F286" s="81"/>
      <c r="G286" s="78">
        <v>-400</v>
      </c>
      <c r="H286" s="81"/>
      <c r="I286" s="104"/>
      <c r="J286" s="81"/>
      <c r="K286" s="78"/>
      <c r="L286" s="81"/>
      <c r="M286" s="133"/>
      <c r="N286" s="104"/>
      <c r="O286" s="131">
        <v>-300</v>
      </c>
      <c r="P286" s="134"/>
      <c r="Q286" s="81"/>
      <c r="R286" s="78"/>
      <c r="S286" s="81">
        <v>-140</v>
      </c>
      <c r="T286" s="104">
        <v>-760</v>
      </c>
      <c r="U286" s="81"/>
      <c r="V286" s="136"/>
      <c r="W286" s="78"/>
      <c r="X286" s="81"/>
      <c r="Y286" s="104"/>
      <c r="Z286" s="81"/>
      <c r="AA286" s="78"/>
      <c r="AB286" s="81"/>
      <c r="AC286" s="104"/>
      <c r="AD286" s="81"/>
      <c r="AE286" s="78"/>
      <c r="AF286" s="81"/>
      <c r="AG286" s="145">
        <v>45428</v>
      </c>
      <c r="AH286" s="147"/>
      <c r="AI286" s="147"/>
      <c r="AJ286" s="104"/>
      <c r="AK286" s="81"/>
      <c r="AL286" s="81"/>
      <c r="AM286" s="81"/>
      <c r="AN286" s="78"/>
      <c r="AO286" s="78"/>
      <c r="AP286" s="78"/>
      <c r="AQ286" s="81"/>
      <c r="AR286" s="81"/>
      <c r="AS286" s="81"/>
      <c r="AT286" s="104"/>
      <c r="AU286" s="104"/>
      <c r="AV286" s="104"/>
      <c r="AW286" s="81"/>
      <c r="AX286" s="81"/>
      <c r="AY286" s="81"/>
      <c r="AZ286" s="78"/>
      <c r="BA286" s="78"/>
      <c r="BB286" s="78"/>
      <c r="BC286" s="81">
        <v>400</v>
      </c>
      <c r="BD286" s="81">
        <v>11</v>
      </c>
      <c r="BE286" s="81">
        <f>BC286*BD286</f>
        <v>4400</v>
      </c>
      <c r="BF286" s="104"/>
      <c r="BG286" s="104"/>
      <c r="BH286" s="104"/>
      <c r="BI286" s="81"/>
      <c r="BJ286" s="81"/>
      <c r="BK286" s="81"/>
      <c r="BL286" s="78"/>
      <c r="BM286" s="78"/>
      <c r="BN286" s="78"/>
      <c r="BO286" s="81"/>
      <c r="BP286" s="81"/>
      <c r="BQ286" s="81"/>
      <c r="BR286" s="146"/>
      <c r="BS286" s="146"/>
      <c r="BT286" s="146"/>
    </row>
    <row r="287" s="46" customFormat="1" spans="1:72">
      <c r="A287" s="129">
        <v>45429</v>
      </c>
      <c r="B287" s="137" t="s">
        <v>1322</v>
      </c>
      <c r="C287" s="131"/>
      <c r="D287" s="132"/>
      <c r="E287" s="104"/>
      <c r="F287" s="81"/>
      <c r="G287" s="78"/>
      <c r="H287" s="81"/>
      <c r="I287" s="104"/>
      <c r="J287" s="81"/>
      <c r="K287" s="78"/>
      <c r="L287" s="81"/>
      <c r="M287" s="133"/>
      <c r="N287" s="104"/>
      <c r="O287" s="131"/>
      <c r="P287" s="134"/>
      <c r="Q287" s="81"/>
      <c r="R287" s="78"/>
      <c r="S287" s="81"/>
      <c r="T287" s="104"/>
      <c r="U287" s="81"/>
      <c r="V287" s="136"/>
      <c r="W287" s="78"/>
      <c r="X287" s="81"/>
      <c r="Y287" s="104"/>
      <c r="Z287" s="81"/>
      <c r="AA287" s="78">
        <v>200</v>
      </c>
      <c r="AB287" s="81"/>
      <c r="AC287" s="104"/>
      <c r="AD287" s="81"/>
      <c r="AE287" s="78"/>
      <c r="AF287" s="81"/>
      <c r="AG287" s="145">
        <v>45429</v>
      </c>
      <c r="AH287" s="147"/>
      <c r="AI287" s="147"/>
      <c r="AJ287" s="104"/>
      <c r="AK287" s="81"/>
      <c r="AL287" s="81"/>
      <c r="AM287" s="81"/>
      <c r="AN287" s="78"/>
      <c r="AO287" s="78"/>
      <c r="AP287" s="78"/>
      <c r="AQ287" s="81"/>
      <c r="AR287" s="81"/>
      <c r="AS287" s="81"/>
      <c r="AT287" s="104"/>
      <c r="AU287" s="104"/>
      <c r="AV287" s="104"/>
      <c r="AW287" s="81"/>
      <c r="AX287" s="81"/>
      <c r="AY287" s="81"/>
      <c r="AZ287" s="78"/>
      <c r="BA287" s="78"/>
      <c r="BB287" s="78"/>
      <c r="BC287" s="81"/>
      <c r="BD287" s="81"/>
      <c r="BE287" s="81"/>
      <c r="BF287" s="104"/>
      <c r="BG287" s="104"/>
      <c r="BH287" s="104"/>
      <c r="BI287" s="81"/>
      <c r="BJ287" s="81"/>
      <c r="BK287" s="81"/>
      <c r="BL287" s="78"/>
      <c r="BM287" s="78"/>
      <c r="BN287" s="78"/>
      <c r="BO287" s="81"/>
      <c r="BP287" s="81"/>
      <c r="BQ287" s="81"/>
      <c r="BR287" s="146"/>
      <c r="BS287" s="146"/>
      <c r="BT287" s="146"/>
    </row>
    <row r="288" s="46" customFormat="1" spans="1:72">
      <c r="A288" s="129">
        <v>45429</v>
      </c>
      <c r="B288" s="130" t="s">
        <v>298</v>
      </c>
      <c r="C288" s="131">
        <v>1280</v>
      </c>
      <c r="D288" s="132"/>
      <c r="E288" s="104"/>
      <c r="F288" s="81"/>
      <c r="G288" s="78"/>
      <c r="H288" s="81"/>
      <c r="I288" s="104"/>
      <c r="J288" s="81"/>
      <c r="K288" s="78"/>
      <c r="L288" s="81"/>
      <c r="M288" s="133"/>
      <c r="N288" s="104"/>
      <c r="O288" s="131"/>
      <c r="P288" s="134"/>
      <c r="Q288" s="81"/>
      <c r="R288" s="78"/>
      <c r="S288" s="81"/>
      <c r="T288" s="104"/>
      <c r="U288" s="81"/>
      <c r="V288" s="136"/>
      <c r="W288" s="78"/>
      <c r="X288" s="81"/>
      <c r="Y288" s="104"/>
      <c r="Z288" s="81"/>
      <c r="AA288" s="78">
        <v>-200</v>
      </c>
      <c r="AB288" s="81"/>
      <c r="AC288" s="104"/>
      <c r="AD288" s="81"/>
      <c r="AE288" s="78"/>
      <c r="AF288" s="81"/>
      <c r="AG288" s="145">
        <v>45429</v>
      </c>
      <c r="AH288" s="147"/>
      <c r="AI288" s="147"/>
      <c r="AJ288" s="104"/>
      <c r="AK288" s="81"/>
      <c r="AL288" s="81"/>
      <c r="AM288" s="81"/>
      <c r="AN288" s="78"/>
      <c r="AO288" s="78"/>
      <c r="AP288" s="78"/>
      <c r="AQ288" s="81"/>
      <c r="AR288" s="81"/>
      <c r="AS288" s="81"/>
      <c r="AT288" s="104"/>
      <c r="AU288" s="104"/>
      <c r="AV288" s="104"/>
      <c r="AW288" s="81"/>
      <c r="AX288" s="81"/>
      <c r="AY288" s="81"/>
      <c r="AZ288" s="78"/>
      <c r="BA288" s="78"/>
      <c r="BB288" s="78"/>
      <c r="BC288" s="81"/>
      <c r="BD288" s="81"/>
      <c r="BE288" s="81"/>
      <c r="BF288" s="104">
        <v>720</v>
      </c>
      <c r="BG288" s="104">
        <v>7.5</v>
      </c>
      <c r="BH288" s="104">
        <f>BF288*BG288</f>
        <v>5400</v>
      </c>
      <c r="BI288" s="81"/>
      <c r="BJ288" s="81"/>
      <c r="BK288" s="81"/>
      <c r="BL288" s="78"/>
      <c r="BM288" s="78"/>
      <c r="BN288" s="78"/>
      <c r="BO288" s="81">
        <v>360</v>
      </c>
      <c r="BP288" s="81">
        <v>8.5</v>
      </c>
      <c r="BQ288" s="81">
        <f>BO288*BP288</f>
        <v>3060</v>
      </c>
      <c r="BR288" s="146"/>
      <c r="BS288" s="146"/>
      <c r="BT288" s="146"/>
    </row>
    <row r="289" s="46" customFormat="1" spans="1:72">
      <c r="A289" s="129">
        <v>45429</v>
      </c>
      <c r="B289" s="137" t="s">
        <v>1269</v>
      </c>
      <c r="C289" s="131"/>
      <c r="D289" s="132"/>
      <c r="E289" s="104"/>
      <c r="F289" s="81"/>
      <c r="G289" s="78"/>
      <c r="H289" s="81"/>
      <c r="I289" s="104"/>
      <c r="J289" s="81"/>
      <c r="K289" s="78"/>
      <c r="L289" s="81"/>
      <c r="M289" s="133"/>
      <c r="N289" s="104"/>
      <c r="O289" s="131"/>
      <c r="P289" s="134"/>
      <c r="Q289" s="81"/>
      <c r="R289" s="78"/>
      <c r="S289" s="81"/>
      <c r="T289" s="140">
        <v>1280</v>
      </c>
      <c r="U289" s="81"/>
      <c r="V289" s="136"/>
      <c r="W289" s="78"/>
      <c r="X289" s="81"/>
      <c r="Y289" s="104"/>
      <c r="Z289" s="81"/>
      <c r="AA289" s="78"/>
      <c r="AB289" s="81"/>
      <c r="AC289" s="104"/>
      <c r="AD289" s="81"/>
      <c r="AE289" s="78"/>
      <c r="AF289" s="81"/>
      <c r="AG289" s="145">
        <v>45429</v>
      </c>
      <c r="AH289" s="147"/>
      <c r="AI289" s="147"/>
      <c r="AJ289" s="104"/>
      <c r="AK289" s="81"/>
      <c r="AL289" s="81"/>
      <c r="AM289" s="81"/>
      <c r="AN289" s="78"/>
      <c r="AO289" s="78"/>
      <c r="AP289" s="78"/>
      <c r="AQ289" s="81"/>
      <c r="AR289" s="81"/>
      <c r="AS289" s="81"/>
      <c r="AT289" s="104"/>
      <c r="AU289" s="104"/>
      <c r="AV289" s="104"/>
      <c r="AW289" s="81"/>
      <c r="AX289" s="81"/>
      <c r="AY289" s="81"/>
      <c r="AZ289" s="78"/>
      <c r="BA289" s="78"/>
      <c r="BB289" s="78"/>
      <c r="BC289" s="81"/>
      <c r="BD289" s="81"/>
      <c r="BE289" s="81"/>
      <c r="BF289" s="104"/>
      <c r="BG289" s="104"/>
      <c r="BH289" s="104"/>
      <c r="BI289" s="81"/>
      <c r="BJ289" s="81"/>
      <c r="BK289" s="81"/>
      <c r="BL289" s="78"/>
      <c r="BM289" s="78"/>
      <c r="BN289" s="78"/>
      <c r="BO289" s="81"/>
      <c r="BP289" s="81"/>
      <c r="BQ289" s="81"/>
      <c r="BR289" s="146"/>
      <c r="BS289" s="146"/>
      <c r="BT289" s="146"/>
    </row>
    <row r="290" s="46" customFormat="1" spans="1:72">
      <c r="A290" s="129">
        <v>45429</v>
      </c>
      <c r="B290" s="130" t="s">
        <v>1380</v>
      </c>
      <c r="C290" s="131">
        <v>696.5</v>
      </c>
      <c r="D290" s="132"/>
      <c r="E290" s="104"/>
      <c r="F290" s="81"/>
      <c r="G290" s="78">
        <v>-75</v>
      </c>
      <c r="H290" s="81"/>
      <c r="I290" s="104"/>
      <c r="J290" s="81"/>
      <c r="K290" s="78"/>
      <c r="L290" s="81"/>
      <c r="M290" s="133"/>
      <c r="N290" s="104"/>
      <c r="O290" s="131"/>
      <c r="P290" s="134"/>
      <c r="Q290" s="81">
        <v>-75</v>
      </c>
      <c r="R290" s="78"/>
      <c r="S290" s="81">
        <v>-100</v>
      </c>
      <c r="T290" s="104">
        <v>-225</v>
      </c>
      <c r="U290" s="81"/>
      <c r="V290" s="136"/>
      <c r="W290" s="78"/>
      <c r="X290" s="81"/>
      <c r="Y290" s="104"/>
      <c r="Z290" s="81"/>
      <c r="AA290" s="78"/>
      <c r="AB290" s="81"/>
      <c r="AC290" s="104"/>
      <c r="AD290" s="81"/>
      <c r="AE290" s="78"/>
      <c r="AF290" s="81"/>
      <c r="AG290" s="145">
        <v>45429</v>
      </c>
      <c r="AH290" s="147"/>
      <c r="AI290" s="147"/>
      <c r="AJ290" s="104"/>
      <c r="AK290" s="81"/>
      <c r="AL290" s="81"/>
      <c r="AM290" s="81"/>
      <c r="AN290" s="78">
        <v>22.5</v>
      </c>
      <c r="AO290" s="78">
        <v>17</v>
      </c>
      <c r="AP290" s="78">
        <f>AN290*AO290</f>
        <v>382.5</v>
      </c>
      <c r="AQ290" s="81"/>
      <c r="AR290" s="81"/>
      <c r="AS290" s="81"/>
      <c r="AT290" s="104"/>
      <c r="AU290" s="104"/>
      <c r="AV290" s="104"/>
      <c r="AW290" s="81"/>
      <c r="AX290" s="81"/>
      <c r="AY290" s="81"/>
      <c r="AZ290" s="78"/>
      <c r="BA290" s="78"/>
      <c r="BB290" s="78"/>
      <c r="BC290" s="81">
        <v>60</v>
      </c>
      <c r="BD290" s="81">
        <v>11</v>
      </c>
      <c r="BE290" s="81">
        <f>BC290*BD290</f>
        <v>660</v>
      </c>
      <c r="BF290" s="104"/>
      <c r="BG290" s="104"/>
      <c r="BH290" s="104"/>
      <c r="BI290" s="81">
        <v>139</v>
      </c>
      <c r="BJ290" s="81">
        <v>3.6</v>
      </c>
      <c r="BK290" s="81">
        <f>BI290*BJ290</f>
        <v>500.4</v>
      </c>
      <c r="BL290" s="78"/>
      <c r="BM290" s="78"/>
      <c r="BN290" s="78"/>
      <c r="BO290" s="81"/>
      <c r="BP290" s="81"/>
      <c r="BQ290" s="81"/>
      <c r="BR290" s="146"/>
      <c r="BS290" s="146"/>
      <c r="BT290" s="146"/>
    </row>
    <row r="291" s="46" customFormat="1" spans="1:72">
      <c r="A291" s="129">
        <v>45429</v>
      </c>
      <c r="B291" s="130" t="s">
        <v>1381</v>
      </c>
      <c r="C291" s="131">
        <v>500</v>
      </c>
      <c r="D291" s="132">
        <v>-62.5</v>
      </c>
      <c r="E291" s="104"/>
      <c r="F291" s="81"/>
      <c r="G291" s="78">
        <v>-100</v>
      </c>
      <c r="H291" s="81"/>
      <c r="I291" s="104"/>
      <c r="J291" s="81"/>
      <c r="K291" s="78"/>
      <c r="L291" s="81"/>
      <c r="M291" s="133"/>
      <c r="N291" s="104">
        <v>-110</v>
      </c>
      <c r="O291" s="131"/>
      <c r="P291" s="134"/>
      <c r="Q291" s="81"/>
      <c r="R291" s="78"/>
      <c r="S291" s="81">
        <v>-35</v>
      </c>
      <c r="T291" s="104">
        <v>-160</v>
      </c>
      <c r="U291" s="81"/>
      <c r="V291" s="136"/>
      <c r="W291" s="78"/>
      <c r="X291" s="81"/>
      <c r="Y291" s="104"/>
      <c r="Z291" s="81"/>
      <c r="AA291" s="78"/>
      <c r="AB291" s="81"/>
      <c r="AC291" s="104"/>
      <c r="AD291" s="81"/>
      <c r="AE291" s="78"/>
      <c r="AF291" s="81"/>
      <c r="AG291" s="145">
        <v>45429</v>
      </c>
      <c r="AH291" s="147"/>
      <c r="AI291" s="147"/>
      <c r="AJ291" s="104"/>
      <c r="AK291" s="81"/>
      <c r="AL291" s="81"/>
      <c r="AM291" s="81"/>
      <c r="AN291" s="78"/>
      <c r="AO291" s="78"/>
      <c r="AP291" s="78"/>
      <c r="AQ291" s="81"/>
      <c r="AR291" s="81"/>
      <c r="AS291" s="81"/>
      <c r="AT291" s="104"/>
      <c r="AU291" s="104"/>
      <c r="AV291" s="104"/>
      <c r="AW291" s="81"/>
      <c r="AX291" s="81"/>
      <c r="AY291" s="81"/>
      <c r="AZ291" s="78"/>
      <c r="BA291" s="78"/>
      <c r="BB291" s="78"/>
      <c r="BC291" s="81">
        <v>32.5</v>
      </c>
      <c r="BD291" s="81">
        <v>11</v>
      </c>
      <c r="BE291" s="81">
        <f>BC291*BD291</f>
        <v>357.5</v>
      </c>
      <c r="BF291" s="104"/>
      <c r="BG291" s="104"/>
      <c r="BH291" s="104"/>
      <c r="BI291" s="81"/>
      <c r="BJ291" s="81"/>
      <c r="BK291" s="81"/>
      <c r="BL291" s="78"/>
      <c r="BM291" s="78"/>
      <c r="BN291" s="78"/>
      <c r="BO291" s="81"/>
      <c r="BP291" s="81"/>
      <c r="BQ291" s="81"/>
      <c r="BR291" s="146"/>
      <c r="BS291" s="146"/>
      <c r="BT291" s="146"/>
    </row>
    <row r="292" s="46" customFormat="1" spans="1:72">
      <c r="A292" s="129">
        <v>45430</v>
      </c>
      <c r="B292" s="130" t="s">
        <v>240</v>
      </c>
      <c r="C292" s="131">
        <v>500</v>
      </c>
      <c r="D292" s="132"/>
      <c r="E292" s="104">
        <v>-200</v>
      </c>
      <c r="F292" s="81"/>
      <c r="G292" s="78"/>
      <c r="H292" s="81"/>
      <c r="I292" s="104"/>
      <c r="J292" s="81"/>
      <c r="K292" s="78"/>
      <c r="L292" s="81"/>
      <c r="M292" s="133"/>
      <c r="N292" s="104"/>
      <c r="O292" s="131"/>
      <c r="P292" s="134"/>
      <c r="Q292" s="81"/>
      <c r="R292" s="78"/>
      <c r="S292" s="81"/>
      <c r="T292" s="104"/>
      <c r="U292" s="81"/>
      <c r="V292" s="136"/>
      <c r="W292" s="78"/>
      <c r="X292" s="81"/>
      <c r="Y292" s="104"/>
      <c r="Z292" s="81"/>
      <c r="AA292" s="78"/>
      <c r="AB292" s="81"/>
      <c r="AC292" s="104"/>
      <c r="AD292" s="81"/>
      <c r="AE292" s="78"/>
      <c r="AF292" s="81"/>
      <c r="AG292" s="145">
        <v>45430</v>
      </c>
      <c r="AH292" s="147"/>
      <c r="AI292" s="147"/>
      <c r="AJ292" s="104"/>
      <c r="AK292" s="81"/>
      <c r="AL292" s="81"/>
      <c r="AM292" s="81"/>
      <c r="AN292" s="78"/>
      <c r="AO292" s="78"/>
      <c r="AP292" s="78"/>
      <c r="AQ292" s="81"/>
      <c r="AR292" s="81"/>
      <c r="AS292" s="81"/>
      <c r="AT292" s="104"/>
      <c r="AU292" s="104"/>
      <c r="AV292" s="104"/>
      <c r="AW292" s="81"/>
      <c r="AX292" s="81"/>
      <c r="AY292" s="81"/>
      <c r="AZ292" s="78"/>
      <c r="BA292" s="78"/>
      <c r="BB292" s="78"/>
      <c r="BC292" s="81">
        <v>300</v>
      </c>
      <c r="BD292" s="81">
        <v>11</v>
      </c>
      <c r="BE292" s="81">
        <f>BC292*BD292</f>
        <v>3300</v>
      </c>
      <c r="BF292" s="104"/>
      <c r="BG292" s="104"/>
      <c r="BH292" s="104"/>
      <c r="BI292" s="81"/>
      <c r="BJ292" s="81"/>
      <c r="BK292" s="81"/>
      <c r="BL292" s="78"/>
      <c r="BM292" s="78"/>
      <c r="BN292" s="78"/>
      <c r="BO292" s="81"/>
      <c r="BP292" s="81"/>
      <c r="BQ292" s="81"/>
      <c r="BR292" s="146"/>
      <c r="BS292" s="146"/>
      <c r="BT292" s="146"/>
    </row>
    <row r="293" s="46" customFormat="1" spans="1:72">
      <c r="A293" s="129">
        <v>45430</v>
      </c>
      <c r="B293" s="137" t="s">
        <v>1279</v>
      </c>
      <c r="C293" s="131"/>
      <c r="D293" s="149">
        <v>500</v>
      </c>
      <c r="E293" s="104"/>
      <c r="F293" s="81"/>
      <c r="G293" s="78"/>
      <c r="H293" s="81"/>
      <c r="I293" s="104"/>
      <c r="J293" s="81"/>
      <c r="K293" s="78"/>
      <c r="L293" s="81"/>
      <c r="M293" s="133"/>
      <c r="N293" s="104"/>
      <c r="O293" s="131"/>
      <c r="P293" s="134"/>
      <c r="Q293" s="81"/>
      <c r="R293" s="78"/>
      <c r="S293" s="81"/>
      <c r="T293" s="104"/>
      <c r="U293" s="81"/>
      <c r="V293" s="136"/>
      <c r="W293" s="78"/>
      <c r="X293" s="81"/>
      <c r="Y293" s="104"/>
      <c r="Z293" s="81"/>
      <c r="AA293" s="78"/>
      <c r="AB293" s="81"/>
      <c r="AC293" s="104"/>
      <c r="AD293" s="81"/>
      <c r="AE293" s="78"/>
      <c r="AF293" s="81"/>
      <c r="AG293" s="145">
        <v>45430</v>
      </c>
      <c r="AH293" s="147"/>
      <c r="AI293" s="147"/>
      <c r="AJ293" s="104"/>
      <c r="AK293" s="81"/>
      <c r="AL293" s="81"/>
      <c r="AM293" s="81"/>
      <c r="AN293" s="78"/>
      <c r="AO293" s="78"/>
      <c r="AP293" s="78"/>
      <c r="AQ293" s="81"/>
      <c r="AR293" s="81"/>
      <c r="AS293" s="81"/>
      <c r="AT293" s="104"/>
      <c r="AU293" s="104"/>
      <c r="AV293" s="104"/>
      <c r="AW293" s="81"/>
      <c r="AX293" s="81"/>
      <c r="AY293" s="81"/>
      <c r="AZ293" s="78"/>
      <c r="BA293" s="78"/>
      <c r="BB293" s="78"/>
      <c r="BC293" s="81"/>
      <c r="BD293" s="81"/>
      <c r="BE293" s="81"/>
      <c r="BF293" s="104"/>
      <c r="BG293" s="104"/>
      <c r="BH293" s="104"/>
      <c r="BI293" s="81"/>
      <c r="BJ293" s="81"/>
      <c r="BK293" s="81"/>
      <c r="BL293" s="78"/>
      <c r="BM293" s="78"/>
      <c r="BN293" s="78"/>
      <c r="BO293" s="81"/>
      <c r="BP293" s="81"/>
      <c r="BQ293" s="81"/>
      <c r="BR293" s="146"/>
      <c r="BS293" s="146"/>
      <c r="BT293" s="146"/>
    </row>
    <row r="294" s="46" customFormat="1" spans="1:72">
      <c r="A294" s="129">
        <v>45430</v>
      </c>
      <c r="B294" s="130" t="s">
        <v>1382</v>
      </c>
      <c r="C294" s="131">
        <v>1000</v>
      </c>
      <c r="D294" s="132">
        <v>-55.5</v>
      </c>
      <c r="E294" s="104"/>
      <c r="F294" s="81"/>
      <c r="G294" s="78">
        <v>-200</v>
      </c>
      <c r="H294" s="81"/>
      <c r="I294" s="104"/>
      <c r="J294" s="81"/>
      <c r="K294" s="78"/>
      <c r="L294" s="81"/>
      <c r="M294" s="133"/>
      <c r="N294" s="104"/>
      <c r="O294" s="131"/>
      <c r="P294" s="134"/>
      <c r="Q294" s="81"/>
      <c r="R294" s="78"/>
      <c r="S294" s="81">
        <v>-70</v>
      </c>
      <c r="T294" s="104">
        <v>-380</v>
      </c>
      <c r="U294" s="81"/>
      <c r="V294" s="136"/>
      <c r="W294" s="78"/>
      <c r="X294" s="81"/>
      <c r="Y294" s="104"/>
      <c r="Z294" s="81"/>
      <c r="AA294" s="78"/>
      <c r="AB294" s="81"/>
      <c r="AC294" s="104"/>
      <c r="AD294" s="81"/>
      <c r="AE294" s="78"/>
      <c r="AF294" s="81"/>
      <c r="AG294" s="145">
        <v>45430</v>
      </c>
      <c r="AH294" s="147"/>
      <c r="AI294" s="147"/>
      <c r="AJ294" s="104"/>
      <c r="AK294" s="81"/>
      <c r="AL294" s="81"/>
      <c r="AM294" s="81"/>
      <c r="AN294" s="78"/>
      <c r="AO294" s="78"/>
      <c r="AP294" s="78"/>
      <c r="AQ294" s="81"/>
      <c r="AR294" s="81"/>
      <c r="AS294" s="81"/>
      <c r="AT294" s="104"/>
      <c r="AU294" s="104"/>
      <c r="AV294" s="104"/>
      <c r="AW294" s="81"/>
      <c r="AX294" s="81"/>
      <c r="AY294" s="81"/>
      <c r="AZ294" s="78"/>
      <c r="BA294" s="78"/>
      <c r="BB294" s="78"/>
      <c r="BC294" s="81">
        <v>25</v>
      </c>
      <c r="BD294" s="81">
        <v>11</v>
      </c>
      <c r="BE294" s="81">
        <f>BC294*BD294</f>
        <v>275</v>
      </c>
      <c r="BF294" s="104"/>
      <c r="BG294" s="104"/>
      <c r="BH294" s="104"/>
      <c r="BI294" s="81"/>
      <c r="BJ294" s="81"/>
      <c r="BK294" s="81"/>
      <c r="BL294" s="78"/>
      <c r="BM294" s="78"/>
      <c r="BN294" s="78"/>
      <c r="BO294" s="81"/>
      <c r="BP294" s="81"/>
      <c r="BQ294" s="81"/>
      <c r="BR294" s="146"/>
      <c r="BS294" s="146"/>
      <c r="BT294" s="146"/>
    </row>
    <row r="295" s="46" customFormat="1" spans="1:72">
      <c r="A295" s="129">
        <v>45436</v>
      </c>
      <c r="B295" s="130" t="s">
        <v>1383</v>
      </c>
      <c r="C295" s="131">
        <v>525</v>
      </c>
      <c r="D295" s="132"/>
      <c r="E295" s="104"/>
      <c r="F295" s="81"/>
      <c r="G295" s="78">
        <v>-96</v>
      </c>
      <c r="H295" s="81"/>
      <c r="I295" s="104"/>
      <c r="J295" s="81"/>
      <c r="K295" s="78"/>
      <c r="L295" s="81"/>
      <c r="M295" s="133"/>
      <c r="N295" s="104"/>
      <c r="O295" s="131"/>
      <c r="P295" s="134"/>
      <c r="Q295" s="81"/>
      <c r="R295" s="78"/>
      <c r="S295" s="81"/>
      <c r="T295" s="104"/>
      <c r="U295" s="81"/>
      <c r="V295" s="136"/>
      <c r="W295" s="78">
        <v>-9</v>
      </c>
      <c r="X295" s="81"/>
      <c r="Y295" s="104"/>
      <c r="Z295" s="81"/>
      <c r="AA295" s="78"/>
      <c r="AB295" s="81"/>
      <c r="AC295" s="104"/>
      <c r="AD295" s="81"/>
      <c r="AE295" s="78"/>
      <c r="AF295" s="81"/>
      <c r="AG295" s="145">
        <v>45436</v>
      </c>
      <c r="AH295" s="223">
        <v>300</v>
      </c>
      <c r="AI295" s="147"/>
      <c r="AJ295" s="104"/>
      <c r="AK295" s="81"/>
      <c r="AL295" s="81"/>
      <c r="AM295" s="81"/>
      <c r="AN295" s="78"/>
      <c r="AO295" s="78"/>
      <c r="AP295" s="78"/>
      <c r="AQ295" s="81"/>
      <c r="AR295" s="81"/>
      <c r="AS295" s="81"/>
      <c r="AT295" s="104"/>
      <c r="AU295" s="104"/>
      <c r="AV295" s="104"/>
      <c r="AW295" s="81"/>
      <c r="AX295" s="81"/>
      <c r="AY295" s="81"/>
      <c r="AZ295" s="78"/>
      <c r="BA295" s="78"/>
      <c r="BB295" s="78"/>
      <c r="BC295" s="81"/>
      <c r="BD295" s="81"/>
      <c r="BE295" s="81"/>
      <c r="BF295" s="104"/>
      <c r="BG295" s="104"/>
      <c r="BH295" s="104"/>
      <c r="BI295" s="81"/>
      <c r="BJ295" s="81"/>
      <c r="BK295" s="81"/>
      <c r="BL295" s="78"/>
      <c r="BM295" s="78"/>
      <c r="BN295" s="78"/>
      <c r="BO295" s="81">
        <v>60</v>
      </c>
      <c r="BP295" s="81">
        <v>8.5</v>
      </c>
      <c r="BQ295" s="81">
        <f>BO295*BP295</f>
        <v>510</v>
      </c>
      <c r="BR295" s="146">
        <v>60</v>
      </c>
      <c r="BS295" s="146">
        <v>8.1</v>
      </c>
      <c r="BT295" s="146">
        <f>BR295*BS295</f>
        <v>486</v>
      </c>
    </row>
    <row r="296" s="46" customFormat="1" spans="1:72">
      <c r="A296" s="129">
        <v>45436</v>
      </c>
      <c r="B296" s="137" t="s">
        <v>1229</v>
      </c>
      <c r="C296" s="131"/>
      <c r="D296" s="132"/>
      <c r="E296" s="104"/>
      <c r="F296" s="81"/>
      <c r="G296" s="78"/>
      <c r="H296" s="138">
        <v>514</v>
      </c>
      <c r="I296" s="104"/>
      <c r="J296" s="81"/>
      <c r="K296" s="78"/>
      <c r="L296" s="81"/>
      <c r="M296" s="133"/>
      <c r="N296" s="104"/>
      <c r="O296" s="131"/>
      <c r="P296" s="134"/>
      <c r="Q296" s="81"/>
      <c r="R296" s="78"/>
      <c r="S296" s="81"/>
      <c r="T296" s="104"/>
      <c r="U296" s="81"/>
      <c r="V296" s="136"/>
      <c r="W296" s="78"/>
      <c r="X296" s="81"/>
      <c r="Y296" s="104"/>
      <c r="Z296" s="81"/>
      <c r="AA296" s="78"/>
      <c r="AB296" s="81"/>
      <c r="AC296" s="104"/>
      <c r="AD296" s="81"/>
      <c r="AE296" s="78"/>
      <c r="AF296" s="81"/>
      <c r="AG296" s="145">
        <v>45436</v>
      </c>
      <c r="AH296" s="147"/>
      <c r="AI296" s="147"/>
      <c r="AJ296" s="104"/>
      <c r="AK296" s="81"/>
      <c r="AL296" s="81"/>
      <c r="AM296" s="81"/>
      <c r="AN296" s="78"/>
      <c r="AO296" s="78"/>
      <c r="AP296" s="78"/>
      <c r="AQ296" s="81"/>
      <c r="AR296" s="81"/>
      <c r="AS296" s="81"/>
      <c r="AT296" s="104"/>
      <c r="AU296" s="104"/>
      <c r="AV296" s="104"/>
      <c r="AW296" s="81"/>
      <c r="AX296" s="81"/>
      <c r="AY296" s="81"/>
      <c r="AZ296" s="78"/>
      <c r="BA296" s="78"/>
      <c r="BB296" s="78"/>
      <c r="BC296" s="81"/>
      <c r="BD296" s="81"/>
      <c r="BE296" s="81"/>
      <c r="BF296" s="104"/>
      <c r="BG296" s="104"/>
      <c r="BH296" s="104"/>
      <c r="BI296" s="81"/>
      <c r="BJ296" s="81"/>
      <c r="BK296" s="81"/>
      <c r="BL296" s="78"/>
      <c r="BM296" s="78"/>
      <c r="BN296" s="78"/>
      <c r="BO296" s="81"/>
      <c r="BP296" s="81"/>
      <c r="BQ296" s="81"/>
      <c r="BR296" s="146"/>
      <c r="BS296" s="146"/>
      <c r="BT296" s="146"/>
    </row>
    <row r="297" s="46" customFormat="1" spans="1:72">
      <c r="A297" s="129">
        <v>45442</v>
      </c>
      <c r="B297" s="130" t="s">
        <v>1330</v>
      </c>
      <c r="C297" s="131">
        <v>522</v>
      </c>
      <c r="D297" s="132"/>
      <c r="E297" s="104"/>
      <c r="F297" s="81"/>
      <c r="G297" s="78">
        <v>-12</v>
      </c>
      <c r="H297" s="81"/>
      <c r="I297" s="104"/>
      <c r="J297" s="81"/>
      <c r="K297" s="78"/>
      <c r="L297" s="81"/>
      <c r="M297" s="133"/>
      <c r="N297" s="104"/>
      <c r="O297" s="131"/>
      <c r="P297" s="134"/>
      <c r="Q297" s="81"/>
      <c r="R297" s="78"/>
      <c r="S297" s="81"/>
      <c r="T297" s="104"/>
      <c r="U297" s="81"/>
      <c r="V297" s="136"/>
      <c r="W297" s="78"/>
      <c r="X297" s="81"/>
      <c r="Y297" s="104"/>
      <c r="Z297" s="81"/>
      <c r="AA297" s="78"/>
      <c r="AB297" s="81">
        <v>-60</v>
      </c>
      <c r="AC297" s="104"/>
      <c r="AD297" s="81"/>
      <c r="AE297" s="78"/>
      <c r="AF297" s="81"/>
      <c r="AG297" s="145">
        <v>45442</v>
      </c>
      <c r="AH297" s="147"/>
      <c r="AI297" s="147"/>
      <c r="AJ297" s="104"/>
      <c r="AK297" s="81"/>
      <c r="AL297" s="81"/>
      <c r="AM297" s="81"/>
      <c r="AN297" s="78"/>
      <c r="AO297" s="78"/>
      <c r="AP297" s="78"/>
      <c r="AQ297" s="81"/>
      <c r="AR297" s="81"/>
      <c r="AS297" s="81"/>
      <c r="AT297" s="104"/>
      <c r="AU297" s="104"/>
      <c r="AV297" s="104"/>
      <c r="AW297" s="81"/>
      <c r="AX297" s="81"/>
      <c r="AY297" s="81"/>
      <c r="AZ297" s="78"/>
      <c r="BA297" s="78"/>
      <c r="BB297" s="78"/>
      <c r="BC297" s="81"/>
      <c r="BD297" s="81"/>
      <c r="BE297" s="81"/>
      <c r="BF297" s="104">
        <v>225</v>
      </c>
      <c r="BG297" s="104">
        <v>7.5</v>
      </c>
      <c r="BH297" s="104">
        <f>BF297*BG297</f>
        <v>1687.5</v>
      </c>
      <c r="BI297" s="81"/>
      <c r="BJ297" s="81"/>
      <c r="BK297" s="81"/>
      <c r="BL297" s="78"/>
      <c r="BM297" s="78"/>
      <c r="BN297" s="78"/>
      <c r="BO297" s="81">
        <v>225</v>
      </c>
      <c r="BP297" s="81">
        <v>8.5</v>
      </c>
      <c r="BQ297" s="81">
        <f>BO297*BP297</f>
        <v>1912.5</v>
      </c>
      <c r="BR297" s="146"/>
      <c r="BS297" s="146"/>
      <c r="BT297" s="146"/>
    </row>
    <row r="298" s="12" customFormat="1" spans="1:72">
      <c r="A298" s="129"/>
      <c r="B298" s="217"/>
      <c r="C298" s="131"/>
      <c r="D298" s="132"/>
      <c r="E298" s="104"/>
      <c r="F298" s="81"/>
      <c r="G298" s="78"/>
      <c r="H298" s="81"/>
      <c r="I298" s="104"/>
      <c r="J298" s="81"/>
      <c r="K298" s="78"/>
      <c r="L298" s="81"/>
      <c r="M298" s="133"/>
      <c r="N298" s="104"/>
      <c r="O298" s="131"/>
      <c r="P298" s="134"/>
      <c r="Q298" s="81"/>
      <c r="R298" s="78"/>
      <c r="S298" s="81"/>
      <c r="T298" s="104"/>
      <c r="U298" s="81"/>
      <c r="V298" s="136"/>
      <c r="W298" s="78"/>
      <c r="X298" s="81"/>
      <c r="Y298" s="104"/>
      <c r="Z298" s="81"/>
      <c r="AA298" s="78"/>
      <c r="AB298" s="81"/>
      <c r="AC298" s="104"/>
      <c r="AD298" s="81"/>
      <c r="AE298" s="78"/>
      <c r="AF298" s="81"/>
      <c r="AG298" s="145"/>
      <c r="AH298" s="147"/>
      <c r="AI298" s="147"/>
      <c r="AJ298" s="104"/>
      <c r="AK298" s="81"/>
      <c r="AL298" s="81"/>
      <c r="AM298" s="81"/>
      <c r="AN298" s="78"/>
      <c r="AO298" s="78"/>
      <c r="AP298" s="78"/>
      <c r="AQ298" s="81"/>
      <c r="AR298" s="81"/>
      <c r="AS298" s="81"/>
      <c r="AT298" s="104"/>
      <c r="AU298" s="104"/>
      <c r="AV298" s="104"/>
      <c r="AW298" s="81"/>
      <c r="AX298" s="81"/>
      <c r="AY298" s="81"/>
      <c r="AZ298" s="78"/>
      <c r="BA298" s="78"/>
      <c r="BB298" s="78"/>
      <c r="BC298" s="81"/>
      <c r="BD298" s="81"/>
      <c r="BE298" s="81"/>
      <c r="BF298" s="104"/>
      <c r="BG298" s="104"/>
      <c r="BH298" s="104"/>
      <c r="BI298" s="81"/>
      <c r="BJ298" s="81"/>
      <c r="BK298" s="81"/>
      <c r="BL298" s="78"/>
      <c r="BM298" s="78"/>
      <c r="BN298" s="78"/>
      <c r="BO298" s="81"/>
      <c r="BP298" s="81"/>
      <c r="BQ298" s="81"/>
      <c r="BR298" s="146"/>
      <c r="BS298" s="146"/>
      <c r="BT298" s="146"/>
    </row>
    <row r="299" s="12" customFormat="1" spans="1:72">
      <c r="A299" s="129"/>
      <c r="B299" s="217"/>
      <c r="C299" s="131"/>
      <c r="D299" s="132"/>
      <c r="E299" s="104"/>
      <c r="F299" s="81"/>
      <c r="G299" s="78"/>
      <c r="H299" s="81"/>
      <c r="I299" s="104"/>
      <c r="J299" s="81"/>
      <c r="K299" s="78"/>
      <c r="L299" s="81"/>
      <c r="M299" s="133"/>
      <c r="N299" s="104"/>
      <c r="O299" s="131"/>
      <c r="P299" s="134"/>
      <c r="Q299" s="81"/>
      <c r="R299" s="78"/>
      <c r="S299" s="81"/>
      <c r="T299" s="104"/>
      <c r="U299" s="81"/>
      <c r="V299" s="136"/>
      <c r="W299" s="78"/>
      <c r="X299" s="81"/>
      <c r="Y299" s="104"/>
      <c r="Z299" s="81"/>
      <c r="AA299" s="78"/>
      <c r="AB299" s="81"/>
      <c r="AC299" s="104"/>
      <c r="AD299" s="81"/>
      <c r="AE299" s="78"/>
      <c r="AF299" s="81"/>
      <c r="AG299" s="145"/>
      <c r="AH299" s="147"/>
      <c r="AI299" s="147"/>
      <c r="AJ299" s="104"/>
      <c r="AK299" s="81"/>
      <c r="AL299" s="81"/>
      <c r="AM299" s="81"/>
      <c r="AN299" s="78"/>
      <c r="AO299" s="78"/>
      <c r="AP299" s="78"/>
      <c r="AQ299" s="81"/>
      <c r="AR299" s="81"/>
      <c r="AS299" s="81"/>
      <c r="AT299" s="104"/>
      <c r="AU299" s="104"/>
      <c r="AV299" s="104"/>
      <c r="AW299" s="81"/>
      <c r="AX299" s="81"/>
      <c r="AY299" s="81"/>
      <c r="AZ299" s="78"/>
      <c r="BA299" s="78"/>
      <c r="BB299" s="78"/>
      <c r="BC299" s="81"/>
      <c r="BD299" s="81"/>
      <c r="BE299" s="81"/>
      <c r="BF299" s="104"/>
      <c r="BG299" s="104"/>
      <c r="BH299" s="104"/>
      <c r="BI299" s="81"/>
      <c r="BJ299" s="81"/>
      <c r="BK299" s="81"/>
      <c r="BL299" s="78"/>
      <c r="BM299" s="78"/>
      <c r="BN299" s="78"/>
      <c r="BO299" s="81"/>
      <c r="BP299" s="81"/>
      <c r="BQ299" s="81"/>
      <c r="BR299" s="146"/>
      <c r="BS299" s="146"/>
      <c r="BT299" s="146"/>
    </row>
    <row r="300" s="12" customFormat="1" spans="1:72">
      <c r="A300" s="129"/>
      <c r="B300" s="217"/>
      <c r="C300" s="131"/>
      <c r="D300" s="132"/>
      <c r="E300" s="104"/>
      <c r="F300" s="81"/>
      <c r="G300" s="78"/>
      <c r="H300" s="81"/>
      <c r="I300" s="104"/>
      <c r="J300" s="81"/>
      <c r="K300" s="78"/>
      <c r="L300" s="81"/>
      <c r="M300" s="133"/>
      <c r="N300" s="104"/>
      <c r="O300" s="131"/>
      <c r="P300" s="134"/>
      <c r="Q300" s="81"/>
      <c r="R300" s="78"/>
      <c r="S300" s="81"/>
      <c r="T300" s="104"/>
      <c r="U300" s="81"/>
      <c r="V300" s="136"/>
      <c r="W300" s="78"/>
      <c r="X300" s="81"/>
      <c r="Y300" s="104"/>
      <c r="Z300" s="81"/>
      <c r="AA300" s="78"/>
      <c r="AB300" s="81"/>
      <c r="AC300" s="104"/>
      <c r="AD300" s="81"/>
      <c r="AE300" s="78"/>
      <c r="AF300" s="81"/>
      <c r="AG300" s="145"/>
      <c r="AH300" s="147"/>
      <c r="AI300" s="147"/>
      <c r="AJ300" s="104"/>
      <c r="AK300" s="81"/>
      <c r="AL300" s="81"/>
      <c r="AM300" s="81"/>
      <c r="AN300" s="78"/>
      <c r="AO300" s="78"/>
      <c r="AP300" s="78"/>
      <c r="AQ300" s="81"/>
      <c r="AR300" s="81"/>
      <c r="AS300" s="81"/>
      <c r="AT300" s="104"/>
      <c r="AU300" s="104"/>
      <c r="AV300" s="104"/>
      <c r="AW300" s="81"/>
      <c r="AX300" s="81"/>
      <c r="AY300" s="81"/>
      <c r="AZ300" s="78"/>
      <c r="BA300" s="78"/>
      <c r="BB300" s="78"/>
      <c r="BC300" s="81"/>
      <c r="BD300" s="81"/>
      <c r="BE300" s="81"/>
      <c r="BF300" s="104"/>
      <c r="BG300" s="104"/>
      <c r="BH300" s="104"/>
      <c r="BI300" s="81"/>
      <c r="BJ300" s="81"/>
      <c r="BK300" s="81"/>
      <c r="BL300" s="78"/>
      <c r="BM300" s="78"/>
      <c r="BN300" s="78"/>
      <c r="BO300" s="81"/>
      <c r="BP300" s="81"/>
      <c r="BQ300" s="81"/>
      <c r="BR300" s="146"/>
      <c r="BS300" s="146"/>
      <c r="BT300" s="146"/>
    </row>
    <row r="301" s="12" customFormat="1" spans="1:72">
      <c r="A301" s="129"/>
      <c r="B301" s="217"/>
      <c r="C301" s="131"/>
      <c r="D301" s="132"/>
      <c r="E301" s="104"/>
      <c r="F301" s="81"/>
      <c r="G301" s="78"/>
      <c r="H301" s="81"/>
      <c r="I301" s="104"/>
      <c r="J301" s="81"/>
      <c r="K301" s="78"/>
      <c r="L301" s="81"/>
      <c r="M301" s="133"/>
      <c r="N301" s="104"/>
      <c r="O301" s="131"/>
      <c r="P301" s="134"/>
      <c r="Q301" s="81"/>
      <c r="R301" s="78"/>
      <c r="S301" s="81"/>
      <c r="T301" s="104"/>
      <c r="U301" s="81"/>
      <c r="V301" s="136"/>
      <c r="W301" s="78"/>
      <c r="X301" s="81"/>
      <c r="Y301" s="104"/>
      <c r="Z301" s="81"/>
      <c r="AA301" s="78"/>
      <c r="AB301" s="81"/>
      <c r="AC301" s="104"/>
      <c r="AD301" s="81"/>
      <c r="AE301" s="78"/>
      <c r="AF301" s="81"/>
      <c r="AG301" s="145"/>
      <c r="AH301" s="147"/>
      <c r="AI301" s="147"/>
      <c r="AJ301" s="104"/>
      <c r="AK301" s="81"/>
      <c r="AL301" s="81"/>
      <c r="AM301" s="81"/>
      <c r="AN301" s="78"/>
      <c r="AO301" s="78"/>
      <c r="AP301" s="78"/>
      <c r="AQ301" s="81"/>
      <c r="AR301" s="81"/>
      <c r="AS301" s="81"/>
      <c r="AT301" s="104"/>
      <c r="AU301" s="104"/>
      <c r="AV301" s="104"/>
      <c r="AW301" s="81"/>
      <c r="AX301" s="81"/>
      <c r="AY301" s="81"/>
      <c r="AZ301" s="78"/>
      <c r="BA301" s="78"/>
      <c r="BB301" s="78"/>
      <c r="BC301" s="81"/>
      <c r="BD301" s="81"/>
      <c r="BE301" s="81"/>
      <c r="BF301" s="104"/>
      <c r="BG301" s="104"/>
      <c r="BH301" s="104"/>
      <c r="BI301" s="81"/>
      <c r="BJ301" s="81"/>
      <c r="BK301" s="81"/>
      <c r="BL301" s="78"/>
      <c r="BM301" s="78"/>
      <c r="BN301" s="78"/>
      <c r="BO301" s="81"/>
      <c r="BP301" s="81"/>
      <c r="BQ301" s="81"/>
      <c r="BR301" s="146"/>
      <c r="BS301" s="146"/>
      <c r="BT301" s="146"/>
    </row>
    <row r="302" s="12" customFormat="1" spans="1:72">
      <c r="A302" s="129"/>
      <c r="B302" s="217"/>
      <c r="C302" s="131">
        <f>SUM(C263:C301)</f>
        <v>15778.9</v>
      </c>
      <c r="D302" s="132">
        <f>SUM(D262:D301)</f>
        <v>500</v>
      </c>
      <c r="E302" s="131">
        <f t="shared" ref="D302:AF302" si="53">SUM(E262:E301)</f>
        <v>300</v>
      </c>
      <c r="F302" s="131">
        <f t="shared" si="53"/>
        <v>0</v>
      </c>
      <c r="G302" s="131">
        <f t="shared" si="53"/>
        <v>205</v>
      </c>
      <c r="H302" s="131">
        <f t="shared" si="53"/>
        <v>1041.5</v>
      </c>
      <c r="I302" s="131">
        <f t="shared" si="53"/>
        <v>0</v>
      </c>
      <c r="J302" s="131">
        <f t="shared" si="53"/>
        <v>296</v>
      </c>
      <c r="K302" s="131">
        <f t="shared" si="53"/>
        <v>0</v>
      </c>
      <c r="L302" s="131">
        <f t="shared" si="53"/>
        <v>0</v>
      </c>
      <c r="M302" s="131">
        <f t="shared" si="53"/>
        <v>0</v>
      </c>
      <c r="N302" s="131">
        <f t="shared" si="53"/>
        <v>213</v>
      </c>
      <c r="O302" s="131">
        <f t="shared" si="53"/>
        <v>285</v>
      </c>
      <c r="P302" s="131">
        <f t="shared" si="53"/>
        <v>0</v>
      </c>
      <c r="Q302" s="131">
        <f t="shared" si="53"/>
        <v>629</v>
      </c>
      <c r="R302" s="131">
        <f t="shared" si="53"/>
        <v>33.5</v>
      </c>
      <c r="S302" s="131">
        <f t="shared" si="53"/>
        <v>658.6</v>
      </c>
      <c r="T302" s="131">
        <f t="shared" si="53"/>
        <v>1127</v>
      </c>
      <c r="U302" s="131">
        <f t="shared" si="53"/>
        <v>0</v>
      </c>
      <c r="V302" s="131">
        <f t="shared" si="53"/>
        <v>0</v>
      </c>
      <c r="W302" s="131">
        <f t="shared" si="53"/>
        <v>3</v>
      </c>
      <c r="X302" s="131">
        <f t="shared" si="53"/>
        <v>0</v>
      </c>
      <c r="Y302" s="131">
        <f t="shared" si="53"/>
        <v>0</v>
      </c>
      <c r="Z302" s="131">
        <f t="shared" si="53"/>
        <v>0</v>
      </c>
      <c r="AA302" s="131">
        <f t="shared" si="53"/>
        <v>0</v>
      </c>
      <c r="AB302" s="131">
        <f t="shared" si="53"/>
        <v>15</v>
      </c>
      <c r="AC302" s="131">
        <f t="shared" si="53"/>
        <v>0</v>
      </c>
      <c r="AD302" s="131">
        <f t="shared" si="53"/>
        <v>0</v>
      </c>
      <c r="AE302" s="131">
        <f t="shared" si="53"/>
        <v>0</v>
      </c>
      <c r="AF302" s="131">
        <f t="shared" si="53"/>
        <v>0</v>
      </c>
      <c r="AG302" s="145"/>
      <c r="AH302" s="104">
        <f t="shared" ref="AH302:AK302" si="54">SUM(AH262:AH301)</f>
        <v>300</v>
      </c>
      <c r="AI302" s="147"/>
      <c r="AJ302" s="104">
        <f t="shared" si="54"/>
        <v>0</v>
      </c>
      <c r="AK302" s="104">
        <f t="shared" si="54"/>
        <v>100</v>
      </c>
      <c r="AL302" s="147"/>
      <c r="AM302" s="104">
        <f t="shared" ref="AM302:AP302" si="55">SUM(AM262:AM301)</f>
        <v>90</v>
      </c>
      <c r="AN302" s="104">
        <f t="shared" si="55"/>
        <v>78</v>
      </c>
      <c r="AO302" s="147"/>
      <c r="AP302" s="104">
        <f t="shared" si="55"/>
        <v>1326</v>
      </c>
      <c r="AQ302" s="104">
        <f t="shared" ref="AQ302:AV302" si="56">SUM(AQ262:AQ301)</f>
        <v>0</v>
      </c>
      <c r="AR302" s="147"/>
      <c r="AS302" s="104">
        <f t="shared" si="56"/>
        <v>0</v>
      </c>
      <c r="AT302" s="104">
        <f t="shared" si="56"/>
        <v>22.5</v>
      </c>
      <c r="AU302" s="147"/>
      <c r="AV302" s="104">
        <f t="shared" si="56"/>
        <v>1687.5</v>
      </c>
      <c r="AW302" s="104">
        <f t="shared" ref="AW302:BB302" si="57">SUM(AW262:AW301)</f>
        <v>0</v>
      </c>
      <c r="AX302" s="147"/>
      <c r="AY302" s="104">
        <f t="shared" si="57"/>
        <v>0</v>
      </c>
      <c r="AZ302" s="104">
        <f t="shared" si="57"/>
        <v>0</v>
      </c>
      <c r="BA302" s="147"/>
      <c r="BB302" s="104">
        <f t="shared" si="57"/>
        <v>0</v>
      </c>
      <c r="BC302" s="104">
        <f t="shared" ref="BC302:BH302" si="58">SUM(BC262:BC301)</f>
        <v>1486</v>
      </c>
      <c r="BD302" s="147"/>
      <c r="BE302" s="104">
        <f t="shared" si="58"/>
        <v>16346</v>
      </c>
      <c r="BF302" s="104">
        <f t="shared" si="58"/>
        <v>2589.5</v>
      </c>
      <c r="BG302" s="147"/>
      <c r="BH302" s="104">
        <f t="shared" si="58"/>
        <v>19305.9</v>
      </c>
      <c r="BI302" s="104">
        <f t="shared" ref="BI302:BN302" si="59">SUM(BI262:BI301)</f>
        <v>619</v>
      </c>
      <c r="BJ302" s="147"/>
      <c r="BK302" s="104">
        <f t="shared" si="59"/>
        <v>2228.4</v>
      </c>
      <c r="BL302" s="104">
        <f t="shared" si="59"/>
        <v>0</v>
      </c>
      <c r="BM302" s="147"/>
      <c r="BN302" s="104">
        <f t="shared" si="59"/>
        <v>0</v>
      </c>
      <c r="BO302" s="104">
        <f t="shared" ref="BO302:BT302" si="60">SUM(BO262:BO301)</f>
        <v>1495</v>
      </c>
      <c r="BP302" s="147"/>
      <c r="BQ302" s="104">
        <f t="shared" si="60"/>
        <v>12800.5</v>
      </c>
      <c r="BR302" s="104">
        <f t="shared" si="60"/>
        <v>180</v>
      </c>
      <c r="BS302" s="147"/>
      <c r="BT302" s="104">
        <f t="shared" si="60"/>
        <v>1566</v>
      </c>
    </row>
    <row r="303" s="12" customFormat="1" spans="1:72">
      <c r="A303" s="17"/>
      <c r="B303" s="224"/>
      <c r="C303" s="162"/>
      <c r="D303" s="225"/>
      <c r="E303" s="226"/>
      <c r="G303" s="227"/>
      <c r="I303" s="226"/>
      <c r="K303" s="227"/>
      <c r="M303" s="228"/>
      <c r="N303" s="226"/>
      <c r="O303" s="162"/>
      <c r="P303" s="229"/>
      <c r="R303" s="227"/>
      <c r="T303" s="226"/>
      <c r="V303" s="230"/>
      <c r="W303" s="227"/>
      <c r="Y303" s="226"/>
      <c r="AA303" s="227"/>
      <c r="AC303" s="226"/>
      <c r="AE303" s="227"/>
      <c r="AG303" s="145"/>
      <c r="AH303" s="231"/>
      <c r="AI303" s="231"/>
      <c r="AJ303" s="226"/>
      <c r="AN303" s="227"/>
      <c r="AO303" s="227"/>
      <c r="AP303" s="227"/>
      <c r="AT303" s="226"/>
      <c r="AU303" s="226"/>
      <c r="AV303" s="226"/>
      <c r="AZ303" s="227"/>
      <c r="BA303" s="227"/>
      <c r="BB303" s="227"/>
      <c r="BF303" s="226"/>
      <c r="BG303" s="226"/>
      <c r="BH303" s="226"/>
      <c r="BL303" s="227"/>
      <c r="BM303" s="227"/>
      <c r="BN303" s="227"/>
      <c r="BO303" s="46"/>
      <c r="BP303" s="46"/>
      <c r="BQ303" s="46"/>
      <c r="BR303" s="210"/>
      <c r="BS303" s="210"/>
      <c r="BT303" s="210"/>
    </row>
    <row r="304" s="12" customFormat="1" spans="1:72">
      <c r="A304" s="17"/>
      <c r="B304" s="224"/>
      <c r="C304" s="162"/>
      <c r="D304" s="225"/>
      <c r="E304" s="226"/>
      <c r="G304" s="227"/>
      <c r="I304" s="226"/>
      <c r="K304" s="227"/>
      <c r="M304" s="228"/>
      <c r="N304" s="226"/>
      <c r="O304" s="162"/>
      <c r="P304" s="229"/>
      <c r="R304" s="227"/>
      <c r="T304" s="226"/>
      <c r="V304" s="230"/>
      <c r="W304" s="227"/>
      <c r="Y304" s="226"/>
      <c r="AA304" s="227"/>
      <c r="AC304" s="226"/>
      <c r="AE304" s="227"/>
      <c r="AG304" s="145"/>
      <c r="AH304" s="231"/>
      <c r="AI304" s="231"/>
      <c r="AJ304" s="226"/>
      <c r="AN304" s="227"/>
      <c r="AO304" s="227"/>
      <c r="AP304" s="227"/>
      <c r="AT304" s="226"/>
      <c r="AU304" s="226"/>
      <c r="AV304" s="226"/>
      <c r="AZ304" s="227"/>
      <c r="BA304" s="227"/>
      <c r="BB304" s="227"/>
      <c r="BF304" s="226"/>
      <c r="BG304" s="226"/>
      <c r="BH304" s="226"/>
      <c r="BL304" s="227"/>
      <c r="BM304" s="227"/>
      <c r="BN304" s="227"/>
      <c r="BO304" s="46"/>
      <c r="BP304" s="46"/>
      <c r="BQ304" s="46"/>
      <c r="BR304" s="210"/>
      <c r="BS304" s="210"/>
      <c r="BT304" s="210"/>
    </row>
    <row r="305" s="12" customFormat="1" spans="1:72">
      <c r="A305" s="17"/>
      <c r="B305" s="224"/>
      <c r="C305" s="162"/>
      <c r="D305" s="225"/>
      <c r="E305" s="226"/>
      <c r="G305" s="227"/>
      <c r="I305" s="226"/>
      <c r="K305" s="227"/>
      <c r="M305" s="228"/>
      <c r="N305" s="226"/>
      <c r="O305" s="162"/>
      <c r="P305" s="229"/>
      <c r="R305" s="227"/>
      <c r="T305" s="226"/>
      <c r="V305" s="230"/>
      <c r="W305" s="227"/>
      <c r="Y305" s="226"/>
      <c r="AA305" s="227"/>
      <c r="AC305" s="226"/>
      <c r="AE305" s="227"/>
      <c r="AG305" s="145"/>
      <c r="AH305" s="231"/>
      <c r="AI305" s="231"/>
      <c r="AJ305" s="226"/>
      <c r="AN305" s="227"/>
      <c r="AO305" s="227"/>
      <c r="AP305" s="227"/>
      <c r="AT305" s="226"/>
      <c r="AU305" s="226"/>
      <c r="AV305" s="226"/>
      <c r="AZ305" s="227"/>
      <c r="BA305" s="227"/>
      <c r="BB305" s="227"/>
      <c r="BF305" s="226"/>
      <c r="BG305" s="226"/>
      <c r="BH305" s="226"/>
      <c r="BL305" s="227"/>
      <c r="BM305" s="227"/>
      <c r="BN305" s="227"/>
      <c r="BO305" s="46"/>
      <c r="BP305" s="46"/>
      <c r="BQ305" s="46"/>
      <c r="BR305" s="210"/>
      <c r="BS305" s="210"/>
      <c r="BT305" s="210"/>
    </row>
    <row r="306" s="12" customFormat="1" spans="1:72">
      <c r="A306" s="17"/>
      <c r="B306" s="224"/>
      <c r="C306" s="162"/>
      <c r="D306" s="225"/>
      <c r="E306" s="226"/>
      <c r="G306" s="227"/>
      <c r="I306" s="226"/>
      <c r="K306" s="227"/>
      <c r="M306" s="228"/>
      <c r="N306" s="226"/>
      <c r="O306" s="162"/>
      <c r="P306" s="229"/>
      <c r="R306" s="227"/>
      <c r="T306" s="226"/>
      <c r="V306" s="230"/>
      <c r="W306" s="227"/>
      <c r="Y306" s="226"/>
      <c r="AA306" s="227"/>
      <c r="AC306" s="226"/>
      <c r="AE306" s="227"/>
      <c r="AG306" s="145"/>
      <c r="AH306" s="231"/>
      <c r="AI306" s="231"/>
      <c r="AJ306" s="226"/>
      <c r="AN306" s="227"/>
      <c r="AO306" s="227"/>
      <c r="AP306" s="227"/>
      <c r="AT306" s="226"/>
      <c r="AU306" s="226"/>
      <c r="AV306" s="226"/>
      <c r="AZ306" s="227"/>
      <c r="BA306" s="227"/>
      <c r="BB306" s="227"/>
      <c r="BF306" s="226"/>
      <c r="BG306" s="226"/>
      <c r="BH306" s="226"/>
      <c r="BL306" s="227"/>
      <c r="BM306" s="227"/>
      <c r="BN306" s="227"/>
      <c r="BO306" s="46"/>
      <c r="BP306" s="46"/>
      <c r="BQ306" s="46"/>
      <c r="BR306" s="210"/>
      <c r="BS306" s="210"/>
      <c r="BT306" s="210"/>
    </row>
    <row r="307" s="12" customFormat="1" spans="1:72">
      <c r="A307" s="17"/>
      <c r="B307" s="224"/>
      <c r="C307" s="162"/>
      <c r="D307" s="225"/>
      <c r="E307" s="226"/>
      <c r="G307" s="227"/>
      <c r="I307" s="226"/>
      <c r="K307" s="227"/>
      <c r="M307" s="228"/>
      <c r="N307" s="226"/>
      <c r="O307" s="162"/>
      <c r="P307" s="229"/>
      <c r="R307" s="227"/>
      <c r="T307" s="226"/>
      <c r="V307" s="230"/>
      <c r="W307" s="227"/>
      <c r="Y307" s="226"/>
      <c r="AA307" s="227"/>
      <c r="AC307" s="226"/>
      <c r="AE307" s="227"/>
      <c r="AG307" s="145"/>
      <c r="AH307" s="231"/>
      <c r="AI307" s="231"/>
      <c r="AJ307" s="226"/>
      <c r="AN307" s="227"/>
      <c r="AO307" s="227"/>
      <c r="AP307" s="227"/>
      <c r="AT307" s="226"/>
      <c r="AU307" s="226"/>
      <c r="AV307" s="226"/>
      <c r="AZ307" s="227"/>
      <c r="BA307" s="227"/>
      <c r="BB307" s="227"/>
      <c r="BF307" s="226"/>
      <c r="BG307" s="226"/>
      <c r="BH307" s="226"/>
      <c r="BL307" s="227"/>
      <c r="BM307" s="227"/>
      <c r="BN307" s="227"/>
      <c r="BO307" s="46"/>
      <c r="BP307" s="46"/>
      <c r="BQ307" s="46"/>
      <c r="BR307" s="210"/>
      <c r="BS307" s="210"/>
      <c r="BT307" s="210"/>
    </row>
    <row r="308" s="12" customFormat="1" spans="1:72">
      <c r="A308" s="17"/>
      <c r="B308" s="224"/>
      <c r="C308" s="162"/>
      <c r="D308" s="225"/>
      <c r="E308" s="226"/>
      <c r="G308" s="227"/>
      <c r="I308" s="226"/>
      <c r="K308" s="227"/>
      <c r="M308" s="228"/>
      <c r="N308" s="226"/>
      <c r="O308" s="162"/>
      <c r="P308" s="229"/>
      <c r="R308" s="227"/>
      <c r="T308" s="226"/>
      <c r="V308" s="230"/>
      <c r="W308" s="227"/>
      <c r="Y308" s="226"/>
      <c r="AA308" s="227"/>
      <c r="AC308" s="226"/>
      <c r="AE308" s="227"/>
      <c r="AG308" s="145"/>
      <c r="AH308" s="231"/>
      <c r="AI308" s="231"/>
      <c r="AJ308" s="226"/>
      <c r="AN308" s="227"/>
      <c r="AO308" s="227"/>
      <c r="AP308" s="227"/>
      <c r="AT308" s="226"/>
      <c r="AU308" s="226"/>
      <c r="AV308" s="226"/>
      <c r="AZ308" s="227"/>
      <c r="BA308" s="227"/>
      <c r="BB308" s="227"/>
      <c r="BF308" s="226"/>
      <c r="BG308" s="226"/>
      <c r="BH308" s="226"/>
      <c r="BL308" s="227"/>
      <c r="BM308" s="227"/>
      <c r="BN308" s="227"/>
      <c r="BO308" s="46"/>
      <c r="BP308" s="46"/>
      <c r="BQ308" s="46"/>
      <c r="BR308" s="210"/>
      <c r="BS308" s="210"/>
      <c r="BT308" s="210"/>
    </row>
    <row r="316" s="11" customFormat="1" ht="27" customHeight="1" spans="1:72">
      <c r="A316" s="232" t="s">
        <v>1384</v>
      </c>
      <c r="B316" s="232"/>
      <c r="C316" s="232"/>
      <c r="D316" s="233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4"/>
      <c r="P316" s="232"/>
      <c r="Q316" s="232"/>
      <c r="R316" s="23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3"/>
      <c r="AH316" s="74"/>
      <c r="AI316" s="74"/>
      <c r="AJ316" s="75"/>
      <c r="AK316" s="75"/>
      <c r="AL316" s="72" t="s">
        <v>908</v>
      </c>
      <c r="AM316" s="72"/>
      <c r="AN316" s="72"/>
      <c r="AO316" s="76"/>
      <c r="AP316" s="76"/>
      <c r="AQ316" s="77">
        <f>SUM(AJ389+AM389+AP389+AS389+AV389+AY389+BB389+BE389+BH389+BK389+BN389+BQ389+BT389)</f>
        <v>75726.36</v>
      </c>
      <c r="AR316" s="77"/>
      <c r="AS316" s="72"/>
      <c r="AT316" s="72"/>
      <c r="AU316" s="75"/>
      <c r="AV316" s="75"/>
      <c r="AW316" s="75"/>
      <c r="AX316" s="72"/>
      <c r="AY316" s="72"/>
      <c r="AZ316" s="72"/>
      <c r="BA316" s="77"/>
      <c r="BB316" s="77"/>
      <c r="BC316" s="77"/>
      <c r="BD316" s="72"/>
      <c r="BE316" s="72"/>
      <c r="BF316" s="72"/>
      <c r="BG316" s="75"/>
      <c r="BH316" s="75"/>
      <c r="BI316" s="75"/>
      <c r="BJ316" s="72"/>
      <c r="BK316" s="72"/>
      <c r="BL316" s="72"/>
      <c r="BM316" s="77"/>
      <c r="BN316" s="77"/>
      <c r="BO316" s="78"/>
      <c r="BP316" s="79"/>
      <c r="BQ316" s="79"/>
      <c r="BR316" s="80"/>
    </row>
    <row r="317" s="12" customFormat="1" ht="20" customHeight="1" spans="1:72">
      <c r="A317" s="81" t="s">
        <v>35</v>
      </c>
      <c r="B317" s="82" t="s">
        <v>909</v>
      </c>
      <c r="C317" s="206"/>
      <c r="D317" s="235" t="s">
        <v>240</v>
      </c>
      <c r="E317" s="236" t="s">
        <v>1308</v>
      </c>
      <c r="F317" s="237" t="s">
        <v>315</v>
      </c>
      <c r="G317" s="238" t="s">
        <v>316</v>
      </c>
      <c r="H317" s="81" t="s">
        <v>704</v>
      </c>
      <c r="I317" s="239" t="s">
        <v>1203</v>
      </c>
      <c r="J317" s="81" t="s">
        <v>979</v>
      </c>
      <c r="K317" s="238" t="s">
        <v>1205</v>
      </c>
      <c r="L317" s="240" t="s">
        <v>542</v>
      </c>
      <c r="M317" s="241" t="s">
        <v>1206</v>
      </c>
      <c r="N317" s="104" t="s">
        <v>342</v>
      </c>
      <c r="O317" s="242" t="s">
        <v>1385</v>
      </c>
      <c r="P317" s="243" t="s">
        <v>1207</v>
      </c>
      <c r="Q317" s="240" t="s">
        <v>1208</v>
      </c>
      <c r="R317" s="238" t="s">
        <v>1209</v>
      </c>
      <c r="S317" s="81" t="s">
        <v>149</v>
      </c>
      <c r="T317" s="104" t="s">
        <v>298</v>
      </c>
      <c r="U317" s="81" t="s">
        <v>1360</v>
      </c>
      <c r="V317" s="244">
        <v>5014</v>
      </c>
      <c r="W317" s="238" t="s">
        <v>1210</v>
      </c>
      <c r="X317" s="240" t="s">
        <v>1293</v>
      </c>
      <c r="Y317" s="239" t="s">
        <v>1212</v>
      </c>
      <c r="Z317" s="81" t="s">
        <v>872</v>
      </c>
      <c r="AA317" s="78" t="s">
        <v>896</v>
      </c>
      <c r="AB317" s="81" t="s">
        <v>1213</v>
      </c>
      <c r="AC317" s="104" t="s">
        <v>1214</v>
      </c>
      <c r="AD317" s="81" t="s">
        <v>199</v>
      </c>
      <c r="AE317" s="78" t="s">
        <v>1215</v>
      </c>
      <c r="AF317" s="245" t="s">
        <v>1386</v>
      </c>
      <c r="AG317" s="73" t="s">
        <v>35</v>
      </c>
      <c r="AH317" s="74" t="s">
        <v>289</v>
      </c>
      <c r="AI317" s="74"/>
      <c r="AJ317" s="103"/>
      <c r="AK317" s="81" t="s">
        <v>466</v>
      </c>
      <c r="AL317" s="81"/>
      <c r="AM317" s="81"/>
      <c r="AN317" s="78" t="s">
        <v>191</v>
      </c>
      <c r="AO317" s="78"/>
      <c r="AP317" s="78"/>
      <c r="AQ317" s="81" t="s">
        <v>911</v>
      </c>
      <c r="AR317" s="81"/>
      <c r="AS317" s="81"/>
      <c r="AT317" s="104" t="s">
        <v>912</v>
      </c>
      <c r="AU317" s="104"/>
      <c r="AV317" s="104"/>
      <c r="AW317" s="81" t="s">
        <v>984</v>
      </c>
      <c r="AX317" s="81"/>
      <c r="AY317" s="81"/>
      <c r="AZ317" s="78" t="s">
        <v>960</v>
      </c>
      <c r="BA317" s="78"/>
      <c r="BB317" s="78"/>
      <c r="BC317" s="81">
        <v>808</v>
      </c>
      <c r="BD317" s="81"/>
      <c r="BE317" s="81"/>
      <c r="BF317" s="104" t="s">
        <v>125</v>
      </c>
      <c r="BG317" s="104"/>
      <c r="BH317" s="104"/>
      <c r="BI317" s="81" t="s">
        <v>132</v>
      </c>
      <c r="BJ317" s="81"/>
      <c r="BK317" s="81"/>
      <c r="BL317" s="78">
        <v>811</v>
      </c>
      <c r="BM317" s="78"/>
      <c r="BN317" s="105"/>
      <c r="BO317" s="81" t="s">
        <v>152</v>
      </c>
      <c r="BP317" s="81"/>
      <c r="BQ317" s="81"/>
      <c r="BR317" s="106" t="s">
        <v>12</v>
      </c>
      <c r="BS317" s="107"/>
      <c r="BT317" s="108"/>
    </row>
    <row r="318" s="12" customFormat="1" ht="27" customHeight="1" spans="1:72">
      <c r="A318" s="81"/>
      <c r="B318" s="82" t="s">
        <v>914</v>
      </c>
      <c r="C318" s="206" t="s">
        <v>915</v>
      </c>
      <c r="D318" s="246"/>
      <c r="E318" s="177"/>
      <c r="F318" s="247"/>
      <c r="G318" s="238"/>
      <c r="H318" s="81"/>
      <c r="I318" s="239"/>
      <c r="J318" s="81"/>
      <c r="K318" s="238"/>
      <c r="L318" s="240"/>
      <c r="M318" s="248"/>
      <c r="N318" s="104"/>
      <c r="O318" s="249"/>
      <c r="P318" s="243"/>
      <c r="Q318" s="240"/>
      <c r="R318" s="238"/>
      <c r="S318" s="81"/>
      <c r="T318" s="104"/>
      <c r="U318" s="81"/>
      <c r="V318" s="250"/>
      <c r="W318" s="238"/>
      <c r="X318" s="240"/>
      <c r="Y318" s="239"/>
      <c r="Z318" s="81"/>
      <c r="AA318" s="78"/>
      <c r="AB318" s="81"/>
      <c r="AC318" s="104"/>
      <c r="AD318" s="81"/>
      <c r="AE318" s="78"/>
      <c r="AF318" s="245"/>
      <c r="AG318" s="73"/>
      <c r="AH318" s="117" t="s">
        <v>916</v>
      </c>
      <c r="AI318" s="118" t="s">
        <v>917</v>
      </c>
      <c r="AJ318" s="81" t="s">
        <v>918</v>
      </c>
      <c r="AK318" s="81" t="s">
        <v>916</v>
      </c>
      <c r="AL318" s="81" t="s">
        <v>917</v>
      </c>
      <c r="AM318" s="81" t="s">
        <v>918</v>
      </c>
      <c r="AN318" s="78" t="s">
        <v>916</v>
      </c>
      <c r="AO318" s="78" t="s">
        <v>917</v>
      </c>
      <c r="AP318" s="78" t="s">
        <v>918</v>
      </c>
      <c r="AQ318" s="81" t="s">
        <v>916</v>
      </c>
      <c r="AR318" s="81" t="s">
        <v>917</v>
      </c>
      <c r="AS318" s="81" t="s">
        <v>918</v>
      </c>
      <c r="AT318" s="104" t="s">
        <v>916</v>
      </c>
      <c r="AU318" s="104" t="s">
        <v>917</v>
      </c>
      <c r="AV318" s="104" t="s">
        <v>918</v>
      </c>
      <c r="AW318" s="81" t="s">
        <v>916</v>
      </c>
      <c r="AX318" s="81" t="s">
        <v>917</v>
      </c>
      <c r="AY318" s="81" t="s">
        <v>918</v>
      </c>
      <c r="AZ318" s="78" t="s">
        <v>916</v>
      </c>
      <c r="BA318" s="78" t="s">
        <v>917</v>
      </c>
      <c r="BB318" s="78" t="s">
        <v>918</v>
      </c>
      <c r="BC318" s="81" t="s">
        <v>916</v>
      </c>
      <c r="BD318" s="81" t="s">
        <v>917</v>
      </c>
      <c r="BE318" s="81" t="s">
        <v>918</v>
      </c>
      <c r="BF318" s="104" t="s">
        <v>916</v>
      </c>
      <c r="BG318" s="104" t="s">
        <v>917</v>
      </c>
      <c r="BH318" s="104" t="s">
        <v>918</v>
      </c>
      <c r="BI318" s="81" t="s">
        <v>916</v>
      </c>
      <c r="BJ318" s="81" t="s">
        <v>917</v>
      </c>
      <c r="BK318" s="81" t="s">
        <v>918</v>
      </c>
      <c r="BL318" s="78" t="s">
        <v>916</v>
      </c>
      <c r="BM318" s="78" t="s">
        <v>917</v>
      </c>
      <c r="BN318" s="105" t="s">
        <v>918</v>
      </c>
      <c r="BO318" s="81" t="s">
        <v>916</v>
      </c>
      <c r="BP318" s="81" t="s">
        <v>917</v>
      </c>
      <c r="BQ318" s="81" t="s">
        <v>918</v>
      </c>
      <c r="BR318" s="104" t="s">
        <v>916</v>
      </c>
      <c r="BS318" s="104" t="s">
        <v>917</v>
      </c>
      <c r="BT318" s="104" t="s">
        <v>918</v>
      </c>
    </row>
    <row r="319" s="12" customFormat="1" spans="1:72">
      <c r="A319" s="129">
        <v>45382</v>
      </c>
      <c r="B319" s="82" t="s">
        <v>1007</v>
      </c>
      <c r="C319" s="251"/>
      <c r="D319" s="132">
        <v>20.5</v>
      </c>
      <c r="E319" s="103"/>
      <c r="F319" s="252">
        <v>254.5</v>
      </c>
      <c r="G319" s="78">
        <v>685</v>
      </c>
      <c r="H319" s="81">
        <v>221.5</v>
      </c>
      <c r="I319" s="104">
        <v>646</v>
      </c>
      <c r="J319" s="81">
        <v>6</v>
      </c>
      <c r="K319" s="78">
        <v>311</v>
      </c>
      <c r="L319" s="81">
        <v>-125</v>
      </c>
      <c r="M319" s="133"/>
      <c r="N319" s="104">
        <v>46</v>
      </c>
      <c r="O319" s="131"/>
      <c r="P319" s="134">
        <v>521.5</v>
      </c>
      <c r="Q319" s="81"/>
      <c r="R319" s="78">
        <v>42.7</v>
      </c>
      <c r="S319" s="81">
        <v>944.1</v>
      </c>
      <c r="T319" s="104">
        <v>1301</v>
      </c>
      <c r="U319" s="81">
        <v>108</v>
      </c>
      <c r="V319" s="136">
        <v>16</v>
      </c>
      <c r="W319" s="78">
        <v>26</v>
      </c>
      <c r="X319" s="81">
        <v>25</v>
      </c>
      <c r="Y319" s="104">
        <v>0</v>
      </c>
      <c r="Z319" s="81">
        <v>0</v>
      </c>
      <c r="AA319" s="78">
        <v>0</v>
      </c>
      <c r="AB319" s="81">
        <v>68.3</v>
      </c>
      <c r="AC319" s="104">
        <v>2.5</v>
      </c>
      <c r="AD319" s="81">
        <v>0</v>
      </c>
      <c r="AE319" s="78">
        <v>140</v>
      </c>
      <c r="AF319" s="245">
        <v>2050</v>
      </c>
      <c r="AG319" s="145">
        <v>45382</v>
      </c>
      <c r="AH319" s="253"/>
      <c r="AI319" s="253"/>
      <c r="AJ319" s="104"/>
      <c r="AK319" s="81"/>
      <c r="AL319" s="81"/>
      <c r="AM319" s="81"/>
      <c r="AN319" s="78"/>
      <c r="AO319" s="78"/>
      <c r="AP319" s="78"/>
      <c r="AQ319" s="81"/>
      <c r="AR319" s="81"/>
      <c r="AS319" s="81"/>
      <c r="AT319" s="104"/>
      <c r="AU319" s="104"/>
      <c r="AV319" s="104"/>
      <c r="AW319" s="81"/>
      <c r="AX319" s="81"/>
      <c r="AY319" s="81"/>
      <c r="AZ319" s="78"/>
      <c r="BA319" s="78"/>
      <c r="BB319" s="78"/>
      <c r="BC319" s="81"/>
      <c r="BD319" s="81"/>
      <c r="BE319" s="81"/>
      <c r="BF319" s="104"/>
      <c r="BG319" s="104"/>
      <c r="BH319" s="104"/>
      <c r="BI319" s="81"/>
      <c r="BJ319" s="81"/>
      <c r="BK319" s="81"/>
      <c r="BL319" s="78"/>
      <c r="BM319" s="78"/>
      <c r="BN319" s="105"/>
      <c r="BO319" s="81"/>
      <c r="BP319" s="81"/>
      <c r="BQ319" s="81"/>
      <c r="BR319" s="146"/>
      <c r="BS319" s="146"/>
      <c r="BT319" s="146"/>
    </row>
    <row r="320" s="1" customFormat="1" spans="1:72">
      <c r="A320" s="129">
        <v>45383</v>
      </c>
      <c r="B320" s="220" t="s">
        <v>1387</v>
      </c>
      <c r="C320" s="251"/>
      <c r="D320" s="132"/>
      <c r="E320" s="254">
        <v>75</v>
      </c>
      <c r="F320" s="81"/>
      <c r="G320" s="78"/>
      <c r="H320" s="81"/>
      <c r="I320" s="104"/>
      <c r="J320" s="81"/>
      <c r="K320" s="78"/>
      <c r="L320" s="81"/>
      <c r="M320" s="133"/>
      <c r="N320" s="104"/>
      <c r="O320" s="131"/>
      <c r="P320" s="134"/>
      <c r="Q320" s="81"/>
      <c r="R320" s="78"/>
      <c r="S320" s="81"/>
      <c r="T320" s="104"/>
      <c r="U320" s="81"/>
      <c r="V320" s="136"/>
      <c r="W320" s="78"/>
      <c r="X320" s="81"/>
      <c r="Y320" s="104"/>
      <c r="Z320" s="81"/>
      <c r="AA320" s="78"/>
      <c r="AB320" s="81"/>
      <c r="AC320" s="104"/>
      <c r="AD320" s="81"/>
      <c r="AE320" s="78"/>
      <c r="AF320" s="245"/>
      <c r="AG320" s="145">
        <v>45383</v>
      </c>
      <c r="AH320" s="253"/>
      <c r="AI320" s="253"/>
      <c r="AJ320" s="104"/>
      <c r="AK320" s="81"/>
      <c r="AL320" s="81"/>
      <c r="AM320" s="81"/>
      <c r="AN320" s="78"/>
      <c r="AO320" s="78"/>
      <c r="AP320" s="78"/>
      <c r="AQ320" s="81"/>
      <c r="AR320" s="81"/>
      <c r="AS320" s="81"/>
      <c r="AT320" s="104"/>
      <c r="AU320" s="104"/>
      <c r="AV320" s="104"/>
      <c r="AW320" s="81"/>
      <c r="AX320" s="81"/>
      <c r="AY320" s="81"/>
      <c r="AZ320" s="78"/>
      <c r="BA320" s="78"/>
      <c r="BB320" s="78"/>
      <c r="BC320" s="81"/>
      <c r="BD320" s="81"/>
      <c r="BE320" s="81"/>
      <c r="BF320" s="104"/>
      <c r="BG320" s="104"/>
      <c r="BH320" s="104"/>
      <c r="BI320" s="81"/>
      <c r="BJ320" s="81"/>
      <c r="BK320" s="81"/>
      <c r="BL320" s="78"/>
      <c r="BM320" s="78"/>
      <c r="BN320" s="105"/>
      <c r="BO320" s="81"/>
      <c r="BP320" s="81"/>
      <c r="BQ320" s="81"/>
      <c r="BR320" s="146"/>
      <c r="BS320" s="146"/>
      <c r="BT320" s="146"/>
    </row>
    <row r="321" s="1" customFormat="1" spans="1:72">
      <c r="A321" s="129">
        <v>45383</v>
      </c>
      <c r="B321" s="255" t="s">
        <v>240</v>
      </c>
      <c r="C321" s="251">
        <v>187.5</v>
      </c>
      <c r="D321" s="132"/>
      <c r="E321" s="103">
        <v>-75</v>
      </c>
      <c r="F321" s="81"/>
      <c r="G321" s="78"/>
      <c r="H321" s="81"/>
      <c r="I321" s="104"/>
      <c r="J321" s="81"/>
      <c r="K321" s="78"/>
      <c r="L321" s="81"/>
      <c r="M321" s="133"/>
      <c r="N321" s="104"/>
      <c r="O321" s="131"/>
      <c r="P321" s="134"/>
      <c r="Q321" s="81"/>
      <c r="R321" s="78"/>
      <c r="S321" s="81"/>
      <c r="T321" s="104"/>
      <c r="U321" s="81"/>
      <c r="V321" s="136"/>
      <c r="W321" s="78"/>
      <c r="X321" s="81"/>
      <c r="Y321" s="104"/>
      <c r="Z321" s="81"/>
      <c r="AA321" s="78"/>
      <c r="AB321" s="81"/>
      <c r="AC321" s="104"/>
      <c r="AD321" s="81"/>
      <c r="AE321" s="78"/>
      <c r="AF321" s="245"/>
      <c r="AG321" s="145">
        <v>45383</v>
      </c>
      <c r="AH321" s="253"/>
      <c r="AI321" s="253"/>
      <c r="AJ321" s="256"/>
      <c r="AK321" s="81"/>
      <c r="AL321" s="81"/>
      <c r="AM321" s="81"/>
      <c r="AN321" s="78"/>
      <c r="AO321" s="78"/>
      <c r="AP321" s="78"/>
      <c r="AQ321" s="81"/>
      <c r="AR321" s="81"/>
      <c r="AS321" s="81"/>
      <c r="AT321" s="104"/>
      <c r="AU321" s="104"/>
      <c r="AV321" s="104"/>
      <c r="AW321" s="81"/>
      <c r="AX321" s="81"/>
      <c r="AY321" s="81"/>
      <c r="AZ321" s="78"/>
      <c r="BA321" s="78"/>
      <c r="BB321" s="78"/>
      <c r="BC321" s="81">
        <v>112.5</v>
      </c>
      <c r="BD321" s="81">
        <v>10.3</v>
      </c>
      <c r="BE321" s="81">
        <f>BC321*BD321</f>
        <v>1158.75</v>
      </c>
      <c r="BF321" s="104"/>
      <c r="BG321" s="104"/>
      <c r="BH321" s="104"/>
      <c r="BI321" s="81"/>
      <c r="BJ321" s="81"/>
      <c r="BK321" s="81"/>
      <c r="BL321" s="78"/>
      <c r="BM321" s="78"/>
      <c r="BN321" s="105"/>
      <c r="BO321" s="81"/>
      <c r="BP321" s="81"/>
      <c r="BQ321" s="81"/>
      <c r="BR321" s="146"/>
      <c r="BS321" s="146"/>
      <c r="BT321" s="146"/>
    </row>
    <row r="322" s="1" customFormat="1" spans="1:72">
      <c r="A322" s="129">
        <v>45383</v>
      </c>
      <c r="B322" s="220" t="s">
        <v>1256</v>
      </c>
      <c r="C322" s="251"/>
      <c r="D322" s="149">
        <v>183</v>
      </c>
      <c r="E322" s="103"/>
      <c r="F322" s="81"/>
      <c r="G322" s="78"/>
      <c r="H322" s="81"/>
      <c r="I322" s="104"/>
      <c r="J322" s="81"/>
      <c r="K322" s="78"/>
      <c r="L322" s="81"/>
      <c r="M322" s="133"/>
      <c r="N322" s="104"/>
      <c r="O322" s="131"/>
      <c r="P322" s="134"/>
      <c r="Q322" s="81"/>
      <c r="R322" s="78"/>
      <c r="S322" s="81"/>
      <c r="T322" s="104"/>
      <c r="U322" s="81"/>
      <c r="V322" s="136"/>
      <c r="W322" s="78"/>
      <c r="X322" s="81"/>
      <c r="Y322" s="104"/>
      <c r="Z322" s="81"/>
      <c r="AA322" s="78"/>
      <c r="AB322" s="81"/>
      <c r="AC322" s="104"/>
      <c r="AD322" s="81"/>
      <c r="AE322" s="78"/>
      <c r="AF322" s="245"/>
      <c r="AG322" s="145">
        <v>45383</v>
      </c>
      <c r="AH322" s="253"/>
      <c r="AI322" s="253"/>
      <c r="AJ322" s="256"/>
      <c r="AK322" s="81"/>
      <c r="AL322" s="81"/>
      <c r="AM322" s="81"/>
      <c r="AN322" s="78"/>
      <c r="AO322" s="78"/>
      <c r="AP322" s="78"/>
      <c r="AQ322" s="81"/>
      <c r="AR322" s="81"/>
      <c r="AS322" s="81"/>
      <c r="AT322" s="104"/>
      <c r="AU322" s="104"/>
      <c r="AV322" s="104"/>
      <c r="AW322" s="81"/>
      <c r="AX322" s="81"/>
      <c r="AY322" s="81"/>
      <c r="AZ322" s="78"/>
      <c r="BA322" s="78"/>
      <c r="BB322" s="78"/>
      <c r="BC322" s="81"/>
      <c r="BD322" s="81"/>
      <c r="BE322" s="81"/>
      <c r="BF322" s="104"/>
      <c r="BG322" s="104"/>
      <c r="BH322" s="104"/>
      <c r="BI322" s="81"/>
      <c r="BJ322" s="81"/>
      <c r="BK322" s="81"/>
      <c r="BL322" s="78"/>
      <c r="BM322" s="78"/>
      <c r="BN322" s="105"/>
      <c r="BO322" s="81"/>
      <c r="BP322" s="81"/>
      <c r="BQ322" s="81"/>
      <c r="BR322" s="146"/>
      <c r="BS322" s="146"/>
      <c r="BT322" s="146"/>
    </row>
    <row r="323" s="50" customFormat="1" spans="1:72">
      <c r="A323" s="191">
        <v>45384</v>
      </c>
      <c r="B323" s="192" t="s">
        <v>1388</v>
      </c>
      <c r="C323" s="251"/>
      <c r="D323" s="132"/>
      <c r="E323" s="108"/>
      <c r="F323" s="194"/>
      <c r="G323" s="195"/>
      <c r="H323" s="194"/>
      <c r="I323" s="146"/>
      <c r="J323" s="194"/>
      <c r="K323" s="195"/>
      <c r="L323" s="194"/>
      <c r="M323" s="196"/>
      <c r="N323" s="146"/>
      <c r="O323" s="197"/>
      <c r="P323" s="198">
        <v>-4</v>
      </c>
      <c r="Q323" s="194"/>
      <c r="R323" s="195"/>
      <c r="S323" s="194"/>
      <c r="T323" s="146">
        <v>-15</v>
      </c>
      <c r="U323" s="194"/>
      <c r="V323" s="199"/>
      <c r="W323" s="195"/>
      <c r="X323" s="194"/>
      <c r="Y323" s="146"/>
      <c r="Z323" s="194"/>
      <c r="AA323" s="195"/>
      <c r="AB323" s="194"/>
      <c r="AC323" s="146"/>
      <c r="AD323" s="194"/>
      <c r="AE323" s="195"/>
      <c r="AF323" s="200"/>
      <c r="AG323" s="145">
        <v>45384</v>
      </c>
      <c r="AH323" s="257"/>
      <c r="AI323" s="257"/>
      <c r="AJ323" s="258"/>
      <c r="AK323" s="194"/>
      <c r="AL323" s="194"/>
      <c r="AM323" s="194"/>
      <c r="AN323" s="195"/>
      <c r="AO323" s="195"/>
      <c r="AP323" s="195"/>
      <c r="AQ323" s="194"/>
      <c r="AR323" s="194"/>
      <c r="AS323" s="194"/>
      <c r="AT323" s="146"/>
      <c r="AU323" s="146"/>
      <c r="AV323" s="146"/>
      <c r="AW323" s="194"/>
      <c r="AX323" s="194"/>
      <c r="AY323" s="194"/>
      <c r="AZ323" s="195"/>
      <c r="BA323" s="195"/>
      <c r="BB323" s="195"/>
      <c r="BC323" s="194"/>
      <c r="BD323" s="194"/>
      <c r="BE323" s="194"/>
      <c r="BF323" s="146"/>
      <c r="BG323" s="146"/>
      <c r="BH323" s="146"/>
      <c r="BI323" s="194"/>
      <c r="BJ323" s="194"/>
      <c r="BK323" s="194"/>
      <c r="BL323" s="195"/>
      <c r="BM323" s="195"/>
      <c r="BN323" s="203"/>
      <c r="BO323" s="194"/>
      <c r="BP323" s="194"/>
      <c r="BQ323" s="194"/>
      <c r="BR323" s="146"/>
      <c r="BS323" s="146"/>
      <c r="BT323" s="146"/>
    </row>
    <row r="324" s="50" customFormat="1" spans="1:72">
      <c r="A324" s="191">
        <v>45384</v>
      </c>
      <c r="B324" s="192" t="s">
        <v>1389</v>
      </c>
      <c r="C324" s="251">
        <v>300</v>
      </c>
      <c r="D324" s="132">
        <v>-37.5</v>
      </c>
      <c r="E324" s="108"/>
      <c r="F324" s="194"/>
      <c r="G324" s="195">
        <v>-60</v>
      </c>
      <c r="H324" s="194"/>
      <c r="I324" s="146"/>
      <c r="J324" s="194"/>
      <c r="K324" s="195"/>
      <c r="L324" s="194"/>
      <c r="M324" s="196"/>
      <c r="N324" s="146"/>
      <c r="O324" s="197"/>
      <c r="P324" s="198">
        <v>-45</v>
      </c>
      <c r="Q324" s="194"/>
      <c r="R324" s="195"/>
      <c r="S324" s="194">
        <v>-21</v>
      </c>
      <c r="T324" s="146">
        <v>-114</v>
      </c>
      <c r="U324" s="194"/>
      <c r="V324" s="199"/>
      <c r="W324" s="195"/>
      <c r="X324" s="194"/>
      <c r="Y324" s="146"/>
      <c r="Z324" s="194"/>
      <c r="AA324" s="195"/>
      <c r="AB324" s="194"/>
      <c r="AC324" s="146"/>
      <c r="AD324" s="194"/>
      <c r="AE324" s="195"/>
      <c r="AF324" s="200"/>
      <c r="AG324" s="145">
        <v>45384</v>
      </c>
      <c r="AH324" s="257"/>
      <c r="AI324" s="257"/>
      <c r="AJ324" s="258"/>
      <c r="AK324" s="194"/>
      <c r="AL324" s="194"/>
      <c r="AM324" s="194"/>
      <c r="AN324" s="195"/>
      <c r="AO324" s="195"/>
      <c r="AP324" s="195"/>
      <c r="AQ324" s="194"/>
      <c r="AR324" s="194"/>
      <c r="AS324" s="194"/>
      <c r="AT324" s="146"/>
      <c r="AU324" s="146"/>
      <c r="AV324" s="146"/>
      <c r="AW324" s="194"/>
      <c r="AX324" s="194"/>
      <c r="AY324" s="194"/>
      <c r="AZ324" s="195"/>
      <c r="BA324" s="195"/>
      <c r="BB324" s="195"/>
      <c r="BC324" s="194">
        <v>22.5</v>
      </c>
      <c r="BD324" s="81">
        <v>10.3</v>
      </c>
      <c r="BE324" s="81">
        <f>BC324*BD324</f>
        <v>231.75</v>
      </c>
      <c r="BF324" s="146"/>
      <c r="BG324" s="146"/>
      <c r="BH324" s="146"/>
      <c r="BI324" s="194"/>
      <c r="BJ324" s="194"/>
      <c r="BK324" s="194"/>
      <c r="BL324" s="195"/>
      <c r="BM324" s="195"/>
      <c r="BN324" s="203"/>
      <c r="BO324" s="194"/>
      <c r="BP324" s="194"/>
      <c r="BQ324" s="194"/>
      <c r="BR324" s="146"/>
      <c r="BS324" s="146"/>
      <c r="BT324" s="146"/>
    </row>
    <row r="325" s="50" customFormat="1" spans="1:72">
      <c r="A325" s="191">
        <v>45385</v>
      </c>
      <c r="B325" s="192" t="s">
        <v>1009</v>
      </c>
      <c r="C325" s="251">
        <v>262.5</v>
      </c>
      <c r="D325" s="132"/>
      <c r="E325" s="108"/>
      <c r="F325" s="194"/>
      <c r="G325" s="195">
        <v>-48</v>
      </c>
      <c r="H325" s="194"/>
      <c r="I325" s="146"/>
      <c r="J325" s="194"/>
      <c r="K325" s="195"/>
      <c r="L325" s="194"/>
      <c r="M325" s="196"/>
      <c r="N325" s="146"/>
      <c r="O325" s="197"/>
      <c r="P325" s="198"/>
      <c r="Q325" s="194"/>
      <c r="R325" s="195"/>
      <c r="S325" s="194"/>
      <c r="T325" s="146"/>
      <c r="U325" s="194"/>
      <c r="V325" s="199">
        <v>-4.5</v>
      </c>
      <c r="W325" s="195"/>
      <c r="X325" s="194"/>
      <c r="Y325" s="146"/>
      <c r="Z325" s="194"/>
      <c r="AA325" s="195"/>
      <c r="AB325" s="194"/>
      <c r="AC325" s="146"/>
      <c r="AD325" s="194"/>
      <c r="AE325" s="195"/>
      <c r="AF325" s="200"/>
      <c r="AG325" s="145">
        <v>45385</v>
      </c>
      <c r="AH325" s="257">
        <v>150</v>
      </c>
      <c r="AI325" s="257">
        <v>16</v>
      </c>
      <c r="AJ325" s="257">
        <f>AH325*AI325</f>
        <v>2400</v>
      </c>
      <c r="AK325" s="194"/>
      <c r="AL325" s="194"/>
      <c r="AM325" s="194"/>
      <c r="AN325" s="195"/>
      <c r="AO325" s="195"/>
      <c r="AP325" s="195"/>
      <c r="AQ325" s="194"/>
      <c r="AR325" s="194"/>
      <c r="AS325" s="194"/>
      <c r="AT325" s="146"/>
      <c r="AU325" s="146"/>
      <c r="AV325" s="146"/>
      <c r="AW325" s="194"/>
      <c r="AX325" s="194"/>
      <c r="AY325" s="194"/>
      <c r="AZ325" s="195"/>
      <c r="BA325" s="195"/>
      <c r="BB325" s="195"/>
      <c r="BC325" s="194"/>
      <c r="BD325" s="194"/>
      <c r="BE325" s="194"/>
      <c r="BF325" s="146"/>
      <c r="BG325" s="146"/>
      <c r="BH325" s="146"/>
      <c r="BI325" s="194"/>
      <c r="BJ325" s="194"/>
      <c r="BK325" s="194"/>
      <c r="BL325" s="195"/>
      <c r="BM325" s="195"/>
      <c r="BN325" s="203"/>
      <c r="BO325" s="194">
        <v>30</v>
      </c>
      <c r="BP325" s="194">
        <v>8.1</v>
      </c>
      <c r="BQ325" s="194">
        <f>BO325*BP325</f>
        <v>243</v>
      </c>
      <c r="BR325" s="146">
        <v>30</v>
      </c>
      <c r="BS325" s="146">
        <v>8.2</v>
      </c>
      <c r="BT325" s="146">
        <f>BR325*BS325</f>
        <v>246</v>
      </c>
    </row>
    <row r="326" s="50" customFormat="1" spans="1:72">
      <c r="A326" s="191">
        <v>45385</v>
      </c>
      <c r="B326" s="259" t="s">
        <v>1390</v>
      </c>
      <c r="C326" s="251"/>
      <c r="D326" s="132"/>
      <c r="E326" s="108"/>
      <c r="F326" s="194"/>
      <c r="G326" s="195"/>
      <c r="H326" s="260">
        <v>256</v>
      </c>
      <c r="I326" s="146"/>
      <c r="J326" s="194"/>
      <c r="K326" s="195"/>
      <c r="L326" s="194"/>
      <c r="M326" s="196"/>
      <c r="N326" s="146"/>
      <c r="O326" s="197"/>
      <c r="P326" s="198"/>
      <c r="Q326" s="194"/>
      <c r="R326" s="195"/>
      <c r="S326" s="194"/>
      <c r="T326" s="146"/>
      <c r="U326" s="194"/>
      <c r="V326" s="199"/>
      <c r="W326" s="195"/>
      <c r="X326" s="194"/>
      <c r="Y326" s="146"/>
      <c r="Z326" s="194"/>
      <c r="AA326" s="195"/>
      <c r="AB326" s="194"/>
      <c r="AC326" s="146"/>
      <c r="AD326" s="194"/>
      <c r="AE326" s="195"/>
      <c r="AF326" s="200"/>
      <c r="AG326" s="145">
        <v>45385</v>
      </c>
      <c r="AH326" s="257"/>
      <c r="AI326" s="257"/>
      <c r="AJ326" s="201"/>
      <c r="AK326" s="194"/>
      <c r="AL326" s="194"/>
      <c r="AM326" s="194"/>
      <c r="AN326" s="195"/>
      <c r="AO326" s="195"/>
      <c r="AP326" s="195"/>
      <c r="AQ326" s="194"/>
      <c r="AR326" s="194"/>
      <c r="AS326" s="194"/>
      <c r="AT326" s="146"/>
      <c r="AU326" s="146"/>
      <c r="AV326" s="146"/>
      <c r="AW326" s="194"/>
      <c r="AX326" s="194"/>
      <c r="AY326" s="194"/>
      <c r="AZ326" s="195"/>
      <c r="BA326" s="195"/>
      <c r="BB326" s="195"/>
      <c r="BC326" s="194"/>
      <c r="BD326" s="194"/>
      <c r="BE326" s="194"/>
      <c r="BF326" s="146"/>
      <c r="BG326" s="146"/>
      <c r="BH326" s="146"/>
      <c r="BI326" s="194"/>
      <c r="BJ326" s="194"/>
      <c r="BK326" s="194"/>
      <c r="BL326" s="195"/>
      <c r="BM326" s="195"/>
      <c r="BN326" s="203"/>
      <c r="BO326" s="194"/>
      <c r="BP326" s="194"/>
      <c r="BQ326" s="194"/>
      <c r="BR326" s="146"/>
      <c r="BS326" s="146"/>
      <c r="BT326" s="146"/>
    </row>
    <row r="327" s="50" customFormat="1" spans="1:72">
      <c r="A327" s="191">
        <v>45387</v>
      </c>
      <c r="B327" s="192" t="s">
        <v>1009</v>
      </c>
      <c r="C327" s="251">
        <v>262.5</v>
      </c>
      <c r="D327" s="132"/>
      <c r="E327" s="108"/>
      <c r="F327" s="194"/>
      <c r="G327" s="195">
        <v>-48</v>
      </c>
      <c r="H327" s="194"/>
      <c r="I327" s="146"/>
      <c r="J327" s="194"/>
      <c r="K327" s="195"/>
      <c r="L327" s="194"/>
      <c r="M327" s="196"/>
      <c r="N327" s="146"/>
      <c r="O327" s="197"/>
      <c r="P327" s="198"/>
      <c r="Q327" s="194"/>
      <c r="R327" s="195"/>
      <c r="S327" s="194"/>
      <c r="T327" s="146"/>
      <c r="U327" s="194"/>
      <c r="V327" s="199">
        <v>-4.5</v>
      </c>
      <c r="W327" s="195"/>
      <c r="X327" s="194"/>
      <c r="Y327" s="146"/>
      <c r="Z327" s="194"/>
      <c r="AA327" s="195"/>
      <c r="AB327" s="194"/>
      <c r="AC327" s="146"/>
      <c r="AD327" s="194"/>
      <c r="AE327" s="195"/>
      <c r="AF327" s="200"/>
      <c r="AG327" s="145">
        <v>45387</v>
      </c>
      <c r="AH327" s="257">
        <v>150</v>
      </c>
      <c r="AI327" s="257">
        <v>16</v>
      </c>
      <c r="AJ327" s="257">
        <f>AH327*AI327</f>
        <v>2400</v>
      </c>
      <c r="AK327" s="194"/>
      <c r="AL327" s="194"/>
      <c r="AM327" s="194"/>
      <c r="AN327" s="195"/>
      <c r="AO327" s="195"/>
      <c r="AP327" s="195"/>
      <c r="AQ327" s="194"/>
      <c r="AR327" s="194"/>
      <c r="AS327" s="194"/>
      <c r="AT327" s="146"/>
      <c r="AU327" s="146"/>
      <c r="AV327" s="146"/>
      <c r="AW327" s="194"/>
      <c r="AX327" s="194"/>
      <c r="AY327" s="194"/>
      <c r="AZ327" s="195"/>
      <c r="BA327" s="195"/>
      <c r="BB327" s="195"/>
      <c r="BC327" s="194"/>
      <c r="BD327" s="194"/>
      <c r="BE327" s="194"/>
      <c r="BF327" s="146"/>
      <c r="BG327" s="146"/>
      <c r="BH327" s="146"/>
      <c r="BI327" s="194"/>
      <c r="BJ327" s="194"/>
      <c r="BK327" s="194"/>
      <c r="BL327" s="195"/>
      <c r="BM327" s="195"/>
      <c r="BN327" s="203"/>
      <c r="BO327" s="194">
        <v>30</v>
      </c>
      <c r="BP327" s="194">
        <v>8.1</v>
      </c>
      <c r="BQ327" s="194">
        <f>BO327*BP327</f>
        <v>243</v>
      </c>
      <c r="BR327" s="146">
        <v>30</v>
      </c>
      <c r="BS327" s="146">
        <v>8.2</v>
      </c>
      <c r="BT327" s="146">
        <f>BR327*BS327</f>
        <v>246</v>
      </c>
    </row>
    <row r="328" s="50" customFormat="1" spans="1:72">
      <c r="A328" s="191">
        <v>45387</v>
      </c>
      <c r="B328" s="259" t="s">
        <v>1390</v>
      </c>
      <c r="C328" s="251"/>
      <c r="D328" s="132"/>
      <c r="E328" s="108"/>
      <c r="F328" s="194"/>
      <c r="G328" s="195"/>
      <c r="H328" s="260">
        <v>256</v>
      </c>
      <c r="I328" s="146"/>
      <c r="J328" s="194"/>
      <c r="K328" s="195"/>
      <c r="L328" s="194"/>
      <c r="M328" s="196"/>
      <c r="N328" s="146"/>
      <c r="O328" s="197"/>
      <c r="P328" s="198"/>
      <c r="Q328" s="194"/>
      <c r="R328" s="195"/>
      <c r="S328" s="194"/>
      <c r="T328" s="146"/>
      <c r="U328" s="194"/>
      <c r="V328" s="199"/>
      <c r="W328" s="195"/>
      <c r="X328" s="194"/>
      <c r="Y328" s="146"/>
      <c r="Z328" s="194"/>
      <c r="AA328" s="195"/>
      <c r="AB328" s="194"/>
      <c r="AC328" s="146"/>
      <c r="AD328" s="194"/>
      <c r="AE328" s="195"/>
      <c r="AF328" s="200"/>
      <c r="AG328" s="145">
        <v>45387</v>
      </c>
      <c r="AH328" s="257"/>
      <c r="AI328" s="257"/>
      <c r="AJ328" s="201"/>
      <c r="AK328" s="194"/>
      <c r="AL328" s="194"/>
      <c r="AM328" s="194"/>
      <c r="AN328" s="195"/>
      <c r="AO328" s="195"/>
      <c r="AP328" s="195"/>
      <c r="AQ328" s="194"/>
      <c r="AR328" s="194"/>
      <c r="AS328" s="194"/>
      <c r="AT328" s="146"/>
      <c r="AU328" s="146"/>
      <c r="AV328" s="146"/>
      <c r="AW328" s="194"/>
      <c r="AX328" s="194"/>
      <c r="AY328" s="194"/>
      <c r="AZ328" s="195"/>
      <c r="BA328" s="195"/>
      <c r="BB328" s="195"/>
      <c r="BC328" s="194"/>
      <c r="BD328" s="194"/>
      <c r="BE328" s="194"/>
      <c r="BF328" s="146"/>
      <c r="BG328" s="146"/>
      <c r="BH328" s="146"/>
      <c r="BI328" s="194"/>
      <c r="BJ328" s="194"/>
      <c r="BK328" s="194"/>
      <c r="BL328" s="195"/>
      <c r="BM328" s="195"/>
      <c r="BN328" s="203"/>
      <c r="BO328" s="194"/>
      <c r="BP328" s="194"/>
      <c r="BQ328" s="194"/>
      <c r="BR328" s="146"/>
      <c r="BS328" s="146"/>
      <c r="BT328" s="146"/>
    </row>
    <row r="329" s="1" customFormat="1" ht="15" customHeight="1" spans="1:72">
      <c r="A329" s="129">
        <v>45388</v>
      </c>
      <c r="B329" s="192" t="s">
        <v>997</v>
      </c>
      <c r="C329" s="131">
        <v>950</v>
      </c>
      <c r="D329" s="132"/>
      <c r="E329" s="104"/>
      <c r="F329" s="81"/>
      <c r="G329" s="78">
        <v>-190</v>
      </c>
      <c r="H329" s="81"/>
      <c r="I329" s="104"/>
      <c r="J329" s="81"/>
      <c r="K329" s="78"/>
      <c r="L329" s="81"/>
      <c r="M329" s="133"/>
      <c r="N329" s="104"/>
      <c r="O329" s="131"/>
      <c r="P329" s="134">
        <v>-142.5</v>
      </c>
      <c r="Q329" s="81"/>
      <c r="R329" s="78"/>
      <c r="S329" s="81">
        <v>-66.5</v>
      </c>
      <c r="T329" s="104">
        <v>-361</v>
      </c>
      <c r="U329" s="81"/>
      <c r="V329" s="136"/>
      <c r="W329" s="78"/>
      <c r="X329" s="81"/>
      <c r="Y329" s="104"/>
      <c r="Z329" s="81"/>
      <c r="AA329" s="78"/>
      <c r="AB329" s="81"/>
      <c r="AC329" s="104"/>
      <c r="AD329" s="81"/>
      <c r="AE329" s="78"/>
      <c r="AF329" s="245"/>
      <c r="AG329" s="145">
        <v>45388</v>
      </c>
      <c r="AH329" s="253"/>
      <c r="AI329" s="147"/>
      <c r="AJ329" s="261"/>
      <c r="AK329" s="81"/>
      <c r="AL329" s="81"/>
      <c r="AM329" s="81"/>
      <c r="AN329" s="78"/>
      <c r="AO329" s="78"/>
      <c r="AP329" s="78"/>
      <c r="AQ329" s="81"/>
      <c r="AR329" s="81"/>
      <c r="AS329" s="81"/>
      <c r="AT329" s="104"/>
      <c r="AU329" s="104"/>
      <c r="AV329" s="104"/>
      <c r="AW329" s="81"/>
      <c r="AX329" s="81"/>
      <c r="AY329" s="81"/>
      <c r="AZ329" s="78"/>
      <c r="BA329" s="78"/>
      <c r="BB329" s="78"/>
      <c r="BC329" s="81">
        <v>190</v>
      </c>
      <c r="BD329" s="81">
        <v>10.3</v>
      </c>
      <c r="BE329" s="194">
        <f t="shared" ref="BE329:BE335" si="61">BC329*BD329</f>
        <v>1957</v>
      </c>
      <c r="BF329" s="104"/>
      <c r="BG329" s="104"/>
      <c r="BH329" s="146"/>
      <c r="BI329" s="81"/>
      <c r="BJ329" s="81"/>
      <c r="BK329" s="81"/>
      <c r="BL329" s="78"/>
      <c r="BM329" s="78"/>
      <c r="BN329" s="105"/>
      <c r="BO329" s="81"/>
      <c r="BP329" s="81"/>
      <c r="BQ329" s="81"/>
      <c r="BR329" s="146"/>
      <c r="BS329" s="146"/>
      <c r="BT329" s="146"/>
    </row>
    <row r="330" s="50" customFormat="1" spans="1:72">
      <c r="A330" s="191">
        <v>45388</v>
      </c>
      <c r="B330" s="192" t="s">
        <v>987</v>
      </c>
      <c r="C330" s="131">
        <v>800</v>
      </c>
      <c r="D330" s="132">
        <v>-100</v>
      </c>
      <c r="E330" s="146"/>
      <c r="F330" s="194"/>
      <c r="G330" s="195">
        <v>-160</v>
      </c>
      <c r="H330" s="194">
        <v>-160</v>
      </c>
      <c r="I330" s="146"/>
      <c r="J330" s="194"/>
      <c r="K330" s="195"/>
      <c r="L330" s="194"/>
      <c r="M330" s="196"/>
      <c r="N330" s="146"/>
      <c r="O330" s="197"/>
      <c r="P330" s="198"/>
      <c r="Q330" s="194"/>
      <c r="R330" s="195"/>
      <c r="S330" s="194">
        <v>-56</v>
      </c>
      <c r="T330" s="146">
        <v>-304</v>
      </c>
      <c r="U330" s="194"/>
      <c r="V330" s="199"/>
      <c r="W330" s="195"/>
      <c r="X330" s="194"/>
      <c r="Y330" s="146"/>
      <c r="Z330" s="194"/>
      <c r="AA330" s="195"/>
      <c r="AB330" s="194"/>
      <c r="AC330" s="146"/>
      <c r="AD330" s="194"/>
      <c r="AE330" s="195"/>
      <c r="AF330" s="200"/>
      <c r="AG330" s="145">
        <v>45388</v>
      </c>
      <c r="AH330" s="257"/>
      <c r="AI330" s="201"/>
      <c r="AJ330" s="202"/>
      <c r="AK330" s="194"/>
      <c r="AL330" s="194"/>
      <c r="AM330" s="194"/>
      <c r="AN330" s="195"/>
      <c r="AO330" s="195"/>
      <c r="AP330" s="195"/>
      <c r="AQ330" s="194"/>
      <c r="AR330" s="194"/>
      <c r="AS330" s="194"/>
      <c r="AT330" s="146"/>
      <c r="AU330" s="146"/>
      <c r="AV330" s="146"/>
      <c r="AW330" s="194"/>
      <c r="AX330" s="194"/>
      <c r="AY330" s="194"/>
      <c r="AZ330" s="195"/>
      <c r="BA330" s="195"/>
      <c r="BB330" s="195"/>
      <c r="BC330" s="194">
        <v>20</v>
      </c>
      <c r="BD330" s="194">
        <v>10.3</v>
      </c>
      <c r="BE330" s="194">
        <f t="shared" si="61"/>
        <v>206</v>
      </c>
      <c r="BF330" s="146"/>
      <c r="BG330" s="146"/>
      <c r="BH330" s="146"/>
      <c r="BI330" s="194"/>
      <c r="BJ330" s="194"/>
      <c r="BK330" s="194"/>
      <c r="BL330" s="195"/>
      <c r="BM330" s="195"/>
      <c r="BN330" s="203"/>
      <c r="BO330" s="194"/>
      <c r="BP330" s="194"/>
      <c r="BQ330" s="194"/>
      <c r="BR330" s="146"/>
      <c r="BS330" s="146"/>
      <c r="BT330" s="146"/>
    </row>
    <row r="331" s="50" customFormat="1" spans="1:72">
      <c r="A331" s="191">
        <v>45390</v>
      </c>
      <c r="B331" s="192" t="s">
        <v>949</v>
      </c>
      <c r="C331" s="251">
        <v>360</v>
      </c>
      <c r="D331" s="132"/>
      <c r="E331" s="108"/>
      <c r="F331" s="194"/>
      <c r="G331" s="195"/>
      <c r="H331" s="194"/>
      <c r="I331" s="146"/>
      <c r="J331" s="194"/>
      <c r="K331" s="195"/>
      <c r="L331" s="194"/>
      <c r="M331" s="196"/>
      <c r="N331" s="146"/>
      <c r="O331" s="197"/>
      <c r="P331" s="198"/>
      <c r="Q331" s="194"/>
      <c r="R331" s="195"/>
      <c r="S331" s="194"/>
      <c r="T331" s="146"/>
      <c r="U331" s="194"/>
      <c r="V331" s="199"/>
      <c r="W331" s="195"/>
      <c r="X331" s="194"/>
      <c r="Y331" s="146"/>
      <c r="Z331" s="194"/>
      <c r="AA331" s="195"/>
      <c r="AB331" s="194"/>
      <c r="AC331" s="146"/>
      <c r="AD331" s="194"/>
      <c r="AE331" s="195"/>
      <c r="AF331" s="200"/>
      <c r="AG331" s="145">
        <v>45390</v>
      </c>
      <c r="AH331" s="257"/>
      <c r="AI331" s="201"/>
      <c r="AJ331" s="201"/>
      <c r="AK331" s="194"/>
      <c r="AL331" s="194"/>
      <c r="AM331" s="194"/>
      <c r="AN331" s="195"/>
      <c r="AO331" s="195"/>
      <c r="AP331" s="195"/>
      <c r="AQ331" s="194"/>
      <c r="AR331" s="194"/>
      <c r="AS331" s="194"/>
      <c r="AT331" s="146"/>
      <c r="AU331" s="146"/>
      <c r="AV331" s="146"/>
      <c r="AW331" s="194"/>
      <c r="AX331" s="194"/>
      <c r="AY331" s="194"/>
      <c r="AZ331" s="195"/>
      <c r="BA331" s="195"/>
      <c r="BB331" s="195"/>
      <c r="BC331" s="194">
        <v>40</v>
      </c>
      <c r="BD331" s="194">
        <v>10.3</v>
      </c>
      <c r="BE331" s="194">
        <f t="shared" si="61"/>
        <v>412</v>
      </c>
      <c r="BF331" s="146">
        <v>80</v>
      </c>
      <c r="BG331" s="146">
        <v>6.5</v>
      </c>
      <c r="BH331" s="146">
        <f>BF331*BG331</f>
        <v>520</v>
      </c>
      <c r="BI331" s="194">
        <v>180</v>
      </c>
      <c r="BJ331" s="194">
        <v>3.4</v>
      </c>
      <c r="BK331" s="194">
        <f>BI331*BJ331</f>
        <v>612</v>
      </c>
      <c r="BL331" s="195"/>
      <c r="BM331" s="195"/>
      <c r="BN331" s="203"/>
      <c r="BO331" s="194">
        <v>60</v>
      </c>
      <c r="BP331" s="194">
        <v>8.1</v>
      </c>
      <c r="BQ331" s="194">
        <f>BO331*BP331</f>
        <v>486</v>
      </c>
      <c r="BR331" s="146"/>
      <c r="BS331" s="146"/>
      <c r="BT331" s="146"/>
    </row>
    <row r="332" s="51" customFormat="1" spans="1:72">
      <c r="A332" s="262">
        <v>45393</v>
      </c>
      <c r="B332" s="263" t="s">
        <v>1391</v>
      </c>
      <c r="C332" s="264">
        <v>794</v>
      </c>
      <c r="D332" s="265"/>
      <c r="E332" s="266"/>
      <c r="F332" s="267"/>
      <c r="G332" s="268"/>
      <c r="H332" s="267"/>
      <c r="I332" s="269"/>
      <c r="J332" s="267"/>
      <c r="K332" s="268"/>
      <c r="L332" s="267"/>
      <c r="M332" s="196"/>
      <c r="N332" s="269"/>
      <c r="O332" s="270"/>
      <c r="P332" s="198">
        <v>-330</v>
      </c>
      <c r="Q332" s="267"/>
      <c r="R332" s="268"/>
      <c r="S332" s="267"/>
      <c r="T332" s="269"/>
      <c r="U332" s="267"/>
      <c r="V332" s="271"/>
      <c r="W332" s="268"/>
      <c r="X332" s="267"/>
      <c r="Y332" s="269"/>
      <c r="Z332" s="267"/>
      <c r="AA332" s="268"/>
      <c r="AB332" s="267"/>
      <c r="AC332" s="269"/>
      <c r="AD332" s="267"/>
      <c r="AE332" s="268">
        <v>-80</v>
      </c>
      <c r="AF332" s="272"/>
      <c r="AG332" s="273">
        <v>45393</v>
      </c>
      <c r="AH332" s="274"/>
      <c r="AI332" s="275"/>
      <c r="AJ332" s="275"/>
      <c r="AK332" s="267"/>
      <c r="AL332" s="267"/>
      <c r="AM332" s="267"/>
      <c r="AN332" s="268"/>
      <c r="AO332" s="268"/>
      <c r="AP332" s="268"/>
      <c r="AQ332" s="267"/>
      <c r="AR332" s="267"/>
      <c r="AS332" s="267"/>
      <c r="AT332" s="269">
        <v>15</v>
      </c>
      <c r="AU332" s="269">
        <v>85</v>
      </c>
      <c r="AV332" s="269">
        <f>AT332*AU332</f>
        <v>1275</v>
      </c>
      <c r="AW332" s="267"/>
      <c r="AX332" s="267"/>
      <c r="AY332" s="267"/>
      <c r="AZ332" s="268"/>
      <c r="BA332" s="268"/>
      <c r="BB332" s="268"/>
      <c r="BC332" s="267">
        <v>242</v>
      </c>
      <c r="BD332" s="267">
        <v>10.9</v>
      </c>
      <c r="BE332" s="267">
        <f t="shared" si="61"/>
        <v>2637.8</v>
      </c>
      <c r="BF332" s="269">
        <v>127</v>
      </c>
      <c r="BG332" s="269">
        <v>6.9</v>
      </c>
      <c r="BH332" s="269">
        <f>BF332*BG332</f>
        <v>876.3</v>
      </c>
      <c r="BI332" s="267"/>
      <c r="BJ332" s="267"/>
      <c r="BK332" s="267"/>
      <c r="BL332" s="268"/>
      <c r="BM332" s="268"/>
      <c r="BN332" s="276"/>
      <c r="BO332" s="267"/>
      <c r="BP332" s="267"/>
      <c r="BQ332" s="267"/>
      <c r="BR332" s="269"/>
      <c r="BS332" s="269"/>
      <c r="BT332" s="269"/>
    </row>
    <row r="333" s="50" customFormat="1" spans="1:72">
      <c r="A333" s="191">
        <v>45393</v>
      </c>
      <c r="B333" s="259" t="s">
        <v>1392</v>
      </c>
      <c r="C333" s="251"/>
      <c r="D333" s="132"/>
      <c r="E333" s="108"/>
      <c r="F333" s="194"/>
      <c r="G333" s="195"/>
      <c r="H333" s="194"/>
      <c r="I333" s="146"/>
      <c r="J333" s="194"/>
      <c r="K333" s="195"/>
      <c r="L333" s="194"/>
      <c r="M333" s="196"/>
      <c r="N333" s="146"/>
      <c r="O333" s="197"/>
      <c r="P333" s="198"/>
      <c r="Q333" s="260">
        <v>779</v>
      </c>
      <c r="R333" s="195"/>
      <c r="S333" s="194"/>
      <c r="T333" s="146"/>
      <c r="U333" s="194"/>
      <c r="V333" s="199"/>
      <c r="W333" s="195"/>
      <c r="X333" s="194"/>
      <c r="Y333" s="146"/>
      <c r="Z333" s="194"/>
      <c r="AA333" s="195"/>
      <c r="AB333" s="194"/>
      <c r="AC333" s="146"/>
      <c r="AD333" s="194"/>
      <c r="AE333" s="195"/>
      <c r="AF333" s="200"/>
      <c r="AG333" s="145">
        <v>45393</v>
      </c>
      <c r="AH333" s="257"/>
      <c r="AI333" s="201"/>
      <c r="AJ333" s="201"/>
      <c r="AK333" s="194"/>
      <c r="AL333" s="194"/>
      <c r="AM333" s="194"/>
      <c r="AN333" s="195"/>
      <c r="AO333" s="195"/>
      <c r="AP333" s="195"/>
      <c r="AQ333" s="194"/>
      <c r="AR333" s="194"/>
      <c r="AS333" s="194"/>
      <c r="AT333" s="146"/>
      <c r="AU333" s="146"/>
      <c r="AV333" s="146"/>
      <c r="AW333" s="194"/>
      <c r="AX333" s="194"/>
      <c r="AY333" s="194"/>
      <c r="AZ333" s="195"/>
      <c r="BA333" s="195"/>
      <c r="BB333" s="195"/>
      <c r="BC333" s="194"/>
      <c r="BD333" s="194"/>
      <c r="BE333" s="194"/>
      <c r="BF333" s="146"/>
      <c r="BG333" s="146"/>
      <c r="BH333" s="146"/>
      <c r="BI333" s="194"/>
      <c r="BJ333" s="194"/>
      <c r="BK333" s="194"/>
      <c r="BL333" s="195"/>
      <c r="BM333" s="195"/>
      <c r="BN333" s="203"/>
      <c r="BO333" s="194"/>
      <c r="BP333" s="194"/>
      <c r="BQ333" s="194"/>
      <c r="BR333" s="146"/>
      <c r="BS333" s="146"/>
      <c r="BT333" s="146"/>
    </row>
    <row r="334" s="50" customFormat="1" spans="1:72">
      <c r="A334" s="191">
        <v>45393</v>
      </c>
      <c r="B334" s="192" t="s">
        <v>1393</v>
      </c>
      <c r="C334" s="251">
        <v>1090</v>
      </c>
      <c r="D334" s="132"/>
      <c r="E334" s="108"/>
      <c r="F334" s="194"/>
      <c r="G334" s="195"/>
      <c r="H334" s="194"/>
      <c r="I334" s="146"/>
      <c r="J334" s="194"/>
      <c r="K334" s="195"/>
      <c r="L334" s="194"/>
      <c r="M334" s="196"/>
      <c r="N334" s="146"/>
      <c r="O334" s="197"/>
      <c r="P334" s="198"/>
      <c r="Q334" s="260"/>
      <c r="R334" s="195"/>
      <c r="S334" s="194"/>
      <c r="T334" s="146"/>
      <c r="U334" s="194"/>
      <c r="V334" s="199"/>
      <c r="W334" s="195"/>
      <c r="X334" s="194"/>
      <c r="Y334" s="146"/>
      <c r="Z334" s="194"/>
      <c r="AA334" s="195"/>
      <c r="AB334" s="194"/>
      <c r="AC334" s="146"/>
      <c r="AD334" s="194"/>
      <c r="AE334" s="195"/>
      <c r="AF334" s="200"/>
      <c r="AG334" s="145">
        <v>45393</v>
      </c>
      <c r="AH334" s="257"/>
      <c r="AI334" s="201"/>
      <c r="AJ334" s="201"/>
      <c r="AK334" s="194"/>
      <c r="AL334" s="194"/>
      <c r="AM334" s="194"/>
      <c r="AN334" s="195"/>
      <c r="AO334" s="195"/>
      <c r="AP334" s="195"/>
      <c r="AQ334" s="194"/>
      <c r="AR334" s="194"/>
      <c r="AS334" s="194"/>
      <c r="AT334" s="146"/>
      <c r="AU334" s="146"/>
      <c r="AV334" s="146"/>
      <c r="AW334" s="194"/>
      <c r="AX334" s="194"/>
      <c r="AY334" s="194"/>
      <c r="AZ334" s="195"/>
      <c r="BA334" s="195"/>
      <c r="BB334" s="195"/>
      <c r="BC334" s="194">
        <v>40</v>
      </c>
      <c r="BD334" s="194">
        <v>10.9</v>
      </c>
      <c r="BE334" s="194">
        <f t="shared" si="61"/>
        <v>436</v>
      </c>
      <c r="BF334" s="146"/>
      <c r="BG334" s="146"/>
      <c r="BH334" s="146"/>
      <c r="BI334" s="194">
        <v>50</v>
      </c>
      <c r="BJ334" s="194">
        <v>3.6</v>
      </c>
      <c r="BK334" s="194">
        <f>BI334*BJ334</f>
        <v>180</v>
      </c>
      <c r="BL334" s="195"/>
      <c r="BM334" s="195"/>
      <c r="BN334" s="203"/>
      <c r="BO334" s="194"/>
      <c r="BP334" s="194"/>
      <c r="BQ334" s="194"/>
      <c r="BR334" s="146"/>
      <c r="BS334" s="146"/>
      <c r="BT334" s="146"/>
    </row>
    <row r="335" s="50" customFormat="1" spans="1:72">
      <c r="A335" s="191">
        <v>45397</v>
      </c>
      <c r="B335" s="192" t="s">
        <v>923</v>
      </c>
      <c r="C335" s="251">
        <v>150</v>
      </c>
      <c r="D335" s="132"/>
      <c r="E335" s="108"/>
      <c r="F335" s="194"/>
      <c r="G335" s="195">
        <v>-40</v>
      </c>
      <c r="H335" s="194"/>
      <c r="I335" s="146"/>
      <c r="J335" s="194"/>
      <c r="K335" s="195"/>
      <c r="L335" s="194"/>
      <c r="M335" s="196"/>
      <c r="N335" s="146"/>
      <c r="O335" s="197"/>
      <c r="P335" s="198"/>
      <c r="Q335" s="194"/>
      <c r="R335" s="195"/>
      <c r="S335" s="194"/>
      <c r="T335" s="146"/>
      <c r="U335" s="194"/>
      <c r="V335" s="199"/>
      <c r="W335" s="195"/>
      <c r="X335" s="194"/>
      <c r="Y335" s="146"/>
      <c r="Z335" s="194"/>
      <c r="AA335" s="195"/>
      <c r="AB335" s="194"/>
      <c r="AC335" s="146"/>
      <c r="AD335" s="194"/>
      <c r="AE335" s="195">
        <v>-20</v>
      </c>
      <c r="AF335" s="200"/>
      <c r="AG335" s="145">
        <v>45397</v>
      </c>
      <c r="AH335" s="257"/>
      <c r="AI335" s="201"/>
      <c r="AJ335" s="201"/>
      <c r="AK335" s="194"/>
      <c r="AL335" s="194"/>
      <c r="AM335" s="194"/>
      <c r="AN335" s="195"/>
      <c r="AO335" s="195"/>
      <c r="AP335" s="195"/>
      <c r="AQ335" s="194"/>
      <c r="AR335" s="194"/>
      <c r="AS335" s="194"/>
      <c r="AT335" s="146">
        <v>5</v>
      </c>
      <c r="AU335" s="146">
        <v>85</v>
      </c>
      <c r="AV335" s="146">
        <f>AT335*AU335</f>
        <v>425</v>
      </c>
      <c r="AW335" s="194"/>
      <c r="AX335" s="194"/>
      <c r="AY335" s="194"/>
      <c r="AZ335" s="195"/>
      <c r="BA335" s="195"/>
      <c r="BB335" s="195"/>
      <c r="BC335" s="194">
        <v>60</v>
      </c>
      <c r="BD335" s="194">
        <v>10.9</v>
      </c>
      <c r="BE335" s="194">
        <f t="shared" si="61"/>
        <v>654</v>
      </c>
      <c r="BF335" s="146">
        <v>25</v>
      </c>
      <c r="BG335" s="146">
        <v>6.9</v>
      </c>
      <c r="BH335" s="146">
        <f>BF335*BG335</f>
        <v>172.5</v>
      </c>
      <c r="BI335" s="194"/>
      <c r="BJ335" s="194"/>
      <c r="BK335" s="194"/>
      <c r="BL335" s="195"/>
      <c r="BM335" s="195"/>
      <c r="BN335" s="203"/>
      <c r="BO335" s="194"/>
      <c r="BP335" s="194"/>
      <c r="BQ335" s="194"/>
      <c r="BR335" s="146"/>
      <c r="BS335" s="146"/>
      <c r="BT335" s="146"/>
    </row>
    <row r="336" s="50" customFormat="1" spans="1:72">
      <c r="A336" s="191">
        <v>45397</v>
      </c>
      <c r="B336" s="259" t="s">
        <v>1394</v>
      </c>
      <c r="C336" s="251"/>
      <c r="D336" s="132"/>
      <c r="E336" s="108"/>
      <c r="F336" s="194"/>
      <c r="G336" s="195"/>
      <c r="H336" s="194"/>
      <c r="I336" s="146"/>
      <c r="J336" s="194"/>
      <c r="K336" s="195"/>
      <c r="L336" s="194"/>
      <c r="M336" s="196"/>
      <c r="N336" s="146"/>
      <c r="O336" s="197">
        <v>140</v>
      </c>
      <c r="P336" s="198"/>
      <c r="Q336" s="260"/>
      <c r="R336" s="195"/>
      <c r="S336" s="194"/>
      <c r="T336" s="146"/>
      <c r="U336" s="194"/>
      <c r="V336" s="199"/>
      <c r="W336" s="195"/>
      <c r="X336" s="194"/>
      <c r="Y336" s="146"/>
      <c r="Z336" s="194"/>
      <c r="AA336" s="195"/>
      <c r="AB336" s="194"/>
      <c r="AC336" s="146"/>
      <c r="AD336" s="194"/>
      <c r="AE336" s="195"/>
      <c r="AF336" s="200"/>
      <c r="AG336" s="145">
        <v>45397</v>
      </c>
      <c r="AH336" s="257"/>
      <c r="AI336" s="201"/>
      <c r="AJ336" s="201"/>
      <c r="AK336" s="194"/>
      <c r="AL336" s="194"/>
      <c r="AM336" s="194"/>
      <c r="AN336" s="195"/>
      <c r="AO336" s="195"/>
      <c r="AP336" s="195"/>
      <c r="AQ336" s="194"/>
      <c r="AR336" s="194"/>
      <c r="AS336" s="194"/>
      <c r="AT336" s="146"/>
      <c r="AU336" s="146"/>
      <c r="AV336" s="146"/>
      <c r="AW336" s="194"/>
      <c r="AX336" s="194"/>
      <c r="AY336" s="194"/>
      <c r="AZ336" s="195"/>
      <c r="BA336" s="195"/>
      <c r="BB336" s="195"/>
      <c r="BC336" s="194"/>
      <c r="BD336" s="194"/>
      <c r="BE336" s="194"/>
      <c r="BF336" s="146"/>
      <c r="BG336" s="146"/>
      <c r="BH336" s="146"/>
      <c r="BI336" s="194"/>
      <c r="BJ336" s="194"/>
      <c r="BK336" s="194"/>
      <c r="BL336" s="195"/>
      <c r="BM336" s="195"/>
      <c r="BN336" s="203"/>
      <c r="BO336" s="194"/>
      <c r="BP336" s="194"/>
      <c r="BQ336" s="194"/>
      <c r="BR336" s="146"/>
      <c r="BS336" s="146"/>
      <c r="BT336" s="146"/>
    </row>
    <row r="337" s="50" customFormat="1" spans="1:72">
      <c r="A337" s="191">
        <v>45398</v>
      </c>
      <c r="B337" s="192" t="s">
        <v>988</v>
      </c>
      <c r="C337" s="251">
        <v>400</v>
      </c>
      <c r="D337" s="132"/>
      <c r="E337" s="108"/>
      <c r="F337" s="194"/>
      <c r="G337" s="195">
        <v>-60</v>
      </c>
      <c r="H337" s="194"/>
      <c r="I337" s="146"/>
      <c r="J337" s="194"/>
      <c r="K337" s="195"/>
      <c r="L337" s="194"/>
      <c r="M337" s="196"/>
      <c r="N337" s="146"/>
      <c r="O337" s="197">
        <v>-57</v>
      </c>
      <c r="P337" s="198"/>
      <c r="Q337" s="194"/>
      <c r="R337" s="195"/>
      <c r="S337" s="194">
        <v>-80</v>
      </c>
      <c r="T337" s="146">
        <v>-180</v>
      </c>
      <c r="U337" s="194"/>
      <c r="V337" s="199"/>
      <c r="W337" s="195"/>
      <c r="X337" s="194"/>
      <c r="Y337" s="146"/>
      <c r="Z337" s="194"/>
      <c r="AA337" s="195"/>
      <c r="AB337" s="194"/>
      <c r="AC337" s="146"/>
      <c r="AD337" s="194"/>
      <c r="AE337" s="195"/>
      <c r="AF337" s="200"/>
      <c r="AG337" s="145">
        <v>45398</v>
      </c>
      <c r="AH337" s="257"/>
      <c r="AI337" s="201"/>
      <c r="AJ337" s="201"/>
      <c r="AK337" s="194"/>
      <c r="AL337" s="194"/>
      <c r="AM337" s="194"/>
      <c r="AN337" s="195"/>
      <c r="AO337" s="195"/>
      <c r="AP337" s="195"/>
      <c r="AQ337" s="194"/>
      <c r="AR337" s="194"/>
      <c r="AS337" s="194"/>
      <c r="AT337" s="146"/>
      <c r="AU337" s="146"/>
      <c r="AV337" s="146"/>
      <c r="AW337" s="194"/>
      <c r="AX337" s="194"/>
      <c r="AY337" s="194"/>
      <c r="AZ337" s="195"/>
      <c r="BA337" s="195"/>
      <c r="BB337" s="195"/>
      <c r="BC337" s="194">
        <v>23</v>
      </c>
      <c r="BD337" s="194">
        <v>10.9</v>
      </c>
      <c r="BE337" s="194">
        <f>BC337*BD337</f>
        <v>250.7</v>
      </c>
      <c r="BF337" s="146"/>
      <c r="BG337" s="146"/>
      <c r="BH337" s="146"/>
      <c r="BI337" s="194"/>
      <c r="BJ337" s="194"/>
      <c r="BK337" s="194"/>
      <c r="BL337" s="195"/>
      <c r="BM337" s="195"/>
      <c r="BN337" s="203"/>
      <c r="BO337" s="194"/>
      <c r="BP337" s="194"/>
      <c r="BQ337" s="194"/>
      <c r="BR337" s="146"/>
      <c r="BS337" s="146"/>
      <c r="BT337" s="146"/>
    </row>
    <row r="338" s="50" customFormat="1" spans="1:72">
      <c r="A338" s="191">
        <v>45398</v>
      </c>
      <c r="B338" s="259" t="s">
        <v>1395</v>
      </c>
      <c r="C338" s="251"/>
      <c r="D338" s="132"/>
      <c r="E338" s="108"/>
      <c r="F338" s="194"/>
      <c r="G338" s="195"/>
      <c r="H338" s="194"/>
      <c r="I338" s="146"/>
      <c r="J338" s="194"/>
      <c r="K338" s="195"/>
      <c r="L338" s="194"/>
      <c r="M338" s="196"/>
      <c r="N338" s="146"/>
      <c r="O338" s="197"/>
      <c r="P338" s="198"/>
      <c r="Q338" s="194"/>
      <c r="R338" s="195"/>
      <c r="S338" s="194"/>
      <c r="T338" s="146"/>
      <c r="U338" s="194"/>
      <c r="V338" s="199"/>
      <c r="W338" s="195"/>
      <c r="X338" s="194"/>
      <c r="Y338" s="146"/>
      <c r="Z338" s="194"/>
      <c r="AA338" s="195">
        <v>200</v>
      </c>
      <c r="AB338" s="194"/>
      <c r="AC338" s="146"/>
      <c r="AD338" s="194"/>
      <c r="AE338" s="195"/>
      <c r="AF338" s="200"/>
      <c r="AG338" s="145">
        <v>45398</v>
      </c>
      <c r="AH338" s="257"/>
      <c r="AI338" s="201"/>
      <c r="AJ338" s="201"/>
      <c r="AK338" s="194"/>
      <c r="AL338" s="194"/>
      <c r="AM338" s="194"/>
      <c r="AN338" s="195"/>
      <c r="AO338" s="195"/>
      <c r="AP338" s="195"/>
      <c r="AQ338" s="194"/>
      <c r="AR338" s="194"/>
      <c r="AS338" s="194"/>
      <c r="AT338" s="146"/>
      <c r="AU338" s="146"/>
      <c r="AV338" s="146"/>
      <c r="AW338" s="194"/>
      <c r="AX338" s="194"/>
      <c r="AY338" s="194"/>
      <c r="AZ338" s="195"/>
      <c r="BA338" s="195"/>
      <c r="BB338" s="195"/>
      <c r="BC338" s="194"/>
      <c r="BD338" s="194"/>
      <c r="BE338" s="194"/>
      <c r="BF338" s="146"/>
      <c r="BG338" s="146"/>
      <c r="BH338" s="146"/>
      <c r="BI338" s="194"/>
      <c r="BJ338" s="194"/>
      <c r="BK338" s="194"/>
      <c r="BL338" s="195"/>
      <c r="BM338" s="195"/>
      <c r="BN338" s="203"/>
      <c r="BO338" s="194"/>
      <c r="BP338" s="194"/>
      <c r="BQ338" s="194"/>
      <c r="BR338" s="146"/>
      <c r="BS338" s="146"/>
      <c r="BT338" s="146"/>
    </row>
    <row r="339" s="50" customFormat="1" spans="1:72">
      <c r="A339" s="191">
        <v>45398</v>
      </c>
      <c r="B339" s="192" t="s">
        <v>298</v>
      </c>
      <c r="C339" s="251">
        <v>1270</v>
      </c>
      <c r="D339" s="132"/>
      <c r="E339" s="108"/>
      <c r="F339" s="194"/>
      <c r="G339" s="195"/>
      <c r="H339" s="194"/>
      <c r="I339" s="146"/>
      <c r="J339" s="194"/>
      <c r="K339" s="195"/>
      <c r="L339" s="194"/>
      <c r="M339" s="196"/>
      <c r="N339" s="146"/>
      <c r="O339" s="197"/>
      <c r="P339" s="198"/>
      <c r="Q339" s="194"/>
      <c r="R339" s="195"/>
      <c r="S339" s="194"/>
      <c r="T339" s="146"/>
      <c r="U339" s="194"/>
      <c r="V339" s="199"/>
      <c r="W339" s="195"/>
      <c r="X339" s="194"/>
      <c r="Y339" s="146"/>
      <c r="Z339" s="194"/>
      <c r="AA339" s="195">
        <v>-200</v>
      </c>
      <c r="AB339" s="194"/>
      <c r="AC339" s="146"/>
      <c r="AD339" s="194"/>
      <c r="AE339" s="195"/>
      <c r="AF339" s="200"/>
      <c r="AG339" s="145">
        <v>45398</v>
      </c>
      <c r="AH339" s="257"/>
      <c r="AI339" s="201"/>
      <c r="AJ339" s="201"/>
      <c r="AK339" s="194"/>
      <c r="AL339" s="194"/>
      <c r="AM339" s="194"/>
      <c r="AN339" s="195"/>
      <c r="AO339" s="195"/>
      <c r="AP339" s="195"/>
      <c r="AQ339" s="194"/>
      <c r="AR339" s="194"/>
      <c r="AS339" s="194"/>
      <c r="AT339" s="146"/>
      <c r="AU339" s="146"/>
      <c r="AV339" s="146"/>
      <c r="AW339" s="194"/>
      <c r="AX339" s="194"/>
      <c r="AY339" s="194"/>
      <c r="AZ339" s="195"/>
      <c r="BA339" s="195"/>
      <c r="BB339" s="195"/>
      <c r="BC339" s="194"/>
      <c r="BD339" s="194"/>
      <c r="BE339" s="194"/>
      <c r="BF339" s="146">
        <v>720</v>
      </c>
      <c r="BG339" s="146">
        <v>6.9</v>
      </c>
      <c r="BH339" s="146">
        <f>BF339*BG339</f>
        <v>4968</v>
      </c>
      <c r="BI339" s="194"/>
      <c r="BJ339" s="194"/>
      <c r="BK339" s="194"/>
      <c r="BL339" s="195"/>
      <c r="BM339" s="195"/>
      <c r="BN339" s="203"/>
      <c r="BO339" s="194">
        <v>350</v>
      </c>
      <c r="BP339" s="194">
        <v>8.7</v>
      </c>
      <c r="BQ339" s="194">
        <f>BO339*BP339</f>
        <v>3045</v>
      </c>
      <c r="BR339" s="146"/>
      <c r="BS339" s="146"/>
      <c r="BT339" s="146"/>
    </row>
    <row r="340" s="50" customFormat="1" spans="1:72">
      <c r="A340" s="191">
        <v>45398</v>
      </c>
      <c r="B340" s="259" t="s">
        <v>1269</v>
      </c>
      <c r="C340" s="251"/>
      <c r="D340" s="132"/>
      <c r="E340" s="108"/>
      <c r="F340" s="194"/>
      <c r="G340" s="195"/>
      <c r="H340" s="194"/>
      <c r="I340" s="146"/>
      <c r="J340" s="194"/>
      <c r="K340" s="195"/>
      <c r="L340" s="194"/>
      <c r="M340" s="196"/>
      <c r="N340" s="146"/>
      <c r="O340" s="197"/>
      <c r="P340" s="198"/>
      <c r="Q340" s="194"/>
      <c r="R340" s="195"/>
      <c r="S340" s="194"/>
      <c r="T340" s="146">
        <v>1270</v>
      </c>
      <c r="U340" s="194"/>
      <c r="V340" s="199"/>
      <c r="W340" s="195"/>
      <c r="X340" s="194"/>
      <c r="Y340" s="146"/>
      <c r="Z340" s="194"/>
      <c r="AA340" s="195"/>
      <c r="AB340" s="194"/>
      <c r="AC340" s="146"/>
      <c r="AD340" s="194"/>
      <c r="AE340" s="195"/>
      <c r="AF340" s="200"/>
      <c r="AG340" s="145">
        <v>45398</v>
      </c>
      <c r="AH340" s="257"/>
      <c r="AI340" s="201"/>
      <c r="AJ340" s="201"/>
      <c r="AK340" s="194"/>
      <c r="AL340" s="194"/>
      <c r="AM340" s="194"/>
      <c r="AN340" s="195"/>
      <c r="AO340" s="195"/>
      <c r="AP340" s="195"/>
      <c r="AQ340" s="194"/>
      <c r="AR340" s="194"/>
      <c r="AS340" s="194"/>
      <c r="AT340" s="146"/>
      <c r="AU340" s="146"/>
      <c r="AV340" s="146"/>
      <c r="AW340" s="194"/>
      <c r="AX340" s="194"/>
      <c r="AY340" s="194"/>
      <c r="AZ340" s="195"/>
      <c r="BA340" s="195"/>
      <c r="BB340" s="195"/>
      <c r="BC340" s="194"/>
      <c r="BD340" s="194"/>
      <c r="BE340" s="194"/>
      <c r="BF340" s="146"/>
      <c r="BG340" s="146"/>
      <c r="BH340" s="146"/>
      <c r="BI340" s="194"/>
      <c r="BJ340" s="194"/>
      <c r="BK340" s="194"/>
      <c r="BL340" s="195"/>
      <c r="BM340" s="195"/>
      <c r="BN340" s="203"/>
      <c r="BO340" s="194"/>
      <c r="BP340" s="194"/>
      <c r="BQ340" s="194"/>
      <c r="BR340" s="146"/>
      <c r="BS340" s="146"/>
      <c r="BT340" s="146"/>
    </row>
    <row r="341" s="50" customFormat="1" spans="1:72">
      <c r="A341" s="191">
        <v>45399</v>
      </c>
      <c r="B341" s="192" t="s">
        <v>944</v>
      </c>
      <c r="C341" s="251">
        <v>600</v>
      </c>
      <c r="D341" s="132"/>
      <c r="E341" s="108"/>
      <c r="F341" s="194"/>
      <c r="G341" s="195">
        <v>-180</v>
      </c>
      <c r="H341" s="194"/>
      <c r="I341" s="146"/>
      <c r="J341" s="194"/>
      <c r="K341" s="195"/>
      <c r="L341" s="194"/>
      <c r="M341" s="196"/>
      <c r="N341" s="146"/>
      <c r="O341" s="197"/>
      <c r="P341" s="198"/>
      <c r="Q341" s="194"/>
      <c r="R341" s="195"/>
      <c r="S341" s="194">
        <v>-102</v>
      </c>
      <c r="T341" s="146">
        <v>-192</v>
      </c>
      <c r="U341" s="194"/>
      <c r="V341" s="199"/>
      <c r="W341" s="195"/>
      <c r="X341" s="194"/>
      <c r="Y341" s="146"/>
      <c r="Z341" s="194"/>
      <c r="AA341" s="195"/>
      <c r="AB341" s="194"/>
      <c r="AC341" s="146"/>
      <c r="AD341" s="194"/>
      <c r="AE341" s="195"/>
      <c r="AF341" s="200"/>
      <c r="AG341" s="145">
        <v>45399</v>
      </c>
      <c r="AH341" s="257"/>
      <c r="AI341" s="201"/>
      <c r="AJ341" s="201"/>
      <c r="AK341" s="194"/>
      <c r="AL341" s="194"/>
      <c r="AM341" s="194"/>
      <c r="AN341" s="195"/>
      <c r="AO341" s="195"/>
      <c r="AP341" s="195"/>
      <c r="AQ341" s="194"/>
      <c r="AR341" s="194"/>
      <c r="AS341" s="194"/>
      <c r="AT341" s="146"/>
      <c r="AU341" s="146"/>
      <c r="AV341" s="146"/>
      <c r="AW341" s="194"/>
      <c r="AX341" s="194"/>
      <c r="AY341" s="194"/>
      <c r="AZ341" s="195"/>
      <c r="BA341" s="195"/>
      <c r="BB341" s="195"/>
      <c r="BC341" s="194">
        <v>126</v>
      </c>
      <c r="BD341" s="194">
        <v>10.9</v>
      </c>
      <c r="BE341" s="194">
        <f>BC341*BD341</f>
        <v>1373.4</v>
      </c>
      <c r="BF341" s="146"/>
      <c r="BG341" s="146"/>
      <c r="BH341" s="146"/>
      <c r="BI341" s="194"/>
      <c r="BJ341" s="194"/>
      <c r="BK341" s="194"/>
      <c r="BL341" s="195"/>
      <c r="BM341" s="195"/>
      <c r="BN341" s="203"/>
      <c r="BO341" s="194"/>
      <c r="BP341" s="194"/>
      <c r="BQ341" s="194"/>
      <c r="BR341" s="146"/>
      <c r="BS341" s="146"/>
      <c r="BT341" s="146"/>
    </row>
    <row r="342" s="50" customFormat="1" spans="1:72">
      <c r="A342" s="191">
        <v>45399</v>
      </c>
      <c r="B342" s="192" t="s">
        <v>1396</v>
      </c>
      <c r="C342" s="251">
        <v>695</v>
      </c>
      <c r="D342" s="132"/>
      <c r="E342" s="108"/>
      <c r="F342" s="194"/>
      <c r="G342" s="195">
        <v>-75</v>
      </c>
      <c r="H342" s="194"/>
      <c r="I342" s="146"/>
      <c r="J342" s="194"/>
      <c r="K342" s="195"/>
      <c r="L342" s="194"/>
      <c r="M342" s="196"/>
      <c r="N342" s="146"/>
      <c r="O342" s="197"/>
      <c r="P342" s="198"/>
      <c r="Q342" s="97">
        <v>-75</v>
      </c>
      <c r="R342" s="195"/>
      <c r="S342" s="194">
        <v>-100</v>
      </c>
      <c r="T342" s="146">
        <v>-225</v>
      </c>
      <c r="U342" s="194"/>
      <c r="V342" s="199"/>
      <c r="W342" s="195"/>
      <c r="X342" s="194"/>
      <c r="Y342" s="146"/>
      <c r="Z342" s="194"/>
      <c r="AA342" s="195"/>
      <c r="AB342" s="194"/>
      <c r="AC342" s="146"/>
      <c r="AD342" s="194"/>
      <c r="AE342" s="195"/>
      <c r="AF342" s="200"/>
      <c r="AG342" s="145">
        <v>45399</v>
      </c>
      <c r="AH342" s="257"/>
      <c r="AI342" s="201"/>
      <c r="AJ342" s="201"/>
      <c r="AK342" s="194"/>
      <c r="AL342" s="194"/>
      <c r="AM342" s="194"/>
      <c r="AN342" s="195">
        <v>21</v>
      </c>
      <c r="AO342" s="195">
        <v>17</v>
      </c>
      <c r="AP342" s="195">
        <f>AN342*AO342</f>
        <v>357</v>
      </c>
      <c r="AQ342" s="194"/>
      <c r="AR342" s="194"/>
      <c r="AS342" s="194"/>
      <c r="AT342" s="146"/>
      <c r="AU342" s="146"/>
      <c r="AV342" s="146"/>
      <c r="AW342" s="194"/>
      <c r="AX342" s="194"/>
      <c r="AY342" s="194"/>
      <c r="AZ342" s="195"/>
      <c r="BA342" s="195"/>
      <c r="BB342" s="195"/>
      <c r="BC342" s="194">
        <v>60</v>
      </c>
      <c r="BD342" s="194">
        <v>10.9</v>
      </c>
      <c r="BE342" s="194">
        <f t="shared" ref="BE342:BE348" si="62">BC342*BD342</f>
        <v>654</v>
      </c>
      <c r="BF342" s="146"/>
      <c r="BG342" s="146"/>
      <c r="BH342" s="146"/>
      <c r="BI342" s="194">
        <v>139</v>
      </c>
      <c r="BJ342" s="194">
        <v>3.6</v>
      </c>
      <c r="BK342" s="194">
        <f>BI342*BJ342</f>
        <v>500.4</v>
      </c>
      <c r="BL342" s="195"/>
      <c r="BM342" s="195"/>
      <c r="BN342" s="203"/>
      <c r="BO342" s="194"/>
      <c r="BP342" s="194"/>
      <c r="BQ342" s="194"/>
      <c r="BR342" s="146"/>
      <c r="BS342" s="146"/>
      <c r="BT342" s="146"/>
    </row>
    <row r="343" s="50" customFormat="1" spans="1:72">
      <c r="A343" s="191">
        <v>45401</v>
      </c>
      <c r="B343" s="259" t="s">
        <v>1397</v>
      </c>
      <c r="C343" s="251"/>
      <c r="D343" s="132"/>
      <c r="E343" s="108"/>
      <c r="F343" s="194"/>
      <c r="G343" s="195"/>
      <c r="H343" s="194"/>
      <c r="I343" s="146"/>
      <c r="J343" s="194"/>
      <c r="K343" s="195"/>
      <c r="L343" s="194"/>
      <c r="M343" s="196"/>
      <c r="N343" s="146"/>
      <c r="O343" s="197"/>
      <c r="P343" s="198"/>
      <c r="Q343" s="194"/>
      <c r="R343" s="195"/>
      <c r="S343" s="194"/>
      <c r="T343" s="146"/>
      <c r="U343" s="194"/>
      <c r="V343" s="199"/>
      <c r="W343" s="195"/>
      <c r="X343" s="194"/>
      <c r="Y343" s="146"/>
      <c r="Z343" s="194"/>
      <c r="AA343" s="195"/>
      <c r="AB343" s="194"/>
      <c r="AC343" s="146"/>
      <c r="AD343" s="194">
        <v>20</v>
      </c>
      <c r="AE343" s="195"/>
      <c r="AF343" s="200"/>
      <c r="AG343" s="145">
        <v>45401</v>
      </c>
      <c r="AH343" s="257"/>
      <c r="AI343" s="201"/>
      <c r="AJ343" s="201"/>
      <c r="AK343" s="194"/>
      <c r="AL343" s="194"/>
      <c r="AM343" s="194"/>
      <c r="AN343" s="195"/>
      <c r="AO343" s="195"/>
      <c r="AP343" s="195"/>
      <c r="AQ343" s="194"/>
      <c r="AR343" s="194"/>
      <c r="AS343" s="194"/>
      <c r="AT343" s="146"/>
      <c r="AU343" s="146"/>
      <c r="AV343" s="146"/>
      <c r="AW343" s="194"/>
      <c r="AX343" s="194"/>
      <c r="AY343" s="194"/>
      <c r="AZ343" s="195"/>
      <c r="BA343" s="195"/>
      <c r="BB343" s="195"/>
      <c r="BC343" s="194"/>
      <c r="BD343" s="194"/>
      <c r="BE343" s="194"/>
      <c r="BF343" s="146"/>
      <c r="BG343" s="146"/>
      <c r="BH343" s="146"/>
      <c r="BI343" s="194"/>
      <c r="BJ343" s="194"/>
      <c r="BK343" s="194"/>
      <c r="BL343" s="195"/>
      <c r="BM343" s="195"/>
      <c r="BN343" s="203"/>
      <c r="BO343" s="194"/>
      <c r="BP343" s="194"/>
      <c r="BQ343" s="194"/>
      <c r="BR343" s="146"/>
      <c r="BS343" s="146"/>
      <c r="BT343" s="146"/>
    </row>
    <row r="344" s="50" customFormat="1" spans="1:72">
      <c r="A344" s="277">
        <v>45401</v>
      </c>
      <c r="B344" s="192" t="s">
        <v>1206</v>
      </c>
      <c r="C344" s="251">
        <v>182</v>
      </c>
      <c r="D344" s="132"/>
      <c r="E344" s="108"/>
      <c r="F344" s="194"/>
      <c r="G344" s="195">
        <v>-44</v>
      </c>
      <c r="H344" s="194"/>
      <c r="I344" s="146"/>
      <c r="J344" s="194"/>
      <c r="K344" s="195"/>
      <c r="L344" s="194"/>
      <c r="M344" s="196"/>
      <c r="N344" s="146"/>
      <c r="O344" s="197"/>
      <c r="P344" s="198"/>
      <c r="Q344" s="194"/>
      <c r="R344" s="195"/>
      <c r="S344" s="194"/>
      <c r="T344" s="146"/>
      <c r="U344" s="194"/>
      <c r="V344" s="199"/>
      <c r="W344" s="195"/>
      <c r="X344" s="194"/>
      <c r="Y344" s="146"/>
      <c r="Z344" s="194"/>
      <c r="AA344" s="195"/>
      <c r="AB344" s="194"/>
      <c r="AC344" s="146"/>
      <c r="AD344" s="194">
        <v>-20</v>
      </c>
      <c r="AE344" s="195"/>
      <c r="AF344" s="200"/>
      <c r="AG344" s="145">
        <v>45401</v>
      </c>
      <c r="AH344" s="257"/>
      <c r="AI344" s="201"/>
      <c r="AJ344" s="201"/>
      <c r="AK344" s="194"/>
      <c r="AL344" s="194"/>
      <c r="AM344" s="194"/>
      <c r="AN344" s="195"/>
      <c r="AO344" s="195"/>
      <c r="AP344" s="195"/>
      <c r="AQ344" s="194"/>
      <c r="AR344" s="194"/>
      <c r="AS344" s="194"/>
      <c r="AT344" s="146">
        <v>3</v>
      </c>
      <c r="AU344" s="146">
        <v>75</v>
      </c>
      <c r="AV344" s="146">
        <f>AT344*AU344</f>
        <v>225</v>
      </c>
      <c r="AW344" s="194"/>
      <c r="AX344" s="194"/>
      <c r="AY344" s="194"/>
      <c r="AZ344" s="195"/>
      <c r="BA344" s="195"/>
      <c r="BB344" s="195"/>
      <c r="BC344" s="194">
        <v>50</v>
      </c>
      <c r="BD344" s="194">
        <v>10.9</v>
      </c>
      <c r="BE344" s="194">
        <f t="shared" si="62"/>
        <v>545</v>
      </c>
      <c r="BF344" s="146"/>
      <c r="BG344" s="146"/>
      <c r="BH344" s="146"/>
      <c r="BI344" s="194"/>
      <c r="BJ344" s="194"/>
      <c r="BK344" s="194"/>
      <c r="BL344" s="195"/>
      <c r="BM344" s="195"/>
      <c r="BN344" s="203"/>
      <c r="BO344" s="194">
        <v>65</v>
      </c>
      <c r="BP344" s="194">
        <v>8.7</v>
      </c>
      <c r="BQ344" s="194">
        <f>BO344*BP344</f>
        <v>565.5</v>
      </c>
      <c r="BR344" s="146"/>
      <c r="BS344" s="146"/>
      <c r="BT344" s="146"/>
    </row>
    <row r="345" s="50" customFormat="1" spans="1:72">
      <c r="A345" s="191">
        <v>45401</v>
      </c>
      <c r="B345" s="259" t="s">
        <v>1398</v>
      </c>
      <c r="C345" s="251"/>
      <c r="D345" s="132"/>
      <c r="E345" s="108"/>
      <c r="F345" s="194"/>
      <c r="G345" s="195"/>
      <c r="H345" s="194"/>
      <c r="I345" s="146"/>
      <c r="J345" s="194"/>
      <c r="K345" s="195"/>
      <c r="L345" s="194"/>
      <c r="M345" s="278">
        <v>151</v>
      </c>
      <c r="N345" s="146"/>
      <c r="O345" s="197"/>
      <c r="P345" s="198"/>
      <c r="Q345" s="194"/>
      <c r="R345" s="195"/>
      <c r="S345" s="194"/>
      <c r="T345" s="146"/>
      <c r="U345" s="194"/>
      <c r="V345" s="199"/>
      <c r="W345" s="195"/>
      <c r="X345" s="194"/>
      <c r="Y345" s="146"/>
      <c r="Z345" s="194"/>
      <c r="AA345" s="195"/>
      <c r="AB345" s="194"/>
      <c r="AC345" s="146"/>
      <c r="AD345" s="194"/>
      <c r="AE345" s="195"/>
      <c r="AF345" s="200"/>
      <c r="AG345" s="145">
        <v>45401</v>
      </c>
      <c r="AH345" s="257"/>
      <c r="AI345" s="201"/>
      <c r="AJ345" s="201"/>
      <c r="AK345" s="194"/>
      <c r="AL345" s="194"/>
      <c r="AM345" s="194"/>
      <c r="AN345" s="195"/>
      <c r="AO345" s="195"/>
      <c r="AP345" s="195"/>
      <c r="AQ345" s="194"/>
      <c r="AR345" s="194"/>
      <c r="AS345" s="194"/>
      <c r="AT345" s="146"/>
      <c r="AU345" s="146"/>
      <c r="AV345" s="146"/>
      <c r="AW345" s="194"/>
      <c r="AX345" s="194"/>
      <c r="AY345" s="194"/>
      <c r="AZ345" s="195"/>
      <c r="BA345" s="195"/>
      <c r="BB345" s="195"/>
      <c r="BC345" s="194"/>
      <c r="BD345" s="194"/>
      <c r="BE345" s="194"/>
      <c r="BF345" s="146"/>
      <c r="BG345" s="146"/>
      <c r="BH345" s="146"/>
      <c r="BI345" s="194"/>
      <c r="BJ345" s="194"/>
      <c r="BK345" s="194"/>
      <c r="BL345" s="195"/>
      <c r="BM345" s="195"/>
      <c r="BN345" s="203"/>
      <c r="BO345" s="194"/>
      <c r="BP345" s="194"/>
      <c r="BQ345" s="194"/>
      <c r="BR345" s="146"/>
      <c r="BS345" s="146"/>
      <c r="BT345" s="146"/>
    </row>
    <row r="346" s="50" customFormat="1" spans="1:72">
      <c r="A346" s="191">
        <v>45401</v>
      </c>
      <c r="B346" s="259" t="s">
        <v>1399</v>
      </c>
      <c r="C346" s="251"/>
      <c r="D346" s="132"/>
      <c r="E346" s="108"/>
      <c r="F346" s="194"/>
      <c r="G346" s="195"/>
      <c r="H346" s="194"/>
      <c r="I346" s="146"/>
      <c r="J346" s="194"/>
      <c r="K346" s="195"/>
      <c r="L346" s="194"/>
      <c r="M346" s="196"/>
      <c r="N346" s="146"/>
      <c r="O346" s="197"/>
      <c r="P346" s="198"/>
      <c r="Q346" s="194"/>
      <c r="R346" s="195"/>
      <c r="S346" s="194"/>
      <c r="T346" s="146"/>
      <c r="U346" s="194"/>
      <c r="V346" s="199"/>
      <c r="W346" s="195"/>
      <c r="X346" s="194"/>
      <c r="Y346" s="146"/>
      <c r="Z346" s="194"/>
      <c r="AA346" s="195"/>
      <c r="AB346" s="194"/>
      <c r="AC346" s="146"/>
      <c r="AD346" s="194"/>
      <c r="AE346" s="195">
        <v>100</v>
      </c>
      <c r="AF346" s="200"/>
      <c r="AG346" s="145">
        <v>45401</v>
      </c>
      <c r="AH346" s="257"/>
      <c r="AI346" s="201"/>
      <c r="AJ346" s="201"/>
      <c r="AK346" s="194"/>
      <c r="AL346" s="194"/>
      <c r="AM346" s="194"/>
      <c r="AN346" s="195"/>
      <c r="AO346" s="195"/>
      <c r="AP346" s="195"/>
      <c r="AQ346" s="194"/>
      <c r="AR346" s="194"/>
      <c r="AS346" s="194"/>
      <c r="AT346" s="146"/>
      <c r="AU346" s="146"/>
      <c r="AV346" s="146"/>
      <c r="AW346" s="194"/>
      <c r="AX346" s="194"/>
      <c r="AY346" s="194"/>
      <c r="AZ346" s="195"/>
      <c r="BA346" s="195"/>
      <c r="BB346" s="195"/>
      <c r="BC346" s="194"/>
      <c r="BD346" s="194"/>
      <c r="BE346" s="194"/>
      <c r="BF346" s="146"/>
      <c r="BG346" s="146"/>
      <c r="BH346" s="146"/>
      <c r="BI346" s="194"/>
      <c r="BJ346" s="194"/>
      <c r="BK346" s="194"/>
      <c r="BL346" s="195"/>
      <c r="BM346" s="195"/>
      <c r="BN346" s="203"/>
      <c r="BO346" s="194"/>
      <c r="BP346" s="194"/>
      <c r="BQ346" s="194"/>
      <c r="BR346" s="146"/>
      <c r="BS346" s="146"/>
      <c r="BT346" s="146"/>
    </row>
    <row r="347" s="50" customFormat="1" spans="1:72">
      <c r="A347" s="191">
        <v>45401</v>
      </c>
      <c r="B347" s="192" t="s">
        <v>923</v>
      </c>
      <c r="C347" s="251">
        <v>750</v>
      </c>
      <c r="D347" s="132"/>
      <c r="E347" s="108"/>
      <c r="F347" s="194"/>
      <c r="G347" s="195">
        <v>-200</v>
      </c>
      <c r="H347" s="194"/>
      <c r="I347" s="146"/>
      <c r="J347" s="194"/>
      <c r="K347" s="195"/>
      <c r="L347" s="194"/>
      <c r="M347" s="196"/>
      <c r="N347" s="146"/>
      <c r="O347" s="197"/>
      <c r="P347" s="198"/>
      <c r="Q347" s="194"/>
      <c r="R347" s="195"/>
      <c r="S347" s="194"/>
      <c r="T347" s="146"/>
      <c r="U347" s="194"/>
      <c r="V347" s="199"/>
      <c r="W347" s="195"/>
      <c r="X347" s="194"/>
      <c r="Y347" s="146"/>
      <c r="Z347" s="194"/>
      <c r="AA347" s="195"/>
      <c r="AB347" s="194"/>
      <c r="AC347" s="146"/>
      <c r="AD347" s="194"/>
      <c r="AE347" s="195">
        <v>-100</v>
      </c>
      <c r="AF347" s="200"/>
      <c r="AG347" s="145">
        <v>45401</v>
      </c>
      <c r="AH347" s="257"/>
      <c r="AI347" s="201"/>
      <c r="AJ347" s="201"/>
      <c r="AK347" s="194"/>
      <c r="AL347" s="194"/>
      <c r="AM347" s="194"/>
      <c r="AN347" s="195"/>
      <c r="AO347" s="195"/>
      <c r="AP347" s="195"/>
      <c r="AQ347" s="194"/>
      <c r="AR347" s="194"/>
      <c r="AS347" s="194"/>
      <c r="AT347" s="146">
        <v>25</v>
      </c>
      <c r="AU347" s="146">
        <v>75</v>
      </c>
      <c r="AV347" s="146">
        <f>AT347*AU347</f>
        <v>1875</v>
      </c>
      <c r="AW347" s="194"/>
      <c r="AX347" s="194"/>
      <c r="AY347" s="194"/>
      <c r="AZ347" s="195"/>
      <c r="BA347" s="195"/>
      <c r="BB347" s="195"/>
      <c r="BC347" s="194">
        <v>300</v>
      </c>
      <c r="BD347" s="194">
        <v>10.9</v>
      </c>
      <c r="BE347" s="194">
        <f t="shared" si="62"/>
        <v>3270</v>
      </c>
      <c r="BF347" s="146">
        <v>125</v>
      </c>
      <c r="BG347" s="146">
        <v>6.9</v>
      </c>
      <c r="BH347" s="146">
        <f>BF347*BG347</f>
        <v>862.5</v>
      </c>
      <c r="BI347" s="194"/>
      <c r="BJ347" s="194"/>
      <c r="BK347" s="194"/>
      <c r="BL347" s="195"/>
      <c r="BM347" s="195"/>
      <c r="BN347" s="203"/>
      <c r="BO347" s="194"/>
      <c r="BP347" s="194"/>
      <c r="BQ347" s="194"/>
      <c r="BR347" s="146"/>
      <c r="BS347" s="146"/>
      <c r="BT347" s="146"/>
    </row>
    <row r="348" s="50" customFormat="1" spans="1:72">
      <c r="A348" s="191">
        <v>45401</v>
      </c>
      <c r="B348" s="192" t="s">
        <v>1321</v>
      </c>
      <c r="C348" s="251">
        <v>600</v>
      </c>
      <c r="D348" s="132"/>
      <c r="E348" s="108"/>
      <c r="F348" s="194"/>
      <c r="G348" s="195">
        <v>-90</v>
      </c>
      <c r="H348" s="194"/>
      <c r="I348" s="146"/>
      <c r="J348" s="194"/>
      <c r="K348" s="195"/>
      <c r="L348" s="194"/>
      <c r="M348" s="196"/>
      <c r="N348" s="146"/>
      <c r="O348" s="197">
        <v>-90</v>
      </c>
      <c r="P348" s="198"/>
      <c r="Q348" s="194"/>
      <c r="R348" s="195"/>
      <c r="S348" s="194">
        <v>-120</v>
      </c>
      <c r="T348" s="146">
        <v>-270</v>
      </c>
      <c r="U348" s="194"/>
      <c r="V348" s="199"/>
      <c r="W348" s="195"/>
      <c r="X348" s="194"/>
      <c r="Y348" s="146"/>
      <c r="Z348" s="194"/>
      <c r="AA348" s="195"/>
      <c r="AB348" s="194"/>
      <c r="AC348" s="146"/>
      <c r="AD348" s="194"/>
      <c r="AE348" s="195"/>
      <c r="AF348" s="200"/>
      <c r="AG348" s="145">
        <v>45401</v>
      </c>
      <c r="AH348" s="257"/>
      <c r="AI348" s="201"/>
      <c r="AJ348" s="201"/>
      <c r="AK348" s="194"/>
      <c r="AL348" s="194"/>
      <c r="AM348" s="194"/>
      <c r="AN348" s="195"/>
      <c r="AO348" s="195"/>
      <c r="AP348" s="195"/>
      <c r="AQ348" s="194"/>
      <c r="AR348" s="194"/>
      <c r="AS348" s="194"/>
      <c r="AT348" s="146"/>
      <c r="AU348" s="146"/>
      <c r="AV348" s="146"/>
      <c r="AW348" s="194"/>
      <c r="AX348" s="194"/>
      <c r="AY348" s="194"/>
      <c r="AZ348" s="195"/>
      <c r="BA348" s="195"/>
      <c r="BB348" s="195"/>
      <c r="BC348" s="194">
        <v>30</v>
      </c>
      <c r="BD348" s="194">
        <v>10.9</v>
      </c>
      <c r="BE348" s="194">
        <f t="shared" si="62"/>
        <v>327</v>
      </c>
      <c r="BF348" s="146"/>
      <c r="BG348" s="146"/>
      <c r="BH348" s="146"/>
      <c r="BI348" s="194"/>
      <c r="BJ348" s="194"/>
      <c r="BK348" s="194"/>
      <c r="BL348" s="195"/>
      <c r="BM348" s="195"/>
      <c r="BN348" s="203"/>
      <c r="BO348" s="194"/>
      <c r="BP348" s="194"/>
      <c r="BQ348" s="194"/>
      <c r="BR348" s="146"/>
      <c r="BS348" s="146"/>
      <c r="BT348" s="146"/>
    </row>
    <row r="349" s="50" customFormat="1" spans="1:72">
      <c r="A349" s="191">
        <v>45402</v>
      </c>
      <c r="B349" s="259" t="s">
        <v>1295</v>
      </c>
      <c r="C349" s="251"/>
      <c r="D349" s="132"/>
      <c r="E349" s="108"/>
      <c r="F349" s="194"/>
      <c r="G349" s="195"/>
      <c r="H349" s="194"/>
      <c r="I349" s="146"/>
      <c r="J349" s="194"/>
      <c r="K349" s="195"/>
      <c r="L349" s="194"/>
      <c r="M349" s="196"/>
      <c r="N349" s="146"/>
      <c r="O349" s="279">
        <v>722</v>
      </c>
      <c r="P349" s="198"/>
      <c r="Q349" s="194"/>
      <c r="R349" s="195"/>
      <c r="S349" s="194"/>
      <c r="T349" s="146"/>
      <c r="U349" s="194"/>
      <c r="V349" s="199"/>
      <c r="W349" s="195"/>
      <c r="X349" s="194"/>
      <c r="Y349" s="146"/>
      <c r="Z349" s="194"/>
      <c r="AA349" s="195"/>
      <c r="AB349" s="194"/>
      <c r="AC349" s="146"/>
      <c r="AD349" s="194"/>
      <c r="AE349" s="195"/>
      <c r="AF349" s="200"/>
      <c r="AG349" s="145">
        <v>45401</v>
      </c>
      <c r="AH349" s="257"/>
      <c r="AI349" s="201"/>
      <c r="AJ349" s="201"/>
      <c r="AK349" s="194"/>
      <c r="AL349" s="194"/>
      <c r="AM349" s="194"/>
      <c r="AN349" s="195"/>
      <c r="AO349" s="195"/>
      <c r="AP349" s="195"/>
      <c r="AQ349" s="194"/>
      <c r="AR349" s="194"/>
      <c r="AS349" s="194"/>
      <c r="AT349" s="146"/>
      <c r="AU349" s="146"/>
      <c r="AV349" s="146"/>
      <c r="AW349" s="194"/>
      <c r="AX349" s="194"/>
      <c r="AY349" s="194"/>
      <c r="AZ349" s="195"/>
      <c r="BA349" s="195"/>
      <c r="BB349" s="195"/>
      <c r="BC349" s="194"/>
      <c r="BD349" s="194"/>
      <c r="BE349" s="194"/>
      <c r="BF349" s="146"/>
      <c r="BG349" s="146"/>
      <c r="BH349" s="146"/>
      <c r="BI349" s="194"/>
      <c r="BJ349" s="194"/>
      <c r="BK349" s="194"/>
      <c r="BL349" s="195"/>
      <c r="BM349" s="195"/>
      <c r="BN349" s="203"/>
      <c r="BO349" s="194"/>
      <c r="BP349" s="194"/>
      <c r="BQ349" s="194"/>
      <c r="BR349" s="146"/>
      <c r="BS349" s="146"/>
      <c r="BT349" s="146"/>
    </row>
    <row r="350" s="50" customFormat="1" spans="1:72">
      <c r="A350" s="191">
        <v>45402</v>
      </c>
      <c r="B350" s="259" t="s">
        <v>1400</v>
      </c>
      <c r="C350" s="251"/>
      <c r="D350" s="132"/>
      <c r="E350" s="108"/>
      <c r="F350" s="194"/>
      <c r="G350" s="195"/>
      <c r="H350" s="194"/>
      <c r="I350" s="146"/>
      <c r="J350" s="194"/>
      <c r="K350" s="195"/>
      <c r="L350" s="194"/>
      <c r="M350" s="196"/>
      <c r="N350" s="146"/>
      <c r="O350" s="197"/>
      <c r="P350" s="198"/>
      <c r="Q350" s="194"/>
      <c r="R350" s="195"/>
      <c r="S350" s="194"/>
      <c r="T350" s="146"/>
      <c r="U350" s="194"/>
      <c r="V350" s="199"/>
      <c r="W350" s="195"/>
      <c r="X350" s="194"/>
      <c r="Y350" s="146"/>
      <c r="Z350" s="194">
        <v>300</v>
      </c>
      <c r="AA350" s="195"/>
      <c r="AB350" s="194"/>
      <c r="AC350" s="146"/>
      <c r="AD350" s="194"/>
      <c r="AE350" s="195"/>
      <c r="AF350" s="200"/>
      <c r="AG350" s="145">
        <v>45402</v>
      </c>
      <c r="AH350" s="257"/>
      <c r="AI350" s="201"/>
      <c r="AJ350" s="201"/>
      <c r="AK350" s="194"/>
      <c r="AL350" s="194"/>
      <c r="AM350" s="194"/>
      <c r="AN350" s="195"/>
      <c r="AO350" s="195"/>
      <c r="AP350" s="195"/>
      <c r="AQ350" s="194"/>
      <c r="AR350" s="194"/>
      <c r="AS350" s="194"/>
      <c r="AT350" s="146"/>
      <c r="AU350" s="146"/>
      <c r="AV350" s="146"/>
      <c r="AW350" s="194"/>
      <c r="AX350" s="194"/>
      <c r="AY350" s="194"/>
      <c r="AZ350" s="195"/>
      <c r="BA350" s="195"/>
      <c r="BB350" s="195"/>
      <c r="BC350" s="194"/>
      <c r="BD350" s="194"/>
      <c r="BE350" s="194"/>
      <c r="BF350" s="146"/>
      <c r="BG350" s="146"/>
      <c r="BH350" s="146"/>
      <c r="BI350" s="194"/>
      <c r="BJ350" s="194"/>
      <c r="BK350" s="194"/>
      <c r="BL350" s="195"/>
      <c r="BM350" s="195"/>
      <c r="BN350" s="203"/>
      <c r="BO350" s="194"/>
      <c r="BP350" s="194"/>
      <c r="BQ350" s="194"/>
      <c r="BR350" s="146"/>
      <c r="BS350" s="146"/>
      <c r="BT350" s="146"/>
    </row>
    <row r="351" s="50" customFormat="1" spans="1:72">
      <c r="A351" s="191">
        <v>45402</v>
      </c>
      <c r="B351" s="192" t="s">
        <v>149</v>
      </c>
      <c r="C351" s="251">
        <v>1020</v>
      </c>
      <c r="D351" s="132"/>
      <c r="E351" s="108"/>
      <c r="F351" s="194"/>
      <c r="G351" s="195"/>
      <c r="H351" s="194"/>
      <c r="I351" s="146"/>
      <c r="J351" s="194"/>
      <c r="K351" s="195"/>
      <c r="L351" s="194"/>
      <c r="M351" s="196"/>
      <c r="N351" s="146"/>
      <c r="O351" s="197"/>
      <c r="P351" s="198"/>
      <c r="Q351" s="194"/>
      <c r="R351" s="195"/>
      <c r="S351" s="194"/>
      <c r="T351" s="146"/>
      <c r="U351" s="194"/>
      <c r="V351" s="199"/>
      <c r="W351" s="195"/>
      <c r="X351" s="194"/>
      <c r="Y351" s="146"/>
      <c r="Z351" s="194">
        <v>-300</v>
      </c>
      <c r="AA351" s="195"/>
      <c r="AB351" s="194"/>
      <c r="AC351" s="146"/>
      <c r="AD351" s="194"/>
      <c r="AE351" s="195"/>
      <c r="AF351" s="200"/>
      <c r="AG351" s="145">
        <v>45402</v>
      </c>
      <c r="AH351" s="257"/>
      <c r="AI351" s="201"/>
      <c r="AJ351" s="201"/>
      <c r="AK351" s="194"/>
      <c r="AL351" s="194"/>
      <c r="AM351" s="194"/>
      <c r="AN351" s="195"/>
      <c r="AO351" s="195"/>
      <c r="AP351" s="195"/>
      <c r="AQ351" s="194"/>
      <c r="AR351" s="194"/>
      <c r="AS351" s="194"/>
      <c r="AT351" s="146"/>
      <c r="AU351" s="146"/>
      <c r="AV351" s="146"/>
      <c r="AW351" s="194"/>
      <c r="AX351" s="194"/>
      <c r="AY351" s="194"/>
      <c r="AZ351" s="195"/>
      <c r="BA351" s="195"/>
      <c r="BB351" s="195"/>
      <c r="BC351" s="194"/>
      <c r="BD351" s="194"/>
      <c r="BE351" s="194"/>
      <c r="BF351" s="146">
        <v>540</v>
      </c>
      <c r="BG351" s="146">
        <v>6.9</v>
      </c>
      <c r="BH351" s="146">
        <f>BF351*BG351</f>
        <v>3726</v>
      </c>
      <c r="BI351" s="194"/>
      <c r="BJ351" s="194"/>
      <c r="BK351" s="194"/>
      <c r="BL351" s="195"/>
      <c r="BM351" s="195"/>
      <c r="BN351" s="203"/>
      <c r="BO351" s="194">
        <v>180</v>
      </c>
      <c r="BP351" s="194">
        <v>8.7</v>
      </c>
      <c r="BQ351" s="194">
        <f>BO351*BP351</f>
        <v>1566</v>
      </c>
      <c r="BR351" s="146"/>
      <c r="BS351" s="146"/>
      <c r="BT351" s="146"/>
    </row>
    <row r="352" s="50" customFormat="1" spans="1:72">
      <c r="A352" s="191">
        <v>45402</v>
      </c>
      <c r="B352" s="259" t="s">
        <v>1282</v>
      </c>
      <c r="C352" s="251"/>
      <c r="D352" s="132"/>
      <c r="E352" s="108"/>
      <c r="F352" s="194"/>
      <c r="G352" s="195"/>
      <c r="H352" s="194"/>
      <c r="I352" s="146"/>
      <c r="J352" s="194"/>
      <c r="K352" s="195"/>
      <c r="L352" s="194"/>
      <c r="M352" s="196"/>
      <c r="N352" s="146"/>
      <c r="O352" s="197"/>
      <c r="P352" s="198"/>
      <c r="Q352" s="194"/>
      <c r="R352" s="195"/>
      <c r="S352" s="194">
        <v>1020</v>
      </c>
      <c r="T352" s="146"/>
      <c r="U352" s="194"/>
      <c r="V352" s="199"/>
      <c r="W352" s="195"/>
      <c r="X352" s="194"/>
      <c r="Y352" s="146"/>
      <c r="Z352" s="194"/>
      <c r="AA352" s="195"/>
      <c r="AB352" s="194"/>
      <c r="AC352" s="146"/>
      <c r="AD352" s="194"/>
      <c r="AE352" s="195"/>
      <c r="AF352" s="200"/>
      <c r="AG352" s="145">
        <v>45402</v>
      </c>
      <c r="AH352" s="257"/>
      <c r="AI352" s="201"/>
      <c r="AJ352" s="201"/>
      <c r="AK352" s="194"/>
      <c r="AL352" s="194"/>
      <c r="AM352" s="194"/>
      <c r="AN352" s="195"/>
      <c r="AO352" s="195"/>
      <c r="AP352" s="195"/>
      <c r="AQ352" s="194"/>
      <c r="AR352" s="194"/>
      <c r="AS352" s="194"/>
      <c r="AT352" s="146"/>
      <c r="AU352" s="146"/>
      <c r="AV352" s="146"/>
      <c r="AW352" s="194"/>
      <c r="AX352" s="194"/>
      <c r="AY352" s="194"/>
      <c r="AZ352" s="195"/>
      <c r="BA352" s="195"/>
      <c r="BB352" s="195"/>
      <c r="BC352" s="194"/>
      <c r="BD352" s="194"/>
      <c r="BE352" s="194"/>
      <c r="BF352" s="146"/>
      <c r="BG352" s="146"/>
      <c r="BH352" s="146"/>
      <c r="BI352" s="194"/>
      <c r="BJ352" s="194"/>
      <c r="BK352" s="194"/>
      <c r="BL352" s="195"/>
      <c r="BM352" s="195"/>
      <c r="BN352" s="203"/>
      <c r="BO352" s="194"/>
      <c r="BP352" s="194"/>
      <c r="BQ352" s="194"/>
      <c r="BR352" s="146"/>
      <c r="BS352" s="146"/>
      <c r="BT352" s="146"/>
    </row>
    <row r="353" s="50" customFormat="1" spans="1:72">
      <c r="A353" s="191">
        <v>45404</v>
      </c>
      <c r="B353" s="192" t="s">
        <v>986</v>
      </c>
      <c r="C353" s="251">
        <v>1051.8</v>
      </c>
      <c r="D353" s="132"/>
      <c r="E353" s="108"/>
      <c r="F353" s="194"/>
      <c r="G353" s="195">
        <v>-100</v>
      </c>
      <c r="H353" s="194">
        <v>-200</v>
      </c>
      <c r="I353" s="146"/>
      <c r="J353" s="194"/>
      <c r="K353" s="195"/>
      <c r="L353" s="194"/>
      <c r="M353" s="196"/>
      <c r="N353" s="146"/>
      <c r="O353" s="197"/>
      <c r="P353" s="198"/>
      <c r="Q353" s="194"/>
      <c r="R353" s="195">
        <v>-1.8</v>
      </c>
      <c r="S353" s="194">
        <v>-136</v>
      </c>
      <c r="T353" s="146">
        <v>-260</v>
      </c>
      <c r="U353" s="194"/>
      <c r="V353" s="199"/>
      <c r="W353" s="195"/>
      <c r="X353" s="194"/>
      <c r="Y353" s="146"/>
      <c r="Z353" s="194"/>
      <c r="AA353" s="195"/>
      <c r="AB353" s="194"/>
      <c r="AC353" s="146"/>
      <c r="AD353" s="194"/>
      <c r="AE353" s="195"/>
      <c r="AF353" s="200"/>
      <c r="AG353" s="145">
        <v>45404</v>
      </c>
      <c r="AH353" s="257"/>
      <c r="AI353" s="201"/>
      <c r="AJ353" s="201"/>
      <c r="AK353" s="194">
        <v>50</v>
      </c>
      <c r="AL353" s="194">
        <v>0.9</v>
      </c>
      <c r="AM353" s="194">
        <f>AK353*AL353</f>
        <v>45</v>
      </c>
      <c r="AN353" s="195">
        <v>25</v>
      </c>
      <c r="AO353" s="195">
        <v>17</v>
      </c>
      <c r="AP353" s="195">
        <f>AN353*AO353</f>
        <v>425</v>
      </c>
      <c r="AQ353" s="194"/>
      <c r="AR353" s="194"/>
      <c r="AS353" s="194"/>
      <c r="AT353" s="146"/>
      <c r="AU353" s="146"/>
      <c r="AV353" s="146"/>
      <c r="AW353" s="194"/>
      <c r="AX353" s="194"/>
      <c r="AY353" s="194"/>
      <c r="AZ353" s="195"/>
      <c r="BA353" s="195"/>
      <c r="BB353" s="195"/>
      <c r="BC353" s="194"/>
      <c r="BD353" s="194"/>
      <c r="BE353" s="194"/>
      <c r="BF353" s="146"/>
      <c r="BG353" s="146"/>
      <c r="BH353" s="146"/>
      <c r="BI353" s="194">
        <v>279</v>
      </c>
      <c r="BJ353" s="194">
        <v>3.6</v>
      </c>
      <c r="BK353" s="194">
        <f>BI353*BJ353</f>
        <v>1004.4</v>
      </c>
      <c r="BL353" s="195"/>
      <c r="BM353" s="195"/>
      <c r="BN353" s="203"/>
      <c r="BO353" s="194"/>
      <c r="BP353" s="194"/>
      <c r="BQ353" s="194"/>
      <c r="BR353" s="146"/>
      <c r="BS353" s="146"/>
      <c r="BT353" s="146"/>
    </row>
    <row r="354" s="50" customFormat="1" spans="1:72">
      <c r="A354" s="191">
        <v>45404</v>
      </c>
      <c r="B354" s="192" t="s">
        <v>987</v>
      </c>
      <c r="C354" s="251">
        <v>800</v>
      </c>
      <c r="D354" s="132">
        <v>-100</v>
      </c>
      <c r="E354" s="108"/>
      <c r="F354" s="194"/>
      <c r="G354" s="195">
        <v>-160</v>
      </c>
      <c r="H354" s="194">
        <v>-160</v>
      </c>
      <c r="I354" s="146"/>
      <c r="J354" s="194"/>
      <c r="K354" s="195"/>
      <c r="L354" s="194"/>
      <c r="M354" s="196"/>
      <c r="N354" s="146"/>
      <c r="O354" s="197"/>
      <c r="P354" s="198"/>
      <c r="Q354" s="194"/>
      <c r="R354" s="195"/>
      <c r="S354" s="194">
        <v>-56</v>
      </c>
      <c r="T354" s="146">
        <v>-304</v>
      </c>
      <c r="U354" s="194"/>
      <c r="V354" s="199"/>
      <c r="W354" s="195"/>
      <c r="X354" s="194"/>
      <c r="Y354" s="146"/>
      <c r="Z354" s="194"/>
      <c r="AA354" s="195"/>
      <c r="AB354" s="194"/>
      <c r="AC354" s="146"/>
      <c r="AD354" s="194"/>
      <c r="AE354" s="195"/>
      <c r="AF354" s="200"/>
      <c r="AG354" s="145">
        <v>45404</v>
      </c>
      <c r="AH354" s="257"/>
      <c r="AI354" s="201"/>
      <c r="AJ354" s="201"/>
      <c r="AK354" s="194"/>
      <c r="AL354" s="194"/>
      <c r="AM354" s="194"/>
      <c r="AN354" s="195"/>
      <c r="AO354" s="195"/>
      <c r="AP354" s="195"/>
      <c r="AQ354" s="194"/>
      <c r="AR354" s="194"/>
      <c r="AS354" s="194"/>
      <c r="AT354" s="146"/>
      <c r="AU354" s="146"/>
      <c r="AV354" s="146"/>
      <c r="AW354" s="194"/>
      <c r="AX354" s="194"/>
      <c r="AY354" s="194"/>
      <c r="AZ354" s="195"/>
      <c r="BA354" s="195"/>
      <c r="BB354" s="195"/>
      <c r="BC354" s="194">
        <v>20</v>
      </c>
      <c r="BD354" s="194">
        <v>10.9</v>
      </c>
      <c r="BE354" s="194">
        <f>BC354*BD354</f>
        <v>218</v>
      </c>
      <c r="BF354" s="146"/>
      <c r="BG354" s="146"/>
      <c r="BH354" s="146"/>
      <c r="BI354" s="194"/>
      <c r="BJ354" s="194"/>
      <c r="BK354" s="194"/>
      <c r="BL354" s="195"/>
      <c r="BM354" s="195"/>
      <c r="BN354" s="203"/>
      <c r="BO354" s="194"/>
      <c r="BP354" s="194"/>
      <c r="BQ354" s="194"/>
      <c r="BR354" s="146"/>
      <c r="BS354" s="146"/>
      <c r="BT354" s="146"/>
    </row>
    <row r="355" s="50" customFormat="1" spans="1:72">
      <c r="A355" s="191">
        <v>45405</v>
      </c>
      <c r="B355" s="259" t="s">
        <v>1401</v>
      </c>
      <c r="C355" s="251"/>
      <c r="D355" s="132"/>
      <c r="E355" s="108">
        <v>75</v>
      </c>
      <c r="F355" s="194"/>
      <c r="G355" s="195"/>
      <c r="H355" s="194"/>
      <c r="I355" s="146"/>
      <c r="J355" s="194"/>
      <c r="K355" s="195"/>
      <c r="L355" s="194"/>
      <c r="M355" s="196"/>
      <c r="N355" s="146"/>
      <c r="O355" s="197"/>
      <c r="P355" s="198"/>
      <c r="Q355" s="194"/>
      <c r="R355" s="195"/>
      <c r="S355" s="194"/>
      <c r="T355" s="146"/>
      <c r="U355" s="194"/>
      <c r="V355" s="199"/>
      <c r="W355" s="195"/>
      <c r="X355" s="194"/>
      <c r="Y355" s="146"/>
      <c r="Z355" s="194"/>
      <c r="AA355" s="195"/>
      <c r="AB355" s="194"/>
      <c r="AC355" s="146"/>
      <c r="AD355" s="194"/>
      <c r="AE355" s="195"/>
      <c r="AF355" s="200"/>
      <c r="AG355" s="145">
        <v>45405</v>
      </c>
      <c r="AH355" s="257"/>
      <c r="AI355" s="201"/>
      <c r="AJ355" s="201"/>
      <c r="AK355" s="194"/>
      <c r="AL355" s="194"/>
      <c r="AM355" s="194"/>
      <c r="AN355" s="195"/>
      <c r="AO355" s="195"/>
      <c r="AP355" s="195"/>
      <c r="AQ355" s="194"/>
      <c r="AR355" s="194"/>
      <c r="AS355" s="194"/>
      <c r="AT355" s="146"/>
      <c r="AU355" s="146"/>
      <c r="AV355" s="146"/>
      <c r="AW355" s="194"/>
      <c r="AX355" s="194"/>
      <c r="AY355" s="194"/>
      <c r="AZ355" s="195"/>
      <c r="BA355" s="195"/>
      <c r="BB355" s="195"/>
      <c r="BC355" s="194"/>
      <c r="BD355" s="194"/>
      <c r="BE355" s="194"/>
      <c r="BF355" s="146"/>
      <c r="BG355" s="146"/>
      <c r="BH355" s="146"/>
      <c r="BI355" s="194"/>
      <c r="BJ355" s="194"/>
      <c r="BK355" s="194"/>
      <c r="BL355" s="195"/>
      <c r="BM355" s="195"/>
      <c r="BN355" s="203"/>
      <c r="BO355" s="194"/>
      <c r="BP355" s="194"/>
      <c r="BQ355" s="194"/>
      <c r="BR355" s="146"/>
      <c r="BS355" s="146"/>
      <c r="BT355" s="146"/>
    </row>
    <row r="356" s="50" customFormat="1" spans="1:72">
      <c r="A356" s="191">
        <v>45405</v>
      </c>
      <c r="B356" s="192" t="s">
        <v>1402</v>
      </c>
      <c r="C356" s="251">
        <v>187.5</v>
      </c>
      <c r="D356" s="149">
        <v>183</v>
      </c>
      <c r="E356" s="108">
        <v>-75</v>
      </c>
      <c r="F356" s="194"/>
      <c r="G356" s="195"/>
      <c r="H356" s="194"/>
      <c r="I356" s="146"/>
      <c r="J356" s="194"/>
      <c r="K356" s="195"/>
      <c r="L356" s="194"/>
      <c r="M356" s="196"/>
      <c r="N356" s="146"/>
      <c r="O356" s="197"/>
      <c r="P356" s="198"/>
      <c r="Q356" s="194"/>
      <c r="R356" s="195"/>
      <c r="S356" s="194"/>
      <c r="T356" s="146"/>
      <c r="U356" s="194"/>
      <c r="V356" s="199"/>
      <c r="W356" s="195"/>
      <c r="X356" s="194"/>
      <c r="Y356" s="146"/>
      <c r="Z356" s="194"/>
      <c r="AA356" s="195"/>
      <c r="AB356" s="194"/>
      <c r="AC356" s="146"/>
      <c r="AD356" s="194"/>
      <c r="AE356" s="195"/>
      <c r="AF356" s="200"/>
      <c r="AG356" s="145">
        <v>45405</v>
      </c>
      <c r="AH356" s="257"/>
      <c r="AI356" s="201"/>
      <c r="AJ356" s="201"/>
      <c r="AK356" s="194"/>
      <c r="AL356" s="194"/>
      <c r="AM356" s="194"/>
      <c r="AN356" s="195"/>
      <c r="AO356" s="195"/>
      <c r="AP356" s="195"/>
      <c r="AQ356" s="194"/>
      <c r="AR356" s="194"/>
      <c r="AS356" s="194"/>
      <c r="AT356" s="146"/>
      <c r="AU356" s="146"/>
      <c r="AV356" s="146"/>
      <c r="AW356" s="194"/>
      <c r="AX356" s="194"/>
      <c r="AY356" s="194"/>
      <c r="AZ356" s="195"/>
      <c r="BA356" s="195"/>
      <c r="BB356" s="195"/>
      <c r="BC356" s="194">
        <v>112.5</v>
      </c>
      <c r="BD356" s="194">
        <v>11</v>
      </c>
      <c r="BE356" s="194">
        <f>BC356*BD356</f>
        <v>1237.5</v>
      </c>
      <c r="BF356" s="146"/>
      <c r="BG356" s="146"/>
      <c r="BH356" s="146"/>
      <c r="BI356" s="194"/>
      <c r="BJ356" s="194"/>
      <c r="BK356" s="194"/>
      <c r="BL356" s="195"/>
      <c r="BM356" s="195"/>
      <c r="BN356" s="203"/>
      <c r="BO356" s="194"/>
      <c r="BP356" s="194"/>
      <c r="BQ356" s="194"/>
      <c r="BR356" s="146"/>
      <c r="BS356" s="146"/>
      <c r="BT356" s="146"/>
    </row>
    <row r="357" s="50" customFormat="1" spans="1:72">
      <c r="A357" s="191">
        <v>45405</v>
      </c>
      <c r="B357" s="192" t="s">
        <v>1403</v>
      </c>
      <c r="C357" s="251">
        <v>525</v>
      </c>
      <c r="D357" s="132"/>
      <c r="E357" s="108"/>
      <c r="F357" s="194"/>
      <c r="G357" s="195">
        <v>-96</v>
      </c>
      <c r="H357" s="194"/>
      <c r="I357" s="146"/>
      <c r="J357" s="194"/>
      <c r="K357" s="195"/>
      <c r="L357" s="194"/>
      <c r="M357" s="196"/>
      <c r="N357" s="146"/>
      <c r="O357" s="197"/>
      <c r="P357" s="198"/>
      <c r="Q357" s="194"/>
      <c r="R357" s="195"/>
      <c r="S357" s="194"/>
      <c r="T357" s="146"/>
      <c r="U357" s="194"/>
      <c r="V357" s="199">
        <v>-7</v>
      </c>
      <c r="W357" s="195">
        <v>-2</v>
      </c>
      <c r="X357" s="194"/>
      <c r="Y357" s="146"/>
      <c r="Z357" s="194"/>
      <c r="AA357" s="195"/>
      <c r="AB357" s="194"/>
      <c r="AC357" s="146"/>
      <c r="AD357" s="194"/>
      <c r="AE357" s="195"/>
      <c r="AF357" s="200"/>
      <c r="AG357" s="145">
        <v>45405</v>
      </c>
      <c r="AH357" s="257">
        <v>300</v>
      </c>
      <c r="AI357" s="201">
        <v>16</v>
      </c>
      <c r="AJ357" s="201">
        <f>AH357*AI357</f>
        <v>4800</v>
      </c>
      <c r="AK357" s="194"/>
      <c r="AL357" s="194"/>
      <c r="AM357" s="194"/>
      <c r="AN357" s="195"/>
      <c r="AO357" s="195"/>
      <c r="AP357" s="195"/>
      <c r="AQ357" s="194"/>
      <c r="AR357" s="194"/>
      <c r="AS357" s="194"/>
      <c r="AT357" s="146"/>
      <c r="AU357" s="146"/>
      <c r="AV357" s="146"/>
      <c r="AW357" s="194"/>
      <c r="AX357" s="194"/>
      <c r="AY357" s="194"/>
      <c r="AZ357" s="195"/>
      <c r="BA357" s="195"/>
      <c r="BB357" s="195"/>
      <c r="BC357" s="194"/>
      <c r="BD357" s="194"/>
      <c r="BE357" s="194"/>
      <c r="BF357" s="146"/>
      <c r="BG357" s="146"/>
      <c r="BH357" s="146"/>
      <c r="BI357" s="194"/>
      <c r="BJ357" s="194"/>
      <c r="BK357" s="194"/>
      <c r="BL357" s="195"/>
      <c r="BM357" s="195"/>
      <c r="BN357" s="203"/>
      <c r="BO357" s="194">
        <v>60</v>
      </c>
      <c r="BP357" s="194">
        <v>8.8</v>
      </c>
      <c r="BQ357" s="194">
        <f>BO357*BP357</f>
        <v>528</v>
      </c>
      <c r="BR357" s="146">
        <v>60</v>
      </c>
      <c r="BS357" s="146">
        <v>8.5</v>
      </c>
      <c r="BT357" s="146">
        <f>BR357*BS357</f>
        <v>510</v>
      </c>
    </row>
    <row r="358" s="50" customFormat="1" spans="1:72">
      <c r="A358" s="191">
        <v>45405</v>
      </c>
      <c r="B358" s="259" t="s">
        <v>1404</v>
      </c>
      <c r="C358" s="251"/>
      <c r="D358" s="132"/>
      <c r="E358" s="108"/>
      <c r="F358" s="194"/>
      <c r="G358" s="195"/>
      <c r="H358" s="260">
        <v>514</v>
      </c>
      <c r="I358" s="146"/>
      <c r="J358" s="194"/>
      <c r="K358" s="195"/>
      <c r="L358" s="194"/>
      <c r="M358" s="196"/>
      <c r="N358" s="146"/>
      <c r="O358" s="197"/>
      <c r="P358" s="198"/>
      <c r="Q358" s="194"/>
      <c r="R358" s="195"/>
      <c r="S358" s="194"/>
      <c r="T358" s="146"/>
      <c r="U358" s="194"/>
      <c r="V358" s="199"/>
      <c r="W358" s="195"/>
      <c r="X358" s="194"/>
      <c r="Y358" s="146"/>
      <c r="Z358" s="194"/>
      <c r="AA358" s="195"/>
      <c r="AB358" s="194"/>
      <c r="AC358" s="146"/>
      <c r="AD358" s="194"/>
      <c r="AE358" s="195"/>
      <c r="AF358" s="200"/>
      <c r="AG358" s="145">
        <v>45405</v>
      </c>
      <c r="AH358" s="257"/>
      <c r="AI358" s="201"/>
      <c r="AJ358" s="201"/>
      <c r="AK358" s="194"/>
      <c r="AL358" s="194"/>
      <c r="AM358" s="194"/>
      <c r="AN358" s="195"/>
      <c r="AO358" s="195"/>
      <c r="AP358" s="195"/>
      <c r="AQ358" s="194"/>
      <c r="AR358" s="194"/>
      <c r="AS358" s="194"/>
      <c r="AT358" s="146"/>
      <c r="AU358" s="146"/>
      <c r="AV358" s="146"/>
      <c r="AW358" s="194"/>
      <c r="AX358" s="194"/>
      <c r="AY358" s="194"/>
      <c r="AZ358" s="195"/>
      <c r="BA358" s="195"/>
      <c r="BB358" s="195"/>
      <c r="BC358" s="194"/>
      <c r="BD358" s="194"/>
      <c r="BE358" s="194"/>
      <c r="BF358" s="146"/>
      <c r="BG358" s="146"/>
      <c r="BH358" s="146"/>
      <c r="BI358" s="194"/>
      <c r="BJ358" s="194"/>
      <c r="BK358" s="194"/>
      <c r="BL358" s="195"/>
      <c r="BM358" s="195"/>
      <c r="BN358" s="203"/>
      <c r="BO358" s="194"/>
      <c r="BP358" s="194"/>
      <c r="BQ358" s="194"/>
      <c r="BR358" s="146"/>
      <c r="BS358" s="146"/>
      <c r="BT358" s="146"/>
    </row>
    <row r="359" s="50" customFormat="1" spans="1:72">
      <c r="A359" s="191">
        <v>45405</v>
      </c>
      <c r="B359" s="192" t="s">
        <v>1405</v>
      </c>
      <c r="C359" s="251"/>
      <c r="D359" s="132"/>
      <c r="E359" s="108"/>
      <c r="F359" s="194"/>
      <c r="G359" s="195">
        <v>1140</v>
      </c>
      <c r="H359" s="194"/>
      <c r="I359" s="146"/>
      <c r="J359" s="194"/>
      <c r="K359" s="195"/>
      <c r="L359" s="194"/>
      <c r="M359" s="196"/>
      <c r="N359" s="146"/>
      <c r="O359" s="197"/>
      <c r="P359" s="198"/>
      <c r="Q359" s="194"/>
      <c r="R359" s="195"/>
      <c r="S359" s="194"/>
      <c r="T359" s="146"/>
      <c r="U359" s="194"/>
      <c r="V359" s="199"/>
      <c r="W359" s="195"/>
      <c r="X359" s="194"/>
      <c r="Y359" s="146"/>
      <c r="Z359" s="194"/>
      <c r="AA359" s="195"/>
      <c r="AB359" s="194"/>
      <c r="AC359" s="146"/>
      <c r="AD359" s="194"/>
      <c r="AE359" s="195"/>
      <c r="AF359" s="200"/>
      <c r="AG359" s="145">
        <v>45405</v>
      </c>
      <c r="AH359" s="257"/>
      <c r="AI359" s="201"/>
      <c r="AJ359" s="201"/>
      <c r="AK359" s="194"/>
      <c r="AL359" s="194"/>
      <c r="AM359" s="194"/>
      <c r="AN359" s="195"/>
      <c r="AO359" s="195"/>
      <c r="AP359" s="195"/>
      <c r="AQ359" s="194"/>
      <c r="AR359" s="194"/>
      <c r="AS359" s="194"/>
      <c r="AT359" s="146"/>
      <c r="AU359" s="146"/>
      <c r="AV359" s="146"/>
      <c r="AW359" s="194"/>
      <c r="AX359" s="194"/>
      <c r="AY359" s="194"/>
      <c r="AZ359" s="195"/>
      <c r="BA359" s="195"/>
      <c r="BB359" s="195"/>
      <c r="BC359" s="194"/>
      <c r="BD359" s="194"/>
      <c r="BE359" s="194"/>
      <c r="BF359" s="146"/>
      <c r="BG359" s="146"/>
      <c r="BH359" s="146"/>
      <c r="BI359" s="194"/>
      <c r="BJ359" s="194"/>
      <c r="BK359" s="194"/>
      <c r="BL359" s="195"/>
      <c r="BM359" s="195"/>
      <c r="BN359" s="203"/>
      <c r="BO359" s="194"/>
      <c r="BP359" s="194"/>
      <c r="BQ359" s="194"/>
      <c r="BR359" s="146"/>
      <c r="BS359" s="146"/>
      <c r="BT359" s="146"/>
    </row>
    <row r="360" s="52" customFormat="1" spans="1:72">
      <c r="A360" s="277">
        <v>45405</v>
      </c>
      <c r="B360" s="259" t="s">
        <v>1322</v>
      </c>
      <c r="C360" s="280"/>
      <c r="D360" s="149"/>
      <c r="E360" s="281"/>
      <c r="F360" s="260"/>
      <c r="G360" s="282"/>
      <c r="H360" s="260"/>
      <c r="I360" s="283"/>
      <c r="J360" s="260"/>
      <c r="K360" s="282"/>
      <c r="L360" s="260"/>
      <c r="M360" s="278"/>
      <c r="N360" s="283"/>
      <c r="O360" s="279"/>
      <c r="P360" s="284"/>
      <c r="Q360" s="260"/>
      <c r="R360" s="282"/>
      <c r="S360" s="260"/>
      <c r="T360" s="283"/>
      <c r="U360" s="260"/>
      <c r="V360" s="285"/>
      <c r="W360" s="282"/>
      <c r="X360" s="260"/>
      <c r="Y360" s="283"/>
      <c r="Z360" s="260"/>
      <c r="AA360" s="195"/>
      <c r="AB360" s="282">
        <v>200</v>
      </c>
      <c r="AC360" s="283"/>
      <c r="AD360" s="260"/>
      <c r="AE360" s="282"/>
      <c r="AF360" s="286"/>
      <c r="AG360" s="287">
        <v>45405</v>
      </c>
      <c r="AH360" s="288"/>
      <c r="AI360" s="289"/>
      <c r="AJ360" s="289"/>
      <c r="AK360" s="260"/>
      <c r="AL360" s="260"/>
      <c r="AM360" s="260"/>
      <c r="AN360" s="282"/>
      <c r="AO360" s="282"/>
      <c r="AP360" s="282"/>
      <c r="AQ360" s="260"/>
      <c r="AR360" s="260"/>
      <c r="AS360" s="260"/>
      <c r="AT360" s="283"/>
      <c r="AU360" s="283"/>
      <c r="AV360" s="283"/>
      <c r="AW360" s="260"/>
      <c r="AX360" s="260"/>
      <c r="AY360" s="260"/>
      <c r="AZ360" s="282"/>
      <c r="BA360" s="282"/>
      <c r="BB360" s="282"/>
      <c r="BC360" s="260"/>
      <c r="BD360" s="260"/>
      <c r="BE360" s="260"/>
      <c r="BF360" s="283"/>
      <c r="BG360" s="283"/>
      <c r="BH360" s="283"/>
      <c r="BI360" s="260"/>
      <c r="BJ360" s="260"/>
      <c r="BK360" s="260"/>
      <c r="BL360" s="282"/>
      <c r="BM360" s="282"/>
      <c r="BN360" s="290"/>
      <c r="BO360" s="260"/>
      <c r="BP360" s="260"/>
      <c r="BQ360" s="260"/>
      <c r="BR360" s="283"/>
      <c r="BS360" s="283"/>
      <c r="BT360" s="283"/>
    </row>
    <row r="361" s="50" customFormat="1" spans="1:72">
      <c r="A361" s="191">
        <v>45405</v>
      </c>
      <c r="B361" s="192" t="s">
        <v>1406</v>
      </c>
      <c r="C361" s="251">
        <v>1280</v>
      </c>
      <c r="D361" s="132"/>
      <c r="E361" s="108"/>
      <c r="F361" s="194"/>
      <c r="G361" s="195"/>
      <c r="H361" s="194"/>
      <c r="I361" s="146"/>
      <c r="J361" s="194"/>
      <c r="K361" s="195"/>
      <c r="L361" s="194"/>
      <c r="M361" s="196"/>
      <c r="N361" s="146"/>
      <c r="O361" s="197"/>
      <c r="P361" s="198"/>
      <c r="Q361" s="194"/>
      <c r="R361" s="195"/>
      <c r="S361" s="194"/>
      <c r="T361" s="146"/>
      <c r="U361" s="194"/>
      <c r="V361" s="199"/>
      <c r="W361" s="195"/>
      <c r="X361" s="194"/>
      <c r="Y361" s="146"/>
      <c r="Z361" s="194"/>
      <c r="AA361" s="195"/>
      <c r="AB361" s="195">
        <v>-200</v>
      </c>
      <c r="AC361" s="146"/>
      <c r="AD361" s="194"/>
      <c r="AE361" s="195"/>
      <c r="AF361" s="200"/>
      <c r="AG361" s="145">
        <v>45405</v>
      </c>
      <c r="AH361" s="257"/>
      <c r="AI361" s="201"/>
      <c r="AJ361" s="201"/>
      <c r="AK361" s="194"/>
      <c r="AL361" s="194"/>
      <c r="AM361" s="194"/>
      <c r="AN361" s="195"/>
      <c r="AO361" s="195"/>
      <c r="AP361" s="195"/>
      <c r="AQ361" s="194"/>
      <c r="AR361" s="194"/>
      <c r="AS361" s="194"/>
      <c r="AT361" s="146"/>
      <c r="AU361" s="146"/>
      <c r="AV361" s="146"/>
      <c r="AW361" s="194"/>
      <c r="AX361" s="194"/>
      <c r="AY361" s="194"/>
      <c r="AZ361" s="195"/>
      <c r="BA361" s="195"/>
      <c r="BB361" s="195"/>
      <c r="BC361" s="194"/>
      <c r="BD361" s="194"/>
      <c r="BE361" s="194"/>
      <c r="BF361" s="146">
        <v>720</v>
      </c>
      <c r="BG361" s="146">
        <v>7.2</v>
      </c>
      <c r="BH361" s="146">
        <f>BF361*BG361</f>
        <v>5184</v>
      </c>
      <c r="BI361" s="194"/>
      <c r="BJ361" s="194"/>
      <c r="BK361" s="194"/>
      <c r="BL361" s="195"/>
      <c r="BM361" s="195"/>
      <c r="BN361" s="203"/>
      <c r="BO361" s="194">
        <v>360</v>
      </c>
      <c r="BP361" s="194">
        <v>8.8</v>
      </c>
      <c r="BQ361" s="194">
        <f>BO361*BP361</f>
        <v>3168</v>
      </c>
      <c r="BR361" s="146"/>
      <c r="BS361" s="146"/>
      <c r="BT361" s="146"/>
    </row>
    <row r="362" s="50" customFormat="1" spans="1:72">
      <c r="A362" s="277">
        <v>45405</v>
      </c>
      <c r="B362" s="259" t="s">
        <v>1407</v>
      </c>
      <c r="C362" s="251"/>
      <c r="D362" s="132"/>
      <c r="E362" s="108"/>
      <c r="F362" s="194"/>
      <c r="G362" s="195"/>
      <c r="H362" s="194"/>
      <c r="I362" s="146"/>
      <c r="J362" s="194"/>
      <c r="K362" s="195"/>
      <c r="L362" s="194"/>
      <c r="M362" s="196"/>
      <c r="N362" s="146"/>
      <c r="O362" s="197"/>
      <c r="P362" s="198"/>
      <c r="Q362" s="194"/>
      <c r="R362" s="195"/>
      <c r="S362" s="194"/>
      <c r="T362" s="146">
        <v>1280</v>
      </c>
      <c r="U362" s="194"/>
      <c r="V362" s="199"/>
      <c r="W362" s="195"/>
      <c r="X362" s="194"/>
      <c r="Y362" s="146"/>
      <c r="Z362" s="194"/>
      <c r="AA362" s="195"/>
      <c r="AB362" s="195"/>
      <c r="AC362" s="146"/>
      <c r="AD362" s="194"/>
      <c r="AE362" s="195"/>
      <c r="AF362" s="200"/>
      <c r="AG362" s="145">
        <v>45405</v>
      </c>
      <c r="AH362" s="257"/>
      <c r="AI362" s="201"/>
      <c r="AJ362" s="201"/>
      <c r="AK362" s="194"/>
      <c r="AL362" s="194"/>
      <c r="AM362" s="194"/>
      <c r="AN362" s="195"/>
      <c r="AO362" s="195"/>
      <c r="AP362" s="195"/>
      <c r="AQ362" s="194"/>
      <c r="AR362" s="194"/>
      <c r="AS362" s="194"/>
      <c r="AT362" s="146"/>
      <c r="AU362" s="146"/>
      <c r="AV362" s="146"/>
      <c r="AW362" s="194"/>
      <c r="AX362" s="194"/>
      <c r="AY362" s="194"/>
      <c r="AZ362" s="195"/>
      <c r="BA362" s="195"/>
      <c r="BB362" s="195"/>
      <c r="BC362" s="194"/>
      <c r="BD362" s="194"/>
      <c r="BE362" s="194"/>
      <c r="BF362" s="146"/>
      <c r="BG362" s="146"/>
      <c r="BH362" s="146"/>
      <c r="BI362" s="194"/>
      <c r="BJ362" s="194"/>
      <c r="BK362" s="194"/>
      <c r="BL362" s="195"/>
      <c r="BM362" s="195"/>
      <c r="BN362" s="203"/>
      <c r="BO362" s="194"/>
      <c r="BP362" s="194"/>
      <c r="BQ362" s="194"/>
      <c r="BR362" s="146"/>
      <c r="BS362" s="146"/>
      <c r="BT362" s="146"/>
    </row>
    <row r="363" s="50" customFormat="1" spans="1:72">
      <c r="A363" s="191">
        <v>45406</v>
      </c>
      <c r="B363" s="192" t="s">
        <v>1408</v>
      </c>
      <c r="C363" s="251">
        <v>401</v>
      </c>
      <c r="D363" s="132"/>
      <c r="E363" s="108"/>
      <c r="F363" s="194">
        <v>-61</v>
      </c>
      <c r="G363" s="195">
        <v>-12</v>
      </c>
      <c r="H363" s="194"/>
      <c r="I363" s="146"/>
      <c r="J363" s="194"/>
      <c r="K363" s="195"/>
      <c r="L363" s="194"/>
      <c r="M363" s="196"/>
      <c r="N363" s="146"/>
      <c r="O363" s="197">
        <v>-60</v>
      </c>
      <c r="P363" s="198"/>
      <c r="Q363" s="194"/>
      <c r="R363" s="195"/>
      <c r="S363" s="194">
        <v>-28</v>
      </c>
      <c r="T363" s="146">
        <v>-100</v>
      </c>
      <c r="U363" s="194"/>
      <c r="V363" s="199"/>
      <c r="W363" s="195"/>
      <c r="X363" s="194"/>
      <c r="Y363" s="146"/>
      <c r="Z363" s="194"/>
      <c r="AA363" s="195"/>
      <c r="AB363" s="195"/>
      <c r="AC363" s="146"/>
      <c r="AD363" s="194"/>
      <c r="AE363" s="195"/>
      <c r="AF363" s="200"/>
      <c r="AG363" s="145">
        <v>45406</v>
      </c>
      <c r="AH363" s="257"/>
      <c r="AI363" s="201"/>
      <c r="AJ363" s="201"/>
      <c r="AK363" s="194"/>
      <c r="AL363" s="194"/>
      <c r="AM363" s="194"/>
      <c r="AN363" s="195">
        <v>3.2</v>
      </c>
      <c r="AO363" s="195">
        <v>17</v>
      </c>
      <c r="AP363" s="195">
        <f>AN363*AO363</f>
        <v>54.4</v>
      </c>
      <c r="AQ363" s="194"/>
      <c r="AR363" s="194"/>
      <c r="AS363" s="194"/>
      <c r="AT363" s="146"/>
      <c r="AU363" s="146"/>
      <c r="AV363" s="146"/>
      <c r="AW363" s="194"/>
      <c r="AX363" s="194"/>
      <c r="AY363" s="194"/>
      <c r="AZ363" s="195"/>
      <c r="BA363" s="195"/>
      <c r="BB363" s="195"/>
      <c r="BC363" s="194">
        <v>60</v>
      </c>
      <c r="BD363" s="194">
        <v>11</v>
      </c>
      <c r="BE363" s="194">
        <f>BC363*BD363</f>
        <v>660</v>
      </c>
      <c r="BF363" s="146">
        <v>76.8</v>
      </c>
      <c r="BG363" s="146">
        <v>7.2</v>
      </c>
      <c r="BH363" s="146">
        <f>BF363*BG363</f>
        <v>552.96</v>
      </c>
      <c r="BI363" s="194"/>
      <c r="BJ363" s="194"/>
      <c r="BK363" s="194"/>
      <c r="BL363" s="195"/>
      <c r="BM363" s="195"/>
      <c r="BN363" s="203"/>
      <c r="BO363" s="194"/>
      <c r="BP363" s="194"/>
      <c r="BQ363" s="194"/>
      <c r="BR363" s="146"/>
      <c r="BS363" s="146"/>
      <c r="BT363" s="146"/>
    </row>
    <row r="364" s="50" customFormat="1" spans="1:72">
      <c r="A364" s="191">
        <v>45406</v>
      </c>
      <c r="B364" s="192" t="s">
        <v>981</v>
      </c>
      <c r="C364" s="251">
        <v>500</v>
      </c>
      <c r="D364" s="132">
        <v>-50</v>
      </c>
      <c r="E364" s="108"/>
      <c r="F364" s="194"/>
      <c r="G364" s="195">
        <v>-85</v>
      </c>
      <c r="H364" s="194"/>
      <c r="I364" s="146"/>
      <c r="J364" s="194"/>
      <c r="K364" s="195"/>
      <c r="L364" s="194"/>
      <c r="M364" s="196"/>
      <c r="N364" s="146"/>
      <c r="O364" s="197">
        <v>-75</v>
      </c>
      <c r="P364" s="198"/>
      <c r="Q364" s="194"/>
      <c r="R364" s="195"/>
      <c r="S364" s="194">
        <v>-70</v>
      </c>
      <c r="T364" s="146">
        <v>160</v>
      </c>
      <c r="U364" s="194"/>
      <c r="V364" s="199"/>
      <c r="W364" s="195"/>
      <c r="X364" s="194"/>
      <c r="Y364" s="146"/>
      <c r="Z364" s="194"/>
      <c r="AA364" s="195"/>
      <c r="AB364" s="195"/>
      <c r="AC364" s="146"/>
      <c r="AD364" s="194"/>
      <c r="AE364" s="195"/>
      <c r="AF364" s="200"/>
      <c r="AG364" s="145">
        <v>45406</v>
      </c>
      <c r="AH364" s="257"/>
      <c r="AI364" s="201"/>
      <c r="AJ364" s="201"/>
      <c r="AK364" s="194"/>
      <c r="AL364" s="194"/>
      <c r="AM364" s="194"/>
      <c r="AN364" s="195"/>
      <c r="AO364" s="195"/>
      <c r="AP364" s="195"/>
      <c r="AQ364" s="194"/>
      <c r="AR364" s="194"/>
      <c r="AS364" s="194"/>
      <c r="AT364" s="146"/>
      <c r="AU364" s="146"/>
      <c r="AV364" s="146"/>
      <c r="AW364" s="194"/>
      <c r="AX364" s="194"/>
      <c r="AY364" s="194"/>
      <c r="AZ364" s="195"/>
      <c r="BA364" s="195"/>
      <c r="BB364" s="195"/>
      <c r="BC364" s="194">
        <v>60</v>
      </c>
      <c r="BD364" s="194">
        <v>11</v>
      </c>
      <c r="BE364" s="194">
        <f>BC364*BD364</f>
        <v>660</v>
      </c>
      <c r="BF364" s="146"/>
      <c r="BG364" s="146"/>
      <c r="BH364" s="146"/>
      <c r="BI364" s="194"/>
      <c r="BJ364" s="194"/>
      <c r="BK364" s="194"/>
      <c r="BL364" s="195"/>
      <c r="BM364" s="195"/>
      <c r="BN364" s="203"/>
      <c r="BO364" s="194"/>
      <c r="BP364" s="194"/>
      <c r="BQ364" s="194"/>
      <c r="BR364" s="146"/>
      <c r="BS364" s="146"/>
      <c r="BT364" s="146"/>
    </row>
    <row r="365" s="50" customFormat="1" spans="1:72">
      <c r="A365" s="191">
        <v>45406</v>
      </c>
      <c r="B365" s="192" t="s">
        <v>997</v>
      </c>
      <c r="C365" s="251">
        <v>1000</v>
      </c>
      <c r="D365" s="132"/>
      <c r="E365" s="108"/>
      <c r="F365" s="194"/>
      <c r="G365" s="195">
        <v>-200</v>
      </c>
      <c r="H365" s="194"/>
      <c r="I365" s="146"/>
      <c r="J365" s="194"/>
      <c r="K365" s="195"/>
      <c r="L365" s="194"/>
      <c r="M365" s="196"/>
      <c r="N365" s="146"/>
      <c r="O365" s="197">
        <v>-150</v>
      </c>
      <c r="P365" s="198"/>
      <c r="Q365" s="194"/>
      <c r="R365" s="195"/>
      <c r="S365" s="194">
        <v>-70</v>
      </c>
      <c r="T365" s="146">
        <v>-380</v>
      </c>
      <c r="U365" s="194"/>
      <c r="V365" s="199"/>
      <c r="W365" s="195"/>
      <c r="X365" s="194"/>
      <c r="Y365" s="146"/>
      <c r="Z365" s="194"/>
      <c r="AA365" s="195"/>
      <c r="AB365" s="195"/>
      <c r="AC365" s="146"/>
      <c r="AD365" s="194"/>
      <c r="AE365" s="195"/>
      <c r="AF365" s="200"/>
      <c r="AG365" s="145">
        <v>45406</v>
      </c>
      <c r="AH365" s="257"/>
      <c r="AI365" s="201"/>
      <c r="AJ365" s="201"/>
      <c r="AK365" s="194"/>
      <c r="AL365" s="194"/>
      <c r="AM365" s="194"/>
      <c r="AN365" s="195"/>
      <c r="AO365" s="195"/>
      <c r="AP365" s="195"/>
      <c r="AQ365" s="194"/>
      <c r="AR365" s="194"/>
      <c r="AS365" s="194"/>
      <c r="AT365" s="146"/>
      <c r="AU365" s="146"/>
      <c r="AV365" s="146"/>
      <c r="AW365" s="194"/>
      <c r="AX365" s="194"/>
      <c r="AY365" s="194"/>
      <c r="AZ365" s="195"/>
      <c r="BA365" s="195"/>
      <c r="BB365" s="195"/>
      <c r="BC365" s="194">
        <v>200</v>
      </c>
      <c r="BD365" s="194">
        <v>11</v>
      </c>
      <c r="BE365" s="194">
        <f>BC365*BD365</f>
        <v>2200</v>
      </c>
      <c r="BF365" s="146"/>
      <c r="BG365" s="146"/>
      <c r="BH365" s="146"/>
      <c r="BI365" s="194"/>
      <c r="BJ365" s="194"/>
      <c r="BK365" s="194"/>
      <c r="BL365" s="195"/>
      <c r="BM365" s="195"/>
      <c r="BN365" s="203"/>
      <c r="BO365" s="194"/>
      <c r="BP365" s="194"/>
      <c r="BQ365" s="194"/>
      <c r="BR365" s="146"/>
      <c r="BS365" s="146"/>
      <c r="BT365" s="146"/>
    </row>
    <row r="366" s="50" customFormat="1" spans="1:72">
      <c r="A366" s="191">
        <v>45406</v>
      </c>
      <c r="B366" s="192" t="s">
        <v>1409</v>
      </c>
      <c r="C366" s="251">
        <v>501</v>
      </c>
      <c r="D366" s="132">
        <v>-63</v>
      </c>
      <c r="E366" s="108"/>
      <c r="F366" s="194"/>
      <c r="G366" s="195">
        <v>-75</v>
      </c>
      <c r="H366" s="194"/>
      <c r="I366" s="146"/>
      <c r="J366" s="194"/>
      <c r="K366" s="195"/>
      <c r="L366" s="194"/>
      <c r="M366" s="196">
        <v>-100</v>
      </c>
      <c r="N366" s="146"/>
      <c r="O366" s="197"/>
      <c r="P366" s="198"/>
      <c r="Q366" s="194"/>
      <c r="R366" s="195"/>
      <c r="S366" s="194">
        <v>-70</v>
      </c>
      <c r="T366" s="146">
        <v>-130</v>
      </c>
      <c r="U366" s="194"/>
      <c r="V366" s="199"/>
      <c r="W366" s="195"/>
      <c r="X366" s="194"/>
      <c r="Y366" s="146"/>
      <c r="Z366" s="194"/>
      <c r="AA366" s="195"/>
      <c r="AB366" s="195"/>
      <c r="AC366" s="146"/>
      <c r="AD366" s="194"/>
      <c r="AE366" s="195"/>
      <c r="AF366" s="200"/>
      <c r="AG366" s="145">
        <v>45406</v>
      </c>
      <c r="AH366" s="257"/>
      <c r="AI366" s="201"/>
      <c r="AJ366" s="201"/>
      <c r="AK366" s="194"/>
      <c r="AL366" s="194"/>
      <c r="AM366" s="194"/>
      <c r="AN366" s="195"/>
      <c r="AO366" s="195"/>
      <c r="AP366" s="195"/>
      <c r="AQ366" s="194"/>
      <c r="AR366" s="194"/>
      <c r="AS366" s="194"/>
      <c r="AT366" s="146"/>
      <c r="AU366" s="146"/>
      <c r="AV366" s="146"/>
      <c r="AW366" s="194"/>
      <c r="AX366" s="194"/>
      <c r="AY366" s="194"/>
      <c r="AZ366" s="195"/>
      <c r="BA366" s="195"/>
      <c r="BB366" s="195"/>
      <c r="BC366" s="194">
        <v>63</v>
      </c>
      <c r="BD366" s="194">
        <v>11</v>
      </c>
      <c r="BE366" s="194">
        <f>BC366*BD366</f>
        <v>693</v>
      </c>
      <c r="BF366" s="146"/>
      <c r="BG366" s="146"/>
      <c r="BH366" s="146"/>
      <c r="BI366" s="194"/>
      <c r="BJ366" s="194"/>
      <c r="BK366" s="194"/>
      <c r="BL366" s="195"/>
      <c r="BM366" s="195"/>
      <c r="BN366" s="203"/>
      <c r="BO366" s="194"/>
      <c r="BP366" s="194"/>
      <c r="BQ366" s="194"/>
      <c r="BR366" s="146"/>
      <c r="BS366" s="146"/>
      <c r="BT366" s="146"/>
    </row>
    <row r="367" s="50" customFormat="1" spans="1:72">
      <c r="A367" s="191">
        <v>45405</v>
      </c>
      <c r="B367" s="259" t="s">
        <v>1401</v>
      </c>
      <c r="C367" s="251"/>
      <c r="D367" s="132"/>
      <c r="E367" s="108">
        <v>75</v>
      </c>
      <c r="F367" s="194"/>
      <c r="G367" s="195"/>
      <c r="H367" s="194"/>
      <c r="I367" s="146"/>
      <c r="J367" s="194"/>
      <c r="K367" s="195"/>
      <c r="L367" s="194"/>
      <c r="M367" s="196"/>
      <c r="N367" s="146"/>
      <c r="O367" s="197"/>
      <c r="P367" s="198"/>
      <c r="Q367" s="194"/>
      <c r="R367" s="195"/>
      <c r="S367" s="194"/>
      <c r="T367" s="146"/>
      <c r="U367" s="194"/>
      <c r="V367" s="199"/>
      <c r="W367" s="195"/>
      <c r="X367" s="194"/>
      <c r="Y367" s="146"/>
      <c r="Z367" s="194"/>
      <c r="AA367" s="195"/>
      <c r="AB367" s="195"/>
      <c r="AC367" s="146"/>
      <c r="AD367" s="194"/>
      <c r="AE367" s="195"/>
      <c r="AF367" s="200"/>
      <c r="AG367" s="145">
        <v>45405</v>
      </c>
      <c r="AH367" s="257"/>
      <c r="AI367" s="201"/>
      <c r="AJ367" s="201"/>
      <c r="AK367" s="194"/>
      <c r="AL367" s="194"/>
      <c r="AM367" s="194"/>
      <c r="AN367" s="195"/>
      <c r="AO367" s="195"/>
      <c r="AP367" s="195"/>
      <c r="AQ367" s="194"/>
      <c r="AR367" s="194"/>
      <c r="AS367" s="194"/>
      <c r="AT367" s="146"/>
      <c r="AU367" s="146"/>
      <c r="AV367" s="146"/>
      <c r="AW367" s="194"/>
      <c r="AX367" s="194"/>
      <c r="AY367" s="194"/>
      <c r="AZ367" s="195"/>
      <c r="BA367" s="195"/>
      <c r="BB367" s="195"/>
      <c r="BC367" s="194"/>
      <c r="BD367" s="194"/>
      <c r="BE367" s="194"/>
      <c r="BF367" s="146"/>
      <c r="BG367" s="146"/>
      <c r="BH367" s="146"/>
      <c r="BI367" s="194"/>
      <c r="BJ367" s="194"/>
      <c r="BK367" s="194"/>
      <c r="BL367" s="195"/>
      <c r="BM367" s="195"/>
      <c r="BN367" s="203"/>
      <c r="BO367" s="194"/>
      <c r="BP367" s="194"/>
      <c r="BQ367" s="194"/>
      <c r="BR367" s="146"/>
      <c r="BS367" s="146"/>
      <c r="BT367" s="146"/>
    </row>
    <row r="368" s="50" customFormat="1" spans="1:72">
      <c r="A368" s="191">
        <v>45407</v>
      </c>
      <c r="B368" s="192" t="s">
        <v>1402</v>
      </c>
      <c r="C368" s="251">
        <v>187.5</v>
      </c>
      <c r="D368" s="149">
        <v>183</v>
      </c>
      <c r="E368" s="108">
        <v>-75</v>
      </c>
      <c r="F368" s="194"/>
      <c r="G368" s="195"/>
      <c r="H368" s="194"/>
      <c r="I368" s="146"/>
      <c r="J368" s="194"/>
      <c r="K368" s="195"/>
      <c r="L368" s="194"/>
      <c r="M368" s="196"/>
      <c r="N368" s="146"/>
      <c r="O368" s="197"/>
      <c r="P368" s="198"/>
      <c r="Q368" s="194"/>
      <c r="R368" s="195"/>
      <c r="S368" s="194"/>
      <c r="T368" s="146"/>
      <c r="U368" s="194"/>
      <c r="V368" s="199"/>
      <c r="W368" s="195"/>
      <c r="X368" s="194"/>
      <c r="Y368" s="146"/>
      <c r="Z368" s="194"/>
      <c r="AA368" s="195"/>
      <c r="AB368" s="195"/>
      <c r="AC368" s="146"/>
      <c r="AD368" s="194"/>
      <c r="AE368" s="195"/>
      <c r="AF368" s="200"/>
      <c r="AG368" s="145">
        <v>45405</v>
      </c>
      <c r="AH368" s="257"/>
      <c r="AI368" s="201"/>
      <c r="AJ368" s="201"/>
      <c r="AK368" s="194"/>
      <c r="AL368" s="194"/>
      <c r="AM368" s="194"/>
      <c r="AN368" s="195"/>
      <c r="AO368" s="195"/>
      <c r="AP368" s="195"/>
      <c r="AQ368" s="194"/>
      <c r="AR368" s="194"/>
      <c r="AS368" s="194"/>
      <c r="AT368" s="146"/>
      <c r="AU368" s="146"/>
      <c r="AV368" s="146"/>
      <c r="AW368" s="194"/>
      <c r="AX368" s="194"/>
      <c r="AY368" s="194"/>
      <c r="AZ368" s="195"/>
      <c r="BA368" s="195"/>
      <c r="BB368" s="195"/>
      <c r="BC368" s="194">
        <v>112.5</v>
      </c>
      <c r="BD368" s="194">
        <v>11</v>
      </c>
      <c r="BE368" s="194">
        <f>BC368*BD368</f>
        <v>1237.5</v>
      </c>
      <c r="BF368" s="146"/>
      <c r="BG368" s="146"/>
      <c r="BH368" s="146"/>
      <c r="BI368" s="194"/>
      <c r="BJ368" s="194"/>
      <c r="BK368" s="194"/>
      <c r="BL368" s="195"/>
      <c r="BM368" s="195"/>
      <c r="BN368" s="203"/>
      <c r="BO368" s="194"/>
      <c r="BP368" s="194"/>
      <c r="BQ368" s="194"/>
      <c r="BR368" s="146"/>
      <c r="BS368" s="146"/>
      <c r="BT368" s="146"/>
    </row>
    <row r="369" s="50" customFormat="1" spans="1:72">
      <c r="A369" s="191">
        <v>45407</v>
      </c>
      <c r="B369" s="192" t="s">
        <v>962</v>
      </c>
      <c r="C369" s="251">
        <v>501</v>
      </c>
      <c r="D369" s="132">
        <v>-63</v>
      </c>
      <c r="E369" s="108"/>
      <c r="F369" s="194"/>
      <c r="G369" s="195">
        <v>-75</v>
      </c>
      <c r="H369" s="194"/>
      <c r="I369" s="146">
        <v>-100</v>
      </c>
      <c r="J369" s="194"/>
      <c r="K369" s="195"/>
      <c r="L369" s="194"/>
      <c r="M369" s="196"/>
      <c r="N369" s="146"/>
      <c r="O369" s="197"/>
      <c r="P369" s="198"/>
      <c r="Q369" s="194"/>
      <c r="R369" s="195"/>
      <c r="S369" s="194">
        <v>-70</v>
      </c>
      <c r="T369" s="146">
        <v>-130</v>
      </c>
      <c r="U369" s="194"/>
      <c r="V369" s="199"/>
      <c r="W369" s="195"/>
      <c r="X369" s="194"/>
      <c r="Y369" s="146"/>
      <c r="Z369" s="194"/>
      <c r="AA369" s="195"/>
      <c r="AB369" s="195"/>
      <c r="AC369" s="146"/>
      <c r="AD369" s="194"/>
      <c r="AE369" s="195"/>
      <c r="AF369" s="200"/>
      <c r="AG369" s="145">
        <v>45407</v>
      </c>
      <c r="AH369" s="257"/>
      <c r="AI369" s="201"/>
      <c r="AJ369" s="201"/>
      <c r="AK369" s="194"/>
      <c r="AL369" s="194"/>
      <c r="AM369" s="194"/>
      <c r="AN369" s="195"/>
      <c r="AO369" s="195"/>
      <c r="AP369" s="195"/>
      <c r="AQ369" s="194"/>
      <c r="AR369" s="194"/>
      <c r="AS369" s="194"/>
      <c r="AT369" s="146"/>
      <c r="AU369" s="146"/>
      <c r="AV369" s="146"/>
      <c r="AW369" s="194"/>
      <c r="AX369" s="194"/>
      <c r="AY369" s="194"/>
      <c r="AZ369" s="195"/>
      <c r="BA369" s="195"/>
      <c r="BB369" s="195"/>
      <c r="BC369" s="194">
        <v>63</v>
      </c>
      <c r="BD369" s="194">
        <v>11</v>
      </c>
      <c r="BE369" s="194">
        <f>BC369*BD369</f>
        <v>693</v>
      </c>
      <c r="BF369" s="146"/>
      <c r="BG369" s="146"/>
      <c r="BH369" s="146"/>
      <c r="BI369" s="194"/>
      <c r="BJ369" s="194"/>
      <c r="BK369" s="194"/>
      <c r="BL369" s="195"/>
      <c r="BM369" s="195"/>
      <c r="BN369" s="203"/>
      <c r="BO369" s="194"/>
      <c r="BP369" s="194"/>
      <c r="BQ369" s="194"/>
      <c r="BR369" s="146"/>
      <c r="BS369" s="146"/>
      <c r="BT369" s="146"/>
    </row>
    <row r="370" s="50" customFormat="1" spans="1:72">
      <c r="A370" s="191">
        <v>45409</v>
      </c>
      <c r="B370" s="192" t="s">
        <v>987</v>
      </c>
      <c r="C370" s="251">
        <v>1000</v>
      </c>
      <c r="D370" s="132">
        <v>-125</v>
      </c>
      <c r="E370" s="108"/>
      <c r="F370" s="194"/>
      <c r="G370" s="195">
        <v>-200</v>
      </c>
      <c r="H370" s="194">
        <v>-200</v>
      </c>
      <c r="I370" s="146"/>
      <c r="J370" s="194"/>
      <c r="K370" s="195"/>
      <c r="L370" s="194"/>
      <c r="M370" s="196"/>
      <c r="N370" s="146"/>
      <c r="O370" s="197"/>
      <c r="P370" s="198"/>
      <c r="Q370" s="194"/>
      <c r="R370" s="195"/>
      <c r="S370" s="194">
        <v>-70</v>
      </c>
      <c r="T370" s="146">
        <v>-380</v>
      </c>
      <c r="U370" s="194"/>
      <c r="V370" s="199"/>
      <c r="W370" s="195"/>
      <c r="X370" s="194"/>
      <c r="Y370" s="146"/>
      <c r="Z370" s="194"/>
      <c r="AA370" s="195"/>
      <c r="AB370" s="195"/>
      <c r="AC370" s="146"/>
      <c r="AD370" s="194"/>
      <c r="AE370" s="195"/>
      <c r="AF370" s="200"/>
      <c r="AG370" s="145">
        <v>45409</v>
      </c>
      <c r="AH370" s="257"/>
      <c r="AI370" s="201"/>
      <c r="AJ370" s="201"/>
      <c r="AK370" s="194"/>
      <c r="AL370" s="194"/>
      <c r="AM370" s="194"/>
      <c r="AN370" s="195"/>
      <c r="AO370" s="195"/>
      <c r="AP370" s="195"/>
      <c r="AQ370" s="194"/>
      <c r="AR370" s="194"/>
      <c r="AS370" s="194"/>
      <c r="AT370" s="146"/>
      <c r="AU370" s="146"/>
      <c r="AV370" s="146"/>
      <c r="AW370" s="194"/>
      <c r="AX370" s="194"/>
      <c r="AY370" s="194"/>
      <c r="AZ370" s="195"/>
      <c r="BA370" s="195"/>
      <c r="BB370" s="195"/>
      <c r="BC370" s="194">
        <v>25</v>
      </c>
      <c r="BD370" s="194">
        <v>11</v>
      </c>
      <c r="BE370" s="194">
        <f>BC370*BD370</f>
        <v>275</v>
      </c>
      <c r="BF370" s="146"/>
      <c r="BG370" s="146"/>
      <c r="BH370" s="146"/>
      <c r="BI370" s="194"/>
      <c r="BJ370" s="194"/>
      <c r="BK370" s="194"/>
      <c r="BL370" s="195"/>
      <c r="BM370" s="195"/>
      <c r="BN370" s="203"/>
      <c r="BO370" s="194"/>
      <c r="BP370" s="194"/>
      <c r="BQ370" s="194"/>
      <c r="BR370" s="146"/>
      <c r="BS370" s="146"/>
      <c r="BT370" s="146"/>
    </row>
    <row r="371" s="52" customFormat="1" spans="1:72">
      <c r="A371" s="277">
        <v>45411</v>
      </c>
      <c r="B371" s="259" t="s">
        <v>896</v>
      </c>
      <c r="C371" s="280"/>
      <c r="D371" s="149"/>
      <c r="E371" s="281"/>
      <c r="F371" s="260"/>
      <c r="G371" s="282"/>
      <c r="H371" s="260"/>
      <c r="I371" s="283"/>
      <c r="J371" s="260"/>
      <c r="K371" s="282"/>
      <c r="L371" s="260"/>
      <c r="M371" s="278"/>
      <c r="N371" s="283"/>
      <c r="O371" s="279"/>
      <c r="P371" s="284"/>
      <c r="Q371" s="260"/>
      <c r="R371" s="282"/>
      <c r="S371" s="260"/>
      <c r="T371" s="283"/>
      <c r="U371" s="260"/>
      <c r="V371" s="285"/>
      <c r="W371" s="282"/>
      <c r="X371" s="260"/>
      <c r="Y371" s="283"/>
      <c r="Z371" s="260"/>
      <c r="AA371" s="195"/>
      <c r="AB371" s="282">
        <v>200</v>
      </c>
      <c r="AC371" s="283"/>
      <c r="AD371" s="260"/>
      <c r="AE371" s="282"/>
      <c r="AF371" s="286"/>
      <c r="AG371" s="287">
        <v>45411</v>
      </c>
      <c r="AH371" s="288"/>
      <c r="AI371" s="289"/>
      <c r="AJ371" s="289"/>
      <c r="AK371" s="260"/>
      <c r="AL371" s="260"/>
      <c r="AM371" s="260"/>
      <c r="AN371" s="282"/>
      <c r="AO371" s="282"/>
      <c r="AP371" s="282"/>
      <c r="AQ371" s="260"/>
      <c r="AR371" s="260"/>
      <c r="AS371" s="260"/>
      <c r="AT371" s="283"/>
      <c r="AU371" s="283"/>
      <c r="AV371" s="283"/>
      <c r="AW371" s="260"/>
      <c r="AX371" s="260"/>
      <c r="AY371" s="260"/>
      <c r="AZ371" s="282"/>
      <c r="BA371" s="282"/>
      <c r="BB371" s="282"/>
      <c r="BC371" s="260"/>
      <c r="BD371" s="260"/>
      <c r="BE371" s="260"/>
      <c r="BF371" s="283"/>
      <c r="BG371" s="283"/>
      <c r="BH371" s="283"/>
      <c r="BI371" s="260"/>
      <c r="BJ371" s="260"/>
      <c r="BK371" s="260"/>
      <c r="BL371" s="282"/>
      <c r="BM371" s="282"/>
      <c r="BN371" s="290"/>
      <c r="BO371" s="260"/>
      <c r="BP371" s="260"/>
      <c r="BQ371" s="260"/>
      <c r="BR371" s="283"/>
      <c r="BS371" s="283"/>
      <c r="BT371" s="283"/>
    </row>
    <row r="372" s="50" customFormat="1" spans="1:72">
      <c r="A372" s="191">
        <v>45411</v>
      </c>
      <c r="B372" s="192" t="s">
        <v>298</v>
      </c>
      <c r="C372" s="251">
        <v>1280</v>
      </c>
      <c r="D372" s="132"/>
      <c r="E372" s="108"/>
      <c r="F372" s="194"/>
      <c r="G372" s="195"/>
      <c r="H372" s="194"/>
      <c r="I372" s="146"/>
      <c r="J372" s="194"/>
      <c r="K372" s="195"/>
      <c r="L372" s="194"/>
      <c r="M372" s="196"/>
      <c r="N372" s="146"/>
      <c r="O372" s="197"/>
      <c r="P372" s="198"/>
      <c r="Q372" s="194"/>
      <c r="R372" s="195"/>
      <c r="S372" s="194"/>
      <c r="T372" s="146"/>
      <c r="U372" s="194"/>
      <c r="V372" s="199"/>
      <c r="W372" s="195"/>
      <c r="X372" s="194"/>
      <c r="Y372" s="146"/>
      <c r="Z372" s="194"/>
      <c r="AA372" s="195"/>
      <c r="AB372" s="195">
        <v>-200</v>
      </c>
      <c r="AC372" s="146"/>
      <c r="AD372" s="194"/>
      <c r="AE372" s="195"/>
      <c r="AF372" s="200"/>
      <c r="AG372" s="145">
        <v>45411</v>
      </c>
      <c r="AH372" s="257"/>
      <c r="AI372" s="201"/>
      <c r="AJ372" s="201"/>
      <c r="AK372" s="194"/>
      <c r="AL372" s="194"/>
      <c r="AM372" s="194"/>
      <c r="AN372" s="195"/>
      <c r="AO372" s="195"/>
      <c r="AP372" s="195"/>
      <c r="AQ372" s="194"/>
      <c r="AR372" s="194"/>
      <c r="AS372" s="194"/>
      <c r="AT372" s="146"/>
      <c r="AU372" s="146"/>
      <c r="AV372" s="146"/>
      <c r="AW372" s="194"/>
      <c r="AX372" s="194"/>
      <c r="AY372" s="194"/>
      <c r="AZ372" s="195"/>
      <c r="BA372" s="195"/>
      <c r="BB372" s="195"/>
      <c r="BC372" s="194"/>
      <c r="BD372" s="194"/>
      <c r="BE372" s="194"/>
      <c r="BF372" s="146">
        <v>720</v>
      </c>
      <c r="BG372" s="146">
        <v>7.2</v>
      </c>
      <c r="BH372" s="146">
        <f>BF372*BG372</f>
        <v>5184</v>
      </c>
      <c r="BI372" s="194"/>
      <c r="BJ372" s="194"/>
      <c r="BK372" s="194"/>
      <c r="BL372" s="195"/>
      <c r="BM372" s="195"/>
      <c r="BN372" s="203"/>
      <c r="BO372" s="194">
        <v>360</v>
      </c>
      <c r="BP372" s="194">
        <v>8.8</v>
      </c>
      <c r="BQ372" s="194">
        <f>BO372*BP372</f>
        <v>3168</v>
      </c>
      <c r="BR372" s="146"/>
      <c r="BS372" s="146"/>
      <c r="BT372" s="146"/>
    </row>
    <row r="373" s="50" customFormat="1" spans="1:72">
      <c r="A373" s="277">
        <v>45411</v>
      </c>
      <c r="B373" s="259" t="s">
        <v>1407</v>
      </c>
      <c r="C373" s="251"/>
      <c r="D373" s="132"/>
      <c r="E373" s="108"/>
      <c r="F373" s="194"/>
      <c r="G373" s="195"/>
      <c r="H373" s="194"/>
      <c r="I373" s="146"/>
      <c r="J373" s="194"/>
      <c r="K373" s="195"/>
      <c r="L373" s="194"/>
      <c r="M373" s="196"/>
      <c r="N373" s="146"/>
      <c r="O373" s="197"/>
      <c r="P373" s="198"/>
      <c r="Q373" s="194"/>
      <c r="R373" s="195"/>
      <c r="S373" s="194"/>
      <c r="T373" s="146">
        <v>1280</v>
      </c>
      <c r="U373" s="194"/>
      <c r="V373" s="199"/>
      <c r="W373" s="195"/>
      <c r="X373" s="194"/>
      <c r="Y373" s="146"/>
      <c r="Z373" s="194"/>
      <c r="AA373" s="195"/>
      <c r="AB373" s="194"/>
      <c r="AC373" s="146"/>
      <c r="AD373" s="194"/>
      <c r="AE373" s="195"/>
      <c r="AF373" s="200"/>
      <c r="AG373" s="145">
        <v>45411</v>
      </c>
      <c r="AH373" s="257"/>
      <c r="AI373" s="201"/>
      <c r="AJ373" s="201"/>
      <c r="AK373" s="194"/>
      <c r="AL373" s="194"/>
      <c r="AM373" s="194"/>
      <c r="AN373" s="195"/>
      <c r="AO373" s="195"/>
      <c r="AP373" s="195"/>
      <c r="AQ373" s="194"/>
      <c r="AR373" s="194"/>
      <c r="AS373" s="194"/>
      <c r="AT373" s="146"/>
      <c r="AU373" s="146"/>
      <c r="AV373" s="146"/>
      <c r="AW373" s="194"/>
      <c r="AX373" s="194"/>
      <c r="AY373" s="194"/>
      <c r="AZ373" s="195"/>
      <c r="BA373" s="195"/>
      <c r="BB373" s="195"/>
      <c r="BC373" s="194"/>
      <c r="BD373" s="194"/>
      <c r="BE373" s="194"/>
      <c r="BF373" s="146"/>
      <c r="BG373" s="146"/>
      <c r="BH373" s="146"/>
      <c r="BI373" s="194"/>
      <c r="BJ373" s="194"/>
      <c r="BK373" s="194"/>
      <c r="BL373" s="195"/>
      <c r="BM373" s="195"/>
      <c r="BN373" s="203"/>
      <c r="BO373" s="194"/>
      <c r="BP373" s="194"/>
      <c r="BQ373" s="194"/>
      <c r="BR373" s="146"/>
      <c r="BS373" s="146"/>
      <c r="BT373" s="146"/>
    </row>
    <row r="374" s="50" customFormat="1" spans="1:72">
      <c r="A374" s="191">
        <v>45411</v>
      </c>
      <c r="B374" s="192" t="s">
        <v>1321</v>
      </c>
      <c r="C374" s="251">
        <v>2000</v>
      </c>
      <c r="D374" s="193"/>
      <c r="E374" s="108"/>
      <c r="F374" s="194"/>
      <c r="G374" s="195">
        <v>-300</v>
      </c>
      <c r="H374" s="194"/>
      <c r="I374" s="146"/>
      <c r="J374" s="194"/>
      <c r="K374" s="195"/>
      <c r="L374" s="194"/>
      <c r="M374" s="196"/>
      <c r="N374" s="146"/>
      <c r="O374" s="197">
        <v>-300</v>
      </c>
      <c r="P374" s="198"/>
      <c r="Q374" s="194"/>
      <c r="R374" s="195"/>
      <c r="S374" s="194">
        <v>-400</v>
      </c>
      <c r="T374" s="146">
        <v>-900</v>
      </c>
      <c r="U374" s="194"/>
      <c r="V374" s="199"/>
      <c r="W374" s="195"/>
      <c r="X374" s="194"/>
      <c r="Y374" s="146"/>
      <c r="Z374" s="194"/>
      <c r="AA374" s="195"/>
      <c r="AB374" s="194"/>
      <c r="AC374" s="146"/>
      <c r="AD374" s="194"/>
      <c r="AE374" s="195"/>
      <c r="AF374" s="200"/>
      <c r="AG374" s="145">
        <v>45411</v>
      </c>
      <c r="AH374" s="257"/>
      <c r="AI374" s="201"/>
      <c r="AJ374" s="201"/>
      <c r="AK374" s="194"/>
      <c r="AL374" s="194"/>
      <c r="AM374" s="194"/>
      <c r="AN374" s="195"/>
      <c r="AO374" s="195"/>
      <c r="AP374" s="195"/>
      <c r="AQ374" s="194"/>
      <c r="AR374" s="194"/>
      <c r="AS374" s="194"/>
      <c r="AT374" s="146"/>
      <c r="AU374" s="146"/>
      <c r="AV374" s="146"/>
      <c r="AW374" s="194"/>
      <c r="AX374" s="194"/>
      <c r="AY374" s="194"/>
      <c r="AZ374" s="195"/>
      <c r="BA374" s="195"/>
      <c r="BB374" s="195"/>
      <c r="BC374" s="194">
        <v>100</v>
      </c>
      <c r="BD374" s="194">
        <v>11</v>
      </c>
      <c r="BE374" s="194">
        <f>BC374*BD374</f>
        <v>1100</v>
      </c>
      <c r="BF374" s="146"/>
      <c r="BG374" s="146"/>
      <c r="BH374" s="146"/>
      <c r="BI374" s="194"/>
      <c r="BJ374" s="194"/>
      <c r="BK374" s="194"/>
      <c r="BL374" s="195"/>
      <c r="BM374" s="195"/>
      <c r="BN374" s="203"/>
      <c r="BO374" s="194"/>
      <c r="BP374" s="194"/>
      <c r="BQ374" s="194"/>
      <c r="BR374" s="146"/>
      <c r="BS374" s="146"/>
      <c r="BT374" s="146"/>
    </row>
    <row r="375" s="50" customFormat="1" spans="1:72">
      <c r="A375" s="191"/>
      <c r="B375" s="192"/>
      <c r="C375" s="251"/>
      <c r="D375" s="193"/>
      <c r="E375" s="108"/>
      <c r="F375" s="194"/>
      <c r="G375" s="195"/>
      <c r="H375" s="194"/>
      <c r="I375" s="146"/>
      <c r="J375" s="194"/>
      <c r="K375" s="195"/>
      <c r="L375" s="194"/>
      <c r="M375" s="196"/>
      <c r="N375" s="146"/>
      <c r="O375" s="197"/>
      <c r="P375" s="198"/>
      <c r="Q375" s="194"/>
      <c r="R375" s="195"/>
      <c r="S375" s="194"/>
      <c r="T375" s="146"/>
      <c r="U375" s="194"/>
      <c r="V375" s="199"/>
      <c r="W375" s="195"/>
      <c r="X375" s="194"/>
      <c r="Y375" s="146"/>
      <c r="Z375" s="194"/>
      <c r="AA375" s="195"/>
      <c r="AB375" s="194"/>
      <c r="AC375" s="146"/>
      <c r="AD375" s="194"/>
      <c r="AE375" s="195"/>
      <c r="AF375" s="200"/>
      <c r="AG375" s="145"/>
      <c r="AH375" s="257"/>
      <c r="AI375" s="201"/>
      <c r="AJ375" s="201"/>
      <c r="AK375" s="194"/>
      <c r="AL375" s="194"/>
      <c r="AM375" s="194"/>
      <c r="AN375" s="195"/>
      <c r="AO375" s="195"/>
      <c r="AP375" s="195"/>
      <c r="AQ375" s="194"/>
      <c r="AR375" s="194"/>
      <c r="AS375" s="194"/>
      <c r="AT375" s="146"/>
      <c r="AU375" s="146"/>
      <c r="AV375" s="146"/>
      <c r="AW375" s="194"/>
      <c r="AX375" s="194"/>
      <c r="AY375" s="194"/>
      <c r="AZ375" s="195"/>
      <c r="BA375" s="195"/>
      <c r="BB375" s="195"/>
      <c r="BC375" s="194"/>
      <c r="BD375" s="194"/>
      <c r="BE375" s="194"/>
      <c r="BF375" s="146"/>
      <c r="BG375" s="146"/>
      <c r="BH375" s="146"/>
      <c r="BI375" s="194"/>
      <c r="BJ375" s="194"/>
      <c r="BK375" s="194"/>
      <c r="BL375" s="195"/>
      <c r="BM375" s="195"/>
      <c r="BN375" s="203"/>
      <c r="BO375" s="194"/>
      <c r="BP375" s="194"/>
      <c r="BQ375" s="194"/>
      <c r="BR375" s="146"/>
      <c r="BS375" s="146"/>
      <c r="BT375" s="146"/>
    </row>
    <row r="376" s="50" customFormat="1" spans="1:72">
      <c r="A376" s="191"/>
      <c r="B376" s="192"/>
      <c r="C376" s="251"/>
      <c r="D376" s="193"/>
      <c r="E376" s="108"/>
      <c r="F376" s="194"/>
      <c r="G376" s="195"/>
      <c r="H376" s="194"/>
      <c r="I376" s="146"/>
      <c r="J376" s="194"/>
      <c r="K376" s="195"/>
      <c r="L376" s="194"/>
      <c r="M376" s="196"/>
      <c r="N376" s="146"/>
      <c r="O376" s="197"/>
      <c r="P376" s="198"/>
      <c r="Q376" s="194"/>
      <c r="R376" s="195"/>
      <c r="S376" s="194"/>
      <c r="T376" s="146"/>
      <c r="U376" s="194"/>
      <c r="V376" s="199"/>
      <c r="W376" s="195"/>
      <c r="X376" s="194"/>
      <c r="Y376" s="146"/>
      <c r="Z376" s="194"/>
      <c r="AA376" s="195"/>
      <c r="AB376" s="194"/>
      <c r="AC376" s="146"/>
      <c r="AD376" s="194"/>
      <c r="AE376" s="195"/>
      <c r="AF376" s="200"/>
      <c r="AG376" s="145"/>
      <c r="AH376" s="257"/>
      <c r="AI376" s="201"/>
      <c r="AJ376" s="201"/>
      <c r="AK376" s="194"/>
      <c r="AL376" s="194"/>
      <c r="AM376" s="194"/>
      <c r="AN376" s="195"/>
      <c r="AO376" s="195"/>
      <c r="AP376" s="195"/>
      <c r="AQ376" s="194"/>
      <c r="AR376" s="194"/>
      <c r="AS376" s="194"/>
      <c r="AT376" s="146"/>
      <c r="AU376" s="146"/>
      <c r="AV376" s="146"/>
      <c r="AW376" s="194"/>
      <c r="AX376" s="194"/>
      <c r="AY376" s="194"/>
      <c r="AZ376" s="195"/>
      <c r="BA376" s="195"/>
      <c r="BB376" s="195"/>
      <c r="BC376" s="194"/>
      <c r="BD376" s="194"/>
      <c r="BE376" s="194"/>
      <c r="BF376" s="146"/>
      <c r="BG376" s="146"/>
      <c r="BH376" s="146"/>
      <c r="BI376" s="194"/>
      <c r="BJ376" s="194"/>
      <c r="BK376" s="194"/>
      <c r="BL376" s="195"/>
      <c r="BM376" s="195"/>
      <c r="BN376" s="203"/>
      <c r="BO376" s="194"/>
      <c r="BP376" s="194"/>
      <c r="BQ376" s="194"/>
      <c r="BR376" s="146"/>
      <c r="BS376" s="146"/>
      <c r="BT376" s="146"/>
    </row>
    <row r="377" s="50" customFormat="1" spans="1:72">
      <c r="A377" s="191"/>
      <c r="B377" s="192"/>
      <c r="C377" s="251"/>
      <c r="D377" s="193"/>
      <c r="E377" s="108"/>
      <c r="F377" s="194"/>
      <c r="G377" s="195"/>
      <c r="H377" s="194"/>
      <c r="I377" s="146"/>
      <c r="J377" s="194"/>
      <c r="K377" s="195"/>
      <c r="L377" s="194"/>
      <c r="M377" s="196"/>
      <c r="N377" s="146"/>
      <c r="O377" s="197"/>
      <c r="P377" s="198"/>
      <c r="Q377" s="194"/>
      <c r="R377" s="195"/>
      <c r="S377" s="194"/>
      <c r="T377" s="146"/>
      <c r="U377" s="194"/>
      <c r="V377" s="199"/>
      <c r="W377" s="195"/>
      <c r="X377" s="194"/>
      <c r="Y377" s="146"/>
      <c r="Z377" s="194"/>
      <c r="AA377" s="195"/>
      <c r="AB377" s="194"/>
      <c r="AC377" s="146"/>
      <c r="AD377" s="194"/>
      <c r="AE377" s="195"/>
      <c r="AF377" s="200"/>
      <c r="AG377" s="145"/>
      <c r="AH377" s="257"/>
      <c r="AI377" s="201"/>
      <c r="AJ377" s="201"/>
      <c r="AK377" s="194"/>
      <c r="AL377" s="194"/>
      <c r="AM377" s="194"/>
      <c r="AN377" s="195"/>
      <c r="AO377" s="195"/>
      <c r="AP377" s="195"/>
      <c r="AQ377" s="194"/>
      <c r="AR377" s="194"/>
      <c r="AS377" s="194"/>
      <c r="AT377" s="146"/>
      <c r="AU377" s="146"/>
      <c r="AV377" s="146"/>
      <c r="AW377" s="194"/>
      <c r="AX377" s="194"/>
      <c r="AY377" s="194"/>
      <c r="AZ377" s="195"/>
      <c r="BA377" s="195"/>
      <c r="BB377" s="195"/>
      <c r="BC377" s="194"/>
      <c r="BD377" s="194"/>
      <c r="BE377" s="194"/>
      <c r="BF377" s="146"/>
      <c r="BG377" s="146"/>
      <c r="BH377" s="146"/>
      <c r="BI377" s="194"/>
      <c r="BJ377" s="194"/>
      <c r="BK377" s="194"/>
      <c r="BL377" s="195"/>
      <c r="BM377" s="195"/>
      <c r="BN377" s="203"/>
      <c r="BO377" s="194"/>
      <c r="BP377" s="194"/>
      <c r="BQ377" s="194"/>
      <c r="BR377" s="146"/>
      <c r="BS377" s="146"/>
      <c r="BT377" s="146"/>
    </row>
    <row r="378" s="50" customFormat="1" spans="1:72">
      <c r="A378" s="191"/>
      <c r="B378" s="192"/>
      <c r="C378" s="251"/>
      <c r="D378" s="193"/>
      <c r="E378" s="108"/>
      <c r="F378" s="194"/>
      <c r="G378" s="195"/>
      <c r="H378" s="194"/>
      <c r="I378" s="146"/>
      <c r="J378" s="194"/>
      <c r="K378" s="195"/>
      <c r="L378" s="194"/>
      <c r="M378" s="196"/>
      <c r="N378" s="146"/>
      <c r="O378" s="197"/>
      <c r="P378" s="198"/>
      <c r="Q378" s="194"/>
      <c r="R378" s="195"/>
      <c r="S378" s="194"/>
      <c r="T378" s="146"/>
      <c r="U378" s="194"/>
      <c r="V378" s="199"/>
      <c r="W378" s="195"/>
      <c r="X378" s="194"/>
      <c r="Y378" s="146"/>
      <c r="Z378" s="194"/>
      <c r="AA378" s="195"/>
      <c r="AB378" s="194"/>
      <c r="AC378" s="146"/>
      <c r="AD378" s="194"/>
      <c r="AE378" s="195"/>
      <c r="AF378" s="200"/>
      <c r="AG378" s="145"/>
      <c r="AH378" s="257"/>
      <c r="AI378" s="201"/>
      <c r="AJ378" s="201"/>
      <c r="AK378" s="194"/>
      <c r="AL378" s="194"/>
      <c r="AM378" s="194"/>
      <c r="AN378" s="195"/>
      <c r="AO378" s="195"/>
      <c r="AP378" s="195"/>
      <c r="AQ378" s="194"/>
      <c r="AR378" s="194"/>
      <c r="AS378" s="194"/>
      <c r="AT378" s="146"/>
      <c r="AU378" s="146"/>
      <c r="AV378" s="146"/>
      <c r="AW378" s="194"/>
      <c r="AX378" s="194"/>
      <c r="AY378" s="194"/>
      <c r="AZ378" s="195"/>
      <c r="BA378" s="195"/>
      <c r="BB378" s="195"/>
      <c r="BC378" s="194"/>
      <c r="BD378" s="194"/>
      <c r="BE378" s="194"/>
      <c r="BF378" s="146"/>
      <c r="BG378" s="146"/>
      <c r="BH378" s="146"/>
      <c r="BI378" s="194"/>
      <c r="BJ378" s="194"/>
      <c r="BK378" s="194"/>
      <c r="BL378" s="195"/>
      <c r="BM378" s="195"/>
      <c r="BN378" s="203"/>
      <c r="BO378" s="194"/>
      <c r="BP378" s="194"/>
      <c r="BQ378" s="194"/>
      <c r="BR378" s="146"/>
      <c r="BS378" s="146"/>
      <c r="BT378" s="146"/>
    </row>
    <row r="379" s="50" customFormat="1" spans="1:72">
      <c r="A379" s="191"/>
      <c r="B379" s="192"/>
      <c r="C379" s="251"/>
      <c r="D379" s="193"/>
      <c r="E379" s="108"/>
      <c r="F379" s="194"/>
      <c r="G379" s="195"/>
      <c r="H379" s="194"/>
      <c r="I379" s="146"/>
      <c r="J379" s="194"/>
      <c r="K379" s="195"/>
      <c r="L379" s="194"/>
      <c r="M379" s="196"/>
      <c r="N379" s="146"/>
      <c r="O379" s="197"/>
      <c r="P379" s="198"/>
      <c r="Q379" s="194"/>
      <c r="R379" s="195"/>
      <c r="S379" s="194"/>
      <c r="T379" s="146"/>
      <c r="U379" s="194"/>
      <c r="V379" s="199"/>
      <c r="W379" s="195"/>
      <c r="X379" s="194"/>
      <c r="Y379" s="146"/>
      <c r="Z379" s="194"/>
      <c r="AA379" s="195"/>
      <c r="AB379" s="194"/>
      <c r="AC379" s="146"/>
      <c r="AD379" s="194"/>
      <c r="AE379" s="195"/>
      <c r="AF379" s="200"/>
      <c r="AG379" s="145"/>
      <c r="AH379" s="257"/>
      <c r="AI379" s="201"/>
      <c r="AJ379" s="201"/>
      <c r="AK379" s="194"/>
      <c r="AL379" s="194"/>
      <c r="AM379" s="194"/>
      <c r="AN379" s="195"/>
      <c r="AO379" s="195"/>
      <c r="AP379" s="195"/>
      <c r="AQ379" s="194"/>
      <c r="AR379" s="194"/>
      <c r="AS379" s="194"/>
      <c r="AT379" s="146"/>
      <c r="AU379" s="146"/>
      <c r="AV379" s="146"/>
      <c r="AW379" s="194"/>
      <c r="AX379" s="194"/>
      <c r="AY379" s="194"/>
      <c r="AZ379" s="195"/>
      <c r="BA379" s="195"/>
      <c r="BB379" s="195"/>
      <c r="BC379" s="194"/>
      <c r="BD379" s="194"/>
      <c r="BE379" s="194"/>
      <c r="BF379" s="146"/>
      <c r="BG379" s="146"/>
      <c r="BH379" s="146"/>
      <c r="BI379" s="194"/>
      <c r="BJ379" s="194"/>
      <c r="BK379" s="194"/>
      <c r="BL379" s="195"/>
      <c r="BM379" s="195"/>
      <c r="BN379" s="203"/>
      <c r="BO379" s="194"/>
      <c r="BP379" s="194"/>
      <c r="BQ379" s="194"/>
      <c r="BR379" s="146"/>
      <c r="BS379" s="146"/>
      <c r="BT379" s="146"/>
    </row>
    <row r="380" s="50" customFormat="1" spans="1:72">
      <c r="A380" s="191"/>
      <c r="B380" s="192"/>
      <c r="C380" s="251"/>
      <c r="D380" s="193"/>
      <c r="E380" s="108"/>
      <c r="F380" s="194"/>
      <c r="G380" s="195"/>
      <c r="H380" s="194"/>
      <c r="I380" s="146"/>
      <c r="J380" s="194"/>
      <c r="K380" s="195"/>
      <c r="L380" s="194"/>
      <c r="M380" s="196"/>
      <c r="N380" s="146"/>
      <c r="O380" s="197"/>
      <c r="P380" s="198"/>
      <c r="Q380" s="194"/>
      <c r="R380" s="195"/>
      <c r="S380" s="194"/>
      <c r="T380" s="146"/>
      <c r="U380" s="194"/>
      <c r="V380" s="199"/>
      <c r="W380" s="195"/>
      <c r="X380" s="194"/>
      <c r="Y380" s="146"/>
      <c r="Z380" s="194"/>
      <c r="AA380" s="195"/>
      <c r="AB380" s="194"/>
      <c r="AC380" s="146"/>
      <c r="AD380" s="194"/>
      <c r="AE380" s="195"/>
      <c r="AF380" s="200"/>
      <c r="AG380" s="145"/>
      <c r="AH380" s="257"/>
      <c r="AI380" s="201"/>
      <c r="AJ380" s="201"/>
      <c r="AK380" s="194"/>
      <c r="AL380" s="194"/>
      <c r="AM380" s="194"/>
      <c r="AN380" s="195"/>
      <c r="AO380" s="195"/>
      <c r="AP380" s="195"/>
      <c r="AQ380" s="194"/>
      <c r="AR380" s="194"/>
      <c r="AS380" s="194"/>
      <c r="AT380" s="146"/>
      <c r="AU380" s="146"/>
      <c r="AV380" s="146"/>
      <c r="AW380" s="194"/>
      <c r="AX380" s="194"/>
      <c r="AY380" s="194"/>
      <c r="AZ380" s="195"/>
      <c r="BA380" s="195"/>
      <c r="BB380" s="195"/>
      <c r="BC380" s="194"/>
      <c r="BD380" s="194"/>
      <c r="BE380" s="194"/>
      <c r="BF380" s="146"/>
      <c r="BG380" s="146"/>
      <c r="BH380" s="146"/>
      <c r="BI380" s="194"/>
      <c r="BJ380" s="194"/>
      <c r="BK380" s="194"/>
      <c r="BL380" s="195"/>
      <c r="BM380" s="195"/>
      <c r="BN380" s="203"/>
      <c r="BO380" s="194"/>
      <c r="BP380" s="194"/>
      <c r="BQ380" s="194"/>
      <c r="BR380" s="146"/>
      <c r="BS380" s="146"/>
      <c r="BT380" s="146"/>
    </row>
    <row r="381" s="50" customFormat="1" spans="1:72">
      <c r="A381" s="191"/>
      <c r="B381" s="192"/>
      <c r="C381" s="251"/>
      <c r="D381" s="193"/>
      <c r="E381" s="108"/>
      <c r="F381" s="194"/>
      <c r="G381" s="195"/>
      <c r="H381" s="194"/>
      <c r="I381" s="146"/>
      <c r="J381" s="194"/>
      <c r="K381" s="195"/>
      <c r="L381" s="194"/>
      <c r="M381" s="196"/>
      <c r="N381" s="146"/>
      <c r="O381" s="197"/>
      <c r="P381" s="198"/>
      <c r="Q381" s="194"/>
      <c r="R381" s="195"/>
      <c r="S381" s="194"/>
      <c r="T381" s="146"/>
      <c r="U381" s="194"/>
      <c r="V381" s="199"/>
      <c r="W381" s="195"/>
      <c r="X381" s="194"/>
      <c r="Y381" s="146"/>
      <c r="Z381" s="194"/>
      <c r="AA381" s="195"/>
      <c r="AB381" s="194"/>
      <c r="AC381" s="146"/>
      <c r="AD381" s="194"/>
      <c r="AE381" s="195"/>
      <c r="AF381" s="200"/>
      <c r="AG381" s="145"/>
      <c r="AH381" s="257"/>
      <c r="AI381" s="201"/>
      <c r="AJ381" s="201"/>
      <c r="AK381" s="194"/>
      <c r="AL381" s="194"/>
      <c r="AM381" s="194"/>
      <c r="AN381" s="195"/>
      <c r="AO381" s="195"/>
      <c r="AP381" s="195"/>
      <c r="AQ381" s="194"/>
      <c r="AR381" s="194"/>
      <c r="AS381" s="194"/>
      <c r="AT381" s="146"/>
      <c r="AU381" s="146"/>
      <c r="AV381" s="146"/>
      <c r="AW381" s="194"/>
      <c r="AX381" s="194"/>
      <c r="AY381" s="194"/>
      <c r="AZ381" s="195"/>
      <c r="BA381" s="195"/>
      <c r="BB381" s="195"/>
      <c r="BC381" s="194"/>
      <c r="BD381" s="194"/>
      <c r="BE381" s="194"/>
      <c r="BF381" s="146"/>
      <c r="BG381" s="146"/>
      <c r="BH381" s="146"/>
      <c r="BI381" s="194"/>
      <c r="BJ381" s="194"/>
      <c r="BK381" s="194"/>
      <c r="BL381" s="195"/>
      <c r="BM381" s="195"/>
      <c r="BN381" s="203"/>
      <c r="BO381" s="194"/>
      <c r="BP381" s="194"/>
      <c r="BQ381" s="194"/>
      <c r="BR381" s="146"/>
      <c r="BS381" s="146"/>
      <c r="BT381" s="146"/>
    </row>
    <row r="382" s="50" customFormat="1" spans="1:72">
      <c r="A382" s="191"/>
      <c r="B382" s="192"/>
      <c r="C382" s="251"/>
      <c r="D382" s="193"/>
      <c r="E382" s="108"/>
      <c r="F382" s="194"/>
      <c r="G382" s="195"/>
      <c r="H382" s="194"/>
      <c r="I382" s="146"/>
      <c r="J382" s="194"/>
      <c r="K382" s="195"/>
      <c r="L382" s="194"/>
      <c r="M382" s="196"/>
      <c r="N382" s="146"/>
      <c r="O382" s="197"/>
      <c r="P382" s="198"/>
      <c r="Q382" s="194"/>
      <c r="R382" s="195"/>
      <c r="S382" s="194"/>
      <c r="T382" s="146"/>
      <c r="U382" s="194"/>
      <c r="V382" s="199"/>
      <c r="W382" s="195"/>
      <c r="X382" s="194"/>
      <c r="Y382" s="146"/>
      <c r="Z382" s="194"/>
      <c r="AA382" s="195"/>
      <c r="AB382" s="194"/>
      <c r="AC382" s="146"/>
      <c r="AD382" s="194"/>
      <c r="AE382" s="195"/>
      <c r="AF382" s="200"/>
      <c r="AG382" s="145"/>
      <c r="AH382" s="257"/>
      <c r="AI382" s="201"/>
      <c r="AJ382" s="201"/>
      <c r="AK382" s="194"/>
      <c r="AL382" s="194"/>
      <c r="AM382" s="194"/>
      <c r="AN382" s="195"/>
      <c r="AO382" s="195"/>
      <c r="AP382" s="195"/>
      <c r="AQ382" s="194"/>
      <c r="AR382" s="194"/>
      <c r="AS382" s="194"/>
      <c r="AT382" s="146"/>
      <c r="AU382" s="146"/>
      <c r="AV382" s="146"/>
      <c r="AW382" s="194"/>
      <c r="AX382" s="194"/>
      <c r="AY382" s="194"/>
      <c r="AZ382" s="195"/>
      <c r="BA382" s="195"/>
      <c r="BB382" s="195"/>
      <c r="BC382" s="194"/>
      <c r="BD382" s="194"/>
      <c r="BE382" s="194"/>
      <c r="BF382" s="146"/>
      <c r="BG382" s="146"/>
      <c r="BH382" s="146"/>
      <c r="BI382" s="194"/>
      <c r="BJ382" s="194"/>
      <c r="BK382" s="194"/>
      <c r="BL382" s="195"/>
      <c r="BM382" s="195"/>
      <c r="BN382" s="203"/>
      <c r="BO382" s="194"/>
      <c r="BP382" s="194"/>
      <c r="BQ382" s="194"/>
      <c r="BR382" s="146"/>
      <c r="BS382" s="146"/>
      <c r="BT382" s="146"/>
    </row>
    <row r="383" s="50" customFormat="1" spans="1:72">
      <c r="A383" s="191"/>
      <c r="B383" s="192"/>
      <c r="C383" s="251"/>
      <c r="D383" s="193"/>
      <c r="E383" s="108"/>
      <c r="F383" s="194"/>
      <c r="G383" s="195"/>
      <c r="H383" s="194"/>
      <c r="I383" s="146"/>
      <c r="J383" s="194"/>
      <c r="K383" s="195"/>
      <c r="L383" s="194"/>
      <c r="M383" s="196"/>
      <c r="N383" s="146"/>
      <c r="O383" s="197"/>
      <c r="P383" s="198"/>
      <c r="Q383" s="194"/>
      <c r="R383" s="195"/>
      <c r="S383" s="194"/>
      <c r="T383" s="146"/>
      <c r="U383" s="194"/>
      <c r="V383" s="199"/>
      <c r="W383" s="195"/>
      <c r="X383" s="194"/>
      <c r="Y383" s="146"/>
      <c r="Z383" s="194"/>
      <c r="AA383" s="195"/>
      <c r="AB383" s="194"/>
      <c r="AC383" s="146"/>
      <c r="AD383" s="194"/>
      <c r="AE383" s="195"/>
      <c r="AF383" s="200"/>
      <c r="AG383" s="145"/>
      <c r="AH383" s="257"/>
      <c r="AI383" s="201"/>
      <c r="AJ383" s="201"/>
      <c r="AK383" s="194"/>
      <c r="AL383" s="194"/>
      <c r="AM383" s="194"/>
      <c r="AN383" s="195"/>
      <c r="AO383" s="195"/>
      <c r="AP383" s="195"/>
      <c r="AQ383" s="194"/>
      <c r="AR383" s="194"/>
      <c r="AS383" s="194"/>
      <c r="AT383" s="146"/>
      <c r="AU383" s="146"/>
      <c r="AV383" s="146"/>
      <c r="AW383" s="194"/>
      <c r="AX383" s="194"/>
      <c r="AY383" s="194"/>
      <c r="AZ383" s="195"/>
      <c r="BA383" s="195"/>
      <c r="BB383" s="195"/>
      <c r="BC383" s="194"/>
      <c r="BD383" s="194"/>
      <c r="BE383" s="194"/>
      <c r="BF383" s="146"/>
      <c r="BG383" s="146"/>
      <c r="BH383" s="146"/>
      <c r="BI383" s="194"/>
      <c r="BJ383" s="194"/>
      <c r="BK383" s="194"/>
      <c r="BL383" s="195"/>
      <c r="BM383" s="195"/>
      <c r="BN383" s="203"/>
      <c r="BO383" s="194"/>
      <c r="BP383" s="194"/>
      <c r="BQ383" s="194"/>
      <c r="BR383" s="146"/>
      <c r="BS383" s="146"/>
      <c r="BT383" s="146"/>
    </row>
    <row r="384" s="50" customFormat="1" spans="1:72">
      <c r="A384" s="191"/>
      <c r="B384" s="192"/>
      <c r="C384" s="251"/>
      <c r="D384" s="193"/>
      <c r="E384" s="108"/>
      <c r="F384" s="194"/>
      <c r="G384" s="195"/>
      <c r="H384" s="194"/>
      <c r="I384" s="146"/>
      <c r="J384" s="194"/>
      <c r="K384" s="195"/>
      <c r="L384" s="194"/>
      <c r="M384" s="196"/>
      <c r="N384" s="146"/>
      <c r="O384" s="197"/>
      <c r="P384" s="198"/>
      <c r="Q384" s="194"/>
      <c r="R384" s="195"/>
      <c r="S384" s="194"/>
      <c r="T384" s="146"/>
      <c r="U384" s="194"/>
      <c r="V384" s="199"/>
      <c r="W384" s="195"/>
      <c r="X384" s="194"/>
      <c r="Y384" s="146"/>
      <c r="Z384" s="194"/>
      <c r="AA384" s="195"/>
      <c r="AB384" s="194"/>
      <c r="AC384" s="146"/>
      <c r="AD384" s="194"/>
      <c r="AE384" s="195"/>
      <c r="AF384" s="200"/>
      <c r="AG384" s="145"/>
      <c r="AH384" s="257"/>
      <c r="AI384" s="201"/>
      <c r="AJ384" s="201"/>
      <c r="AK384" s="194"/>
      <c r="AL384" s="194"/>
      <c r="AM384" s="194"/>
      <c r="AN384" s="195"/>
      <c r="AO384" s="195"/>
      <c r="AP384" s="195"/>
      <c r="AQ384" s="194"/>
      <c r="AR384" s="194"/>
      <c r="AS384" s="194"/>
      <c r="AT384" s="146"/>
      <c r="AU384" s="146"/>
      <c r="AV384" s="146"/>
      <c r="AW384" s="194"/>
      <c r="AX384" s="194"/>
      <c r="AY384" s="194"/>
      <c r="AZ384" s="195"/>
      <c r="BA384" s="195"/>
      <c r="BB384" s="195"/>
      <c r="BC384" s="194"/>
      <c r="BD384" s="194"/>
      <c r="BE384" s="194"/>
      <c r="BF384" s="146"/>
      <c r="BG384" s="146"/>
      <c r="BH384" s="146"/>
      <c r="BI384" s="194"/>
      <c r="BJ384" s="194"/>
      <c r="BK384" s="194"/>
      <c r="BL384" s="195"/>
      <c r="BM384" s="195"/>
      <c r="BN384" s="203"/>
      <c r="BO384" s="194"/>
      <c r="BP384" s="194"/>
      <c r="BQ384" s="194"/>
      <c r="BR384" s="146"/>
      <c r="BS384" s="146"/>
      <c r="BT384" s="146"/>
    </row>
    <row r="385" s="50" customFormat="1" spans="1:72">
      <c r="A385" s="191"/>
      <c r="B385" s="192"/>
      <c r="C385" s="251"/>
      <c r="D385" s="193"/>
      <c r="E385" s="108"/>
      <c r="F385" s="194"/>
      <c r="G385" s="195"/>
      <c r="H385" s="194"/>
      <c r="I385" s="146"/>
      <c r="J385" s="194"/>
      <c r="K385" s="195"/>
      <c r="L385" s="194"/>
      <c r="M385" s="196"/>
      <c r="N385" s="146"/>
      <c r="O385" s="197"/>
      <c r="P385" s="198"/>
      <c r="Q385" s="194"/>
      <c r="R385" s="195"/>
      <c r="S385" s="194"/>
      <c r="T385" s="146"/>
      <c r="U385" s="194"/>
      <c r="V385" s="199"/>
      <c r="W385" s="195"/>
      <c r="X385" s="194"/>
      <c r="Y385" s="146"/>
      <c r="Z385" s="194"/>
      <c r="AA385" s="195"/>
      <c r="AB385" s="194"/>
      <c r="AC385" s="146"/>
      <c r="AD385" s="194"/>
      <c r="AE385" s="195"/>
      <c r="AF385" s="200"/>
      <c r="AG385" s="145"/>
      <c r="AH385" s="257"/>
      <c r="AI385" s="201"/>
      <c r="AJ385" s="201"/>
      <c r="AK385" s="194"/>
      <c r="AL385" s="194"/>
      <c r="AM385" s="194"/>
      <c r="AN385" s="195"/>
      <c r="AO385" s="195"/>
      <c r="AP385" s="195"/>
      <c r="AQ385" s="194"/>
      <c r="AR385" s="194"/>
      <c r="AS385" s="194"/>
      <c r="AT385" s="146"/>
      <c r="AU385" s="146"/>
      <c r="AV385" s="146"/>
      <c r="AW385" s="194"/>
      <c r="AX385" s="194"/>
      <c r="AY385" s="194"/>
      <c r="AZ385" s="195"/>
      <c r="BA385" s="195"/>
      <c r="BB385" s="195"/>
      <c r="BC385" s="194"/>
      <c r="BD385" s="194"/>
      <c r="BE385" s="194"/>
      <c r="BF385" s="146"/>
      <c r="BG385" s="146"/>
      <c r="BH385" s="146"/>
      <c r="BI385" s="194"/>
      <c r="BJ385" s="194"/>
      <c r="BK385" s="194"/>
      <c r="BL385" s="195"/>
      <c r="BM385" s="195"/>
      <c r="BN385" s="203"/>
      <c r="BO385" s="194"/>
      <c r="BP385" s="194"/>
      <c r="BQ385" s="194"/>
      <c r="BR385" s="146"/>
      <c r="BS385" s="146"/>
      <c r="BT385" s="146"/>
    </row>
    <row r="386" s="50" customFormat="1" spans="1:72">
      <c r="A386" s="191"/>
      <c r="B386" s="192"/>
      <c r="C386" s="251"/>
      <c r="D386" s="193"/>
      <c r="E386" s="108"/>
      <c r="F386" s="194"/>
      <c r="G386" s="195"/>
      <c r="H386" s="194"/>
      <c r="I386" s="146"/>
      <c r="J386" s="194"/>
      <c r="K386" s="195"/>
      <c r="L386" s="194"/>
      <c r="M386" s="196"/>
      <c r="N386" s="146"/>
      <c r="O386" s="197"/>
      <c r="P386" s="198"/>
      <c r="Q386" s="194"/>
      <c r="R386" s="195"/>
      <c r="S386" s="194"/>
      <c r="T386" s="146"/>
      <c r="U386" s="194"/>
      <c r="V386" s="199"/>
      <c r="W386" s="195"/>
      <c r="X386" s="194"/>
      <c r="Y386" s="146"/>
      <c r="Z386" s="194"/>
      <c r="AA386" s="195"/>
      <c r="AB386" s="194"/>
      <c r="AC386" s="146"/>
      <c r="AD386" s="194"/>
      <c r="AE386" s="195"/>
      <c r="AF386" s="200"/>
      <c r="AG386" s="145"/>
      <c r="AH386" s="257"/>
      <c r="AI386" s="201"/>
      <c r="AJ386" s="201"/>
      <c r="AK386" s="194"/>
      <c r="AL386" s="194"/>
      <c r="AM386" s="194"/>
      <c r="AN386" s="195"/>
      <c r="AO386" s="195"/>
      <c r="AP386" s="195"/>
      <c r="AQ386" s="194"/>
      <c r="AR386" s="194"/>
      <c r="AS386" s="194"/>
      <c r="AT386" s="146"/>
      <c r="AU386" s="146"/>
      <c r="AV386" s="146"/>
      <c r="AW386" s="194"/>
      <c r="AX386" s="194"/>
      <c r="AY386" s="194"/>
      <c r="AZ386" s="195"/>
      <c r="BA386" s="195"/>
      <c r="BB386" s="195"/>
      <c r="BC386" s="194"/>
      <c r="BD386" s="194"/>
      <c r="BE386" s="194"/>
      <c r="BF386" s="146"/>
      <c r="BG386" s="146"/>
      <c r="BH386" s="146"/>
      <c r="BI386" s="194"/>
      <c r="BJ386" s="194"/>
      <c r="BK386" s="194"/>
      <c r="BL386" s="195"/>
      <c r="BM386" s="195"/>
      <c r="BN386" s="203"/>
      <c r="BO386" s="194"/>
      <c r="BP386" s="194"/>
      <c r="BQ386" s="194"/>
      <c r="BR386" s="146"/>
      <c r="BS386" s="146"/>
      <c r="BT386" s="146"/>
    </row>
    <row r="387" s="50" customFormat="1" spans="1:72">
      <c r="A387" s="191"/>
      <c r="B387" s="192"/>
      <c r="C387" s="251"/>
      <c r="D387" s="193"/>
      <c r="E387" s="108"/>
      <c r="F387" s="194"/>
      <c r="G387" s="195"/>
      <c r="H387" s="194"/>
      <c r="I387" s="146"/>
      <c r="J387" s="194"/>
      <c r="K387" s="195"/>
      <c r="L387" s="194"/>
      <c r="M387" s="196"/>
      <c r="N387" s="146"/>
      <c r="O387" s="197"/>
      <c r="P387" s="198"/>
      <c r="Q387" s="194"/>
      <c r="R387" s="195"/>
      <c r="S387" s="194"/>
      <c r="T387" s="146"/>
      <c r="U387" s="194"/>
      <c r="V387" s="199"/>
      <c r="W387" s="195"/>
      <c r="X387" s="194"/>
      <c r="Y387" s="146"/>
      <c r="Z387" s="194"/>
      <c r="AA387" s="195"/>
      <c r="AB387" s="194"/>
      <c r="AC387" s="146"/>
      <c r="AD387" s="194"/>
      <c r="AE387" s="195"/>
      <c r="AF387" s="200"/>
      <c r="AG387" s="145"/>
      <c r="AH387" s="257"/>
      <c r="AI387" s="201"/>
      <c r="AJ387" s="201"/>
      <c r="AK387" s="194"/>
      <c r="AL387" s="194"/>
      <c r="AM387" s="194"/>
      <c r="AN387" s="195"/>
      <c r="AO387" s="195"/>
      <c r="AP387" s="195"/>
      <c r="AQ387" s="194"/>
      <c r="AR387" s="194"/>
      <c r="AS387" s="194"/>
      <c r="AT387" s="146"/>
      <c r="AU387" s="146"/>
      <c r="AV387" s="146"/>
      <c r="AW387" s="194"/>
      <c r="AX387" s="194"/>
      <c r="AY387" s="194"/>
      <c r="AZ387" s="195"/>
      <c r="BA387" s="195"/>
      <c r="BB387" s="195"/>
      <c r="BC387" s="194"/>
      <c r="BD387" s="194"/>
      <c r="BE387" s="194"/>
      <c r="BF387" s="146"/>
      <c r="BG387" s="146"/>
      <c r="BH387" s="146"/>
      <c r="BI387" s="194"/>
      <c r="BJ387" s="194"/>
      <c r="BK387" s="194"/>
      <c r="BL387" s="195"/>
      <c r="BM387" s="195"/>
      <c r="BN387" s="203"/>
      <c r="BO387" s="194"/>
      <c r="BP387" s="194"/>
      <c r="BQ387" s="194"/>
      <c r="BR387" s="146"/>
      <c r="BS387" s="146"/>
      <c r="BT387" s="146"/>
    </row>
    <row r="388" s="50" customFormat="1" spans="1:72">
      <c r="A388" s="191"/>
      <c r="B388" s="192"/>
      <c r="C388" s="251"/>
      <c r="D388" s="193"/>
      <c r="E388" s="108"/>
      <c r="F388" s="194"/>
      <c r="G388" s="195"/>
      <c r="H388" s="194"/>
      <c r="I388" s="146"/>
      <c r="J388" s="194"/>
      <c r="K388" s="195"/>
      <c r="L388" s="194"/>
      <c r="M388" s="196"/>
      <c r="N388" s="146"/>
      <c r="O388" s="197"/>
      <c r="P388" s="198"/>
      <c r="Q388" s="194"/>
      <c r="R388" s="195"/>
      <c r="S388" s="194"/>
      <c r="T388" s="146"/>
      <c r="U388" s="194"/>
      <c r="V388" s="199"/>
      <c r="W388" s="195"/>
      <c r="X388" s="194"/>
      <c r="Y388" s="146"/>
      <c r="Z388" s="194"/>
      <c r="AA388" s="195"/>
      <c r="AB388" s="194"/>
      <c r="AC388" s="146"/>
      <c r="AD388" s="194"/>
      <c r="AE388" s="195"/>
      <c r="AF388" s="200"/>
      <c r="AG388" s="145"/>
      <c r="AH388" s="257"/>
      <c r="AI388" s="201"/>
      <c r="AJ388" s="201"/>
      <c r="AK388" s="194"/>
      <c r="AL388" s="194"/>
      <c r="AM388" s="194"/>
      <c r="AN388" s="195"/>
      <c r="AO388" s="195"/>
      <c r="AP388" s="195"/>
      <c r="AQ388" s="194"/>
      <c r="AR388" s="194"/>
      <c r="AS388" s="194"/>
      <c r="AT388" s="146"/>
      <c r="AU388" s="146"/>
      <c r="AV388" s="146"/>
      <c r="AW388" s="194"/>
      <c r="AX388" s="194"/>
      <c r="AY388" s="194"/>
      <c r="AZ388" s="195"/>
      <c r="BA388" s="195"/>
      <c r="BB388" s="195"/>
      <c r="BC388" s="194"/>
      <c r="BD388" s="194"/>
      <c r="BE388" s="194"/>
      <c r="BF388" s="146"/>
      <c r="BG388" s="146"/>
      <c r="BH388" s="146"/>
      <c r="BI388" s="194"/>
      <c r="BJ388" s="194"/>
      <c r="BK388" s="194"/>
      <c r="BL388" s="195"/>
      <c r="BM388" s="195"/>
      <c r="BN388" s="203"/>
      <c r="BO388" s="194"/>
      <c r="BP388" s="194"/>
      <c r="BQ388" s="194"/>
      <c r="BR388" s="146"/>
      <c r="BS388" s="146"/>
      <c r="BT388" s="146"/>
    </row>
    <row r="389" s="50" customFormat="1" spans="1:72">
      <c r="A389" s="191"/>
      <c r="B389" s="192"/>
      <c r="C389" s="251">
        <f>SUM(C320:C388)</f>
        <v>21888.3</v>
      </c>
      <c r="D389" s="193">
        <f>SUM(D319:D388)</f>
        <v>31</v>
      </c>
      <c r="E389" s="108">
        <f t="shared" ref="D389:M389" si="63">SUM(E319:E388)</f>
        <v>0</v>
      </c>
      <c r="F389" s="194">
        <f t="shared" si="63"/>
        <v>193.5</v>
      </c>
      <c r="G389" s="195">
        <f t="shared" si="63"/>
        <v>-673</v>
      </c>
      <c r="H389" s="194">
        <f t="shared" si="63"/>
        <v>527.5</v>
      </c>
      <c r="I389" s="146">
        <f t="shared" si="63"/>
        <v>546</v>
      </c>
      <c r="J389" s="194">
        <f t="shared" si="63"/>
        <v>6</v>
      </c>
      <c r="K389" s="195">
        <f t="shared" si="63"/>
        <v>311</v>
      </c>
      <c r="L389" s="194">
        <f t="shared" si="63"/>
        <v>-125</v>
      </c>
      <c r="M389" s="196"/>
      <c r="N389" s="146">
        <f t="shared" ref="N389:Q389" si="64">SUM(N319:N388)</f>
        <v>46</v>
      </c>
      <c r="O389" s="197">
        <f t="shared" si="64"/>
        <v>130</v>
      </c>
      <c r="P389" s="198">
        <f t="shared" si="64"/>
        <v>0</v>
      </c>
      <c r="Q389" s="194">
        <f t="shared" si="64"/>
        <v>704</v>
      </c>
      <c r="R389" s="195">
        <f t="shared" ref="R389:AG389" si="65">SUM(R319:R388)</f>
        <v>40.9</v>
      </c>
      <c r="S389" s="194">
        <f t="shared" si="65"/>
        <v>448.6</v>
      </c>
      <c r="T389" s="283">
        <f t="shared" si="65"/>
        <v>1046</v>
      </c>
      <c r="U389" s="194">
        <f t="shared" si="65"/>
        <v>108</v>
      </c>
      <c r="V389" s="199">
        <f t="shared" si="65"/>
        <v>0</v>
      </c>
      <c r="W389" s="195">
        <f t="shared" si="65"/>
        <v>24</v>
      </c>
      <c r="X389" s="194">
        <f t="shared" si="65"/>
        <v>25</v>
      </c>
      <c r="Y389" s="146">
        <f t="shared" si="65"/>
        <v>0</v>
      </c>
      <c r="Z389" s="194">
        <f t="shared" si="65"/>
        <v>0</v>
      </c>
      <c r="AA389" s="195">
        <f t="shared" si="65"/>
        <v>0</v>
      </c>
      <c r="AB389" s="194">
        <f t="shared" si="65"/>
        <v>68.3</v>
      </c>
      <c r="AC389" s="146">
        <f t="shared" si="65"/>
        <v>2.5</v>
      </c>
      <c r="AD389" s="194">
        <f t="shared" si="65"/>
        <v>0</v>
      </c>
      <c r="AE389" s="195">
        <f t="shared" si="65"/>
        <v>40</v>
      </c>
      <c r="AF389" s="200">
        <f t="shared" si="65"/>
        <v>2050</v>
      </c>
      <c r="AG389" s="145"/>
      <c r="AH389" s="201">
        <f>SUM(AH319:AH388)</f>
        <v>600</v>
      </c>
      <c r="AI389" s="201"/>
      <c r="AJ389" s="146">
        <f>SUM(AJ319:AJ388)</f>
        <v>9600</v>
      </c>
      <c r="AK389" s="194">
        <f>SUM(AK319:AK388)</f>
        <v>50</v>
      </c>
      <c r="AL389" s="194"/>
      <c r="AM389" s="194">
        <f>SUM(AM319:AM388)</f>
        <v>45</v>
      </c>
      <c r="AN389" s="195">
        <f>SUM(AN319:AN388)</f>
        <v>49.2</v>
      </c>
      <c r="AO389" s="195"/>
      <c r="AP389" s="195">
        <f>SUM(AP319:AP388)</f>
        <v>836.4</v>
      </c>
      <c r="AQ389" s="194">
        <f>SUM(AQ319:AQ388)</f>
        <v>0</v>
      </c>
      <c r="AR389" s="194"/>
      <c r="AS389" s="194">
        <f>SUM(AS319:AS388)</f>
        <v>0</v>
      </c>
      <c r="AT389" s="146">
        <f>SUM(AT319:AT388)</f>
        <v>48</v>
      </c>
      <c r="AU389" s="146"/>
      <c r="AV389" s="146">
        <f>SUM(AV319:AV388)</f>
        <v>3800</v>
      </c>
      <c r="AW389" s="194">
        <f>SUM(AW319:AW388)</f>
        <v>0</v>
      </c>
      <c r="AX389" s="194"/>
      <c r="AY389" s="194">
        <f>SUM(AY319:AY388)</f>
        <v>0</v>
      </c>
      <c r="AZ389" s="195">
        <f>SUM(AZ319:AZ388)</f>
        <v>0</v>
      </c>
      <c r="BA389" s="195"/>
      <c r="BB389" s="195">
        <f>SUM(BB319:BB388)</f>
        <v>0</v>
      </c>
      <c r="BC389" s="194">
        <f>SUM(BC319:BC388)</f>
        <v>2132</v>
      </c>
      <c r="BD389" s="194"/>
      <c r="BE389" s="194">
        <f>SUM(BE319:BE388)</f>
        <v>23087.4</v>
      </c>
      <c r="BF389" s="146">
        <f>SUM(BF319:BF388)</f>
        <v>3133.8</v>
      </c>
      <c r="BG389" s="146"/>
      <c r="BH389" s="146">
        <f>SUM(BH319:BH388)</f>
        <v>22046.26</v>
      </c>
      <c r="BI389" s="194">
        <f>SUM(BI319:BI388)</f>
        <v>648</v>
      </c>
      <c r="BJ389" s="194"/>
      <c r="BK389" s="194">
        <f>SUM(BK319:BK388)</f>
        <v>2296.8</v>
      </c>
      <c r="BL389" s="195">
        <f>SUM(BL319:BL388)</f>
        <v>0</v>
      </c>
      <c r="BM389" s="195"/>
      <c r="BN389" s="203">
        <f>SUM(BN319:BN388)</f>
        <v>0</v>
      </c>
      <c r="BO389" s="194">
        <f>SUM(BO319:BO388)</f>
        <v>1495</v>
      </c>
      <c r="BP389" s="194"/>
      <c r="BQ389" s="194">
        <f>SUM(BQ319:BQ388)</f>
        <v>13012.5</v>
      </c>
      <c r="BR389" s="146">
        <f>SUM(BR319:BR388)</f>
        <v>120</v>
      </c>
      <c r="BS389" s="146"/>
      <c r="BT389" s="146">
        <f>SUM(BT319:BT388)</f>
        <v>1002</v>
      </c>
    </row>
    <row r="390" s="50" customFormat="1" spans="1:72">
      <c r="A390" s="291"/>
      <c r="B390" s="292"/>
      <c r="C390" s="162"/>
      <c r="D390" s="293"/>
      <c r="E390" s="210"/>
      <c r="F390" s="294"/>
      <c r="G390" s="295"/>
      <c r="H390" s="294"/>
      <c r="I390" s="210"/>
      <c r="J390" s="294"/>
      <c r="K390" s="295"/>
      <c r="L390" s="294"/>
      <c r="M390" s="296"/>
      <c r="N390" s="210"/>
      <c r="O390" s="297"/>
      <c r="P390" s="298"/>
      <c r="Q390" s="294"/>
      <c r="R390" s="295"/>
      <c r="S390" s="294"/>
      <c r="T390" s="210" t="s">
        <v>1410</v>
      </c>
      <c r="U390" s="294"/>
      <c r="V390" s="299"/>
      <c r="W390" s="295"/>
      <c r="X390" s="294"/>
      <c r="Y390" s="210"/>
      <c r="Z390" s="294"/>
      <c r="AA390" s="295"/>
      <c r="AB390" s="294"/>
      <c r="AC390" s="210"/>
      <c r="AD390" s="294"/>
      <c r="AE390" s="295"/>
      <c r="AF390" s="294"/>
      <c r="AG390" s="300"/>
      <c r="AH390" s="301"/>
      <c r="AI390" s="301"/>
      <c r="AJ390" s="210"/>
      <c r="AK390" s="294"/>
      <c r="AL390" s="294"/>
      <c r="AM390" s="294"/>
      <c r="AN390" s="295"/>
      <c r="AO390" s="295"/>
      <c r="AP390" s="295"/>
      <c r="AQ390" s="294"/>
      <c r="AR390" s="294"/>
      <c r="AS390" s="294"/>
      <c r="AT390" s="210"/>
      <c r="AU390" s="210"/>
      <c r="AV390" s="210"/>
      <c r="AW390" s="294"/>
      <c r="AX390" s="294"/>
      <c r="AY390" s="294"/>
      <c r="AZ390" s="295"/>
      <c r="BA390" s="295"/>
      <c r="BB390" s="295"/>
      <c r="BC390" s="294"/>
      <c r="BD390" s="294"/>
      <c r="BE390" s="294"/>
      <c r="BF390" s="210"/>
      <c r="BG390" s="210"/>
      <c r="BH390" s="210"/>
      <c r="BI390" s="294"/>
      <c r="BJ390" s="294"/>
      <c r="BK390" s="294"/>
      <c r="BL390" s="295"/>
      <c r="BM390" s="295"/>
      <c r="BN390" s="295"/>
      <c r="BO390" s="302"/>
      <c r="BP390" s="302"/>
      <c r="BQ390" s="302"/>
      <c r="BR390" s="210"/>
      <c r="BS390" s="210"/>
      <c r="BT390" s="210"/>
    </row>
    <row r="391" s="50" customFormat="1" spans="1:72">
      <c r="A391" s="291"/>
      <c r="B391" s="292"/>
      <c r="C391" s="162"/>
      <c r="D391" s="293"/>
      <c r="E391" s="210"/>
      <c r="F391" s="294"/>
      <c r="G391" s="295"/>
      <c r="H391" s="294"/>
      <c r="I391" s="210"/>
      <c r="J391" s="294"/>
      <c r="K391" s="295"/>
      <c r="L391" s="294"/>
      <c r="M391" s="296"/>
      <c r="N391" s="210"/>
      <c r="O391" s="297"/>
      <c r="P391" s="298"/>
      <c r="Q391" s="294"/>
      <c r="R391" s="295"/>
      <c r="S391" s="294"/>
      <c r="T391" s="210"/>
      <c r="U391" s="294"/>
      <c r="V391" s="299"/>
      <c r="W391" s="295"/>
      <c r="X391" s="294"/>
      <c r="Y391" s="210"/>
      <c r="Z391" s="294"/>
      <c r="AA391" s="295"/>
      <c r="AB391" s="294"/>
      <c r="AC391" s="210"/>
      <c r="AD391" s="294"/>
      <c r="AE391" s="295"/>
      <c r="AF391" s="294"/>
      <c r="AG391" s="300"/>
      <c r="AH391" s="301"/>
      <c r="AI391" s="301"/>
      <c r="AJ391" s="210"/>
      <c r="AK391" s="294"/>
      <c r="AL391" s="294"/>
      <c r="AM391" s="294"/>
      <c r="AN391" s="295"/>
      <c r="AO391" s="295"/>
      <c r="AP391" s="295"/>
      <c r="AQ391" s="294"/>
      <c r="AR391" s="294"/>
      <c r="AS391" s="294"/>
      <c r="AT391" s="210"/>
      <c r="AU391" s="210"/>
      <c r="AV391" s="210"/>
      <c r="AW391" s="294"/>
      <c r="AX391" s="294"/>
      <c r="AY391" s="294"/>
      <c r="AZ391" s="295"/>
      <c r="BA391" s="295"/>
      <c r="BB391" s="295"/>
      <c r="BC391" s="294"/>
      <c r="BD391" s="294"/>
      <c r="BE391" s="294"/>
      <c r="BF391" s="210"/>
      <c r="BG391" s="210"/>
      <c r="BH391" s="210"/>
      <c r="BI391" s="294"/>
      <c r="BJ391" s="294"/>
      <c r="BK391" s="294"/>
      <c r="BL391" s="295"/>
      <c r="BM391" s="295"/>
      <c r="BN391" s="295"/>
      <c r="BO391" s="302"/>
      <c r="BP391" s="302"/>
      <c r="BQ391" s="302"/>
      <c r="BR391" s="210"/>
      <c r="BS391" s="210"/>
      <c r="BT391" s="210"/>
    </row>
    <row r="392" s="50" customFormat="1" spans="1:72">
      <c r="A392" s="291"/>
      <c r="B392" s="292"/>
      <c r="C392" s="162"/>
      <c r="D392" s="293"/>
      <c r="E392" s="210"/>
      <c r="F392" s="294"/>
      <c r="G392" s="295"/>
      <c r="H392" s="294"/>
      <c r="I392" s="210"/>
      <c r="J392" s="294"/>
      <c r="K392" s="295"/>
      <c r="L392" s="294"/>
      <c r="M392" s="296"/>
      <c r="N392" s="210"/>
      <c r="O392" s="297"/>
      <c r="P392" s="298"/>
      <c r="Q392" s="294"/>
      <c r="R392" s="295"/>
      <c r="S392" s="294"/>
      <c r="T392" s="210"/>
      <c r="U392" s="294"/>
      <c r="V392" s="299"/>
      <c r="W392" s="295"/>
      <c r="X392" s="294"/>
      <c r="Y392" s="210"/>
      <c r="Z392" s="294"/>
      <c r="AA392" s="295"/>
      <c r="AB392" s="294"/>
      <c r="AC392" s="210"/>
      <c r="AD392" s="294"/>
      <c r="AE392" s="295"/>
      <c r="AF392" s="294"/>
      <c r="AG392" s="300"/>
      <c r="AH392" s="301"/>
      <c r="AI392" s="301"/>
      <c r="AJ392" s="210"/>
      <c r="AK392" s="294"/>
      <c r="AL392" s="294"/>
      <c r="AM392" s="294"/>
      <c r="AN392" s="295"/>
      <c r="AO392" s="295"/>
      <c r="AP392" s="295"/>
      <c r="AQ392" s="294"/>
      <c r="AR392" s="294"/>
      <c r="AS392" s="294"/>
      <c r="AT392" s="210"/>
      <c r="AU392" s="210"/>
      <c r="AV392" s="210"/>
      <c r="AW392" s="294"/>
      <c r="AX392" s="294"/>
      <c r="AY392" s="294"/>
      <c r="AZ392" s="295"/>
      <c r="BA392" s="295"/>
      <c r="BB392" s="295"/>
      <c r="BC392" s="294"/>
      <c r="BD392" s="294"/>
      <c r="BE392" s="294"/>
      <c r="BF392" s="210"/>
      <c r="BG392" s="210"/>
      <c r="BH392" s="210"/>
      <c r="BI392" s="294"/>
      <c r="BJ392" s="294"/>
      <c r="BK392" s="294"/>
      <c r="BL392" s="295"/>
      <c r="BM392" s="295"/>
      <c r="BN392" s="295"/>
      <c r="BO392" s="302"/>
      <c r="BP392" s="302"/>
      <c r="BQ392" s="302"/>
      <c r="BR392" s="210"/>
      <c r="BS392" s="210"/>
      <c r="BT392" s="210"/>
    </row>
    <row r="393" s="50" customFormat="1" spans="1:72">
      <c r="A393" s="291"/>
      <c r="B393" s="292"/>
      <c r="C393" s="162"/>
      <c r="D393" s="293"/>
      <c r="E393" s="210"/>
      <c r="F393" s="294"/>
      <c r="G393" s="295"/>
      <c r="H393" s="294"/>
      <c r="I393" s="210"/>
      <c r="J393" s="294"/>
      <c r="K393" s="295"/>
      <c r="L393" s="294"/>
      <c r="M393" s="296"/>
      <c r="N393" s="210"/>
      <c r="O393" s="297"/>
      <c r="P393" s="298"/>
      <c r="Q393" s="294"/>
      <c r="R393" s="295"/>
      <c r="S393" s="294"/>
      <c r="T393" s="210"/>
      <c r="U393" s="294"/>
      <c r="V393" s="299"/>
      <c r="W393" s="295"/>
      <c r="X393" s="294"/>
      <c r="Y393" s="210"/>
      <c r="Z393" s="294"/>
      <c r="AA393" s="295"/>
      <c r="AB393" s="294"/>
      <c r="AC393" s="210"/>
      <c r="AD393" s="294"/>
      <c r="AE393" s="295"/>
      <c r="AF393" s="294"/>
      <c r="AG393" s="300"/>
      <c r="AH393" s="301"/>
      <c r="AI393" s="301"/>
      <c r="AJ393" s="210"/>
      <c r="AK393" s="294"/>
      <c r="AL393" s="294"/>
      <c r="AM393" s="294"/>
      <c r="AN393" s="295"/>
      <c r="AO393" s="295"/>
      <c r="AP393" s="295"/>
      <c r="AQ393" s="294"/>
      <c r="AR393" s="294"/>
      <c r="AS393" s="294"/>
      <c r="AT393" s="210"/>
      <c r="AU393" s="210"/>
      <c r="AV393" s="210"/>
      <c r="AW393" s="294"/>
      <c r="AX393" s="294"/>
      <c r="AY393" s="294"/>
      <c r="AZ393" s="295"/>
      <c r="BA393" s="295"/>
      <c r="BB393" s="295"/>
      <c r="BC393" s="294"/>
      <c r="BD393" s="294"/>
      <c r="BE393" s="294"/>
      <c r="BF393" s="210"/>
      <c r="BG393" s="210"/>
      <c r="BH393" s="210"/>
      <c r="BI393" s="294"/>
      <c r="BJ393" s="294"/>
      <c r="BK393" s="294"/>
      <c r="BL393" s="295"/>
      <c r="BM393" s="295"/>
      <c r="BN393" s="295"/>
      <c r="BO393" s="302"/>
      <c r="BP393" s="302"/>
      <c r="BQ393" s="302"/>
      <c r="BR393" s="210"/>
      <c r="BS393" s="210"/>
      <c r="BT393" s="210"/>
    </row>
    <row r="394" s="50" customFormat="1" spans="1:72">
      <c r="A394" s="291"/>
      <c r="B394" s="292"/>
      <c r="C394" s="162"/>
      <c r="D394" s="293"/>
      <c r="E394" s="210"/>
      <c r="F394" s="294"/>
      <c r="G394" s="295"/>
      <c r="H394" s="294"/>
      <c r="I394" s="210"/>
      <c r="J394" s="294"/>
      <c r="K394" s="295"/>
      <c r="L394" s="294"/>
      <c r="M394" s="296"/>
      <c r="N394" s="210"/>
      <c r="O394" s="297"/>
      <c r="P394" s="298"/>
      <c r="Q394" s="294"/>
      <c r="R394" s="295"/>
      <c r="S394" s="294"/>
      <c r="T394" s="210"/>
      <c r="U394" s="294"/>
      <c r="V394" s="299"/>
      <c r="W394" s="295"/>
      <c r="X394" s="294"/>
      <c r="Y394" s="210"/>
      <c r="Z394" s="294"/>
      <c r="AA394" s="295"/>
      <c r="AB394" s="294"/>
      <c r="AC394" s="210"/>
      <c r="AD394" s="294"/>
      <c r="AE394" s="295"/>
      <c r="AF394" s="294"/>
      <c r="AG394" s="300"/>
      <c r="AH394" s="301"/>
      <c r="AI394" s="301"/>
      <c r="AJ394" s="210"/>
      <c r="AK394" s="294"/>
      <c r="AL394" s="294"/>
      <c r="AM394" s="294"/>
      <c r="AN394" s="295"/>
      <c r="AO394" s="295"/>
      <c r="AP394" s="295"/>
      <c r="AQ394" s="294"/>
      <c r="AR394" s="294"/>
      <c r="AS394" s="294"/>
      <c r="AT394" s="210"/>
      <c r="AU394" s="210"/>
      <c r="AV394" s="210"/>
      <c r="AW394" s="294"/>
      <c r="AX394" s="294"/>
      <c r="AY394" s="294"/>
      <c r="AZ394" s="295"/>
      <c r="BA394" s="295"/>
      <c r="BB394" s="295"/>
      <c r="BC394" s="294"/>
      <c r="BD394" s="294"/>
      <c r="BE394" s="294"/>
      <c r="BF394" s="210"/>
      <c r="BG394" s="210"/>
      <c r="BH394" s="210"/>
      <c r="BI394" s="294"/>
      <c r="BJ394" s="294"/>
      <c r="BK394" s="294"/>
      <c r="BL394" s="295"/>
      <c r="BM394" s="295"/>
      <c r="BN394" s="295"/>
      <c r="BO394" s="302"/>
      <c r="BP394" s="302"/>
      <c r="BQ394" s="302"/>
      <c r="BR394" s="210"/>
      <c r="BS394" s="210"/>
      <c r="BT394" s="210"/>
    </row>
    <row r="395" s="50" customFormat="1" spans="1:72">
      <c r="A395" s="291"/>
      <c r="B395" s="292"/>
      <c r="C395" s="162"/>
      <c r="D395" s="293"/>
      <c r="E395" s="210"/>
      <c r="F395" s="294"/>
      <c r="G395" s="295"/>
      <c r="H395" s="294"/>
      <c r="I395" s="210"/>
      <c r="J395" s="294"/>
      <c r="K395" s="295"/>
      <c r="L395" s="294"/>
      <c r="M395" s="296"/>
      <c r="N395" s="210"/>
      <c r="O395" s="297"/>
      <c r="P395" s="298"/>
      <c r="Q395" s="294"/>
      <c r="R395" s="295"/>
      <c r="S395" s="294"/>
      <c r="T395" s="210"/>
      <c r="U395" s="294"/>
      <c r="V395" s="299"/>
      <c r="W395" s="295"/>
      <c r="X395" s="294"/>
      <c r="Y395" s="210"/>
      <c r="Z395" s="294"/>
      <c r="AA395" s="295"/>
      <c r="AB395" s="294"/>
      <c r="AC395" s="210"/>
      <c r="AD395" s="294"/>
      <c r="AE395" s="295"/>
      <c r="AF395" s="294"/>
      <c r="AG395" s="300"/>
      <c r="AH395" s="301"/>
      <c r="AI395" s="301"/>
      <c r="AJ395" s="303"/>
      <c r="AK395" s="294"/>
      <c r="AL395" s="294"/>
      <c r="AM395" s="294"/>
      <c r="AN395" s="295"/>
      <c r="AO395" s="295"/>
      <c r="AP395" s="295"/>
      <c r="AQ395" s="294"/>
      <c r="AR395" s="294"/>
      <c r="AS395" s="294"/>
      <c r="AT395" s="210"/>
      <c r="AU395" s="210"/>
      <c r="AV395" s="210"/>
      <c r="AW395" s="294"/>
      <c r="AX395" s="294"/>
      <c r="AY395" s="294"/>
      <c r="AZ395" s="295"/>
      <c r="BA395" s="295"/>
      <c r="BB395" s="295"/>
      <c r="BC395" s="294"/>
      <c r="BD395" s="294"/>
      <c r="BE395" s="294"/>
      <c r="BF395" s="210"/>
      <c r="BG395" s="210"/>
      <c r="BH395" s="210"/>
      <c r="BI395" s="294"/>
      <c r="BJ395" s="294"/>
      <c r="BK395" s="294"/>
      <c r="BL395" s="295"/>
      <c r="BM395" s="295"/>
      <c r="BN395" s="295"/>
      <c r="BO395" s="302"/>
      <c r="BP395" s="302"/>
      <c r="BQ395" s="302"/>
      <c r="BR395" s="210"/>
      <c r="BS395" s="210"/>
      <c r="BT395" s="210"/>
    </row>
    <row r="396" spans="1:72">
      <c r="AG396" s="304"/>
    </row>
    <row r="397" spans="1:72">
      <c r="AG397" s="304"/>
    </row>
    <row r="398" spans="1:72">
      <c r="AG398" s="304"/>
    </row>
    <row r="399" spans="1:72">
      <c r="AG399" s="304"/>
    </row>
    <row r="400" spans="1:72">
      <c r="AG400" s="304"/>
    </row>
    <row r="401" spans="1:72">
      <c r="AG401" s="304"/>
    </row>
    <row r="402" s="11" customFormat="1" ht="27" customHeight="1" spans="1:72">
      <c r="A402" s="305" t="s">
        <v>1384</v>
      </c>
      <c r="B402" s="306"/>
      <c r="C402" s="206"/>
      <c r="D402" s="207"/>
      <c r="E402" s="76"/>
      <c r="F402" s="72"/>
      <c r="G402" s="76"/>
      <c r="H402" s="72"/>
      <c r="I402" s="76"/>
      <c r="J402" s="72"/>
      <c r="K402" s="76"/>
      <c r="L402" s="72"/>
      <c r="M402" s="307"/>
      <c r="N402" s="76"/>
      <c r="O402" s="206"/>
      <c r="P402" s="308"/>
      <c r="Q402" s="72"/>
      <c r="R402" s="76"/>
      <c r="S402" s="72"/>
      <c r="T402" s="76"/>
      <c r="U402" s="72"/>
      <c r="V402" s="309"/>
      <c r="W402" s="76"/>
      <c r="X402" s="72"/>
      <c r="Y402" s="76"/>
      <c r="Z402" s="72"/>
      <c r="AA402" s="76"/>
      <c r="AB402" s="72"/>
      <c r="AC402" s="76"/>
      <c r="AD402" s="72"/>
      <c r="AE402" s="76"/>
      <c r="AF402" s="72"/>
      <c r="AG402" s="175"/>
      <c r="AH402" s="74"/>
      <c r="AI402" s="74"/>
      <c r="AJ402" s="75"/>
      <c r="AK402" s="75"/>
      <c r="AL402" s="72" t="s">
        <v>908</v>
      </c>
      <c r="AM402" s="72"/>
      <c r="AN402" s="72"/>
      <c r="AO402" s="76"/>
      <c r="AP402" s="76"/>
      <c r="AQ402" s="77">
        <f>SUM(AJ442+AM442+AP442+AS442+AV442+AY442+BB442+BE442+BH442+BK442+BN442+BQ442+BT442)</f>
        <v>36321.35</v>
      </c>
      <c r="AR402" s="77"/>
      <c r="AS402" s="72"/>
      <c r="AT402" s="72"/>
      <c r="AU402" s="75"/>
      <c r="AV402" s="75"/>
      <c r="AW402" s="75"/>
      <c r="AX402" s="72"/>
      <c r="AY402" s="72"/>
      <c r="AZ402" s="72"/>
      <c r="BA402" s="77"/>
      <c r="BB402" s="77"/>
      <c r="BC402" s="77"/>
      <c r="BD402" s="72"/>
      <c r="BE402" s="72"/>
      <c r="BF402" s="72"/>
      <c r="BG402" s="75"/>
      <c r="BH402" s="75"/>
      <c r="BI402" s="75"/>
      <c r="BJ402" s="72"/>
      <c r="BK402" s="72"/>
      <c r="BL402" s="72"/>
      <c r="BM402" s="77"/>
      <c r="BN402" s="77"/>
      <c r="BO402" s="78"/>
      <c r="BP402" s="79"/>
      <c r="BQ402" s="79"/>
      <c r="BR402" s="80"/>
      <c r="BS402" s="79"/>
      <c r="BT402" s="79"/>
    </row>
    <row r="403" s="12" customFormat="1" ht="20" customHeight="1" spans="1:72">
      <c r="A403" s="81" t="s">
        <v>35</v>
      </c>
      <c r="B403" s="82" t="s">
        <v>909</v>
      </c>
      <c r="C403" s="206"/>
      <c r="D403" s="235" t="s">
        <v>240</v>
      </c>
      <c r="E403" s="236" t="s">
        <v>1308</v>
      </c>
      <c r="F403" s="237" t="s">
        <v>315</v>
      </c>
      <c r="G403" s="238" t="s">
        <v>316</v>
      </c>
      <c r="H403" s="240" t="s">
        <v>704</v>
      </c>
      <c r="I403" s="239" t="s">
        <v>1203</v>
      </c>
      <c r="J403" s="240" t="s">
        <v>979</v>
      </c>
      <c r="K403" s="238" t="s">
        <v>1205</v>
      </c>
      <c r="L403" s="240" t="s">
        <v>542</v>
      </c>
      <c r="M403" s="310"/>
      <c r="N403" s="239" t="s">
        <v>342</v>
      </c>
      <c r="O403" s="311"/>
      <c r="P403" s="312" t="s">
        <v>1411</v>
      </c>
      <c r="Q403" s="240"/>
      <c r="R403" s="238" t="s">
        <v>1209</v>
      </c>
      <c r="S403" s="240" t="s">
        <v>149</v>
      </c>
      <c r="T403" s="239" t="s">
        <v>298</v>
      </c>
      <c r="U403" s="240" t="s">
        <v>1360</v>
      </c>
      <c r="V403" s="313">
        <v>5014</v>
      </c>
      <c r="W403" s="238" t="s">
        <v>1210</v>
      </c>
      <c r="X403" s="240" t="s">
        <v>1293</v>
      </c>
      <c r="Y403" s="239" t="s">
        <v>1212</v>
      </c>
      <c r="Z403" s="81" t="s">
        <v>872</v>
      </c>
      <c r="AA403" s="78" t="s">
        <v>896</v>
      </c>
      <c r="AB403" s="81" t="s">
        <v>1213</v>
      </c>
      <c r="AC403" s="104" t="s">
        <v>1214</v>
      </c>
      <c r="AD403" s="81" t="s">
        <v>1412</v>
      </c>
      <c r="AE403" s="78" t="s">
        <v>1215</v>
      </c>
      <c r="AF403" s="245" t="s">
        <v>1386</v>
      </c>
      <c r="AG403" s="73" t="s">
        <v>35</v>
      </c>
      <c r="AH403" s="74" t="s">
        <v>289</v>
      </c>
      <c r="AI403" s="74"/>
      <c r="AJ403" s="103"/>
      <c r="AK403" s="81" t="s">
        <v>466</v>
      </c>
      <c r="AL403" s="81"/>
      <c r="AM403" s="81"/>
      <c r="AN403" s="78" t="s">
        <v>513</v>
      </c>
      <c r="AO403" s="78"/>
      <c r="AP403" s="78"/>
      <c r="AQ403" s="81" t="s">
        <v>911</v>
      </c>
      <c r="AR403" s="81"/>
      <c r="AS403" s="81"/>
      <c r="AT403" s="104" t="s">
        <v>912</v>
      </c>
      <c r="AU403" s="104"/>
      <c r="AV403" s="104"/>
      <c r="AW403" s="81" t="s">
        <v>984</v>
      </c>
      <c r="AX403" s="81"/>
      <c r="AY403" s="81"/>
      <c r="AZ403" s="78" t="s">
        <v>960</v>
      </c>
      <c r="BA403" s="78"/>
      <c r="BB403" s="78"/>
      <c r="BC403" s="81">
        <v>808</v>
      </c>
      <c r="BD403" s="81"/>
      <c r="BE403" s="81"/>
      <c r="BF403" s="104" t="s">
        <v>125</v>
      </c>
      <c r="BG403" s="104"/>
      <c r="BH403" s="104"/>
      <c r="BI403" s="81" t="s">
        <v>132</v>
      </c>
      <c r="BJ403" s="81"/>
      <c r="BK403" s="81"/>
      <c r="BL403" s="78">
        <v>811</v>
      </c>
      <c r="BM403" s="78"/>
      <c r="BN403" s="105"/>
      <c r="BO403" s="81" t="s">
        <v>152</v>
      </c>
      <c r="BP403" s="81"/>
      <c r="BQ403" s="81"/>
      <c r="BR403" s="106" t="s">
        <v>12</v>
      </c>
      <c r="BS403" s="107"/>
      <c r="BT403" s="108"/>
    </row>
    <row r="404" s="12" customFormat="1" ht="25" customHeight="1" spans="1:72">
      <c r="A404" s="81"/>
      <c r="B404" s="255" t="s">
        <v>914</v>
      </c>
      <c r="C404" s="206" t="s">
        <v>915</v>
      </c>
      <c r="D404" s="246"/>
      <c r="E404" s="177"/>
      <c r="F404" s="247"/>
      <c r="G404" s="238"/>
      <c r="H404" s="240"/>
      <c r="I404" s="239"/>
      <c r="J404" s="240"/>
      <c r="K404" s="238"/>
      <c r="L404" s="240"/>
      <c r="M404" s="310"/>
      <c r="N404" s="239"/>
      <c r="O404" s="311"/>
      <c r="P404" s="312"/>
      <c r="Q404" s="240"/>
      <c r="R404" s="238"/>
      <c r="S404" s="240"/>
      <c r="T404" s="239"/>
      <c r="U404" s="240"/>
      <c r="V404" s="314"/>
      <c r="W404" s="238"/>
      <c r="X404" s="240"/>
      <c r="Y404" s="239"/>
      <c r="Z404" s="81"/>
      <c r="AA404" s="78"/>
      <c r="AB404" s="81"/>
      <c r="AC404" s="104"/>
      <c r="AD404" s="81"/>
      <c r="AE404" s="78"/>
      <c r="AF404" s="245"/>
      <c r="AG404" s="73"/>
      <c r="AH404" s="117" t="s">
        <v>916</v>
      </c>
      <c r="AI404" s="118" t="s">
        <v>917</v>
      </c>
      <c r="AJ404" s="81" t="s">
        <v>918</v>
      </c>
      <c r="AK404" s="81" t="s">
        <v>916</v>
      </c>
      <c r="AL404" s="81" t="s">
        <v>917</v>
      </c>
      <c r="AM404" s="81" t="s">
        <v>918</v>
      </c>
      <c r="AN404" s="78" t="s">
        <v>916</v>
      </c>
      <c r="AO404" s="78" t="s">
        <v>917</v>
      </c>
      <c r="AP404" s="78" t="s">
        <v>918</v>
      </c>
      <c r="AQ404" s="81" t="s">
        <v>916</v>
      </c>
      <c r="AR404" s="81" t="s">
        <v>917</v>
      </c>
      <c r="AS404" s="81" t="s">
        <v>918</v>
      </c>
      <c r="AT404" s="104" t="s">
        <v>916</v>
      </c>
      <c r="AU404" s="104" t="s">
        <v>917</v>
      </c>
      <c r="AV404" s="104" t="s">
        <v>918</v>
      </c>
      <c r="AW404" s="81" t="s">
        <v>916</v>
      </c>
      <c r="AX404" s="81" t="s">
        <v>917</v>
      </c>
      <c r="AY404" s="81" t="s">
        <v>918</v>
      </c>
      <c r="AZ404" s="78" t="s">
        <v>916</v>
      </c>
      <c r="BA404" s="78" t="s">
        <v>917</v>
      </c>
      <c r="BB404" s="78" t="s">
        <v>918</v>
      </c>
      <c r="BC404" s="81" t="s">
        <v>916</v>
      </c>
      <c r="BD404" s="81" t="s">
        <v>917</v>
      </c>
      <c r="BE404" s="81" t="s">
        <v>918</v>
      </c>
      <c r="BF404" s="104" t="s">
        <v>916</v>
      </c>
      <c r="BG404" s="104" t="s">
        <v>917</v>
      </c>
      <c r="BH404" s="104" t="s">
        <v>918</v>
      </c>
      <c r="BI404" s="81" t="s">
        <v>916</v>
      </c>
      <c r="BJ404" s="81" t="s">
        <v>917</v>
      </c>
      <c r="BK404" s="81" t="s">
        <v>918</v>
      </c>
      <c r="BL404" s="78" t="s">
        <v>916</v>
      </c>
      <c r="BM404" s="78" t="s">
        <v>917</v>
      </c>
      <c r="BN404" s="105" t="s">
        <v>918</v>
      </c>
      <c r="BO404" s="81" t="s">
        <v>916</v>
      </c>
      <c r="BP404" s="81" t="s">
        <v>917</v>
      </c>
      <c r="BQ404" s="81" t="s">
        <v>918</v>
      </c>
      <c r="BR404" s="104" t="s">
        <v>916</v>
      </c>
      <c r="BS404" s="104" t="s">
        <v>917</v>
      </c>
      <c r="BT404" s="104" t="s">
        <v>918</v>
      </c>
    </row>
    <row r="405" s="12" customFormat="1" spans="1:72">
      <c r="A405" s="129">
        <v>45314</v>
      </c>
      <c r="B405" s="82" t="s">
        <v>1007</v>
      </c>
      <c r="C405" s="315"/>
      <c r="D405" s="193"/>
      <c r="E405" s="316"/>
      <c r="F405" s="252"/>
      <c r="G405" s="78">
        <v>1833</v>
      </c>
      <c r="H405" s="81">
        <v>139.5</v>
      </c>
      <c r="I405" s="104">
        <v>724</v>
      </c>
      <c r="J405" s="81">
        <v>6</v>
      </c>
      <c r="K405" s="78">
        <v>131</v>
      </c>
      <c r="L405" s="81">
        <v>-125</v>
      </c>
      <c r="M405" s="133"/>
      <c r="N405" s="104">
        <v>0</v>
      </c>
      <c r="O405" s="131"/>
      <c r="P405" s="134">
        <v>1189</v>
      </c>
      <c r="Q405" s="81"/>
      <c r="R405" s="78">
        <v>0</v>
      </c>
      <c r="S405" s="81">
        <v>178.6</v>
      </c>
      <c r="T405" s="104">
        <v>415.5</v>
      </c>
      <c r="U405" s="81">
        <v>108</v>
      </c>
      <c r="V405" s="136">
        <v>0</v>
      </c>
      <c r="W405" s="78">
        <v>7</v>
      </c>
      <c r="X405" s="81">
        <v>0</v>
      </c>
      <c r="Y405" s="104">
        <v>0</v>
      </c>
      <c r="Z405" s="81">
        <v>0</v>
      </c>
      <c r="AA405" s="78">
        <v>0</v>
      </c>
      <c r="AB405" s="81">
        <v>116.3</v>
      </c>
      <c r="AC405" s="104">
        <v>2.5</v>
      </c>
      <c r="AD405" s="81">
        <v>0</v>
      </c>
      <c r="AE405" s="78">
        <v>140</v>
      </c>
      <c r="AF405" s="245">
        <v>50</v>
      </c>
      <c r="AG405" s="73"/>
      <c r="AH405" s="253"/>
      <c r="AI405" s="147"/>
      <c r="AJ405" s="104"/>
      <c r="AK405" s="81"/>
      <c r="AL405" s="81"/>
      <c r="AM405" s="81"/>
      <c r="AN405" s="78"/>
      <c r="AO405" s="78"/>
      <c r="AP405" s="78"/>
      <c r="AQ405" s="81"/>
      <c r="AR405" s="81"/>
      <c r="AS405" s="81"/>
      <c r="AT405" s="104"/>
      <c r="AU405" s="104"/>
      <c r="AV405" s="104"/>
      <c r="AW405" s="81"/>
      <c r="AX405" s="81"/>
      <c r="AY405" s="81"/>
      <c r="AZ405" s="78"/>
      <c r="BA405" s="78"/>
      <c r="BB405" s="78"/>
      <c r="BC405" s="81"/>
      <c r="BD405" s="81"/>
      <c r="BE405" s="81"/>
      <c r="BF405" s="104"/>
      <c r="BG405" s="104"/>
      <c r="BH405" s="104"/>
      <c r="BI405" s="81"/>
      <c r="BJ405" s="81"/>
      <c r="BK405" s="81"/>
      <c r="BL405" s="78"/>
      <c r="BM405" s="78"/>
      <c r="BN405" s="105"/>
      <c r="BO405" s="81"/>
      <c r="BP405" s="81"/>
      <c r="BQ405" s="81"/>
      <c r="BR405" s="146"/>
      <c r="BS405" s="146"/>
      <c r="BT405" s="146"/>
    </row>
    <row r="406" s="1" customFormat="1" spans="1:72">
      <c r="A406" s="129">
        <v>45348</v>
      </c>
      <c r="B406" s="220" t="s">
        <v>1413</v>
      </c>
      <c r="C406" s="251"/>
      <c r="D406" s="132"/>
      <c r="E406" s="103"/>
      <c r="F406" s="81"/>
      <c r="G406" s="78"/>
      <c r="H406" s="81"/>
      <c r="I406" s="104"/>
      <c r="J406" s="81"/>
      <c r="K406" s="78"/>
      <c r="L406" s="81"/>
      <c r="M406" s="133"/>
      <c r="N406" s="104"/>
      <c r="O406" s="131"/>
      <c r="P406" s="134"/>
      <c r="Q406" s="81"/>
      <c r="R406" s="78"/>
      <c r="S406" s="81"/>
      <c r="T406" s="104"/>
      <c r="U406" s="81"/>
      <c r="V406" s="136"/>
      <c r="W406" s="78"/>
      <c r="X406" s="81"/>
      <c r="Y406" s="104"/>
      <c r="Z406" s="81"/>
      <c r="AA406" s="78"/>
      <c r="AB406" s="81"/>
      <c r="AC406" s="104"/>
      <c r="AD406" s="81"/>
      <c r="AE406" s="78"/>
      <c r="AF406" s="245">
        <v>2000</v>
      </c>
      <c r="AG406" s="73"/>
      <c r="AH406" s="253"/>
      <c r="AI406" s="147"/>
      <c r="AJ406" s="104"/>
      <c r="AK406" s="81"/>
      <c r="AL406" s="81"/>
      <c r="AM406" s="81"/>
      <c r="AN406" s="78"/>
      <c r="AO406" s="78"/>
      <c r="AP406" s="78"/>
      <c r="AQ406" s="81"/>
      <c r="AR406" s="81"/>
      <c r="AS406" s="81"/>
      <c r="AT406" s="104"/>
      <c r="AU406" s="104"/>
      <c r="AV406" s="104"/>
      <c r="AW406" s="81"/>
      <c r="AX406" s="81"/>
      <c r="AY406" s="81"/>
      <c r="AZ406" s="78"/>
      <c r="BA406" s="78"/>
      <c r="BB406" s="78"/>
      <c r="BC406" s="81"/>
      <c r="BD406" s="81"/>
      <c r="BE406" s="81"/>
      <c r="BF406" s="104"/>
      <c r="BG406" s="104"/>
      <c r="BH406" s="104"/>
      <c r="BI406" s="81"/>
      <c r="BJ406" s="81"/>
      <c r="BK406" s="81"/>
      <c r="BL406" s="78"/>
      <c r="BM406" s="78"/>
      <c r="BN406" s="105"/>
      <c r="BO406" s="81"/>
      <c r="BP406" s="81"/>
      <c r="BQ406" s="81"/>
      <c r="BR406" s="146"/>
      <c r="BS406" s="146"/>
      <c r="BT406" s="146"/>
    </row>
    <row r="407" s="50" customFormat="1" spans="1:72">
      <c r="A407" s="191">
        <v>45352</v>
      </c>
      <c r="B407" s="192" t="s">
        <v>944</v>
      </c>
      <c r="C407" s="251">
        <v>200</v>
      </c>
      <c r="D407" s="193"/>
      <c r="E407" s="108"/>
      <c r="F407" s="194"/>
      <c r="G407" s="195">
        <v>-60</v>
      </c>
      <c r="H407" s="194"/>
      <c r="I407" s="146"/>
      <c r="J407" s="194"/>
      <c r="K407" s="195"/>
      <c r="L407" s="194"/>
      <c r="M407" s="196"/>
      <c r="N407" s="146"/>
      <c r="O407" s="197"/>
      <c r="P407" s="198"/>
      <c r="Q407" s="194"/>
      <c r="R407" s="195"/>
      <c r="S407" s="194">
        <v>-34</v>
      </c>
      <c r="T407" s="146">
        <v>-64</v>
      </c>
      <c r="U407" s="194"/>
      <c r="V407" s="199"/>
      <c r="W407" s="195"/>
      <c r="X407" s="194"/>
      <c r="Y407" s="146"/>
      <c r="Z407" s="194"/>
      <c r="AA407" s="195"/>
      <c r="AB407" s="194"/>
      <c r="AC407" s="146"/>
      <c r="AD407" s="194"/>
      <c r="AE407" s="195"/>
      <c r="AF407" s="200"/>
      <c r="AG407" s="145">
        <v>45352</v>
      </c>
      <c r="AH407" s="257"/>
      <c r="AI407" s="201"/>
      <c r="AJ407" s="258"/>
      <c r="AK407" s="194"/>
      <c r="AL407" s="194"/>
      <c r="AM407" s="194"/>
      <c r="AN407" s="195"/>
      <c r="AO407" s="195"/>
      <c r="AP407" s="195"/>
      <c r="AQ407" s="194"/>
      <c r="AR407" s="194"/>
      <c r="AS407" s="194"/>
      <c r="AT407" s="146"/>
      <c r="AU407" s="146"/>
      <c r="AV407" s="146"/>
      <c r="AW407" s="194"/>
      <c r="AX407" s="194"/>
      <c r="AY407" s="194"/>
      <c r="AZ407" s="195"/>
      <c r="BA407" s="195"/>
      <c r="BB407" s="195"/>
      <c r="BC407" s="194">
        <v>42</v>
      </c>
      <c r="BD407" s="194">
        <v>10.3</v>
      </c>
      <c r="BE407" s="194">
        <f>BC407*BD407</f>
        <v>432.6</v>
      </c>
      <c r="BF407" s="146"/>
      <c r="BG407" s="146"/>
      <c r="BH407" s="146"/>
      <c r="BI407" s="194"/>
      <c r="BJ407" s="194"/>
      <c r="BK407" s="194"/>
      <c r="BL407" s="195"/>
      <c r="BM407" s="195"/>
      <c r="BN407" s="203"/>
      <c r="BO407" s="194"/>
      <c r="BP407" s="194"/>
      <c r="BQ407" s="194"/>
      <c r="BR407" s="146"/>
      <c r="BS407" s="146"/>
      <c r="BT407" s="146"/>
    </row>
    <row r="408" s="50" customFormat="1" spans="1:72">
      <c r="A408" s="191">
        <v>45356</v>
      </c>
      <c r="B408" s="192" t="s">
        <v>949</v>
      </c>
      <c r="C408" s="251">
        <v>18</v>
      </c>
      <c r="D408" s="193"/>
      <c r="E408" s="108"/>
      <c r="F408" s="194"/>
      <c r="G408" s="195"/>
      <c r="H408" s="194"/>
      <c r="I408" s="146"/>
      <c r="J408" s="194"/>
      <c r="K408" s="195"/>
      <c r="L408" s="194"/>
      <c r="M408" s="196"/>
      <c r="N408" s="146"/>
      <c r="O408" s="197"/>
      <c r="P408" s="198"/>
      <c r="Q408" s="194"/>
      <c r="R408" s="195"/>
      <c r="S408" s="194"/>
      <c r="T408" s="146"/>
      <c r="U408" s="194"/>
      <c r="V408" s="199"/>
      <c r="W408" s="195"/>
      <c r="X408" s="194"/>
      <c r="Y408" s="146"/>
      <c r="Z408" s="194"/>
      <c r="AA408" s="195"/>
      <c r="AB408" s="194"/>
      <c r="AC408" s="146"/>
      <c r="AD408" s="194"/>
      <c r="AE408" s="195"/>
      <c r="AF408" s="200"/>
      <c r="AG408" s="145">
        <v>45356</v>
      </c>
      <c r="AH408" s="257"/>
      <c r="AI408" s="201"/>
      <c r="AJ408" s="258"/>
      <c r="AK408" s="194"/>
      <c r="AL408" s="194"/>
      <c r="AM408" s="194"/>
      <c r="AN408" s="195"/>
      <c r="AO408" s="195"/>
      <c r="AP408" s="195"/>
      <c r="AQ408" s="194"/>
      <c r="AR408" s="194"/>
      <c r="AS408" s="194"/>
      <c r="AT408" s="146"/>
      <c r="AU408" s="146"/>
      <c r="AV408" s="146"/>
      <c r="AW408" s="194"/>
      <c r="AX408" s="194"/>
      <c r="AY408" s="194"/>
      <c r="AZ408" s="195"/>
      <c r="BA408" s="195"/>
      <c r="BB408" s="195"/>
      <c r="BC408" s="194">
        <v>3</v>
      </c>
      <c r="BD408" s="194">
        <v>10.3</v>
      </c>
      <c r="BE408" s="194">
        <f>BC408*BD408</f>
        <v>30.9</v>
      </c>
      <c r="BF408" s="146">
        <v>4</v>
      </c>
      <c r="BG408" s="146">
        <v>6.3</v>
      </c>
      <c r="BH408" s="146">
        <f t="shared" ref="BH407:BH412" si="66">BF408*BG408</f>
        <v>25.2</v>
      </c>
      <c r="BI408" s="194">
        <v>3</v>
      </c>
      <c r="BJ408" s="194">
        <v>3.6</v>
      </c>
      <c r="BK408" s="194">
        <f>BI408*BJ408</f>
        <v>10.8</v>
      </c>
      <c r="BL408" s="195">
        <v>8</v>
      </c>
      <c r="BM408" s="195">
        <v>3.4</v>
      </c>
      <c r="BN408" s="203">
        <f>BL408*BM408</f>
        <v>27.2</v>
      </c>
      <c r="BO408" s="194"/>
      <c r="BP408" s="194"/>
      <c r="BQ408" s="194"/>
      <c r="BR408" s="146"/>
      <c r="BS408" s="146"/>
      <c r="BT408" s="146"/>
    </row>
    <row r="409" s="50" customFormat="1" spans="1:72">
      <c r="A409" s="139" t="s">
        <v>1414</v>
      </c>
      <c r="B409" s="192" t="s">
        <v>1415</v>
      </c>
      <c r="C409" s="251"/>
      <c r="D409" s="193"/>
      <c r="E409" s="108"/>
      <c r="F409" s="194"/>
      <c r="G409" s="195"/>
      <c r="H409" s="194"/>
      <c r="I409" s="146">
        <v>-3</v>
      </c>
      <c r="J409" s="194"/>
      <c r="K409" s="195"/>
      <c r="L409" s="194"/>
      <c r="M409" s="196"/>
      <c r="N409" s="146"/>
      <c r="O409" s="197"/>
      <c r="P409" s="198">
        <v>-3</v>
      </c>
      <c r="Q409" s="194"/>
      <c r="R409" s="195"/>
      <c r="S409" s="194">
        <v>-3</v>
      </c>
      <c r="T409" s="146">
        <v>-3</v>
      </c>
      <c r="U409" s="194"/>
      <c r="V409" s="199"/>
      <c r="W409" s="195"/>
      <c r="X409" s="194"/>
      <c r="Y409" s="146"/>
      <c r="Z409" s="194"/>
      <c r="AA409" s="195"/>
      <c r="AB409" s="194"/>
      <c r="AC409" s="146"/>
      <c r="AD409" s="194"/>
      <c r="AE409" s="195"/>
      <c r="AF409" s="200"/>
      <c r="AG409" s="145" t="s">
        <v>1416</v>
      </c>
      <c r="AH409" s="257"/>
      <c r="AI409" s="201"/>
      <c r="AJ409" s="258"/>
      <c r="AK409" s="194"/>
      <c r="AL409" s="194"/>
      <c r="AM409" s="194"/>
      <c r="AN409" s="195"/>
      <c r="AO409" s="195"/>
      <c r="AP409" s="195"/>
      <c r="AQ409" s="194">
        <v>2</v>
      </c>
      <c r="AR409" s="194">
        <v>50</v>
      </c>
      <c r="AS409" s="194">
        <f>AQ409*AR409</f>
        <v>100</v>
      </c>
      <c r="AT409" s="146"/>
      <c r="AU409" s="146"/>
      <c r="AV409" s="146"/>
      <c r="AW409" s="194"/>
      <c r="AX409" s="194"/>
      <c r="AY409" s="194"/>
      <c r="AZ409" s="195"/>
      <c r="BA409" s="195"/>
      <c r="BB409" s="195"/>
      <c r="BC409" s="194"/>
      <c r="BD409" s="194"/>
      <c r="BE409" s="194"/>
      <c r="BF409" s="146"/>
      <c r="BG409" s="146"/>
      <c r="BH409" s="146"/>
      <c r="BI409" s="194"/>
      <c r="BJ409" s="194"/>
      <c r="BK409" s="194"/>
      <c r="BL409" s="195"/>
      <c r="BM409" s="195"/>
      <c r="BN409" s="203"/>
      <c r="BO409" s="194"/>
      <c r="BP409" s="194"/>
      <c r="BQ409" s="194"/>
      <c r="BR409" s="146"/>
      <c r="BS409" s="146"/>
      <c r="BT409" s="146"/>
    </row>
    <row r="410" s="50" customFormat="1" spans="1:72">
      <c r="A410" s="191">
        <v>45357</v>
      </c>
      <c r="B410" s="259" t="s">
        <v>1417</v>
      </c>
      <c r="C410" s="251"/>
      <c r="D410" s="193"/>
      <c r="E410" s="108"/>
      <c r="F410" s="194"/>
      <c r="G410" s="195"/>
      <c r="H410" s="194"/>
      <c r="I410" s="146"/>
      <c r="J410" s="194"/>
      <c r="K410" s="195"/>
      <c r="L410" s="194"/>
      <c r="M410" s="196"/>
      <c r="N410" s="146"/>
      <c r="O410" s="197"/>
      <c r="P410" s="198"/>
      <c r="Q410" s="194"/>
      <c r="R410" s="195"/>
      <c r="S410" s="194"/>
      <c r="T410" s="146"/>
      <c r="U410" s="194"/>
      <c r="V410" s="199"/>
      <c r="W410" s="195"/>
      <c r="X410" s="194"/>
      <c r="Y410" s="146"/>
      <c r="Z410" s="194">
        <v>50</v>
      </c>
      <c r="AA410" s="195">
        <v>50</v>
      </c>
      <c r="AB410" s="194"/>
      <c r="AC410" s="146"/>
      <c r="AD410" s="194"/>
      <c r="AE410" s="195"/>
      <c r="AF410" s="200"/>
      <c r="AG410" s="145">
        <v>45357</v>
      </c>
      <c r="AH410" s="257"/>
      <c r="AI410" s="201"/>
      <c r="AJ410" s="258"/>
      <c r="AK410" s="194"/>
      <c r="AL410" s="194"/>
      <c r="AM410" s="194"/>
      <c r="AN410" s="195"/>
      <c r="AO410" s="195"/>
      <c r="AP410" s="195"/>
      <c r="AQ410" s="194"/>
      <c r="AR410" s="194"/>
      <c r="AS410" s="194"/>
      <c r="AT410" s="146"/>
      <c r="AU410" s="146"/>
      <c r="AV410" s="146"/>
      <c r="AW410" s="194"/>
      <c r="AX410" s="194"/>
      <c r="AY410" s="194"/>
      <c r="AZ410" s="195"/>
      <c r="BA410" s="195"/>
      <c r="BB410" s="195"/>
      <c r="BC410" s="194"/>
      <c r="BD410" s="194"/>
      <c r="BE410" s="194"/>
      <c r="BF410" s="146"/>
      <c r="BG410" s="146"/>
      <c r="BH410" s="146"/>
      <c r="BI410" s="194"/>
      <c r="BJ410" s="194"/>
      <c r="BK410" s="194"/>
      <c r="BL410" s="195"/>
      <c r="BM410" s="195"/>
      <c r="BN410" s="203"/>
      <c r="BO410" s="194"/>
      <c r="BP410" s="194"/>
      <c r="BQ410" s="194"/>
      <c r="BR410" s="146"/>
      <c r="BS410" s="146"/>
      <c r="BT410" s="146"/>
    </row>
    <row r="411" s="50" customFormat="1" spans="1:72">
      <c r="A411" s="191">
        <v>45357</v>
      </c>
      <c r="B411" s="192" t="s">
        <v>149</v>
      </c>
      <c r="C411" s="251">
        <v>170</v>
      </c>
      <c r="D411" s="193"/>
      <c r="E411" s="108"/>
      <c r="F411" s="194"/>
      <c r="G411" s="195"/>
      <c r="H411" s="194"/>
      <c r="I411" s="146"/>
      <c r="J411" s="194"/>
      <c r="K411" s="195"/>
      <c r="L411" s="194"/>
      <c r="M411" s="196"/>
      <c r="N411" s="146"/>
      <c r="O411" s="197"/>
      <c r="P411" s="198"/>
      <c r="Q411" s="194"/>
      <c r="R411" s="195"/>
      <c r="S411" s="194"/>
      <c r="T411" s="146"/>
      <c r="U411" s="194"/>
      <c r="V411" s="199"/>
      <c r="W411" s="195"/>
      <c r="X411" s="194"/>
      <c r="Y411" s="146"/>
      <c r="Z411" s="194">
        <v>-50</v>
      </c>
      <c r="AA411" s="195"/>
      <c r="AB411" s="194"/>
      <c r="AC411" s="146"/>
      <c r="AD411" s="194"/>
      <c r="AE411" s="195"/>
      <c r="AF411" s="200"/>
      <c r="AG411" s="145">
        <v>45357</v>
      </c>
      <c r="AH411" s="257"/>
      <c r="AI411" s="201"/>
      <c r="AJ411" s="258"/>
      <c r="AK411" s="194"/>
      <c r="AL411" s="194"/>
      <c r="AM411" s="194"/>
      <c r="AN411" s="195"/>
      <c r="AO411" s="195"/>
      <c r="AP411" s="195"/>
      <c r="AQ411" s="194"/>
      <c r="AR411" s="194"/>
      <c r="AS411" s="194"/>
      <c r="AT411" s="146"/>
      <c r="AU411" s="146"/>
      <c r="AV411" s="146"/>
      <c r="AW411" s="194"/>
      <c r="AX411" s="194"/>
      <c r="AY411" s="194"/>
      <c r="AZ411" s="195"/>
      <c r="BA411" s="195"/>
      <c r="BB411" s="195"/>
      <c r="BC411" s="194"/>
      <c r="BD411" s="194"/>
      <c r="BE411" s="194"/>
      <c r="BF411" s="146">
        <v>120</v>
      </c>
      <c r="BG411" s="146">
        <v>6.3</v>
      </c>
      <c r="BH411" s="146">
        <f t="shared" si="66"/>
        <v>756</v>
      </c>
      <c r="BI411" s="194"/>
      <c r="BJ411" s="194"/>
      <c r="BK411" s="194"/>
      <c r="BL411" s="195"/>
      <c r="BM411" s="195"/>
      <c r="BN411" s="203"/>
      <c r="BO411" s="194"/>
      <c r="BP411" s="194"/>
      <c r="BQ411" s="194"/>
      <c r="BR411" s="146"/>
      <c r="BS411" s="146"/>
      <c r="BT411" s="146"/>
    </row>
    <row r="412" s="50" customFormat="1" spans="1:72">
      <c r="A412" s="191">
        <v>45357</v>
      </c>
      <c r="B412" s="192" t="s">
        <v>298</v>
      </c>
      <c r="C412" s="251">
        <v>320</v>
      </c>
      <c r="D412" s="193"/>
      <c r="E412" s="108"/>
      <c r="F412" s="194"/>
      <c r="G412" s="195"/>
      <c r="H412" s="194"/>
      <c r="I412" s="146"/>
      <c r="J412" s="194"/>
      <c r="K412" s="195"/>
      <c r="L412" s="194"/>
      <c r="M412" s="196"/>
      <c r="N412" s="146"/>
      <c r="O412" s="197"/>
      <c r="P412" s="198"/>
      <c r="Q412" s="194"/>
      <c r="R412" s="195"/>
      <c r="S412" s="194"/>
      <c r="T412" s="146"/>
      <c r="U412" s="194"/>
      <c r="V412" s="199"/>
      <c r="W412" s="195"/>
      <c r="X412" s="194"/>
      <c r="Y412" s="146"/>
      <c r="Z412" s="194"/>
      <c r="AA412" s="195">
        <v>-50</v>
      </c>
      <c r="AB412" s="194"/>
      <c r="AC412" s="146"/>
      <c r="AD412" s="194"/>
      <c r="AE412" s="195"/>
      <c r="AF412" s="200"/>
      <c r="AG412" s="145">
        <v>45357</v>
      </c>
      <c r="AH412" s="257"/>
      <c r="AI412" s="201"/>
      <c r="AJ412" s="202"/>
      <c r="AK412" s="194"/>
      <c r="AL412" s="194"/>
      <c r="AM412" s="194"/>
      <c r="AN412" s="195"/>
      <c r="AO412" s="195"/>
      <c r="AP412" s="195"/>
      <c r="AQ412" s="194"/>
      <c r="AR412" s="194"/>
      <c r="AS412" s="194"/>
      <c r="AT412" s="146"/>
      <c r="AU412" s="146"/>
      <c r="AV412" s="146"/>
      <c r="AW412" s="194"/>
      <c r="AX412" s="194"/>
      <c r="AY412" s="194"/>
      <c r="AZ412" s="195"/>
      <c r="BA412" s="195"/>
      <c r="BB412" s="195"/>
      <c r="BC412" s="194"/>
      <c r="BD412" s="194"/>
      <c r="BE412" s="194"/>
      <c r="BF412" s="146">
        <v>270</v>
      </c>
      <c r="BG412" s="146">
        <v>6.3</v>
      </c>
      <c r="BH412" s="146">
        <f t="shared" si="66"/>
        <v>1701</v>
      </c>
      <c r="BI412" s="194"/>
      <c r="BJ412" s="194"/>
      <c r="BK412" s="194"/>
      <c r="BL412" s="195"/>
      <c r="BM412" s="195"/>
      <c r="BN412" s="203"/>
      <c r="BO412" s="194"/>
      <c r="BP412" s="194"/>
      <c r="BQ412" s="194"/>
      <c r="BR412" s="146"/>
      <c r="BS412" s="146"/>
      <c r="BT412" s="146"/>
    </row>
    <row r="413" s="50" customFormat="1" spans="1:72">
      <c r="A413" s="191">
        <v>45357</v>
      </c>
      <c r="B413" s="259" t="s">
        <v>1418</v>
      </c>
      <c r="C413" s="251"/>
      <c r="D413" s="193"/>
      <c r="E413" s="108"/>
      <c r="F413" s="194">
        <v>190</v>
      </c>
      <c r="G413" s="195"/>
      <c r="H413" s="194"/>
      <c r="I413" s="146"/>
      <c r="J413" s="194"/>
      <c r="K413" s="195"/>
      <c r="L413" s="194"/>
      <c r="M413" s="196"/>
      <c r="N413" s="146"/>
      <c r="O413" s="197"/>
      <c r="P413" s="198"/>
      <c r="Q413" s="194"/>
      <c r="R413" s="195"/>
      <c r="S413" s="194">
        <v>170</v>
      </c>
      <c r="T413" s="146">
        <v>320</v>
      </c>
      <c r="U413" s="194"/>
      <c r="V413" s="199"/>
      <c r="W413" s="195"/>
      <c r="X413" s="194"/>
      <c r="Y413" s="146"/>
      <c r="Z413" s="194"/>
      <c r="AA413" s="195"/>
      <c r="AB413" s="194"/>
      <c r="AC413" s="146"/>
      <c r="AD413" s="194"/>
      <c r="AE413" s="195"/>
      <c r="AF413" s="200"/>
      <c r="AG413" s="145">
        <v>45357</v>
      </c>
      <c r="AH413" s="257"/>
      <c r="AI413" s="201"/>
      <c r="AJ413" s="202"/>
      <c r="AK413" s="194"/>
      <c r="AL413" s="194"/>
      <c r="AM413" s="194"/>
      <c r="AN413" s="195"/>
      <c r="AO413" s="195"/>
      <c r="AP413" s="195"/>
      <c r="AQ413" s="194"/>
      <c r="AR413" s="194"/>
      <c r="AS413" s="194"/>
      <c r="AT413" s="146"/>
      <c r="AU413" s="146"/>
      <c r="AV413" s="146"/>
      <c r="AW413" s="194"/>
      <c r="AX413" s="194"/>
      <c r="AY413" s="194"/>
      <c r="AZ413" s="195"/>
      <c r="BA413" s="195"/>
      <c r="BB413" s="195"/>
      <c r="BC413" s="194"/>
      <c r="BD413" s="194"/>
      <c r="BE413" s="194"/>
      <c r="BF413" s="146"/>
      <c r="BG413" s="146"/>
      <c r="BH413" s="146"/>
      <c r="BI413" s="194"/>
      <c r="BJ413" s="194"/>
      <c r="BK413" s="194"/>
      <c r="BL413" s="195"/>
      <c r="BM413" s="195"/>
      <c r="BN413" s="203"/>
      <c r="BO413" s="194"/>
      <c r="BP413" s="194"/>
      <c r="BQ413" s="194"/>
      <c r="BR413" s="146"/>
      <c r="BS413" s="146"/>
      <c r="BT413" s="146"/>
    </row>
    <row r="414" s="50" customFormat="1" spans="1:72">
      <c r="A414" s="191">
        <v>45358</v>
      </c>
      <c r="B414" s="192" t="s">
        <v>1408</v>
      </c>
      <c r="C414" s="251">
        <v>170</v>
      </c>
      <c r="D414" s="193"/>
      <c r="E414" s="108"/>
      <c r="F414" s="194">
        <v>-25.5</v>
      </c>
      <c r="G414" s="195">
        <v>-5</v>
      </c>
      <c r="H414" s="194"/>
      <c r="I414" s="146"/>
      <c r="J414" s="194"/>
      <c r="K414" s="195"/>
      <c r="L414" s="194"/>
      <c r="M414" s="196"/>
      <c r="N414" s="146"/>
      <c r="O414" s="197"/>
      <c r="P414" s="198">
        <v>-25.5</v>
      </c>
      <c r="Q414" s="194"/>
      <c r="R414" s="195"/>
      <c r="S414" s="194">
        <v>-12</v>
      </c>
      <c r="T414" s="146">
        <v>-44</v>
      </c>
      <c r="U414" s="194"/>
      <c r="V414" s="199"/>
      <c r="W414" s="195"/>
      <c r="X414" s="194"/>
      <c r="Y414" s="146"/>
      <c r="Z414" s="194"/>
      <c r="AA414" s="195"/>
      <c r="AB414" s="194">
        <v>-1.5</v>
      </c>
      <c r="AC414" s="146"/>
      <c r="AD414" s="194"/>
      <c r="AE414" s="195"/>
      <c r="AF414" s="200"/>
      <c r="AG414" s="145">
        <v>45358</v>
      </c>
      <c r="AH414" s="257"/>
      <c r="AI414" s="201"/>
      <c r="AJ414" s="202"/>
      <c r="AK414" s="194"/>
      <c r="AL414" s="194"/>
      <c r="AM414" s="194"/>
      <c r="AN414" s="195"/>
      <c r="AO414" s="195"/>
      <c r="AP414" s="195"/>
      <c r="AQ414" s="194"/>
      <c r="AR414" s="194"/>
      <c r="AS414" s="194"/>
      <c r="AT414" s="146"/>
      <c r="AU414" s="146"/>
      <c r="AV414" s="146"/>
      <c r="AW414" s="194"/>
      <c r="AX414" s="194"/>
      <c r="AY414" s="194"/>
      <c r="AZ414" s="195"/>
      <c r="BA414" s="195"/>
      <c r="BB414" s="195"/>
      <c r="BC414" s="194">
        <v>25.5</v>
      </c>
      <c r="BD414" s="194">
        <v>10.3</v>
      </c>
      <c r="BE414" s="194">
        <f>BC414*BD414</f>
        <v>262.65</v>
      </c>
      <c r="BF414" s="146">
        <v>31</v>
      </c>
      <c r="BG414" s="146">
        <v>6.3</v>
      </c>
      <c r="BH414" s="146">
        <f>BF414*BG414</f>
        <v>195.3</v>
      </c>
      <c r="BI414" s="194"/>
      <c r="BJ414" s="194"/>
      <c r="BK414" s="194"/>
      <c r="BL414" s="195"/>
      <c r="BM414" s="195"/>
      <c r="BN414" s="203"/>
      <c r="BO414" s="194"/>
      <c r="BP414" s="194"/>
      <c r="BQ414" s="194"/>
      <c r="BR414" s="146"/>
      <c r="BS414" s="146"/>
      <c r="BT414" s="146"/>
    </row>
    <row r="415" s="50" customFormat="1" spans="1:72">
      <c r="A415" s="191">
        <v>45363</v>
      </c>
      <c r="B415" s="192" t="s">
        <v>704</v>
      </c>
      <c r="C415" s="251">
        <v>175</v>
      </c>
      <c r="D415" s="193"/>
      <c r="E415" s="108"/>
      <c r="F415" s="194"/>
      <c r="G415" s="195">
        <v>-32</v>
      </c>
      <c r="H415" s="194"/>
      <c r="I415" s="146"/>
      <c r="J415" s="194"/>
      <c r="K415" s="195"/>
      <c r="L415" s="194"/>
      <c r="M415" s="196"/>
      <c r="N415" s="146"/>
      <c r="O415" s="197"/>
      <c r="P415" s="198"/>
      <c r="Q415" s="194"/>
      <c r="R415" s="195"/>
      <c r="S415" s="194"/>
      <c r="T415" s="146"/>
      <c r="U415" s="194"/>
      <c r="V415" s="199"/>
      <c r="W415" s="195">
        <v>-3</v>
      </c>
      <c r="X415" s="194"/>
      <c r="Y415" s="146"/>
      <c r="Z415" s="194"/>
      <c r="AA415" s="195"/>
      <c r="AB415" s="194"/>
      <c r="AC415" s="146"/>
      <c r="AD415" s="194"/>
      <c r="AE415" s="195"/>
      <c r="AF415" s="200"/>
      <c r="AG415" s="145">
        <v>45363</v>
      </c>
      <c r="AH415" s="257">
        <v>100</v>
      </c>
      <c r="AI415" s="201">
        <v>16</v>
      </c>
      <c r="AJ415" s="202">
        <f>AH415*AI415</f>
        <v>1600</v>
      </c>
      <c r="AK415" s="194"/>
      <c r="AL415" s="194"/>
      <c r="AM415" s="194"/>
      <c r="AN415" s="195"/>
      <c r="AO415" s="195"/>
      <c r="AP415" s="195"/>
      <c r="AQ415" s="194"/>
      <c r="AR415" s="194"/>
      <c r="AS415" s="194"/>
      <c r="AT415" s="146"/>
      <c r="AU415" s="146"/>
      <c r="AV415" s="146"/>
      <c r="AW415" s="194"/>
      <c r="AX415" s="194"/>
      <c r="AY415" s="194"/>
      <c r="AZ415" s="195"/>
      <c r="BA415" s="195"/>
      <c r="BB415" s="195"/>
      <c r="BC415" s="194"/>
      <c r="BD415" s="194"/>
      <c r="BE415" s="194"/>
      <c r="BF415" s="146"/>
      <c r="BG415" s="146"/>
      <c r="BH415" s="146"/>
      <c r="BI415" s="194"/>
      <c r="BJ415" s="194"/>
      <c r="BK415" s="194"/>
      <c r="BL415" s="195"/>
      <c r="BM415" s="195"/>
      <c r="BN415" s="203"/>
      <c r="BO415" s="194">
        <v>20</v>
      </c>
      <c r="BP415" s="194">
        <v>8.1</v>
      </c>
      <c r="BQ415" s="194">
        <f>BO415*BP415</f>
        <v>162</v>
      </c>
      <c r="BR415" s="146">
        <v>20</v>
      </c>
      <c r="BS415" s="146">
        <v>9</v>
      </c>
      <c r="BT415" s="146">
        <f>BR415*BS415</f>
        <v>180</v>
      </c>
    </row>
    <row r="416" s="50" customFormat="1" spans="1:72">
      <c r="A416" s="191">
        <v>45369</v>
      </c>
      <c r="B416" s="192" t="s">
        <v>1419</v>
      </c>
      <c r="C416" s="131"/>
      <c r="D416" s="193"/>
      <c r="E416" s="146"/>
      <c r="F416" s="194"/>
      <c r="G416" s="195"/>
      <c r="H416" s="194"/>
      <c r="I416" s="146"/>
      <c r="J416" s="194"/>
      <c r="K416" s="195"/>
      <c r="L416" s="194"/>
      <c r="M416" s="196"/>
      <c r="N416" s="146"/>
      <c r="O416" s="197"/>
      <c r="P416" s="198"/>
      <c r="Q416" s="194"/>
      <c r="R416" s="195">
        <v>48</v>
      </c>
      <c r="S416" s="194"/>
      <c r="T416" s="146"/>
      <c r="U416" s="194"/>
      <c r="V416" s="199">
        <v>25</v>
      </c>
      <c r="W416" s="195">
        <v>25</v>
      </c>
      <c r="X416" s="194"/>
      <c r="Y416" s="146"/>
      <c r="Z416" s="194"/>
      <c r="AA416" s="195"/>
      <c r="AB416" s="194"/>
      <c r="AC416" s="146"/>
      <c r="AD416" s="194"/>
      <c r="AE416" s="195"/>
      <c r="AF416" s="200"/>
      <c r="AG416" s="145">
        <v>45369</v>
      </c>
      <c r="AH416" s="257"/>
      <c r="AI416" s="201"/>
      <c r="AJ416" s="202"/>
      <c r="AK416" s="194"/>
      <c r="AL416" s="194"/>
      <c r="AM416" s="194"/>
      <c r="AN416" s="195"/>
      <c r="AO416" s="195"/>
      <c r="AP416" s="195"/>
      <c r="AQ416" s="194"/>
      <c r="AR416" s="194"/>
      <c r="AS416" s="194"/>
      <c r="AT416" s="146"/>
      <c r="AU416" s="146"/>
      <c r="AV416" s="146"/>
      <c r="AW416" s="194"/>
      <c r="AX416" s="194"/>
      <c r="AY416" s="194"/>
      <c r="AZ416" s="195"/>
      <c r="BA416" s="195"/>
      <c r="BB416" s="195"/>
      <c r="BC416" s="194"/>
      <c r="BD416" s="194"/>
      <c r="BE416" s="194"/>
      <c r="BF416" s="146"/>
      <c r="BG416" s="146"/>
      <c r="BH416" s="146"/>
      <c r="BI416" s="194"/>
      <c r="BJ416" s="194"/>
      <c r="BK416" s="194"/>
      <c r="BL416" s="195"/>
      <c r="BM416" s="195"/>
      <c r="BN416" s="203"/>
      <c r="BO416" s="194"/>
      <c r="BP416" s="194"/>
      <c r="BQ416" s="194"/>
      <c r="BR416" s="146"/>
      <c r="BS416" s="146"/>
      <c r="BT416" s="146"/>
    </row>
    <row r="417" s="50" customFormat="1" spans="1:72">
      <c r="A417" s="191">
        <v>45370</v>
      </c>
      <c r="B417" s="259" t="s">
        <v>1390</v>
      </c>
      <c r="C417" s="131"/>
      <c r="D417" s="193"/>
      <c r="E417" s="146"/>
      <c r="F417" s="194"/>
      <c r="G417" s="195"/>
      <c r="H417" s="260">
        <v>171</v>
      </c>
      <c r="I417" s="146"/>
      <c r="J417" s="194"/>
      <c r="K417" s="195"/>
      <c r="L417" s="194"/>
      <c r="M417" s="196"/>
      <c r="N417" s="146"/>
      <c r="O417" s="197"/>
      <c r="P417" s="198"/>
      <c r="Q417" s="194"/>
      <c r="R417" s="195"/>
      <c r="S417" s="194"/>
      <c r="T417" s="146"/>
      <c r="U417" s="194"/>
      <c r="V417" s="199"/>
      <c r="W417" s="195"/>
      <c r="X417" s="194"/>
      <c r="Y417" s="146"/>
      <c r="Z417" s="194"/>
      <c r="AA417" s="195"/>
      <c r="AB417" s="194"/>
      <c r="AC417" s="146"/>
      <c r="AD417" s="194"/>
      <c r="AE417" s="195"/>
      <c r="AF417" s="200"/>
      <c r="AG417" s="145">
        <v>45370</v>
      </c>
      <c r="AH417" s="257"/>
      <c r="AI417" s="201"/>
      <c r="AJ417" s="202"/>
      <c r="AK417" s="194"/>
      <c r="AL417" s="194"/>
      <c r="AM417" s="194"/>
      <c r="AN417" s="195"/>
      <c r="AO417" s="195"/>
      <c r="AP417" s="195"/>
      <c r="AQ417" s="194"/>
      <c r="AR417" s="194"/>
      <c r="AS417" s="194"/>
      <c r="AT417" s="146"/>
      <c r="AU417" s="146"/>
      <c r="AV417" s="146"/>
      <c r="AW417" s="194"/>
      <c r="AX417" s="194"/>
      <c r="AY417" s="194"/>
      <c r="AZ417" s="195"/>
      <c r="BA417" s="195"/>
      <c r="BB417" s="195"/>
      <c r="BC417" s="194"/>
      <c r="BD417" s="194"/>
      <c r="BE417" s="194"/>
      <c r="BF417" s="146"/>
      <c r="BG417" s="146"/>
      <c r="BH417" s="146"/>
      <c r="BI417" s="194"/>
      <c r="BJ417" s="194"/>
      <c r="BK417" s="194"/>
      <c r="BL417" s="195"/>
      <c r="BM417" s="195"/>
      <c r="BN417" s="203"/>
      <c r="BO417" s="194"/>
      <c r="BP417" s="194"/>
      <c r="BQ417" s="194"/>
      <c r="BR417" s="146"/>
      <c r="BS417" s="146"/>
      <c r="BT417" s="146"/>
    </row>
    <row r="418" s="50" customFormat="1" spans="1:72">
      <c r="A418" s="191">
        <v>45370</v>
      </c>
      <c r="B418" s="192" t="s">
        <v>987</v>
      </c>
      <c r="C418" s="131">
        <v>500</v>
      </c>
      <c r="D418" s="193"/>
      <c r="E418" s="146"/>
      <c r="F418" s="194"/>
      <c r="G418" s="195">
        <v>-100</v>
      </c>
      <c r="H418" s="194">
        <v>-100</v>
      </c>
      <c r="I418" s="146"/>
      <c r="J418" s="194"/>
      <c r="K418" s="195"/>
      <c r="L418" s="194"/>
      <c r="M418" s="196"/>
      <c r="N418" s="146"/>
      <c r="O418" s="197"/>
      <c r="P418" s="198"/>
      <c r="Q418" s="194"/>
      <c r="R418" s="195"/>
      <c r="S418" s="194">
        <v>-35</v>
      </c>
      <c r="T418" s="146">
        <v>-190</v>
      </c>
      <c r="U418" s="194"/>
      <c r="V418" s="199"/>
      <c r="W418" s="195"/>
      <c r="X418" s="194"/>
      <c r="Y418" s="146"/>
      <c r="Z418" s="194"/>
      <c r="AA418" s="195"/>
      <c r="AB418" s="194"/>
      <c r="AC418" s="146"/>
      <c r="AD418" s="194"/>
      <c r="AE418" s="195"/>
      <c r="AF418" s="200"/>
      <c r="AG418" s="145">
        <v>45370</v>
      </c>
      <c r="AH418" s="257"/>
      <c r="AI418" s="201"/>
      <c r="AJ418" s="202"/>
      <c r="AK418" s="194"/>
      <c r="AL418" s="194"/>
      <c r="AM418" s="194"/>
      <c r="AN418" s="195"/>
      <c r="AO418" s="195"/>
      <c r="AP418" s="195"/>
      <c r="AQ418" s="194"/>
      <c r="AR418" s="194"/>
      <c r="AS418" s="194"/>
      <c r="AT418" s="146"/>
      <c r="AU418" s="146"/>
      <c r="AV418" s="146"/>
      <c r="AW418" s="194"/>
      <c r="AX418" s="194"/>
      <c r="AY418" s="194"/>
      <c r="AZ418" s="195"/>
      <c r="BA418" s="195"/>
      <c r="BB418" s="195"/>
      <c r="BC418" s="194">
        <v>75</v>
      </c>
      <c r="BD418" s="194">
        <v>10.3</v>
      </c>
      <c r="BE418" s="194">
        <f>BC418*BD418</f>
        <v>772.5</v>
      </c>
      <c r="BF418" s="146"/>
      <c r="BG418" s="146"/>
      <c r="BH418" s="146"/>
      <c r="BI418" s="194"/>
      <c r="BJ418" s="194"/>
      <c r="BK418" s="194"/>
      <c r="BL418" s="195"/>
      <c r="BM418" s="195"/>
      <c r="BN418" s="203"/>
      <c r="BO418" s="194"/>
      <c r="BP418" s="194"/>
      <c r="BQ418" s="194"/>
      <c r="BR418" s="146"/>
      <c r="BS418" s="146"/>
      <c r="BT418" s="146"/>
    </row>
    <row r="419" s="50" customFormat="1" spans="1:72">
      <c r="A419" s="191">
        <v>45370</v>
      </c>
      <c r="B419" s="192" t="s">
        <v>704</v>
      </c>
      <c r="C419" s="131">
        <v>175</v>
      </c>
      <c r="D419" s="193"/>
      <c r="E419" s="146"/>
      <c r="F419" s="194"/>
      <c r="G419" s="195">
        <v>-32</v>
      </c>
      <c r="H419" s="194"/>
      <c r="I419" s="146"/>
      <c r="J419" s="194"/>
      <c r="K419" s="195"/>
      <c r="L419" s="194"/>
      <c r="M419" s="196"/>
      <c r="N419" s="146"/>
      <c r="O419" s="197"/>
      <c r="P419" s="198"/>
      <c r="Q419" s="194"/>
      <c r="R419" s="195"/>
      <c r="S419" s="194"/>
      <c r="T419" s="146"/>
      <c r="U419" s="194"/>
      <c r="V419" s="199"/>
      <c r="W419" s="195">
        <v>-3</v>
      </c>
      <c r="X419" s="194"/>
      <c r="Y419" s="146"/>
      <c r="Z419" s="194"/>
      <c r="AA419" s="195"/>
      <c r="AB419" s="194"/>
      <c r="AC419" s="146"/>
      <c r="AD419" s="194"/>
      <c r="AE419" s="195"/>
      <c r="AF419" s="200"/>
      <c r="AG419" s="145">
        <v>45370</v>
      </c>
      <c r="AH419" s="257">
        <v>100</v>
      </c>
      <c r="AI419" s="201">
        <v>16</v>
      </c>
      <c r="AJ419" s="202">
        <f>AH419*AI419</f>
        <v>1600</v>
      </c>
      <c r="AK419" s="194"/>
      <c r="AL419" s="194"/>
      <c r="AM419" s="194"/>
      <c r="AN419" s="195"/>
      <c r="AO419" s="195"/>
      <c r="AP419" s="195"/>
      <c r="AQ419" s="194"/>
      <c r="AR419" s="194"/>
      <c r="AS419" s="194"/>
      <c r="AT419" s="146"/>
      <c r="AU419" s="146"/>
      <c r="AV419" s="146"/>
      <c r="AW419" s="194"/>
      <c r="AX419" s="194"/>
      <c r="AY419" s="194"/>
      <c r="AZ419" s="195"/>
      <c r="BA419" s="195"/>
      <c r="BB419" s="195"/>
      <c r="BC419" s="194"/>
      <c r="BD419" s="194"/>
      <c r="BE419" s="194"/>
      <c r="BF419" s="146"/>
      <c r="BG419" s="146"/>
      <c r="BH419" s="146"/>
      <c r="BI419" s="194"/>
      <c r="BJ419" s="194"/>
      <c r="BK419" s="194"/>
      <c r="BL419" s="195"/>
      <c r="BM419" s="195"/>
      <c r="BN419" s="203"/>
      <c r="BO419" s="194">
        <v>20</v>
      </c>
      <c r="BP419" s="194">
        <v>8.1</v>
      </c>
      <c r="BQ419" s="194">
        <f>BO419*BP419</f>
        <v>162</v>
      </c>
      <c r="BR419" s="146">
        <v>20</v>
      </c>
      <c r="BS419" s="146">
        <v>9</v>
      </c>
      <c r="BT419" s="146">
        <f>BR419*BS419</f>
        <v>180</v>
      </c>
    </row>
    <row r="420" s="50" customFormat="1" spans="1:72">
      <c r="A420" s="191">
        <v>45370</v>
      </c>
      <c r="B420" s="259" t="s">
        <v>1390</v>
      </c>
      <c r="C420" s="131"/>
      <c r="D420" s="193"/>
      <c r="E420" s="146"/>
      <c r="F420" s="194"/>
      <c r="G420" s="195"/>
      <c r="H420" s="260">
        <v>171</v>
      </c>
      <c r="I420" s="146"/>
      <c r="J420" s="194"/>
      <c r="K420" s="195"/>
      <c r="L420" s="194"/>
      <c r="M420" s="196"/>
      <c r="N420" s="146"/>
      <c r="O420" s="197"/>
      <c r="P420" s="198"/>
      <c r="Q420" s="194"/>
      <c r="R420" s="195"/>
      <c r="S420" s="194"/>
      <c r="T420" s="146"/>
      <c r="U420" s="194"/>
      <c r="V420" s="199"/>
      <c r="W420" s="195"/>
      <c r="X420" s="194"/>
      <c r="Y420" s="146"/>
      <c r="Z420" s="194"/>
      <c r="AA420" s="195"/>
      <c r="AB420" s="194"/>
      <c r="AC420" s="146"/>
      <c r="AD420" s="194"/>
      <c r="AE420" s="195"/>
      <c r="AF420" s="200"/>
      <c r="AG420" s="145">
        <v>45370</v>
      </c>
      <c r="AH420" s="257"/>
      <c r="AI420" s="201"/>
      <c r="AJ420" s="202"/>
      <c r="AK420" s="194"/>
      <c r="AL420" s="194"/>
      <c r="AM420" s="194"/>
      <c r="AN420" s="195"/>
      <c r="AO420" s="195"/>
      <c r="AP420" s="195"/>
      <c r="AQ420" s="194"/>
      <c r="AR420" s="194"/>
      <c r="AS420" s="194"/>
      <c r="AT420" s="146"/>
      <c r="AU420" s="146"/>
      <c r="AV420" s="146"/>
      <c r="AW420" s="194"/>
      <c r="AX420" s="194"/>
      <c r="AY420" s="194"/>
      <c r="AZ420" s="195"/>
      <c r="BA420" s="195"/>
      <c r="BB420" s="195"/>
      <c r="BC420" s="194"/>
      <c r="BD420" s="194"/>
      <c r="BE420" s="194"/>
      <c r="BF420" s="146"/>
      <c r="BG420" s="146"/>
      <c r="BH420" s="146"/>
      <c r="BI420" s="194"/>
      <c r="BJ420" s="194"/>
      <c r="BK420" s="194"/>
      <c r="BL420" s="195"/>
      <c r="BM420" s="195"/>
      <c r="BN420" s="203"/>
      <c r="BO420" s="194"/>
      <c r="BP420" s="194"/>
      <c r="BQ420" s="194"/>
      <c r="BR420" s="146"/>
      <c r="BS420" s="146"/>
      <c r="BT420" s="146"/>
    </row>
    <row r="421" s="50" customFormat="1" spans="1:72">
      <c r="A421" s="191">
        <v>45371</v>
      </c>
      <c r="B421" s="259" t="s">
        <v>1420</v>
      </c>
      <c r="C421" s="131"/>
      <c r="D421" s="193"/>
      <c r="E421" s="146"/>
      <c r="F421" s="194"/>
      <c r="G421" s="195"/>
      <c r="H421" s="194"/>
      <c r="I421" s="146"/>
      <c r="J421" s="194"/>
      <c r="K421" s="195"/>
      <c r="L421" s="194"/>
      <c r="M421" s="196"/>
      <c r="N421" s="146"/>
      <c r="O421" s="197"/>
      <c r="P421" s="198"/>
      <c r="Q421" s="194"/>
      <c r="R421" s="195"/>
      <c r="S421" s="194"/>
      <c r="T421" s="146"/>
      <c r="U421" s="194"/>
      <c r="V421" s="199"/>
      <c r="W421" s="195"/>
      <c r="X421" s="194">
        <v>50</v>
      </c>
      <c r="Y421" s="146">
        <v>100</v>
      </c>
      <c r="Z421" s="194"/>
      <c r="AA421" s="195"/>
      <c r="AB421" s="194"/>
      <c r="AC421" s="146"/>
      <c r="AD421" s="194"/>
      <c r="AE421" s="195"/>
      <c r="AF421" s="200"/>
      <c r="AG421" s="145">
        <v>45371</v>
      </c>
      <c r="AH421" s="257"/>
      <c r="AI421" s="201"/>
      <c r="AJ421" s="202"/>
      <c r="AK421" s="194"/>
      <c r="AL421" s="194"/>
      <c r="AM421" s="194"/>
      <c r="AN421" s="195"/>
      <c r="AO421" s="195"/>
      <c r="AP421" s="195"/>
      <c r="AQ421" s="194"/>
      <c r="AR421" s="194"/>
      <c r="AS421" s="194"/>
      <c r="AT421" s="146"/>
      <c r="AU421" s="146"/>
      <c r="AV421" s="146"/>
      <c r="AW421" s="194"/>
      <c r="AX421" s="194"/>
      <c r="AY421" s="194"/>
      <c r="AZ421" s="195"/>
      <c r="BA421" s="195"/>
      <c r="BB421" s="195"/>
      <c r="BC421" s="194"/>
      <c r="BD421" s="194"/>
      <c r="BE421" s="194"/>
      <c r="BF421" s="146"/>
      <c r="BG421" s="146"/>
      <c r="BH421" s="146"/>
      <c r="BI421" s="194"/>
      <c r="BJ421" s="194"/>
      <c r="BK421" s="194"/>
      <c r="BL421" s="195"/>
      <c r="BM421" s="195"/>
      <c r="BN421" s="203"/>
      <c r="BO421" s="194"/>
      <c r="BP421" s="194"/>
      <c r="BQ421" s="194"/>
      <c r="BR421" s="146"/>
      <c r="BS421" s="146"/>
      <c r="BT421" s="146"/>
    </row>
    <row r="422" s="50" customFormat="1" spans="1:72">
      <c r="A422" s="191">
        <v>45373</v>
      </c>
      <c r="B422" s="192" t="s">
        <v>342</v>
      </c>
      <c r="C422" s="131">
        <v>176.8</v>
      </c>
      <c r="D422" s="193"/>
      <c r="E422" s="146"/>
      <c r="F422" s="194"/>
      <c r="G422" s="195">
        <v>-32</v>
      </c>
      <c r="H422" s="194"/>
      <c r="I422" s="146"/>
      <c r="J422" s="194"/>
      <c r="K422" s="195"/>
      <c r="L422" s="194"/>
      <c r="M422" s="196"/>
      <c r="N422" s="146"/>
      <c r="O422" s="197"/>
      <c r="P422" s="198"/>
      <c r="Q422" s="194"/>
      <c r="R422" s="195">
        <v>-1.8</v>
      </c>
      <c r="S422" s="194"/>
      <c r="T422" s="146"/>
      <c r="U422" s="194"/>
      <c r="V422" s="199">
        <v>-3</v>
      </c>
      <c r="W422" s="195"/>
      <c r="X422" s="194"/>
      <c r="Y422" s="146">
        <v>-100</v>
      </c>
      <c r="Z422" s="194"/>
      <c r="AA422" s="195"/>
      <c r="AB422" s="194"/>
      <c r="AC422" s="146"/>
      <c r="AD422" s="194"/>
      <c r="AE422" s="195"/>
      <c r="AF422" s="200"/>
      <c r="AG422" s="145">
        <v>45373</v>
      </c>
      <c r="AH422" s="257"/>
      <c r="AI422" s="201"/>
      <c r="AJ422" s="202"/>
      <c r="AK422" s="194"/>
      <c r="AL422" s="194"/>
      <c r="AM422" s="194"/>
      <c r="AN422" s="195"/>
      <c r="AO422" s="195"/>
      <c r="AP422" s="195"/>
      <c r="AQ422" s="194"/>
      <c r="AR422" s="194"/>
      <c r="AS422" s="194"/>
      <c r="AT422" s="146"/>
      <c r="AU422" s="146"/>
      <c r="AV422" s="146"/>
      <c r="AW422" s="194"/>
      <c r="AX422" s="194"/>
      <c r="AY422" s="194"/>
      <c r="AZ422" s="195"/>
      <c r="BA422" s="195"/>
      <c r="BB422" s="195"/>
      <c r="BC422" s="194"/>
      <c r="BD422" s="194"/>
      <c r="BE422" s="194"/>
      <c r="BF422" s="146"/>
      <c r="BG422" s="146"/>
      <c r="BH422" s="146"/>
      <c r="BI422" s="194"/>
      <c r="BJ422" s="194"/>
      <c r="BK422" s="194"/>
      <c r="BL422" s="195"/>
      <c r="BM422" s="195"/>
      <c r="BN422" s="203"/>
      <c r="BO422" s="194">
        <v>20</v>
      </c>
      <c r="BP422" s="194">
        <v>8.1</v>
      </c>
      <c r="BQ422" s="194">
        <f>BO422*BP422</f>
        <v>162</v>
      </c>
      <c r="BR422" s="146">
        <v>20</v>
      </c>
      <c r="BS422" s="146">
        <v>9</v>
      </c>
      <c r="BT422" s="146">
        <f>BR422*BS422</f>
        <v>180</v>
      </c>
    </row>
    <row r="423" s="50" customFormat="1" spans="1:72">
      <c r="A423" s="191">
        <v>45373</v>
      </c>
      <c r="B423" s="259" t="s">
        <v>1421</v>
      </c>
      <c r="C423" s="131"/>
      <c r="D423" s="193"/>
      <c r="E423" s="146"/>
      <c r="F423" s="194"/>
      <c r="G423" s="195"/>
      <c r="H423" s="194"/>
      <c r="I423" s="146"/>
      <c r="J423" s="194"/>
      <c r="K423" s="195"/>
      <c r="L423" s="194"/>
      <c r="M423" s="196"/>
      <c r="N423" s="317">
        <v>156</v>
      </c>
      <c r="O423" s="197"/>
      <c r="P423" s="198"/>
      <c r="Q423" s="194"/>
      <c r="R423" s="195"/>
      <c r="S423" s="194"/>
      <c r="T423" s="146"/>
      <c r="U423" s="194"/>
      <c r="V423" s="199"/>
      <c r="W423" s="195"/>
      <c r="X423" s="194"/>
      <c r="Y423" s="146"/>
      <c r="Z423" s="194"/>
      <c r="AA423" s="195"/>
      <c r="AB423" s="194"/>
      <c r="AC423" s="146"/>
      <c r="AD423" s="194"/>
      <c r="AE423" s="195"/>
      <c r="AF423" s="200"/>
      <c r="AG423" s="145">
        <v>45373</v>
      </c>
      <c r="AH423" s="257"/>
      <c r="AI423" s="201"/>
      <c r="AJ423" s="202"/>
      <c r="AK423" s="194"/>
      <c r="AL423" s="194"/>
      <c r="AM423" s="194"/>
      <c r="AN423" s="195"/>
      <c r="AO423" s="195"/>
      <c r="AP423" s="195"/>
      <c r="AQ423" s="194"/>
      <c r="AR423" s="194"/>
      <c r="AS423" s="194"/>
      <c r="AT423" s="146"/>
      <c r="AU423" s="146"/>
      <c r="AV423" s="146"/>
      <c r="AW423" s="194"/>
      <c r="AX423" s="194"/>
      <c r="AY423" s="194"/>
      <c r="AZ423" s="195"/>
      <c r="BA423" s="195"/>
      <c r="BB423" s="195"/>
      <c r="BC423" s="194"/>
      <c r="BD423" s="194"/>
      <c r="BE423" s="194"/>
      <c r="BF423" s="146"/>
      <c r="BG423" s="146"/>
      <c r="BH423" s="146"/>
      <c r="BI423" s="194"/>
      <c r="BJ423" s="194"/>
      <c r="BK423" s="194"/>
      <c r="BL423" s="195"/>
      <c r="BM423" s="195"/>
      <c r="BN423" s="203"/>
      <c r="BO423" s="194"/>
      <c r="BP423" s="194"/>
      <c r="BQ423" s="194"/>
      <c r="BR423" s="146"/>
      <c r="BS423" s="146"/>
      <c r="BT423" s="146"/>
    </row>
    <row r="424" s="50" customFormat="1" spans="1:72">
      <c r="A424" s="191">
        <v>45374</v>
      </c>
      <c r="B424" s="192" t="s">
        <v>1417</v>
      </c>
      <c r="C424" s="131"/>
      <c r="D424" s="193"/>
      <c r="E424" s="146"/>
      <c r="F424" s="194"/>
      <c r="G424" s="195"/>
      <c r="H424" s="194"/>
      <c r="I424" s="146"/>
      <c r="J424" s="194"/>
      <c r="K424" s="195"/>
      <c r="L424" s="194"/>
      <c r="M424" s="196"/>
      <c r="N424" s="146"/>
      <c r="O424" s="197"/>
      <c r="P424" s="198"/>
      <c r="Q424" s="194"/>
      <c r="R424" s="195"/>
      <c r="S424" s="194"/>
      <c r="T424" s="146"/>
      <c r="U424" s="194"/>
      <c r="V424" s="199"/>
      <c r="W424" s="195"/>
      <c r="X424" s="194"/>
      <c r="Y424" s="146"/>
      <c r="Z424" s="194">
        <v>300</v>
      </c>
      <c r="AA424" s="195">
        <v>200</v>
      </c>
      <c r="AB424" s="194"/>
      <c r="AC424" s="146"/>
      <c r="AD424" s="194"/>
      <c r="AE424" s="195"/>
      <c r="AF424" s="200"/>
      <c r="AG424" s="145">
        <v>45374</v>
      </c>
      <c r="AH424" s="257"/>
      <c r="AI424" s="201"/>
      <c r="AJ424" s="202"/>
      <c r="AK424" s="194"/>
      <c r="AL424" s="194"/>
      <c r="AM424" s="194"/>
      <c r="AN424" s="195"/>
      <c r="AO424" s="195"/>
      <c r="AP424" s="195"/>
      <c r="AQ424" s="194"/>
      <c r="AR424" s="194"/>
      <c r="AS424" s="194"/>
      <c r="AT424" s="146"/>
      <c r="AU424" s="146"/>
      <c r="AV424" s="146"/>
      <c r="AW424" s="194"/>
      <c r="AX424" s="194"/>
      <c r="AY424" s="194"/>
      <c r="AZ424" s="195"/>
      <c r="BA424" s="195"/>
      <c r="BB424" s="195"/>
      <c r="BC424" s="194"/>
      <c r="BD424" s="194"/>
      <c r="BE424" s="194"/>
      <c r="BF424" s="146"/>
      <c r="BG424" s="146"/>
      <c r="BH424" s="146"/>
      <c r="BI424" s="194"/>
      <c r="BJ424" s="194"/>
      <c r="BK424" s="194"/>
      <c r="BL424" s="195"/>
      <c r="BM424" s="195"/>
      <c r="BN424" s="203"/>
      <c r="BO424" s="194"/>
      <c r="BP424" s="194"/>
      <c r="BQ424" s="194"/>
      <c r="BR424" s="146"/>
      <c r="BS424" s="146"/>
      <c r="BT424" s="146"/>
    </row>
    <row r="425" s="50" customFormat="1" spans="1:72">
      <c r="A425" s="191">
        <v>45374</v>
      </c>
      <c r="B425" s="192" t="s">
        <v>149</v>
      </c>
      <c r="C425" s="131">
        <v>1020</v>
      </c>
      <c r="D425" s="193"/>
      <c r="E425" s="146"/>
      <c r="F425" s="194"/>
      <c r="G425" s="195"/>
      <c r="H425" s="194"/>
      <c r="I425" s="146"/>
      <c r="J425" s="194"/>
      <c r="K425" s="195"/>
      <c r="L425" s="194"/>
      <c r="M425" s="196"/>
      <c r="N425" s="146"/>
      <c r="O425" s="197"/>
      <c r="P425" s="198"/>
      <c r="Q425" s="194"/>
      <c r="R425" s="195"/>
      <c r="S425" s="194"/>
      <c r="T425" s="146"/>
      <c r="U425" s="194"/>
      <c r="V425" s="199"/>
      <c r="W425" s="195"/>
      <c r="X425" s="194"/>
      <c r="Y425" s="146"/>
      <c r="Z425" s="194">
        <v>-300</v>
      </c>
      <c r="AA425" s="195"/>
      <c r="AB425" s="194"/>
      <c r="AC425" s="146"/>
      <c r="AD425" s="194"/>
      <c r="AE425" s="195"/>
      <c r="AF425" s="200"/>
      <c r="AG425" s="145">
        <v>45374</v>
      </c>
      <c r="AH425" s="257"/>
      <c r="AI425" s="201"/>
      <c r="AJ425" s="202"/>
      <c r="AK425" s="194"/>
      <c r="AL425" s="194"/>
      <c r="AM425" s="194"/>
      <c r="AN425" s="195"/>
      <c r="AO425" s="195"/>
      <c r="AP425" s="195"/>
      <c r="AQ425" s="194"/>
      <c r="AR425" s="194"/>
      <c r="AS425" s="194"/>
      <c r="AT425" s="146"/>
      <c r="AU425" s="146"/>
      <c r="AV425" s="146"/>
      <c r="AW425" s="194"/>
      <c r="AX425" s="194"/>
      <c r="AY425" s="194"/>
      <c r="AZ425" s="195"/>
      <c r="BA425" s="195"/>
      <c r="BB425" s="195"/>
      <c r="BC425" s="194"/>
      <c r="BD425" s="194"/>
      <c r="BE425" s="194"/>
      <c r="BF425" s="146">
        <v>540</v>
      </c>
      <c r="BG425" s="146">
        <v>6.5</v>
      </c>
      <c r="BH425" s="146">
        <f>BF425*BG425</f>
        <v>3510</v>
      </c>
      <c r="BI425" s="194"/>
      <c r="BJ425" s="194"/>
      <c r="BK425" s="194"/>
      <c r="BL425" s="195"/>
      <c r="BM425" s="195"/>
      <c r="BN425" s="203"/>
      <c r="BO425" s="194">
        <v>180</v>
      </c>
      <c r="BP425" s="194">
        <v>8.1</v>
      </c>
      <c r="BQ425" s="194">
        <f t="shared" ref="BQ425:BQ429" si="67">BO425*BP425</f>
        <v>1458</v>
      </c>
      <c r="BR425" s="146"/>
      <c r="BS425" s="146"/>
      <c r="BT425" s="146"/>
    </row>
    <row r="426" s="50" customFormat="1" spans="1:72">
      <c r="A426" s="191">
        <v>45374</v>
      </c>
      <c r="B426" s="192" t="s">
        <v>298</v>
      </c>
      <c r="C426" s="131">
        <v>1280</v>
      </c>
      <c r="D426" s="193"/>
      <c r="E426" s="146"/>
      <c r="F426" s="194"/>
      <c r="G426" s="195"/>
      <c r="H426" s="194"/>
      <c r="I426" s="146"/>
      <c r="J426" s="194"/>
      <c r="K426" s="195"/>
      <c r="L426" s="194"/>
      <c r="M426" s="196"/>
      <c r="N426" s="146"/>
      <c r="O426" s="197"/>
      <c r="P426" s="198"/>
      <c r="Q426" s="194"/>
      <c r="R426" s="195"/>
      <c r="S426" s="194"/>
      <c r="T426" s="146"/>
      <c r="U426" s="194"/>
      <c r="V426" s="199"/>
      <c r="W426" s="195"/>
      <c r="X426" s="194"/>
      <c r="Y426" s="146"/>
      <c r="Z426" s="194"/>
      <c r="AA426" s="195">
        <v>-200</v>
      </c>
      <c r="AB426" s="194"/>
      <c r="AC426" s="146"/>
      <c r="AD426" s="194"/>
      <c r="AE426" s="195"/>
      <c r="AF426" s="200"/>
      <c r="AG426" s="145">
        <v>45374</v>
      </c>
      <c r="AH426" s="257"/>
      <c r="AI426" s="201"/>
      <c r="AJ426" s="202"/>
      <c r="AK426" s="194"/>
      <c r="AL426" s="194"/>
      <c r="AM426" s="194"/>
      <c r="AN426" s="195"/>
      <c r="AO426" s="195"/>
      <c r="AP426" s="195"/>
      <c r="AQ426" s="194"/>
      <c r="AR426" s="194"/>
      <c r="AS426" s="194"/>
      <c r="AT426" s="146"/>
      <c r="AU426" s="146"/>
      <c r="AV426" s="146"/>
      <c r="AW426" s="194"/>
      <c r="AX426" s="194"/>
      <c r="AY426" s="194"/>
      <c r="AZ426" s="195"/>
      <c r="BA426" s="195"/>
      <c r="BB426" s="195"/>
      <c r="BC426" s="194"/>
      <c r="BD426" s="194"/>
      <c r="BE426" s="194"/>
      <c r="BF426" s="146">
        <v>900</v>
      </c>
      <c r="BG426" s="146">
        <v>6.5</v>
      </c>
      <c r="BH426" s="146">
        <f>BF426*BG426</f>
        <v>5850</v>
      </c>
      <c r="BI426" s="194"/>
      <c r="BJ426" s="194"/>
      <c r="BK426" s="194"/>
      <c r="BL426" s="195"/>
      <c r="BM426" s="195"/>
      <c r="BN426" s="203"/>
      <c r="BO426" s="194">
        <v>180</v>
      </c>
      <c r="BP426" s="194">
        <v>8.1</v>
      </c>
      <c r="BQ426" s="194">
        <f t="shared" si="67"/>
        <v>1458</v>
      </c>
      <c r="BR426" s="146"/>
      <c r="BS426" s="146"/>
      <c r="BT426" s="146"/>
    </row>
    <row r="427" s="50" customFormat="1" spans="1:72">
      <c r="A427" s="191">
        <v>45374</v>
      </c>
      <c r="B427" s="192" t="s">
        <v>1205</v>
      </c>
      <c r="C427" s="131">
        <v>197.5</v>
      </c>
      <c r="D427" s="193"/>
      <c r="E427" s="146"/>
      <c r="F427" s="194"/>
      <c r="G427" s="195">
        <v>-50</v>
      </c>
      <c r="H427" s="194"/>
      <c r="I427" s="146"/>
      <c r="J427" s="194"/>
      <c r="K427" s="195"/>
      <c r="L427" s="194"/>
      <c r="M427" s="196"/>
      <c r="N427" s="146"/>
      <c r="O427" s="197"/>
      <c r="P427" s="198"/>
      <c r="Q427" s="194"/>
      <c r="R427" s="195">
        <v>-1.5</v>
      </c>
      <c r="S427" s="194"/>
      <c r="T427" s="146"/>
      <c r="U427" s="194"/>
      <c r="V427" s="199">
        <v>-6</v>
      </c>
      <c r="W427" s="195"/>
      <c r="X427" s="194">
        <v>-25</v>
      </c>
      <c r="Y427" s="146"/>
      <c r="Z427" s="194"/>
      <c r="AA427" s="195"/>
      <c r="AB427" s="194"/>
      <c r="AC427" s="146"/>
      <c r="AD427" s="194"/>
      <c r="AE427" s="195"/>
      <c r="AF427" s="200"/>
      <c r="AG427" s="145">
        <v>45376</v>
      </c>
      <c r="AH427" s="257"/>
      <c r="AI427" s="201"/>
      <c r="AJ427" s="202"/>
      <c r="AK427" s="194"/>
      <c r="AL427" s="194"/>
      <c r="AM427" s="194"/>
      <c r="AN427" s="195"/>
      <c r="AO427" s="195"/>
      <c r="AP427" s="195"/>
      <c r="AQ427" s="194"/>
      <c r="AR427" s="194"/>
      <c r="AS427" s="194"/>
      <c r="AT427" s="146"/>
      <c r="AU427" s="146"/>
      <c r="AV427" s="146"/>
      <c r="AW427" s="194"/>
      <c r="AX427" s="194"/>
      <c r="AY427" s="194"/>
      <c r="AZ427" s="195"/>
      <c r="BA427" s="195"/>
      <c r="BB427" s="195"/>
      <c r="BC427" s="194"/>
      <c r="BD427" s="194"/>
      <c r="BE427" s="194"/>
      <c r="BF427" s="146"/>
      <c r="BG427" s="146"/>
      <c r="BH427" s="146"/>
      <c r="BI427" s="194"/>
      <c r="BJ427" s="194"/>
      <c r="BK427" s="194"/>
      <c r="BL427" s="195"/>
      <c r="BM427" s="195"/>
      <c r="BN427" s="203"/>
      <c r="BO427" s="194">
        <v>58</v>
      </c>
      <c r="BP427" s="194">
        <v>8.1</v>
      </c>
      <c r="BQ427" s="194">
        <f t="shared" si="67"/>
        <v>469.8</v>
      </c>
      <c r="BR427" s="146">
        <v>57</v>
      </c>
      <c r="BS427" s="146">
        <v>8.2</v>
      </c>
      <c r="BT427" s="146">
        <f>BR427*BS427</f>
        <v>467.4</v>
      </c>
    </row>
    <row r="428" s="50" customFormat="1" spans="1:72">
      <c r="A428" s="191">
        <v>45374</v>
      </c>
      <c r="B428" s="259" t="s">
        <v>1422</v>
      </c>
      <c r="C428" s="131"/>
      <c r="D428" s="193"/>
      <c r="E428" s="146"/>
      <c r="F428" s="194"/>
      <c r="G428" s="195"/>
      <c r="H428" s="194"/>
      <c r="I428" s="146"/>
      <c r="J428" s="194"/>
      <c r="K428" s="195">
        <v>180</v>
      </c>
      <c r="L428" s="194"/>
      <c r="M428" s="196"/>
      <c r="N428" s="146"/>
      <c r="O428" s="197"/>
      <c r="P428" s="198"/>
      <c r="Q428" s="194"/>
      <c r="R428" s="195"/>
      <c r="S428" s="260">
        <v>1020</v>
      </c>
      <c r="T428" s="283">
        <v>1280</v>
      </c>
      <c r="U428" s="194"/>
      <c r="V428" s="199"/>
      <c r="W428" s="195"/>
      <c r="X428" s="194"/>
      <c r="Y428" s="146"/>
      <c r="Z428" s="194"/>
      <c r="AA428" s="195"/>
      <c r="AB428" s="194"/>
      <c r="AC428" s="146"/>
      <c r="AD428" s="194"/>
      <c r="AE428" s="195"/>
      <c r="AF428" s="200"/>
      <c r="AG428" s="145">
        <v>45374</v>
      </c>
      <c r="AH428" s="257"/>
      <c r="AI428" s="201"/>
      <c r="AJ428" s="202"/>
      <c r="AK428" s="194"/>
      <c r="AL428" s="194"/>
      <c r="AM428" s="194"/>
      <c r="AN428" s="195"/>
      <c r="AO428" s="195"/>
      <c r="AP428" s="195"/>
      <c r="AQ428" s="194"/>
      <c r="AR428" s="194"/>
      <c r="AS428" s="194"/>
      <c r="AT428" s="146"/>
      <c r="AU428" s="146"/>
      <c r="AV428" s="146"/>
      <c r="AW428" s="194"/>
      <c r="AX428" s="194"/>
      <c r="AY428" s="194"/>
      <c r="AZ428" s="195"/>
      <c r="BA428" s="195"/>
      <c r="BB428" s="195"/>
      <c r="BC428" s="194"/>
      <c r="BD428" s="194"/>
      <c r="BE428" s="194"/>
      <c r="BF428" s="146"/>
      <c r="BG428" s="146"/>
      <c r="BH428" s="146"/>
      <c r="BI428" s="194"/>
      <c r="BJ428" s="194"/>
      <c r="BK428" s="194"/>
      <c r="BL428" s="195"/>
      <c r="BM428" s="195"/>
      <c r="BN428" s="203"/>
      <c r="BO428" s="194"/>
      <c r="BP428" s="194"/>
      <c r="BQ428" s="194"/>
      <c r="BR428" s="146"/>
      <c r="BS428" s="146"/>
      <c r="BT428" s="146"/>
    </row>
    <row r="429" s="50" customFormat="1" spans="1:72">
      <c r="A429" s="191">
        <v>45378</v>
      </c>
      <c r="B429" s="192" t="s">
        <v>944</v>
      </c>
      <c r="C429" s="131">
        <v>500</v>
      </c>
      <c r="D429" s="193"/>
      <c r="E429" s="146"/>
      <c r="F429" s="194"/>
      <c r="G429" s="195">
        <v>-150</v>
      </c>
      <c r="H429" s="194"/>
      <c r="I429" s="146"/>
      <c r="J429" s="194"/>
      <c r="K429" s="195"/>
      <c r="L429" s="194"/>
      <c r="M429" s="196"/>
      <c r="N429" s="146"/>
      <c r="O429" s="197"/>
      <c r="P429" s="198"/>
      <c r="Q429" s="194"/>
      <c r="R429" s="195"/>
      <c r="S429" s="194">
        <v>-85</v>
      </c>
      <c r="T429" s="146">
        <v>-160</v>
      </c>
      <c r="U429" s="194"/>
      <c r="V429" s="199"/>
      <c r="W429" s="195"/>
      <c r="X429" s="194"/>
      <c r="Y429" s="146"/>
      <c r="Z429" s="194"/>
      <c r="AA429" s="195"/>
      <c r="AB429" s="194"/>
      <c r="AC429" s="146"/>
      <c r="AD429" s="194"/>
      <c r="AE429" s="195"/>
      <c r="AF429" s="200"/>
      <c r="AG429" s="145">
        <v>45378</v>
      </c>
      <c r="AH429" s="257"/>
      <c r="AI429" s="201"/>
      <c r="AJ429" s="202"/>
      <c r="AK429" s="194"/>
      <c r="AL429" s="194"/>
      <c r="AM429" s="194"/>
      <c r="AN429" s="195"/>
      <c r="AO429" s="195"/>
      <c r="AP429" s="195"/>
      <c r="AQ429" s="194"/>
      <c r="AR429" s="194"/>
      <c r="AS429" s="194"/>
      <c r="AT429" s="146"/>
      <c r="AU429" s="146"/>
      <c r="AV429" s="146"/>
      <c r="AW429" s="194"/>
      <c r="AX429" s="194"/>
      <c r="AY429" s="194"/>
      <c r="AZ429" s="195"/>
      <c r="BA429" s="195"/>
      <c r="BB429" s="195"/>
      <c r="BC429" s="194">
        <v>105</v>
      </c>
      <c r="BD429" s="194">
        <v>10.3</v>
      </c>
      <c r="BE429" s="194">
        <f t="shared" ref="BE429:BE436" si="68">BC429*BD429</f>
        <v>1081.5</v>
      </c>
      <c r="BF429" s="146"/>
      <c r="BG429" s="146"/>
      <c r="BH429" s="146"/>
      <c r="BI429" s="194"/>
      <c r="BJ429" s="194"/>
      <c r="BK429" s="194"/>
      <c r="BL429" s="195"/>
      <c r="BM429" s="195"/>
      <c r="BN429" s="203"/>
      <c r="BO429" s="194"/>
      <c r="BP429" s="194"/>
      <c r="BQ429" s="194"/>
      <c r="BR429" s="146"/>
      <c r="BS429" s="146"/>
      <c r="BT429" s="146"/>
    </row>
    <row r="430" s="50" customFormat="1" spans="1:72">
      <c r="A430" s="191">
        <v>45376</v>
      </c>
      <c r="B430" s="259" t="s">
        <v>1423</v>
      </c>
      <c r="C430" s="131"/>
      <c r="D430" s="193"/>
      <c r="E430" s="146">
        <v>75</v>
      </c>
      <c r="F430" s="194">
        <v>190</v>
      </c>
      <c r="G430" s="195"/>
      <c r="H430" s="194"/>
      <c r="I430" s="146"/>
      <c r="J430" s="194"/>
      <c r="K430" s="195"/>
      <c r="L430" s="194"/>
      <c r="M430" s="196"/>
      <c r="N430" s="146"/>
      <c r="O430" s="197"/>
      <c r="P430" s="198"/>
      <c r="Q430" s="194"/>
      <c r="R430" s="195"/>
      <c r="S430" s="194"/>
      <c r="T430" s="146"/>
      <c r="U430" s="194"/>
      <c r="V430" s="199"/>
      <c r="W430" s="195"/>
      <c r="X430" s="194"/>
      <c r="Y430" s="146"/>
      <c r="Z430" s="194"/>
      <c r="AA430" s="195"/>
      <c r="AB430" s="194"/>
      <c r="AC430" s="146"/>
      <c r="AD430" s="194"/>
      <c r="AE430" s="195"/>
      <c r="AF430" s="200"/>
      <c r="AG430" s="145">
        <v>45376</v>
      </c>
      <c r="AH430" s="257"/>
      <c r="AI430" s="201"/>
      <c r="AJ430" s="202"/>
      <c r="AK430" s="194"/>
      <c r="AL430" s="194"/>
      <c r="AM430" s="194"/>
      <c r="AN430" s="195"/>
      <c r="AO430" s="195"/>
      <c r="AP430" s="195"/>
      <c r="AQ430" s="194"/>
      <c r="AR430" s="194"/>
      <c r="AS430" s="194"/>
      <c r="AT430" s="146"/>
      <c r="AU430" s="146"/>
      <c r="AV430" s="146"/>
      <c r="AW430" s="194"/>
      <c r="AX430" s="194"/>
      <c r="AY430" s="194"/>
      <c r="AZ430" s="195"/>
      <c r="BA430" s="195"/>
      <c r="BB430" s="195"/>
      <c r="BC430" s="194"/>
      <c r="BD430" s="194"/>
      <c r="BE430" s="194"/>
      <c r="BF430" s="146"/>
      <c r="BG430" s="146"/>
      <c r="BH430" s="146"/>
      <c r="BI430" s="194"/>
      <c r="BJ430" s="194"/>
      <c r="BK430" s="194"/>
      <c r="BL430" s="195"/>
      <c r="BM430" s="195"/>
      <c r="BN430" s="203"/>
      <c r="BO430" s="194"/>
      <c r="BP430" s="194"/>
      <c r="BQ430" s="194"/>
      <c r="BR430" s="146"/>
      <c r="BS430" s="146"/>
      <c r="BT430" s="146"/>
    </row>
    <row r="431" s="50" customFormat="1" spans="1:72">
      <c r="A431" s="191">
        <v>45378</v>
      </c>
      <c r="B431" s="192" t="s">
        <v>240</v>
      </c>
      <c r="C431" s="131">
        <v>187.5</v>
      </c>
      <c r="D431" s="193"/>
      <c r="E431" s="146">
        <v>-75</v>
      </c>
      <c r="F431" s="194"/>
      <c r="G431" s="195"/>
      <c r="H431" s="194"/>
      <c r="I431" s="146"/>
      <c r="J431" s="194"/>
      <c r="K431" s="195"/>
      <c r="L431" s="194"/>
      <c r="M431" s="196"/>
      <c r="N431" s="146"/>
      <c r="O431" s="197"/>
      <c r="P431" s="198"/>
      <c r="Q431" s="194"/>
      <c r="R431" s="195"/>
      <c r="S431" s="194"/>
      <c r="T431" s="146"/>
      <c r="U431" s="194"/>
      <c r="V431" s="199"/>
      <c r="W431" s="195"/>
      <c r="X431" s="194"/>
      <c r="Y431" s="146"/>
      <c r="Z431" s="194"/>
      <c r="AA431" s="195"/>
      <c r="AB431" s="194"/>
      <c r="AC431" s="146"/>
      <c r="AD431" s="194"/>
      <c r="AE431" s="195"/>
      <c r="AF431" s="200"/>
      <c r="AG431" s="145">
        <v>45378</v>
      </c>
      <c r="AH431" s="257"/>
      <c r="AI431" s="201"/>
      <c r="AJ431" s="202"/>
      <c r="AK431" s="194"/>
      <c r="AL431" s="194"/>
      <c r="AM431" s="194"/>
      <c r="AN431" s="195"/>
      <c r="AO431" s="195"/>
      <c r="AP431" s="195"/>
      <c r="AQ431" s="194"/>
      <c r="AR431" s="194"/>
      <c r="AS431" s="194"/>
      <c r="AT431" s="146"/>
      <c r="AU431" s="146"/>
      <c r="AV431" s="146"/>
      <c r="AW431" s="194"/>
      <c r="AX431" s="194"/>
      <c r="AY431" s="194"/>
      <c r="AZ431" s="195"/>
      <c r="BA431" s="195"/>
      <c r="BB431" s="195"/>
      <c r="BC431" s="194">
        <v>112.5</v>
      </c>
      <c r="BD431" s="194">
        <v>10.3</v>
      </c>
      <c r="BE431" s="194">
        <f t="shared" si="68"/>
        <v>1158.75</v>
      </c>
      <c r="BF431" s="146"/>
      <c r="BG431" s="146"/>
      <c r="BH431" s="146"/>
      <c r="BI431" s="194"/>
      <c r="BJ431" s="194"/>
      <c r="BK431" s="194"/>
      <c r="BL431" s="195"/>
      <c r="BM431" s="195"/>
      <c r="BN431" s="203"/>
      <c r="BO431" s="194"/>
      <c r="BP431" s="194"/>
      <c r="BQ431" s="194"/>
      <c r="BR431" s="146"/>
      <c r="BS431" s="146"/>
      <c r="BT431" s="146"/>
    </row>
    <row r="432" s="50" customFormat="1" spans="1:72">
      <c r="A432" s="191">
        <v>45378</v>
      </c>
      <c r="B432" s="259" t="s">
        <v>1256</v>
      </c>
      <c r="C432" s="131"/>
      <c r="D432" s="149">
        <v>183</v>
      </c>
      <c r="E432" s="146"/>
      <c r="F432" s="194"/>
      <c r="G432" s="195"/>
      <c r="H432" s="194"/>
      <c r="I432" s="146"/>
      <c r="J432" s="194"/>
      <c r="K432" s="195"/>
      <c r="L432" s="194"/>
      <c r="M432" s="196"/>
      <c r="N432" s="146"/>
      <c r="O432" s="197"/>
      <c r="P432" s="198"/>
      <c r="Q432" s="194"/>
      <c r="R432" s="195"/>
      <c r="S432" s="194"/>
      <c r="T432" s="146"/>
      <c r="U432" s="194"/>
      <c r="V432" s="199"/>
      <c r="W432" s="195"/>
      <c r="X432" s="194"/>
      <c r="Y432" s="146"/>
      <c r="Z432" s="194"/>
      <c r="AA432" s="195"/>
      <c r="AB432" s="194"/>
      <c r="AC432" s="146"/>
      <c r="AD432" s="194"/>
      <c r="AE432" s="195"/>
      <c r="AF432" s="200"/>
      <c r="AG432" s="145">
        <v>45378</v>
      </c>
      <c r="AH432" s="257"/>
      <c r="AI432" s="201"/>
      <c r="AJ432" s="202"/>
      <c r="AK432" s="194"/>
      <c r="AL432" s="194"/>
      <c r="AM432" s="194"/>
      <c r="AN432" s="195"/>
      <c r="AO432" s="195"/>
      <c r="AP432" s="195"/>
      <c r="AQ432" s="194"/>
      <c r="AR432" s="194"/>
      <c r="AS432" s="194"/>
      <c r="AT432" s="146"/>
      <c r="AU432" s="146"/>
      <c r="AV432" s="146"/>
      <c r="AW432" s="194"/>
      <c r="AX432" s="194"/>
      <c r="AY432" s="194"/>
      <c r="AZ432" s="195"/>
      <c r="BA432" s="195"/>
      <c r="BB432" s="195"/>
      <c r="BC432" s="194"/>
      <c r="BD432" s="194"/>
      <c r="BE432" s="194"/>
      <c r="BF432" s="146"/>
      <c r="BG432" s="146"/>
      <c r="BH432" s="146"/>
      <c r="BI432" s="194"/>
      <c r="BJ432" s="194"/>
      <c r="BK432" s="194"/>
      <c r="BL432" s="195"/>
      <c r="BM432" s="195"/>
      <c r="BN432" s="203"/>
      <c r="BO432" s="194"/>
      <c r="BP432" s="194"/>
      <c r="BQ432" s="194"/>
      <c r="BR432" s="146"/>
      <c r="BS432" s="146"/>
      <c r="BT432" s="146"/>
    </row>
    <row r="433" s="50" customFormat="1" spans="1:72">
      <c r="A433" s="191">
        <v>45378</v>
      </c>
      <c r="B433" s="192" t="s">
        <v>1424</v>
      </c>
      <c r="C433" s="131">
        <v>500</v>
      </c>
      <c r="D433" s="132">
        <v>-62.5</v>
      </c>
      <c r="E433" s="146"/>
      <c r="F433" s="194"/>
      <c r="G433" s="195">
        <v>-100</v>
      </c>
      <c r="H433" s="194"/>
      <c r="I433" s="146"/>
      <c r="J433" s="194"/>
      <c r="K433" s="195"/>
      <c r="L433" s="194"/>
      <c r="M433" s="196"/>
      <c r="N433" s="146">
        <v>-110</v>
      </c>
      <c r="O433" s="197"/>
      <c r="P433" s="198"/>
      <c r="Q433" s="194"/>
      <c r="R433" s="195"/>
      <c r="S433" s="194">
        <v>-35</v>
      </c>
      <c r="T433" s="146">
        <v>-160</v>
      </c>
      <c r="U433" s="194"/>
      <c r="V433" s="199"/>
      <c r="W433" s="195"/>
      <c r="X433" s="194"/>
      <c r="Y433" s="146"/>
      <c r="Z433" s="194"/>
      <c r="AA433" s="195"/>
      <c r="AB433" s="194"/>
      <c r="AC433" s="146"/>
      <c r="AD433" s="194"/>
      <c r="AE433" s="195"/>
      <c r="AF433" s="200"/>
      <c r="AG433" s="145">
        <v>45378</v>
      </c>
      <c r="AH433" s="257"/>
      <c r="AI433" s="201"/>
      <c r="AJ433" s="202"/>
      <c r="AK433" s="194"/>
      <c r="AL433" s="194"/>
      <c r="AM433" s="194"/>
      <c r="AN433" s="195"/>
      <c r="AO433" s="195"/>
      <c r="AP433" s="195"/>
      <c r="AQ433" s="194"/>
      <c r="AR433" s="194"/>
      <c r="AS433" s="194"/>
      <c r="AT433" s="146"/>
      <c r="AU433" s="146"/>
      <c r="AV433" s="146"/>
      <c r="AW433" s="194"/>
      <c r="AX433" s="194"/>
      <c r="AY433" s="194"/>
      <c r="AZ433" s="195"/>
      <c r="BA433" s="195"/>
      <c r="BB433" s="195"/>
      <c r="BC433" s="194">
        <v>32.5</v>
      </c>
      <c r="BD433" s="194">
        <v>10.3</v>
      </c>
      <c r="BE433" s="194">
        <f t="shared" si="68"/>
        <v>334.75</v>
      </c>
      <c r="BF433" s="146"/>
      <c r="BG433" s="146"/>
      <c r="BH433" s="146"/>
      <c r="BI433" s="194"/>
      <c r="BJ433" s="194"/>
      <c r="BK433" s="194"/>
      <c r="BL433" s="195"/>
      <c r="BM433" s="195"/>
      <c r="BN433" s="203"/>
      <c r="BO433" s="194"/>
      <c r="BP433" s="194"/>
      <c r="BQ433" s="194"/>
      <c r="BR433" s="146"/>
      <c r="BS433" s="146"/>
      <c r="BT433" s="146"/>
    </row>
    <row r="434" s="50" customFormat="1" spans="1:72">
      <c r="A434" s="191">
        <v>45378</v>
      </c>
      <c r="B434" s="192" t="s">
        <v>987</v>
      </c>
      <c r="C434" s="131">
        <v>800</v>
      </c>
      <c r="D434" s="132">
        <v>-100</v>
      </c>
      <c r="E434" s="146"/>
      <c r="F434" s="194"/>
      <c r="G434" s="195">
        <v>-160</v>
      </c>
      <c r="H434" s="194">
        <v>-160</v>
      </c>
      <c r="I434" s="146"/>
      <c r="J434" s="194"/>
      <c r="K434" s="195"/>
      <c r="L434" s="194"/>
      <c r="M434" s="196"/>
      <c r="N434" s="146"/>
      <c r="O434" s="197"/>
      <c r="P434" s="198"/>
      <c r="Q434" s="194"/>
      <c r="R434" s="195"/>
      <c r="S434" s="194">
        <v>-56</v>
      </c>
      <c r="T434" s="146">
        <v>-304</v>
      </c>
      <c r="U434" s="194"/>
      <c r="V434" s="199"/>
      <c r="W434" s="195"/>
      <c r="X434" s="194"/>
      <c r="Y434" s="146"/>
      <c r="Z434" s="194"/>
      <c r="AA434" s="195"/>
      <c r="AB434" s="194"/>
      <c r="AC434" s="146"/>
      <c r="AD434" s="194"/>
      <c r="AE434" s="195"/>
      <c r="AF434" s="200"/>
      <c r="AG434" s="145">
        <v>45378</v>
      </c>
      <c r="AH434" s="257"/>
      <c r="AI434" s="201"/>
      <c r="AJ434" s="202"/>
      <c r="AK434" s="194"/>
      <c r="AL434" s="194"/>
      <c r="AM434" s="194"/>
      <c r="AN434" s="195"/>
      <c r="AO434" s="195"/>
      <c r="AP434" s="195"/>
      <c r="AQ434" s="194"/>
      <c r="AR434" s="194"/>
      <c r="AS434" s="194"/>
      <c r="AT434" s="146"/>
      <c r="AU434" s="146"/>
      <c r="AV434" s="146"/>
      <c r="AW434" s="194"/>
      <c r="AX434" s="194"/>
      <c r="AY434" s="194"/>
      <c r="AZ434" s="195"/>
      <c r="BA434" s="195"/>
      <c r="BB434" s="195"/>
      <c r="BC434" s="194">
        <v>20</v>
      </c>
      <c r="BD434" s="194">
        <v>10.3</v>
      </c>
      <c r="BE434" s="194">
        <f t="shared" si="68"/>
        <v>206</v>
      </c>
      <c r="BF434" s="146"/>
      <c r="BG434" s="146"/>
      <c r="BH434" s="146"/>
      <c r="BI434" s="194"/>
      <c r="BJ434" s="194"/>
      <c r="BK434" s="194"/>
      <c r="BL434" s="195"/>
      <c r="BM434" s="195"/>
      <c r="BN434" s="203"/>
      <c r="BO434" s="194"/>
      <c r="BP434" s="194"/>
      <c r="BQ434" s="194"/>
      <c r="BR434" s="146"/>
      <c r="BS434" s="146"/>
      <c r="BT434" s="146"/>
    </row>
    <row r="435" s="50" customFormat="1" spans="1:72">
      <c r="A435" s="191">
        <v>45378</v>
      </c>
      <c r="B435" s="192" t="s">
        <v>1189</v>
      </c>
      <c r="C435" s="131">
        <v>400</v>
      </c>
      <c r="D435" s="132"/>
      <c r="E435" s="146"/>
      <c r="F435" s="194">
        <v>-100</v>
      </c>
      <c r="G435" s="195">
        <v>-12</v>
      </c>
      <c r="H435" s="194"/>
      <c r="I435" s="146"/>
      <c r="J435" s="194"/>
      <c r="K435" s="195"/>
      <c r="L435" s="194"/>
      <c r="M435" s="196"/>
      <c r="N435" s="146"/>
      <c r="O435" s="197"/>
      <c r="P435" s="198">
        <v>-60</v>
      </c>
      <c r="Q435" s="194"/>
      <c r="R435" s="195"/>
      <c r="S435" s="194">
        <v>-28</v>
      </c>
      <c r="T435" s="146">
        <v>-104</v>
      </c>
      <c r="U435" s="194"/>
      <c r="V435" s="199"/>
      <c r="W435" s="195"/>
      <c r="X435" s="194"/>
      <c r="Y435" s="146"/>
      <c r="Z435" s="194"/>
      <c r="AA435" s="195"/>
      <c r="AB435" s="194"/>
      <c r="AC435" s="146"/>
      <c r="AD435" s="194"/>
      <c r="AE435" s="195"/>
      <c r="AF435" s="200"/>
      <c r="AG435" s="145">
        <v>45378</v>
      </c>
      <c r="AH435" s="257"/>
      <c r="AI435" s="201"/>
      <c r="AJ435" s="202"/>
      <c r="AK435" s="194"/>
      <c r="AL435" s="194"/>
      <c r="AM435" s="194"/>
      <c r="AN435" s="195"/>
      <c r="AO435" s="195"/>
      <c r="AP435" s="195"/>
      <c r="AQ435" s="194"/>
      <c r="AR435" s="194"/>
      <c r="AS435" s="194"/>
      <c r="AT435" s="146"/>
      <c r="AU435" s="146"/>
      <c r="AV435" s="146"/>
      <c r="AW435" s="194"/>
      <c r="AX435" s="194"/>
      <c r="AY435" s="194"/>
      <c r="AZ435" s="195"/>
      <c r="BA435" s="195"/>
      <c r="BB435" s="195"/>
      <c r="BC435" s="194">
        <v>80</v>
      </c>
      <c r="BD435" s="194">
        <v>10.3</v>
      </c>
      <c r="BE435" s="194">
        <f t="shared" si="68"/>
        <v>824</v>
      </c>
      <c r="BF435" s="146">
        <v>16</v>
      </c>
      <c r="BG435" s="146">
        <v>6.5</v>
      </c>
      <c r="BH435" s="146">
        <f t="shared" ref="BH435:BH440" si="69">BF435*BG435</f>
        <v>104</v>
      </c>
      <c r="BI435" s="194"/>
      <c r="BJ435" s="194"/>
      <c r="BK435" s="194"/>
      <c r="BL435" s="195"/>
      <c r="BM435" s="195"/>
      <c r="BN435" s="203"/>
      <c r="BO435" s="194"/>
      <c r="BP435" s="194"/>
      <c r="BQ435" s="194"/>
      <c r="BR435" s="146"/>
      <c r="BS435" s="146"/>
      <c r="BT435" s="146"/>
    </row>
    <row r="436" s="1" customFormat="1" ht="15" customHeight="1" spans="1:72">
      <c r="A436" s="129">
        <v>45379</v>
      </c>
      <c r="B436" s="192" t="s">
        <v>997</v>
      </c>
      <c r="C436" s="131">
        <v>1000</v>
      </c>
      <c r="D436" s="132"/>
      <c r="E436" s="104"/>
      <c r="F436" s="81"/>
      <c r="G436" s="78">
        <v>-190</v>
      </c>
      <c r="H436" s="81"/>
      <c r="I436" s="104"/>
      <c r="J436" s="81"/>
      <c r="K436" s="78"/>
      <c r="L436" s="81"/>
      <c r="M436" s="133"/>
      <c r="N436" s="104"/>
      <c r="O436" s="131"/>
      <c r="P436" s="134">
        <v>-142.5</v>
      </c>
      <c r="Q436" s="81"/>
      <c r="R436" s="78"/>
      <c r="S436" s="81">
        <v>-66.5</v>
      </c>
      <c r="T436" s="104">
        <v>-361</v>
      </c>
      <c r="U436" s="81"/>
      <c r="V436" s="136"/>
      <c r="W436" s="78"/>
      <c r="X436" s="81"/>
      <c r="Y436" s="104"/>
      <c r="Z436" s="81"/>
      <c r="AA436" s="78"/>
      <c r="AB436" s="81"/>
      <c r="AC436" s="104"/>
      <c r="AD436" s="81"/>
      <c r="AE436" s="78"/>
      <c r="AF436" s="245"/>
      <c r="AG436" s="145">
        <v>45379</v>
      </c>
      <c r="AH436" s="253"/>
      <c r="AI436" s="147"/>
      <c r="AJ436" s="261"/>
      <c r="AK436" s="81"/>
      <c r="AL436" s="81"/>
      <c r="AM436" s="81"/>
      <c r="AN436" s="78"/>
      <c r="AO436" s="78"/>
      <c r="AP436" s="78"/>
      <c r="AQ436" s="81"/>
      <c r="AR436" s="81"/>
      <c r="AS436" s="81"/>
      <c r="AT436" s="104"/>
      <c r="AU436" s="104"/>
      <c r="AV436" s="104"/>
      <c r="AW436" s="81"/>
      <c r="AX436" s="81"/>
      <c r="AY436" s="81"/>
      <c r="AZ436" s="78"/>
      <c r="BA436" s="78"/>
      <c r="BB436" s="78"/>
      <c r="BC436" s="81">
        <v>190</v>
      </c>
      <c r="BD436" s="81">
        <v>10.3</v>
      </c>
      <c r="BE436" s="194">
        <f t="shared" si="68"/>
        <v>1957</v>
      </c>
      <c r="BF436" s="104">
        <v>50</v>
      </c>
      <c r="BG436" s="104">
        <v>6.5</v>
      </c>
      <c r="BH436" s="146">
        <f t="shared" si="69"/>
        <v>325</v>
      </c>
      <c r="BI436" s="81"/>
      <c r="BJ436" s="81"/>
      <c r="BK436" s="81"/>
      <c r="BL436" s="78"/>
      <c r="BM436" s="78"/>
      <c r="BN436" s="105"/>
      <c r="BO436" s="81"/>
      <c r="BP436" s="81"/>
      <c r="BQ436" s="81"/>
      <c r="BR436" s="146"/>
      <c r="BS436" s="146"/>
      <c r="BT436" s="146"/>
    </row>
    <row r="437" s="1" customFormat="1" spans="1:72">
      <c r="A437" s="129">
        <v>45379</v>
      </c>
      <c r="B437" s="192" t="s">
        <v>1425</v>
      </c>
      <c r="C437" s="131">
        <v>1000</v>
      </c>
      <c r="D437" s="132"/>
      <c r="E437" s="104"/>
      <c r="F437" s="81"/>
      <c r="G437" s="78">
        <v>-150</v>
      </c>
      <c r="H437" s="81"/>
      <c r="I437" s="104"/>
      <c r="J437" s="81"/>
      <c r="K437" s="78"/>
      <c r="L437" s="81"/>
      <c r="M437" s="133"/>
      <c r="N437" s="104"/>
      <c r="O437" s="131"/>
      <c r="P437" s="134">
        <v>-120</v>
      </c>
      <c r="Q437" s="81"/>
      <c r="R437" s="78"/>
      <c r="S437" s="81">
        <v>-70</v>
      </c>
      <c r="T437" s="104">
        <v>-380</v>
      </c>
      <c r="U437" s="81"/>
      <c r="V437" s="136"/>
      <c r="W437" s="78"/>
      <c r="X437" s="81"/>
      <c r="Y437" s="104"/>
      <c r="Z437" s="81"/>
      <c r="AA437" s="78"/>
      <c r="AB437" s="81">
        <v>-34</v>
      </c>
      <c r="AC437" s="104"/>
      <c r="AD437" s="81"/>
      <c r="AE437" s="78"/>
      <c r="AF437" s="245"/>
      <c r="AG437" s="145">
        <v>45379</v>
      </c>
      <c r="AH437" s="253"/>
      <c r="AI437" s="147"/>
      <c r="AJ437" s="261"/>
      <c r="AK437" s="81"/>
      <c r="AL437" s="81"/>
      <c r="AM437" s="81"/>
      <c r="AN437" s="78"/>
      <c r="AO437" s="78"/>
      <c r="AP437" s="78"/>
      <c r="AQ437" s="81"/>
      <c r="AR437" s="81"/>
      <c r="AS437" s="81"/>
      <c r="AT437" s="104"/>
      <c r="AU437" s="104"/>
      <c r="AV437" s="104"/>
      <c r="AW437" s="81"/>
      <c r="AX437" s="81"/>
      <c r="AY437" s="81"/>
      <c r="AZ437" s="78"/>
      <c r="BA437" s="78"/>
      <c r="BB437" s="78"/>
      <c r="BC437" s="81"/>
      <c r="BD437" s="81"/>
      <c r="BE437" s="81"/>
      <c r="BF437" s="104"/>
      <c r="BG437" s="104"/>
      <c r="BH437" s="104"/>
      <c r="BI437" s="81">
        <v>246</v>
      </c>
      <c r="BJ437" s="81">
        <v>3.4</v>
      </c>
      <c r="BK437" s="81">
        <f>BI437*BJ437</f>
        <v>836.4</v>
      </c>
      <c r="BL437" s="78"/>
      <c r="BM437" s="78"/>
      <c r="BN437" s="105"/>
      <c r="BO437" s="81"/>
      <c r="BP437" s="81"/>
      <c r="BQ437" s="81"/>
      <c r="BR437" s="146"/>
      <c r="BS437" s="146"/>
      <c r="BT437" s="146"/>
    </row>
    <row r="438" s="1" customFormat="1" spans="1:72">
      <c r="A438" s="129">
        <v>45379</v>
      </c>
      <c r="B438" s="192" t="s">
        <v>935</v>
      </c>
      <c r="C438" s="131">
        <v>553.5</v>
      </c>
      <c r="D438" s="132"/>
      <c r="E438" s="104"/>
      <c r="F438" s="81"/>
      <c r="G438" s="78">
        <v>-75</v>
      </c>
      <c r="H438" s="81"/>
      <c r="I438" s="104">
        <v>-75</v>
      </c>
      <c r="J438" s="81"/>
      <c r="K438" s="78"/>
      <c r="L438" s="81"/>
      <c r="M438" s="133"/>
      <c r="N438" s="104"/>
      <c r="O438" s="131"/>
      <c r="P438" s="134"/>
      <c r="Q438" s="81"/>
      <c r="R438" s="78">
        <v>-2</v>
      </c>
      <c r="S438" s="81"/>
      <c r="T438" s="104">
        <v>-225</v>
      </c>
      <c r="U438" s="81"/>
      <c r="V438" s="136"/>
      <c r="W438" s="78"/>
      <c r="X438" s="81"/>
      <c r="Y438" s="104"/>
      <c r="Z438" s="81"/>
      <c r="AA438" s="78"/>
      <c r="AB438" s="81">
        <v>-12.5</v>
      </c>
      <c r="AC438" s="104"/>
      <c r="AD438" s="81"/>
      <c r="AE438" s="78"/>
      <c r="AF438" s="245"/>
      <c r="AG438" s="145">
        <v>45379</v>
      </c>
      <c r="AH438" s="253"/>
      <c r="AI438" s="147"/>
      <c r="AJ438" s="261"/>
      <c r="AK438" s="81">
        <v>50</v>
      </c>
      <c r="AL438" s="81">
        <v>0.9</v>
      </c>
      <c r="AM438" s="81">
        <f>AK438*AL438</f>
        <v>45</v>
      </c>
      <c r="AN438" s="78"/>
      <c r="AO438" s="78"/>
      <c r="AP438" s="78"/>
      <c r="AQ438" s="81"/>
      <c r="AR438" s="81"/>
      <c r="AS438" s="81"/>
      <c r="AT438" s="104"/>
      <c r="AU438" s="104"/>
      <c r="AV438" s="104"/>
      <c r="AW438" s="81"/>
      <c r="AX438" s="81"/>
      <c r="AY438" s="81"/>
      <c r="AZ438" s="78"/>
      <c r="BA438" s="78"/>
      <c r="BB438" s="78"/>
      <c r="BC438" s="81"/>
      <c r="BD438" s="81"/>
      <c r="BE438" s="81"/>
      <c r="BF438" s="104"/>
      <c r="BG438" s="104"/>
      <c r="BH438" s="104"/>
      <c r="BI438" s="81">
        <v>114</v>
      </c>
      <c r="BJ438" s="81">
        <v>3.4</v>
      </c>
      <c r="BK438" s="81">
        <f>BI438*BJ438</f>
        <v>387.6</v>
      </c>
      <c r="BL438" s="78"/>
      <c r="BM438" s="78"/>
      <c r="BN438" s="105"/>
      <c r="BO438" s="81"/>
      <c r="BP438" s="81"/>
      <c r="BQ438" s="81"/>
      <c r="BR438" s="146"/>
      <c r="BS438" s="146"/>
      <c r="BT438" s="146"/>
    </row>
    <row r="439" s="1" customFormat="1" spans="1:72">
      <c r="A439" s="129">
        <v>45381</v>
      </c>
      <c r="B439" s="259" t="s">
        <v>1322</v>
      </c>
      <c r="C439" s="131"/>
      <c r="D439" s="132"/>
      <c r="E439" s="104"/>
      <c r="F439" s="81"/>
      <c r="G439" s="78"/>
      <c r="H439" s="81"/>
      <c r="I439" s="104"/>
      <c r="J439" s="81"/>
      <c r="K439" s="78"/>
      <c r="L439" s="81"/>
      <c r="M439" s="133"/>
      <c r="N439" s="104"/>
      <c r="O439" s="131"/>
      <c r="P439" s="134"/>
      <c r="Q439" s="81"/>
      <c r="R439" s="78"/>
      <c r="S439" s="81"/>
      <c r="T439" s="104"/>
      <c r="U439" s="81"/>
      <c r="V439" s="136"/>
      <c r="W439" s="78"/>
      <c r="X439" s="81"/>
      <c r="Y439" s="104"/>
      <c r="Z439" s="81"/>
      <c r="AA439" s="78">
        <v>200</v>
      </c>
      <c r="AB439" s="81"/>
      <c r="AC439" s="104"/>
      <c r="AD439" s="81"/>
      <c r="AE439" s="78"/>
      <c r="AF439" s="245"/>
      <c r="AG439" s="145">
        <v>45381</v>
      </c>
      <c r="AH439" s="253"/>
      <c r="AI439" s="147"/>
      <c r="AJ439" s="104"/>
      <c r="AK439" s="81"/>
      <c r="AL439" s="81"/>
      <c r="AM439" s="81"/>
      <c r="AN439" s="78"/>
      <c r="AO439" s="78"/>
      <c r="AP439" s="78"/>
      <c r="AQ439" s="81"/>
      <c r="AR439" s="81"/>
      <c r="AS439" s="81"/>
      <c r="AT439" s="104"/>
      <c r="AU439" s="104"/>
      <c r="AV439" s="104"/>
      <c r="AW439" s="81"/>
      <c r="AX439" s="81"/>
      <c r="AY439" s="81"/>
      <c r="AZ439" s="78"/>
      <c r="BA439" s="78"/>
      <c r="BB439" s="78"/>
      <c r="BC439" s="81"/>
      <c r="BD439" s="81"/>
      <c r="BE439" s="81"/>
      <c r="BF439" s="104"/>
      <c r="BG439" s="104"/>
      <c r="BH439" s="104"/>
      <c r="BI439" s="81"/>
      <c r="BJ439" s="81"/>
      <c r="BK439" s="81"/>
      <c r="BL439" s="78"/>
      <c r="BM439" s="78"/>
      <c r="BN439" s="105"/>
      <c r="BO439" s="81"/>
      <c r="BP439" s="81"/>
      <c r="BQ439" s="81"/>
      <c r="BR439" s="146"/>
      <c r="BS439" s="146"/>
      <c r="BT439" s="146"/>
    </row>
    <row r="440" s="1" customFormat="1" spans="1:72">
      <c r="A440" s="129">
        <v>45381</v>
      </c>
      <c r="B440" s="192" t="s">
        <v>298</v>
      </c>
      <c r="C440" s="131">
        <v>1280</v>
      </c>
      <c r="D440" s="132"/>
      <c r="E440" s="104"/>
      <c r="F440" s="81"/>
      <c r="G440" s="78"/>
      <c r="H440" s="81"/>
      <c r="I440" s="104"/>
      <c r="J440" s="81"/>
      <c r="K440" s="78"/>
      <c r="L440" s="81"/>
      <c r="M440" s="133"/>
      <c r="N440" s="104"/>
      <c r="O440" s="131"/>
      <c r="P440" s="134"/>
      <c r="Q440" s="81"/>
      <c r="R440" s="78"/>
      <c r="S440" s="81"/>
      <c r="T440" s="104"/>
      <c r="U440" s="81"/>
      <c r="V440" s="136"/>
      <c r="W440" s="78"/>
      <c r="X440" s="81"/>
      <c r="Y440" s="104"/>
      <c r="Z440" s="81"/>
      <c r="AA440" s="78">
        <v>-200</v>
      </c>
      <c r="AB440" s="81"/>
      <c r="AC440" s="104"/>
      <c r="AD440" s="81"/>
      <c r="AE440" s="78"/>
      <c r="AF440" s="245"/>
      <c r="AG440" s="145">
        <v>45381</v>
      </c>
      <c r="AH440" s="253"/>
      <c r="AI440" s="147"/>
      <c r="AJ440" s="104"/>
      <c r="AK440" s="81"/>
      <c r="AL440" s="81"/>
      <c r="AM440" s="81"/>
      <c r="AN440" s="78"/>
      <c r="AO440" s="78"/>
      <c r="AP440" s="78"/>
      <c r="AQ440" s="81"/>
      <c r="AR440" s="81"/>
      <c r="AS440" s="81"/>
      <c r="AT440" s="104"/>
      <c r="AU440" s="104"/>
      <c r="AV440" s="104"/>
      <c r="AW440" s="81"/>
      <c r="AX440" s="81"/>
      <c r="AY440" s="81"/>
      <c r="AZ440" s="78"/>
      <c r="BA440" s="78"/>
      <c r="BB440" s="78"/>
      <c r="BC440" s="81"/>
      <c r="BD440" s="81"/>
      <c r="BE440" s="81"/>
      <c r="BF440" s="104">
        <v>900</v>
      </c>
      <c r="BG440" s="104">
        <v>6.5</v>
      </c>
      <c r="BH440" s="146">
        <f t="shared" si="69"/>
        <v>5850</v>
      </c>
      <c r="BI440" s="81"/>
      <c r="BJ440" s="81"/>
      <c r="BK440" s="81"/>
      <c r="BL440" s="78"/>
      <c r="BM440" s="78"/>
      <c r="BN440" s="105"/>
      <c r="BO440" s="81">
        <v>180</v>
      </c>
      <c r="BP440" s="81">
        <v>8.1</v>
      </c>
      <c r="BQ440" s="194">
        <f>BO440*BP440</f>
        <v>1458</v>
      </c>
      <c r="BR440" s="146"/>
      <c r="BS440" s="146"/>
      <c r="BT440" s="146"/>
    </row>
    <row r="441" s="1" customFormat="1" spans="1:72">
      <c r="A441" s="129">
        <v>45381</v>
      </c>
      <c r="B441" s="259" t="s">
        <v>1269</v>
      </c>
      <c r="C441" s="131"/>
      <c r="D441" s="132"/>
      <c r="E441" s="104"/>
      <c r="F441" s="81"/>
      <c r="G441" s="78"/>
      <c r="H441" s="81"/>
      <c r="I441" s="104"/>
      <c r="J441" s="81"/>
      <c r="K441" s="78"/>
      <c r="L441" s="81"/>
      <c r="M441" s="133"/>
      <c r="N441" s="104"/>
      <c r="O441" s="131"/>
      <c r="P441" s="134"/>
      <c r="Q441" s="81"/>
      <c r="R441" s="78"/>
      <c r="S441" s="81"/>
      <c r="T441" s="140">
        <v>1280</v>
      </c>
      <c r="U441" s="81"/>
      <c r="V441" s="136"/>
      <c r="W441" s="78"/>
      <c r="X441" s="81"/>
      <c r="Y441" s="104"/>
      <c r="Z441" s="81"/>
      <c r="AA441" s="78"/>
      <c r="AB441" s="81"/>
      <c r="AC441" s="104"/>
      <c r="AD441" s="81"/>
      <c r="AE441" s="78"/>
      <c r="AF441" s="245"/>
      <c r="AG441" s="145">
        <v>45381</v>
      </c>
      <c r="AH441" s="253"/>
      <c r="AI441" s="147"/>
      <c r="AJ441" s="104"/>
      <c r="AK441" s="81"/>
      <c r="AL441" s="81"/>
      <c r="AM441" s="81"/>
      <c r="AN441" s="78"/>
      <c r="AO441" s="78"/>
      <c r="AP441" s="78"/>
      <c r="AQ441" s="81"/>
      <c r="AR441" s="81"/>
      <c r="AS441" s="81"/>
      <c r="AT441" s="104"/>
      <c r="AU441" s="104"/>
      <c r="AV441" s="104"/>
      <c r="AW441" s="81"/>
      <c r="AX441" s="81"/>
      <c r="AY441" s="81"/>
      <c r="AZ441" s="78"/>
      <c r="BA441" s="78"/>
      <c r="BB441" s="78"/>
      <c r="BC441" s="81"/>
      <c r="BD441" s="81"/>
      <c r="BE441" s="81"/>
      <c r="BF441" s="104"/>
      <c r="BG441" s="104"/>
      <c r="BH441" s="104"/>
      <c r="BI441" s="81"/>
      <c r="BJ441" s="81"/>
      <c r="BK441" s="81"/>
      <c r="BL441" s="78"/>
      <c r="BM441" s="78"/>
      <c r="BN441" s="105"/>
      <c r="BO441" s="81"/>
      <c r="BP441" s="81"/>
      <c r="BQ441" s="81"/>
      <c r="BR441" s="146"/>
      <c r="BS441" s="146"/>
      <c r="BT441" s="146"/>
    </row>
    <row r="442" s="1" customFormat="1" spans="1:72">
      <c r="A442" s="305" t="s">
        <v>1426</v>
      </c>
      <c r="B442" s="318"/>
      <c r="C442" s="131">
        <f>SUM(C406:C441)</f>
        <v>10623.3</v>
      </c>
      <c r="D442" s="132">
        <f>SUM(D405:D441)</f>
        <v>20.5</v>
      </c>
      <c r="E442" s="104"/>
      <c r="F442" s="81">
        <f t="shared" ref="F442:M442" si="70">SUM(F405:F441)</f>
        <v>254.5</v>
      </c>
      <c r="G442" s="78">
        <f t="shared" si="70"/>
        <v>685</v>
      </c>
      <c r="H442" s="81">
        <f t="shared" si="70"/>
        <v>221.5</v>
      </c>
      <c r="I442" s="104">
        <f t="shared" si="70"/>
        <v>646</v>
      </c>
      <c r="J442" s="81">
        <f t="shared" si="70"/>
        <v>6</v>
      </c>
      <c r="K442" s="78">
        <f t="shared" si="70"/>
        <v>311</v>
      </c>
      <c r="L442" s="81">
        <f t="shared" si="70"/>
        <v>-125</v>
      </c>
      <c r="M442" s="133"/>
      <c r="N442" s="104">
        <f>SUM(N405:N441)</f>
        <v>46</v>
      </c>
      <c r="O442" s="131"/>
      <c r="P442" s="134">
        <f>SUM(P405:P441)-316.5</f>
        <v>521.5</v>
      </c>
      <c r="Q442" s="81"/>
      <c r="R442" s="78">
        <f t="shared" ref="R442:AB442" si="71">SUM(R405:R441)</f>
        <v>42.7</v>
      </c>
      <c r="S442" s="81">
        <f t="shared" si="71"/>
        <v>944.1</v>
      </c>
      <c r="T442" s="104">
        <f t="shared" si="71"/>
        <v>1300.5</v>
      </c>
      <c r="U442" s="81">
        <f t="shared" si="71"/>
        <v>108</v>
      </c>
      <c r="V442" s="104">
        <f t="shared" si="71"/>
        <v>16</v>
      </c>
      <c r="W442" s="78">
        <f t="shared" si="71"/>
        <v>26</v>
      </c>
      <c r="X442" s="81">
        <f t="shared" si="71"/>
        <v>25</v>
      </c>
      <c r="Y442" s="104">
        <f t="shared" si="71"/>
        <v>0</v>
      </c>
      <c r="Z442" s="81">
        <f t="shared" si="71"/>
        <v>0</v>
      </c>
      <c r="AA442" s="78">
        <f t="shared" si="71"/>
        <v>0</v>
      </c>
      <c r="AB442" s="81">
        <f t="shared" si="71"/>
        <v>68.3</v>
      </c>
      <c r="AC442" s="104">
        <f t="shared" ref="AC442:AJ442" si="72">SUM(AC405:AC441)</f>
        <v>2.5</v>
      </c>
      <c r="AD442" s="81">
        <f t="shared" si="72"/>
        <v>0</v>
      </c>
      <c r="AE442" s="78">
        <f t="shared" si="72"/>
        <v>140</v>
      </c>
      <c r="AF442" s="245">
        <f t="shared" si="72"/>
        <v>2050</v>
      </c>
      <c r="AG442" s="73"/>
      <c r="AH442" s="253">
        <f t="shared" si="72"/>
        <v>200</v>
      </c>
      <c r="AI442" s="147"/>
      <c r="AJ442" s="104">
        <f t="shared" si="72"/>
        <v>3200</v>
      </c>
      <c r="AK442" s="81">
        <f t="shared" ref="AK442:BO442" si="73">SUM(AK405:AK441)</f>
        <v>50</v>
      </c>
      <c r="AL442" s="81"/>
      <c r="AM442" s="81">
        <f t="shared" si="73"/>
        <v>45</v>
      </c>
      <c r="AN442" s="78">
        <f t="shared" si="73"/>
        <v>0</v>
      </c>
      <c r="AO442" s="78"/>
      <c r="AP442" s="78">
        <f t="shared" si="73"/>
        <v>0</v>
      </c>
      <c r="AQ442" s="81">
        <f t="shared" si="73"/>
        <v>2</v>
      </c>
      <c r="AR442" s="81"/>
      <c r="AS442" s="81">
        <f t="shared" si="73"/>
        <v>100</v>
      </c>
      <c r="AT442" s="104">
        <f t="shared" si="73"/>
        <v>0</v>
      </c>
      <c r="AU442" s="104"/>
      <c r="AV442" s="104">
        <f t="shared" si="73"/>
        <v>0</v>
      </c>
      <c r="AW442" s="81">
        <f t="shared" si="73"/>
        <v>0</v>
      </c>
      <c r="AX442" s="81"/>
      <c r="AY442" s="81">
        <f t="shared" si="73"/>
        <v>0</v>
      </c>
      <c r="AZ442" s="78">
        <f t="shared" si="73"/>
        <v>0</v>
      </c>
      <c r="BA442" s="78"/>
      <c r="BB442" s="78">
        <f t="shared" si="73"/>
        <v>0</v>
      </c>
      <c r="BC442" s="81">
        <f t="shared" si="73"/>
        <v>685.5</v>
      </c>
      <c r="BD442" s="81"/>
      <c r="BE442" s="81">
        <f>SUM(BE405:BE441)</f>
        <v>7060.65</v>
      </c>
      <c r="BF442" s="104">
        <f t="shared" si="73"/>
        <v>2831</v>
      </c>
      <c r="BG442" s="104"/>
      <c r="BH442" s="104">
        <f>SUM(BH405:BH441)</f>
        <v>18316.5</v>
      </c>
      <c r="BI442" s="81">
        <f t="shared" si="73"/>
        <v>363</v>
      </c>
      <c r="BJ442" s="81"/>
      <c r="BK442" s="81">
        <f>SUM(BK405:BK441)</f>
        <v>1234.8</v>
      </c>
      <c r="BL442" s="78">
        <f t="shared" si="73"/>
        <v>8</v>
      </c>
      <c r="BM442" s="78"/>
      <c r="BN442" s="105">
        <f>SUM(BN405:BN441)</f>
        <v>27.2</v>
      </c>
      <c r="BO442" s="81">
        <f t="shared" si="73"/>
        <v>658</v>
      </c>
      <c r="BP442" s="81"/>
      <c r="BQ442" s="81">
        <f>SUM(BQ405:BQ441)</f>
        <v>5329.8</v>
      </c>
      <c r="BR442" s="146">
        <f>SUM(BR405:BR441)</f>
        <v>117</v>
      </c>
      <c r="BS442" s="146"/>
      <c r="BT442" s="146">
        <f>SUM(BT405:BT441)</f>
        <v>1007.4</v>
      </c>
    </row>
    <row r="446" spans="1:72">
      <c r="P446" s="319" t="s">
        <v>1427</v>
      </c>
    </row>
  </sheetData>
  <autoFilter xmlns:etc="http://www.wps.cn/officeDocument/2017/etCustomData" ref="A318:BT374" etc:filterBottomFollowUsedRange="0">
    <extLst/>
  </autoFilter>
  <mergeCells count="477">
    <mergeCell ref="A1:N1"/>
    <mergeCell ref="T1:U1"/>
    <mergeCell ref="AL1:AP1"/>
    <mergeCell ref="AQ1:AR1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A51:N51"/>
    <mergeCell ref="T51:U51"/>
    <mergeCell ref="AL51:AP51"/>
    <mergeCell ref="AQ51:AR51"/>
    <mergeCell ref="AI52:AK52"/>
    <mergeCell ref="AL52:AN52"/>
    <mergeCell ref="AO52:AQ52"/>
    <mergeCell ref="AR52:AT52"/>
    <mergeCell ref="AU52:AW52"/>
    <mergeCell ref="AX52:AZ52"/>
    <mergeCell ref="BA52:BC52"/>
    <mergeCell ref="BD52:BF52"/>
    <mergeCell ref="BG52:BI52"/>
    <mergeCell ref="BJ52:BL52"/>
    <mergeCell ref="BM52:BO52"/>
    <mergeCell ref="BP52:BR52"/>
    <mergeCell ref="BS52:BU52"/>
    <mergeCell ref="A90:N90"/>
    <mergeCell ref="T90:U90"/>
    <mergeCell ref="AL90:AP90"/>
    <mergeCell ref="AQ90:AR90"/>
    <mergeCell ref="AI91:AK91"/>
    <mergeCell ref="AL91:AN91"/>
    <mergeCell ref="AO91:AQ91"/>
    <mergeCell ref="AR91:AT91"/>
    <mergeCell ref="AU91:AW91"/>
    <mergeCell ref="AX91:AZ91"/>
    <mergeCell ref="BA91:BC91"/>
    <mergeCell ref="BD91:BF91"/>
    <mergeCell ref="BG91:BI91"/>
    <mergeCell ref="BJ91:BL91"/>
    <mergeCell ref="BM91:BO91"/>
    <mergeCell ref="BP91:BR91"/>
    <mergeCell ref="BS91:BU91"/>
    <mergeCell ref="A134:N134"/>
    <mergeCell ref="T134:U134"/>
    <mergeCell ref="AL134:AP134"/>
    <mergeCell ref="AQ134:AR134"/>
    <mergeCell ref="AI135:AK135"/>
    <mergeCell ref="AL135:AN135"/>
    <mergeCell ref="AO135:AQ135"/>
    <mergeCell ref="AR135:AT135"/>
    <mergeCell ref="AU135:AW135"/>
    <mergeCell ref="AX135:AZ135"/>
    <mergeCell ref="BA135:BC135"/>
    <mergeCell ref="BD135:BF135"/>
    <mergeCell ref="BG135:BI135"/>
    <mergeCell ref="BJ135:BL135"/>
    <mergeCell ref="BM135:BO135"/>
    <mergeCell ref="BP135:BR135"/>
    <mergeCell ref="BS135:BU135"/>
    <mergeCell ref="A156:N156"/>
    <mergeCell ref="AL156:AP156"/>
    <mergeCell ref="AQ156:AR156"/>
    <mergeCell ref="AI157:AK157"/>
    <mergeCell ref="AL157:AN157"/>
    <mergeCell ref="AO157:AQ157"/>
    <mergeCell ref="AR157:AT157"/>
    <mergeCell ref="AU157:AW157"/>
    <mergeCell ref="AX157:AZ157"/>
    <mergeCell ref="BA157:BC157"/>
    <mergeCell ref="BD157:BF157"/>
    <mergeCell ref="BG157:BI157"/>
    <mergeCell ref="BJ157:BL157"/>
    <mergeCell ref="BM157:BO157"/>
    <mergeCell ref="BP157:BR157"/>
    <mergeCell ref="BS157:BU157"/>
    <mergeCell ref="A175:N175"/>
    <mergeCell ref="AL175:AP175"/>
    <mergeCell ref="AQ175:AR175"/>
    <mergeCell ref="AI176:AK176"/>
    <mergeCell ref="AL176:AN176"/>
    <mergeCell ref="AO176:AQ176"/>
    <mergeCell ref="AR176:AT176"/>
    <mergeCell ref="AU176:AW176"/>
    <mergeCell ref="AX176:AZ176"/>
    <mergeCell ref="BA176:BC176"/>
    <mergeCell ref="BD176:BF176"/>
    <mergeCell ref="BG176:BI176"/>
    <mergeCell ref="BJ176:BL176"/>
    <mergeCell ref="BM176:BO176"/>
    <mergeCell ref="BP176:BR176"/>
    <mergeCell ref="BS176:BU176"/>
    <mergeCell ref="A211:N211"/>
    <mergeCell ref="AL211:AP211"/>
    <mergeCell ref="AQ211:AR211"/>
    <mergeCell ref="AI212:AK212"/>
    <mergeCell ref="AL212:AN212"/>
    <mergeCell ref="AO212:AQ212"/>
    <mergeCell ref="AR212:AT212"/>
    <mergeCell ref="AU212:AW212"/>
    <mergeCell ref="AX212:AZ212"/>
    <mergeCell ref="BA212:BC212"/>
    <mergeCell ref="BD212:BF212"/>
    <mergeCell ref="BG212:BI212"/>
    <mergeCell ref="BJ212:BL212"/>
    <mergeCell ref="BM212:BO212"/>
    <mergeCell ref="BP212:BR212"/>
    <mergeCell ref="BS212:BU212"/>
    <mergeCell ref="A259:N259"/>
    <mergeCell ref="AL259:AP259"/>
    <mergeCell ref="AQ259:AR259"/>
    <mergeCell ref="AH260:AJ260"/>
    <mergeCell ref="AK260:AM260"/>
    <mergeCell ref="AN260:AP260"/>
    <mergeCell ref="AQ260:AS260"/>
    <mergeCell ref="AT260:AV260"/>
    <mergeCell ref="AW260:AY260"/>
    <mergeCell ref="AZ260:BB260"/>
    <mergeCell ref="BC260:BE260"/>
    <mergeCell ref="BF260:BH260"/>
    <mergeCell ref="BI260:BK260"/>
    <mergeCell ref="BL260:BN260"/>
    <mergeCell ref="BO260:BQ260"/>
    <mergeCell ref="BR260:BT260"/>
    <mergeCell ref="A316:R316"/>
    <mergeCell ref="AL316:AP316"/>
    <mergeCell ref="AQ316:AR316"/>
    <mergeCell ref="AH317:AJ317"/>
    <mergeCell ref="AK317:AM317"/>
    <mergeCell ref="AN317:AP317"/>
    <mergeCell ref="AQ317:AS317"/>
    <mergeCell ref="AT317:AV317"/>
    <mergeCell ref="AW317:AY317"/>
    <mergeCell ref="AZ317:BB317"/>
    <mergeCell ref="BC317:BE317"/>
    <mergeCell ref="BF317:BH317"/>
    <mergeCell ref="BI317:BK317"/>
    <mergeCell ref="BL317:BN317"/>
    <mergeCell ref="BO317:BQ317"/>
    <mergeCell ref="BR317:BT317"/>
    <mergeCell ref="A402:AF402"/>
    <mergeCell ref="AH403:AJ403"/>
    <mergeCell ref="AK403:AM403"/>
    <mergeCell ref="AN403:AP403"/>
    <mergeCell ref="AQ403:AS403"/>
    <mergeCell ref="AT403:AV403"/>
    <mergeCell ref="AW403:AY403"/>
    <mergeCell ref="AZ403:BB403"/>
    <mergeCell ref="BC403:BE403"/>
    <mergeCell ref="BF403:BH403"/>
    <mergeCell ref="BI403:BK403"/>
    <mergeCell ref="BL403:BN403"/>
    <mergeCell ref="BO403:BQ403"/>
    <mergeCell ref="BR403:BT403"/>
    <mergeCell ref="A442:B442"/>
    <mergeCell ref="A2:A3"/>
    <mergeCell ref="A52:A53"/>
    <mergeCell ref="A91:A92"/>
    <mergeCell ref="A135:A136"/>
    <mergeCell ref="A157:A158"/>
    <mergeCell ref="A176:A177"/>
    <mergeCell ref="A212:A213"/>
    <mergeCell ref="A260:A261"/>
    <mergeCell ref="A317:A318"/>
    <mergeCell ref="A403:A404"/>
    <mergeCell ref="D2:D3"/>
    <mergeCell ref="D52:D53"/>
    <mergeCell ref="D91:D92"/>
    <mergeCell ref="D135:D136"/>
    <mergeCell ref="D157:D158"/>
    <mergeCell ref="D176:D177"/>
    <mergeCell ref="D212:D213"/>
    <mergeCell ref="D260:D261"/>
    <mergeCell ref="D317:D318"/>
    <mergeCell ref="D403:D404"/>
    <mergeCell ref="E2:E3"/>
    <mergeCell ref="E52:E53"/>
    <mergeCell ref="E91:E92"/>
    <mergeCell ref="E135:E136"/>
    <mergeCell ref="E157:E158"/>
    <mergeCell ref="E176:E177"/>
    <mergeCell ref="E212:E213"/>
    <mergeCell ref="E260:E261"/>
    <mergeCell ref="E317:E318"/>
    <mergeCell ref="E403:E404"/>
    <mergeCell ref="F2:F3"/>
    <mergeCell ref="F52:F53"/>
    <mergeCell ref="F91:F92"/>
    <mergeCell ref="F135:F136"/>
    <mergeCell ref="F157:F158"/>
    <mergeCell ref="F176:F177"/>
    <mergeCell ref="F212:F213"/>
    <mergeCell ref="F260:F261"/>
    <mergeCell ref="F317:F318"/>
    <mergeCell ref="F403:F404"/>
    <mergeCell ref="G2:G3"/>
    <mergeCell ref="G52:G53"/>
    <mergeCell ref="G91:G92"/>
    <mergeCell ref="G135:G136"/>
    <mergeCell ref="G157:G158"/>
    <mergeCell ref="G176:G177"/>
    <mergeCell ref="G212:G213"/>
    <mergeCell ref="G260:G261"/>
    <mergeCell ref="G317:G318"/>
    <mergeCell ref="G403:G404"/>
    <mergeCell ref="H2:H3"/>
    <mergeCell ref="H52:H53"/>
    <mergeCell ref="H91:H92"/>
    <mergeCell ref="H135:H136"/>
    <mergeCell ref="H157:H158"/>
    <mergeCell ref="H176:H177"/>
    <mergeCell ref="H212:H213"/>
    <mergeCell ref="H260:H261"/>
    <mergeCell ref="H317:H318"/>
    <mergeCell ref="H403:H404"/>
    <mergeCell ref="I2:I3"/>
    <mergeCell ref="I52:I53"/>
    <mergeCell ref="I91:I92"/>
    <mergeCell ref="I135:I136"/>
    <mergeCell ref="I157:I158"/>
    <mergeCell ref="I176:I177"/>
    <mergeCell ref="I212:I213"/>
    <mergeCell ref="I260:I261"/>
    <mergeCell ref="I317:I318"/>
    <mergeCell ref="I403:I404"/>
    <mergeCell ref="J2:J3"/>
    <mergeCell ref="J52:J53"/>
    <mergeCell ref="J91:J92"/>
    <mergeCell ref="J135:J136"/>
    <mergeCell ref="J157:J158"/>
    <mergeCell ref="J176:J177"/>
    <mergeCell ref="J212:J213"/>
    <mergeCell ref="J260:J261"/>
    <mergeCell ref="J317:J318"/>
    <mergeCell ref="J403:J404"/>
    <mergeCell ref="K2:K3"/>
    <mergeCell ref="K52:K53"/>
    <mergeCell ref="K91:K92"/>
    <mergeCell ref="K135:K136"/>
    <mergeCell ref="K157:K158"/>
    <mergeCell ref="K176:K177"/>
    <mergeCell ref="K212:K213"/>
    <mergeCell ref="K260:K261"/>
    <mergeCell ref="K317:K318"/>
    <mergeCell ref="K403:K404"/>
    <mergeCell ref="L2:L3"/>
    <mergeCell ref="L52:L53"/>
    <mergeCell ref="L91:L92"/>
    <mergeCell ref="L135:L136"/>
    <mergeCell ref="L157:L158"/>
    <mergeCell ref="L176:L177"/>
    <mergeCell ref="L212:L213"/>
    <mergeCell ref="L260:L261"/>
    <mergeCell ref="L317:L318"/>
    <mergeCell ref="L403:L404"/>
    <mergeCell ref="M2:M3"/>
    <mergeCell ref="M52:M53"/>
    <mergeCell ref="M91:M92"/>
    <mergeCell ref="M135:M136"/>
    <mergeCell ref="M157:M158"/>
    <mergeCell ref="M176:M177"/>
    <mergeCell ref="M212:M213"/>
    <mergeCell ref="M260:M261"/>
    <mergeCell ref="M317:M318"/>
    <mergeCell ref="N2:N3"/>
    <mergeCell ref="N52:N53"/>
    <mergeCell ref="N91:N92"/>
    <mergeCell ref="N135:N136"/>
    <mergeCell ref="N157:N158"/>
    <mergeCell ref="N176:N177"/>
    <mergeCell ref="N212:N213"/>
    <mergeCell ref="N260:N261"/>
    <mergeCell ref="N317:N318"/>
    <mergeCell ref="N403:N404"/>
    <mergeCell ref="O2:O3"/>
    <mergeCell ref="O52:O53"/>
    <mergeCell ref="O91:O92"/>
    <mergeCell ref="O135:O136"/>
    <mergeCell ref="O157:O158"/>
    <mergeCell ref="O176:O177"/>
    <mergeCell ref="O212:O213"/>
    <mergeCell ref="O260:O261"/>
    <mergeCell ref="O317:O318"/>
    <mergeCell ref="P2:P3"/>
    <mergeCell ref="P52:P53"/>
    <mergeCell ref="P91:P92"/>
    <mergeCell ref="P135:P136"/>
    <mergeCell ref="P157:P158"/>
    <mergeCell ref="P176:P177"/>
    <mergeCell ref="P212:P213"/>
    <mergeCell ref="P260:P261"/>
    <mergeCell ref="P317:P318"/>
    <mergeCell ref="P403:P404"/>
    <mergeCell ref="Q2:Q3"/>
    <mergeCell ref="Q52:Q53"/>
    <mergeCell ref="Q91:Q92"/>
    <mergeCell ref="Q135:Q136"/>
    <mergeCell ref="Q157:Q158"/>
    <mergeCell ref="Q176:Q177"/>
    <mergeCell ref="Q212:Q213"/>
    <mergeCell ref="Q260:Q261"/>
    <mergeCell ref="Q317:Q318"/>
    <mergeCell ref="R2:R3"/>
    <mergeCell ref="R52:R53"/>
    <mergeCell ref="R91:R92"/>
    <mergeCell ref="R135:R136"/>
    <mergeCell ref="R157:R158"/>
    <mergeCell ref="R176:R177"/>
    <mergeCell ref="R212:R213"/>
    <mergeCell ref="R260:R261"/>
    <mergeCell ref="R317:R318"/>
    <mergeCell ref="R403:R404"/>
    <mergeCell ref="S2:S3"/>
    <mergeCell ref="S52:S53"/>
    <mergeCell ref="S91:S92"/>
    <mergeCell ref="S135:S136"/>
    <mergeCell ref="S157:S158"/>
    <mergeCell ref="S176:S177"/>
    <mergeCell ref="S212:S213"/>
    <mergeCell ref="S260:S261"/>
    <mergeCell ref="S317:S318"/>
    <mergeCell ref="S403:S404"/>
    <mergeCell ref="T2:T3"/>
    <mergeCell ref="T52:T53"/>
    <mergeCell ref="T91:T92"/>
    <mergeCell ref="T135:T136"/>
    <mergeCell ref="T157:T158"/>
    <mergeCell ref="T176:T177"/>
    <mergeCell ref="T212:T213"/>
    <mergeCell ref="T260:T261"/>
    <mergeCell ref="T317:T318"/>
    <mergeCell ref="T403:T404"/>
    <mergeCell ref="U2:U3"/>
    <mergeCell ref="U52:U53"/>
    <mergeCell ref="U91:U92"/>
    <mergeCell ref="U135:U136"/>
    <mergeCell ref="U157:U158"/>
    <mergeCell ref="U176:U177"/>
    <mergeCell ref="U212:U213"/>
    <mergeCell ref="U260:U261"/>
    <mergeCell ref="U317:U318"/>
    <mergeCell ref="U403:U404"/>
    <mergeCell ref="V2:V3"/>
    <mergeCell ref="V52:V53"/>
    <mergeCell ref="V91:V92"/>
    <mergeCell ref="V135:V136"/>
    <mergeCell ref="V157:V158"/>
    <mergeCell ref="V176:V177"/>
    <mergeCell ref="V212:V213"/>
    <mergeCell ref="V260:V261"/>
    <mergeCell ref="V317:V318"/>
    <mergeCell ref="V403:V404"/>
    <mergeCell ref="W2:W3"/>
    <mergeCell ref="W52:W53"/>
    <mergeCell ref="W91:W92"/>
    <mergeCell ref="W135:W136"/>
    <mergeCell ref="W157:W158"/>
    <mergeCell ref="W176:W177"/>
    <mergeCell ref="W212:W213"/>
    <mergeCell ref="W260:W261"/>
    <mergeCell ref="W317:W318"/>
    <mergeCell ref="W403:W404"/>
    <mergeCell ref="X2:X3"/>
    <mergeCell ref="X52:X53"/>
    <mergeCell ref="X91:X92"/>
    <mergeCell ref="X135:X136"/>
    <mergeCell ref="X157:X158"/>
    <mergeCell ref="X176:X177"/>
    <mergeCell ref="X212:X213"/>
    <mergeCell ref="X260:X261"/>
    <mergeCell ref="X317:X318"/>
    <mergeCell ref="X403:X404"/>
    <mergeCell ref="Y2:Y3"/>
    <mergeCell ref="Y52:Y53"/>
    <mergeCell ref="Y91:Y92"/>
    <mergeCell ref="Y135:Y136"/>
    <mergeCell ref="Y157:Y158"/>
    <mergeCell ref="Y176:Y177"/>
    <mergeCell ref="Y212:Y213"/>
    <mergeCell ref="Y260:Y261"/>
    <mergeCell ref="Y317:Y318"/>
    <mergeCell ref="Y403:Y404"/>
    <mergeCell ref="Z2:Z3"/>
    <mergeCell ref="Z52:Z53"/>
    <mergeCell ref="Z91:Z92"/>
    <mergeCell ref="Z135:Z136"/>
    <mergeCell ref="Z157:Z158"/>
    <mergeCell ref="Z176:Z177"/>
    <mergeCell ref="Z212:Z213"/>
    <mergeCell ref="Z260:Z261"/>
    <mergeCell ref="Z317:Z318"/>
    <mergeCell ref="Z403:Z404"/>
    <mergeCell ref="AA2:AA3"/>
    <mergeCell ref="AA52:AA53"/>
    <mergeCell ref="AA91:AA92"/>
    <mergeCell ref="AA135:AA136"/>
    <mergeCell ref="AA157:AA158"/>
    <mergeCell ref="AA176:AA177"/>
    <mergeCell ref="AA212:AA213"/>
    <mergeCell ref="AA260:AA261"/>
    <mergeCell ref="AA317:AA318"/>
    <mergeCell ref="AA403:AA404"/>
    <mergeCell ref="AB2:AB3"/>
    <mergeCell ref="AB52:AB53"/>
    <mergeCell ref="AB91:AB92"/>
    <mergeCell ref="AB135:AB136"/>
    <mergeCell ref="AB157:AB158"/>
    <mergeCell ref="AB176:AB177"/>
    <mergeCell ref="AB212:AB213"/>
    <mergeCell ref="AB260:AB261"/>
    <mergeCell ref="AB317:AB318"/>
    <mergeCell ref="AB403:AB404"/>
    <mergeCell ref="AC2:AC3"/>
    <mergeCell ref="AC52:AC53"/>
    <mergeCell ref="AC91:AC92"/>
    <mergeCell ref="AC135:AC136"/>
    <mergeCell ref="AC157:AC158"/>
    <mergeCell ref="AC176:AC177"/>
    <mergeCell ref="AC212:AC213"/>
    <mergeCell ref="AC260:AC261"/>
    <mergeCell ref="AC317:AC318"/>
    <mergeCell ref="AC403:AC404"/>
    <mergeCell ref="AD2:AD3"/>
    <mergeCell ref="AD52:AD53"/>
    <mergeCell ref="AD91:AD92"/>
    <mergeCell ref="AD135:AD136"/>
    <mergeCell ref="AD157:AD158"/>
    <mergeCell ref="AD176:AD177"/>
    <mergeCell ref="AD212:AD213"/>
    <mergeCell ref="AD260:AD261"/>
    <mergeCell ref="AD317:AD318"/>
    <mergeCell ref="AD403:AD404"/>
    <mergeCell ref="AE2:AE3"/>
    <mergeCell ref="AE52:AE53"/>
    <mergeCell ref="AE91:AE92"/>
    <mergeCell ref="AE135:AE136"/>
    <mergeCell ref="AE157:AE158"/>
    <mergeCell ref="AE176:AE177"/>
    <mergeCell ref="AE212:AE213"/>
    <mergeCell ref="AE260:AE261"/>
    <mergeCell ref="AE317:AE318"/>
    <mergeCell ref="AE403:AE404"/>
    <mergeCell ref="AF2:AF3"/>
    <mergeCell ref="AF52:AF53"/>
    <mergeCell ref="AF91:AF92"/>
    <mergeCell ref="AF135:AF136"/>
    <mergeCell ref="AF157:AF158"/>
    <mergeCell ref="AF176:AF177"/>
    <mergeCell ref="AF212:AF213"/>
    <mergeCell ref="AF260:AF261"/>
    <mergeCell ref="AF317:AF318"/>
    <mergeCell ref="AF403:AF404"/>
    <mergeCell ref="AG2:AG3"/>
    <mergeCell ref="AG52:AG53"/>
    <mergeCell ref="AG91:AG92"/>
    <mergeCell ref="AG135:AG136"/>
    <mergeCell ref="AG157:AG158"/>
    <mergeCell ref="AG176:AG177"/>
    <mergeCell ref="AG212:AG213"/>
    <mergeCell ref="AG260:AG261"/>
    <mergeCell ref="AG317:AG318"/>
    <mergeCell ref="AG403:AG404"/>
    <mergeCell ref="AH2:AH3"/>
    <mergeCell ref="AH52:AH53"/>
    <mergeCell ref="AH91:AH92"/>
    <mergeCell ref="AH135:AH136"/>
    <mergeCell ref="AH157:AH158"/>
    <mergeCell ref="AH176:AH177"/>
    <mergeCell ref="AH212:AH213"/>
  </mergeCells>
  <printOptions horizontalCentered="1"/>
  <pageMargins left="0" right="0.0784722222222222" top="0.196527777777778" bottom="0.196527777777778" header="0.196527777777778" footer="0.196527777777778"/>
  <pageSetup paperSize="9" scale="48" orientation="landscape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J57"/>
  <sheetViews>
    <sheetView topLeftCell="A30" workbookViewId="0">
      <selection activeCell="L928" sqref="L928"/>
    </sheetView>
  </sheetViews>
  <sheetFormatPr defaultColWidth="9" defaultRowHeight="14.25"/>
  <cols>
    <col min="1" max="1" width="10.5" customWidth="1"/>
    <col min="2" max="2" width="19.5" style="10" customWidth="1"/>
    <col min="3" max="3" width="14.625" style="11" customWidth="1"/>
    <col min="4" max="4" width="12.5" style="11" customWidth="1"/>
    <col min="5" max="5" width="8.875" style="11" customWidth="1"/>
    <col min="6" max="6" width="11.25" style="11" customWidth="1"/>
    <col min="7" max="7" width="10.125" style="11" customWidth="1"/>
    <col min="8" max="8" width="15.25" style="11" customWidth="1"/>
    <col min="9" max="9" width="16.25" style="11" customWidth="1"/>
  </cols>
  <sheetData>
    <row r="1" s="1" customFormat="1" ht="25" customHeight="1" spans="1:9">
      <c r="A1" s="12" t="s">
        <v>1428</v>
      </c>
      <c r="B1" s="13"/>
      <c r="C1" s="12"/>
      <c r="D1" s="12"/>
      <c r="E1" s="12"/>
      <c r="F1" s="12"/>
      <c r="G1" s="12"/>
      <c r="H1" s="12"/>
      <c r="I1" s="12"/>
    </row>
    <row r="2" s="1" customFormat="1" ht="18" customHeight="1" spans="1:9">
      <c r="A2" s="1" t="s">
        <v>35</v>
      </c>
      <c r="B2" s="13" t="s">
        <v>1429</v>
      </c>
      <c r="C2" s="12" t="s">
        <v>914</v>
      </c>
      <c r="D2" s="12" t="s">
        <v>1430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39</v>
      </c>
    </row>
    <row r="3" s="1" customFormat="1" ht="18" customHeight="1" spans="1:9">
      <c r="A3" s="2" t="s">
        <v>1431</v>
      </c>
      <c r="B3" s="14" t="s">
        <v>1432</v>
      </c>
      <c r="C3" s="15" t="s">
        <v>83</v>
      </c>
      <c r="D3" s="15">
        <v>6</v>
      </c>
      <c r="E3" s="15">
        <v>175</v>
      </c>
      <c r="F3" s="15">
        <f t="shared" ref="F3:F9" si="0">E3*D3</f>
        <v>1050</v>
      </c>
      <c r="G3" s="15">
        <v>8.6</v>
      </c>
      <c r="H3" s="15">
        <f>F3*G3</f>
        <v>9030</v>
      </c>
      <c r="I3" s="15"/>
    </row>
    <row r="4" s="1" customFormat="1" ht="18" customHeight="1" spans="1:9">
      <c r="A4" s="2" t="s">
        <v>1431</v>
      </c>
      <c r="B4" s="14" t="s">
        <v>1432</v>
      </c>
      <c r="C4" s="15" t="s">
        <v>55</v>
      </c>
      <c r="D4" s="15">
        <v>6</v>
      </c>
      <c r="E4" s="15">
        <v>180</v>
      </c>
      <c r="F4" s="15">
        <f t="shared" si="0"/>
        <v>1080</v>
      </c>
      <c r="G4" s="15">
        <v>10.8</v>
      </c>
      <c r="H4" s="15">
        <f>F4*G4</f>
        <v>11664</v>
      </c>
      <c r="I4" s="15"/>
    </row>
    <row r="5" s="1" customFormat="1" ht="18" customHeight="1" spans="1:9">
      <c r="A5" s="2" t="s">
        <v>1431</v>
      </c>
      <c r="B5" s="14" t="s">
        <v>1432</v>
      </c>
      <c r="C5" s="15" t="s">
        <v>46</v>
      </c>
      <c r="D5" s="15">
        <v>5</v>
      </c>
      <c r="E5" s="15">
        <v>180</v>
      </c>
      <c r="F5" s="15">
        <f t="shared" si="0"/>
        <v>900</v>
      </c>
      <c r="G5" s="15">
        <v>7.2</v>
      </c>
      <c r="H5" s="15">
        <f>F5*G5</f>
        <v>6480</v>
      </c>
      <c r="I5" s="16" t="s">
        <v>1433</v>
      </c>
    </row>
    <row r="6" s="1" customFormat="1" ht="18" customHeight="1" spans="1:9">
      <c r="A6" s="2" t="s">
        <v>1431</v>
      </c>
      <c r="B6" s="14" t="s">
        <v>1432</v>
      </c>
      <c r="C6" s="15" t="s">
        <v>54</v>
      </c>
      <c r="D6" s="15">
        <v>4</v>
      </c>
      <c r="E6" s="15">
        <v>180</v>
      </c>
      <c r="F6" s="15">
        <f t="shared" si="0"/>
        <v>720</v>
      </c>
      <c r="G6" s="15">
        <v>4.2</v>
      </c>
      <c r="H6" s="15">
        <f>F6*G6</f>
        <v>3024</v>
      </c>
      <c r="I6" s="16"/>
    </row>
    <row r="7" s="1" customFormat="1" ht="18" customHeight="1" spans="1:9">
      <c r="A7" s="2" t="s">
        <v>1431</v>
      </c>
      <c r="B7" s="14" t="s">
        <v>1432</v>
      </c>
      <c r="C7" s="15" t="s">
        <v>82</v>
      </c>
      <c r="D7" s="15">
        <v>3</v>
      </c>
      <c r="E7" s="15">
        <v>180</v>
      </c>
      <c r="F7" s="15">
        <f t="shared" si="0"/>
        <v>540</v>
      </c>
      <c r="G7" s="15">
        <v>9.5</v>
      </c>
      <c r="H7" s="15">
        <f>F7*G7</f>
        <v>5130</v>
      </c>
      <c r="I7" s="15">
        <f>SUM(H3:H7)</f>
        <v>35328</v>
      </c>
    </row>
    <row r="8" s="1" customFormat="1" ht="18" customHeight="1" spans="1:9">
      <c r="A8" s="17">
        <v>45223</v>
      </c>
      <c r="B8" s="13" t="s">
        <v>1434</v>
      </c>
      <c r="C8" s="12" t="s">
        <v>1435</v>
      </c>
      <c r="D8" s="12">
        <v>3</v>
      </c>
      <c r="E8" s="12">
        <v>20</v>
      </c>
      <c r="F8" s="12">
        <f t="shared" si="0"/>
        <v>60</v>
      </c>
      <c r="G8" s="12"/>
      <c r="H8" s="12"/>
      <c r="I8" s="12" t="s">
        <v>1436</v>
      </c>
    </row>
    <row r="9" s="1" customFormat="1" ht="18" customHeight="1" spans="1:9">
      <c r="A9" s="17">
        <v>45223</v>
      </c>
      <c r="B9" s="13" t="s">
        <v>1434</v>
      </c>
      <c r="C9" s="12" t="s">
        <v>316</v>
      </c>
      <c r="D9" s="12">
        <v>5</v>
      </c>
      <c r="E9" s="12">
        <v>190</v>
      </c>
      <c r="F9" s="12">
        <f t="shared" si="0"/>
        <v>950</v>
      </c>
      <c r="G9" s="12"/>
      <c r="H9" s="12"/>
      <c r="I9" s="12" t="s">
        <v>1436</v>
      </c>
    </row>
    <row r="10" s="1" customFormat="1" ht="18" customHeight="1" spans="1:9">
      <c r="A10" s="17">
        <v>45223</v>
      </c>
      <c r="B10" s="13" t="s">
        <v>1434</v>
      </c>
      <c r="C10" s="12" t="s">
        <v>298</v>
      </c>
      <c r="D10" s="12">
        <v>1</v>
      </c>
      <c r="E10" s="12">
        <v>1</v>
      </c>
      <c r="F10" s="12">
        <v>1120</v>
      </c>
      <c r="G10" s="12"/>
      <c r="H10" s="12"/>
      <c r="I10" s="12" t="s">
        <v>1436</v>
      </c>
    </row>
    <row r="11" s="1" customFormat="1" ht="18" customHeight="1" spans="1:9">
      <c r="A11" s="17">
        <v>45223</v>
      </c>
      <c r="B11" s="13" t="s">
        <v>1434</v>
      </c>
      <c r="C11" s="12" t="s">
        <v>149</v>
      </c>
      <c r="D11" s="12">
        <v>1</v>
      </c>
      <c r="E11" s="12">
        <v>1</v>
      </c>
      <c r="F11" s="12">
        <v>680</v>
      </c>
      <c r="G11" s="12"/>
      <c r="H11" s="12"/>
      <c r="I11" s="12" t="s">
        <v>1436</v>
      </c>
    </row>
    <row r="12" s="2" customFormat="1" ht="18" customHeight="1" spans="1:9">
      <c r="A12" s="18">
        <v>45228</v>
      </c>
      <c r="B12" s="14" t="s">
        <v>1437</v>
      </c>
      <c r="C12" s="15" t="s">
        <v>1438</v>
      </c>
      <c r="D12" s="15">
        <v>2</v>
      </c>
      <c r="E12" s="15">
        <v>25</v>
      </c>
      <c r="F12" s="15">
        <f>E12*D12</f>
        <v>50</v>
      </c>
      <c r="G12" s="15"/>
      <c r="H12" s="15"/>
      <c r="I12" s="15" t="s">
        <v>1439</v>
      </c>
    </row>
    <row r="13" s="1" customFormat="1" ht="18" customHeight="1" spans="1:9">
      <c r="A13" s="18">
        <v>45228</v>
      </c>
      <c r="B13" s="19" t="s">
        <v>1437</v>
      </c>
      <c r="C13" s="20" t="s">
        <v>1440</v>
      </c>
      <c r="D13" s="20">
        <v>1</v>
      </c>
      <c r="E13" s="20">
        <v>1</v>
      </c>
      <c r="F13" s="20">
        <v>13</v>
      </c>
      <c r="G13" s="12"/>
      <c r="H13" s="12"/>
      <c r="I13" s="15" t="s">
        <v>1439</v>
      </c>
    </row>
    <row r="14" s="1" customFormat="1" ht="18" customHeight="1" spans="1:9">
      <c r="A14" s="17">
        <v>45234</v>
      </c>
      <c r="B14" s="13" t="s">
        <v>1441</v>
      </c>
      <c r="C14" s="12" t="s">
        <v>1442</v>
      </c>
      <c r="D14" s="12">
        <v>8</v>
      </c>
      <c r="E14" s="12">
        <v>25</v>
      </c>
      <c r="F14" s="12">
        <f>E14*D14</f>
        <v>200</v>
      </c>
      <c r="G14" s="12"/>
      <c r="H14" s="12"/>
      <c r="I14" s="12" t="s">
        <v>1439</v>
      </c>
    </row>
    <row r="15" s="1" customFormat="1" ht="21" customHeight="1" spans="1:9">
      <c r="A15" s="21" t="s">
        <v>1443</v>
      </c>
      <c r="B15" s="21"/>
      <c r="C15" s="21"/>
      <c r="G15" s="12"/>
      <c r="H15" s="12"/>
      <c r="I15" s="12"/>
    </row>
    <row r="16" s="1" customFormat="1" ht="21" customHeight="1" spans="1:9">
      <c r="B16" s="13"/>
      <c r="C16" s="12"/>
      <c r="D16" s="12"/>
      <c r="E16" s="12"/>
      <c r="F16" s="12"/>
      <c r="G16" s="12"/>
      <c r="H16" s="12"/>
      <c r="I16" s="12"/>
    </row>
    <row r="17" s="3" customFormat="1" ht="18" customHeight="1" spans="1:10">
      <c r="A17" s="22">
        <v>45348</v>
      </c>
      <c r="B17" s="23" t="s">
        <v>1444</v>
      </c>
      <c r="C17" s="24" t="s">
        <v>1445</v>
      </c>
      <c r="D17" s="24">
        <v>80</v>
      </c>
      <c r="E17" s="24">
        <v>25</v>
      </c>
      <c r="F17" s="25">
        <f t="shared" ref="F17:F30" si="1">E17*D17</f>
        <v>2000</v>
      </c>
      <c r="G17" s="25">
        <v>16.6</v>
      </c>
      <c r="H17" s="25">
        <f>F17*G17</f>
        <v>33200</v>
      </c>
      <c r="I17" s="25">
        <f>H17</f>
        <v>33200</v>
      </c>
    </row>
    <row r="18" s="4" customFormat="1" ht="18" customHeight="1" spans="1:10">
      <c r="A18" s="26">
        <v>45357</v>
      </c>
      <c r="B18" s="27" t="s">
        <v>872</v>
      </c>
      <c r="C18" s="28" t="s">
        <v>872</v>
      </c>
      <c r="D18" s="28">
        <v>2</v>
      </c>
      <c r="E18" s="28">
        <v>25</v>
      </c>
      <c r="F18" s="28">
        <f t="shared" si="1"/>
        <v>50</v>
      </c>
      <c r="G18" s="28">
        <v>28</v>
      </c>
      <c r="H18" s="28">
        <f>F18*G18</f>
        <v>1400</v>
      </c>
      <c r="I18" s="28"/>
    </row>
    <row r="19" s="4" customFormat="1" ht="18" customHeight="1" spans="1:10">
      <c r="A19" s="26">
        <v>45357</v>
      </c>
      <c r="B19" s="27" t="s">
        <v>896</v>
      </c>
      <c r="C19" s="28" t="s">
        <v>896</v>
      </c>
      <c r="D19" s="28">
        <v>2</v>
      </c>
      <c r="E19" s="28">
        <v>25</v>
      </c>
      <c r="F19" s="28">
        <f t="shared" si="1"/>
        <v>50</v>
      </c>
      <c r="G19" s="28">
        <v>28</v>
      </c>
      <c r="H19" s="28">
        <f>F19*G19</f>
        <v>1400</v>
      </c>
      <c r="I19" s="28">
        <f>SUM(H18:H19)</f>
        <v>2800</v>
      </c>
    </row>
    <row r="20" s="4" customFormat="1" ht="18" customHeight="1" spans="1:10">
      <c r="A20" s="29">
        <v>45357</v>
      </c>
      <c r="B20" s="30" t="s">
        <v>1446</v>
      </c>
      <c r="C20" s="25" t="s">
        <v>315</v>
      </c>
      <c r="D20" s="25">
        <v>1</v>
      </c>
      <c r="E20" s="25">
        <v>190</v>
      </c>
      <c r="F20" s="25">
        <f t="shared" si="1"/>
        <v>190</v>
      </c>
      <c r="G20" s="28"/>
      <c r="H20" s="28"/>
      <c r="I20" s="28"/>
    </row>
    <row r="21" s="4" customFormat="1" ht="18" customHeight="1" spans="1:10">
      <c r="A21" s="26">
        <v>45369</v>
      </c>
      <c r="B21" s="27" t="s">
        <v>1447</v>
      </c>
      <c r="C21" s="28" t="s">
        <v>891</v>
      </c>
      <c r="D21" s="28">
        <v>1</v>
      </c>
      <c r="E21" s="28">
        <v>25</v>
      </c>
      <c r="F21" s="28">
        <f t="shared" si="1"/>
        <v>25</v>
      </c>
      <c r="G21" s="28">
        <v>56</v>
      </c>
      <c r="H21" s="28">
        <f>F21*G21</f>
        <v>1400</v>
      </c>
      <c r="I21" s="28"/>
    </row>
    <row r="22" s="4" customFormat="1" ht="18" customHeight="1" spans="1:10">
      <c r="A22" s="26">
        <v>45369</v>
      </c>
      <c r="B22" s="27" t="s">
        <v>1447</v>
      </c>
      <c r="C22" s="28" t="s">
        <v>1210</v>
      </c>
      <c r="D22" s="28">
        <v>1</v>
      </c>
      <c r="E22" s="28">
        <v>25</v>
      </c>
      <c r="F22" s="28">
        <f t="shared" si="1"/>
        <v>25</v>
      </c>
      <c r="G22" s="28">
        <v>56</v>
      </c>
      <c r="H22" s="28">
        <f t="shared" ref="H22:H28" si="2">F22*G22</f>
        <v>1400</v>
      </c>
      <c r="I22" s="28"/>
    </row>
    <row r="23" s="4" customFormat="1" ht="18" customHeight="1" spans="1:10">
      <c r="A23" s="26">
        <v>45369</v>
      </c>
      <c r="B23" s="27" t="s">
        <v>1447</v>
      </c>
      <c r="C23" s="28" t="s">
        <v>1448</v>
      </c>
      <c r="D23" s="28">
        <v>3</v>
      </c>
      <c r="E23" s="28">
        <v>16</v>
      </c>
      <c r="F23" s="28">
        <f t="shared" si="1"/>
        <v>48</v>
      </c>
      <c r="G23" s="28">
        <v>38</v>
      </c>
      <c r="H23" s="28">
        <f t="shared" si="2"/>
        <v>1824</v>
      </c>
      <c r="I23" s="28">
        <f>SUM(H21:H23)</f>
        <v>4624</v>
      </c>
      <c r="J23" s="4" t="s">
        <v>1449</v>
      </c>
    </row>
    <row r="24" s="3" customFormat="1" ht="18" customHeight="1" spans="1:10">
      <c r="A24" s="29">
        <v>45371</v>
      </c>
      <c r="B24" s="30" t="s">
        <v>1450</v>
      </c>
      <c r="C24" s="25" t="s">
        <v>1293</v>
      </c>
      <c r="D24" s="25">
        <v>2</v>
      </c>
      <c r="E24" s="25">
        <v>25</v>
      </c>
      <c r="F24" s="28">
        <f t="shared" si="1"/>
        <v>50</v>
      </c>
      <c r="G24" s="25"/>
      <c r="H24" s="28">
        <f t="shared" si="2"/>
        <v>0</v>
      </c>
      <c r="I24" s="30" t="s">
        <v>1451</v>
      </c>
    </row>
    <row r="25" s="3" customFormat="1" ht="18" customHeight="1" spans="1:10">
      <c r="A25" s="29">
        <v>45371</v>
      </c>
      <c r="B25" s="30" t="s">
        <v>1450</v>
      </c>
      <c r="C25" s="25" t="s">
        <v>1452</v>
      </c>
      <c r="D25" s="25">
        <v>4</v>
      </c>
      <c r="E25" s="25">
        <v>25</v>
      </c>
      <c r="F25" s="28">
        <f t="shared" si="1"/>
        <v>100</v>
      </c>
      <c r="G25" s="25"/>
      <c r="H25" s="28">
        <f t="shared" si="2"/>
        <v>0</v>
      </c>
      <c r="I25" s="30" t="s">
        <v>1451</v>
      </c>
    </row>
    <row r="26" s="3" customFormat="1" ht="18" customHeight="1" spans="1:10">
      <c r="A26" s="29">
        <v>45371</v>
      </c>
      <c r="B26" s="30" t="s">
        <v>1450</v>
      </c>
      <c r="C26" s="25" t="s">
        <v>1453</v>
      </c>
      <c r="D26" s="25">
        <v>6</v>
      </c>
      <c r="E26" s="25">
        <v>1</v>
      </c>
      <c r="F26" s="28">
        <f t="shared" si="1"/>
        <v>6</v>
      </c>
      <c r="G26" s="25">
        <v>6.17</v>
      </c>
      <c r="H26" s="28">
        <v>37</v>
      </c>
      <c r="I26" s="25"/>
    </row>
    <row r="27" s="4" customFormat="1" ht="18" customHeight="1" spans="1:10">
      <c r="A27" s="26">
        <v>45357</v>
      </c>
      <c r="B27" s="27" t="s">
        <v>872</v>
      </c>
      <c r="C27" s="28" t="s">
        <v>872</v>
      </c>
      <c r="D27" s="28">
        <v>12</v>
      </c>
      <c r="E27" s="28">
        <v>25</v>
      </c>
      <c r="F27" s="28">
        <f t="shared" si="1"/>
        <v>300</v>
      </c>
      <c r="G27" s="28">
        <v>26</v>
      </c>
      <c r="H27" s="28">
        <f t="shared" si="2"/>
        <v>7800</v>
      </c>
      <c r="I27" s="28"/>
    </row>
    <row r="28" s="4" customFormat="1" ht="18" customHeight="1" spans="1:10">
      <c r="A28" s="26">
        <v>45357</v>
      </c>
      <c r="B28" s="27" t="s">
        <v>896</v>
      </c>
      <c r="C28" s="28" t="s">
        <v>896</v>
      </c>
      <c r="D28" s="28">
        <v>8</v>
      </c>
      <c r="E28" s="28">
        <v>25</v>
      </c>
      <c r="F28" s="28">
        <f t="shared" si="1"/>
        <v>200</v>
      </c>
      <c r="G28" s="28">
        <v>26</v>
      </c>
      <c r="H28" s="28">
        <f t="shared" si="2"/>
        <v>5200</v>
      </c>
      <c r="I28" s="28">
        <f>SUM(H27:H28)</f>
        <v>13000</v>
      </c>
      <c r="J28" s="30" t="s">
        <v>1454</v>
      </c>
    </row>
    <row r="29" s="3" customFormat="1" ht="18" customHeight="1" spans="1:10">
      <c r="A29" s="29">
        <v>45378</v>
      </c>
      <c r="B29" s="30" t="s">
        <v>1446</v>
      </c>
      <c r="C29" s="25" t="s">
        <v>315</v>
      </c>
      <c r="D29" s="25">
        <v>1</v>
      </c>
      <c r="E29" s="25">
        <v>190</v>
      </c>
      <c r="F29" s="25">
        <f t="shared" si="1"/>
        <v>190</v>
      </c>
      <c r="G29" s="25"/>
      <c r="H29" s="25"/>
      <c r="I29" s="25"/>
    </row>
    <row r="30" s="5" customFormat="1" ht="18" customHeight="1" spans="1:10">
      <c r="A30" s="31">
        <v>45411</v>
      </c>
      <c r="B30" s="32" t="s">
        <v>1455</v>
      </c>
      <c r="C30" s="33" t="s">
        <v>1456</v>
      </c>
      <c r="D30" s="33">
        <v>980</v>
      </c>
      <c r="E30" s="33">
        <v>1</v>
      </c>
      <c r="F30" s="33">
        <f t="shared" si="1"/>
        <v>980</v>
      </c>
      <c r="G30" s="33">
        <v>11.5</v>
      </c>
      <c r="H30" s="6">
        <f>F30*G30</f>
        <v>11270</v>
      </c>
      <c r="I30" s="33"/>
    </row>
    <row r="31" s="6" customFormat="1" ht="28" customHeight="1" spans="1:10">
      <c r="A31" s="34" t="s">
        <v>35</v>
      </c>
      <c r="B31" s="15"/>
      <c r="C31" s="15" t="s">
        <v>914</v>
      </c>
      <c r="D31" s="15" t="s">
        <v>4</v>
      </c>
      <c r="E31" s="15" t="s">
        <v>1457</v>
      </c>
      <c r="F31" s="15" t="s">
        <v>6</v>
      </c>
    </row>
    <row r="32" s="5" customFormat="1" ht="18" customHeight="1" spans="1:10">
      <c r="A32" s="31">
        <v>45418</v>
      </c>
      <c r="B32" s="32"/>
      <c r="C32" s="32" t="s">
        <v>1458</v>
      </c>
      <c r="D32" s="35">
        <v>6</v>
      </c>
      <c r="E32" s="33">
        <v>190</v>
      </c>
      <c r="F32" s="33">
        <f t="shared" ref="F32:F42" si="3">D32*E32</f>
        <v>1140</v>
      </c>
      <c r="G32" s="33"/>
      <c r="H32" s="33"/>
      <c r="I32" s="33"/>
    </row>
    <row r="33" s="5" customFormat="1" spans="1:9">
      <c r="A33" s="31">
        <v>45418</v>
      </c>
      <c r="B33" s="32"/>
      <c r="C33" s="32" t="s">
        <v>1459</v>
      </c>
      <c r="D33" s="36">
        <v>8</v>
      </c>
      <c r="E33" s="33">
        <v>25</v>
      </c>
      <c r="F33" s="33">
        <f t="shared" si="3"/>
        <v>200</v>
      </c>
      <c r="G33" s="32" t="s">
        <v>1460</v>
      </c>
      <c r="H33" s="33"/>
      <c r="I33" s="33"/>
    </row>
    <row r="34" s="5" customFormat="1" spans="1:9">
      <c r="A34" s="31">
        <v>45418</v>
      </c>
      <c r="B34" s="32"/>
      <c r="C34" s="32" t="s">
        <v>1461</v>
      </c>
      <c r="D34" s="36">
        <v>2</v>
      </c>
      <c r="E34" s="33">
        <v>25</v>
      </c>
      <c r="F34" s="33">
        <f t="shared" si="3"/>
        <v>50</v>
      </c>
      <c r="G34" s="32" t="s">
        <v>1460</v>
      </c>
      <c r="H34" s="33"/>
      <c r="I34" s="33"/>
    </row>
    <row r="35" s="7" customFormat="1" spans="1:9">
      <c r="A35" s="37">
        <v>45422</v>
      </c>
      <c r="B35" s="38"/>
      <c r="C35" s="38" t="s">
        <v>1462</v>
      </c>
      <c r="D35" s="6">
        <v>4</v>
      </c>
      <c r="E35" s="6">
        <v>190</v>
      </c>
      <c r="F35" s="6">
        <f t="shared" si="3"/>
        <v>760</v>
      </c>
      <c r="G35" s="6" t="s">
        <v>1463</v>
      </c>
      <c r="H35" s="6"/>
      <c r="I35" s="6"/>
    </row>
    <row r="36" s="5" customFormat="1" spans="1:9">
      <c r="A36" s="31">
        <v>45427</v>
      </c>
      <c r="B36" s="32"/>
      <c r="C36" s="32" t="s">
        <v>1464</v>
      </c>
      <c r="D36" s="33">
        <v>12</v>
      </c>
      <c r="E36" s="33">
        <v>25</v>
      </c>
      <c r="F36" s="33">
        <f t="shared" si="3"/>
        <v>300</v>
      </c>
      <c r="G36" s="33">
        <v>25.5</v>
      </c>
      <c r="H36" s="33"/>
      <c r="I36" s="33"/>
    </row>
    <row r="37" s="5" customFormat="1" spans="1:9">
      <c r="A37" s="31">
        <v>45427</v>
      </c>
      <c r="B37" s="32"/>
      <c r="C37" s="32" t="s">
        <v>1465</v>
      </c>
      <c r="D37" s="33">
        <v>8</v>
      </c>
      <c r="E37" s="33">
        <v>25</v>
      </c>
      <c r="F37" s="33">
        <f t="shared" si="3"/>
        <v>200</v>
      </c>
      <c r="G37" s="33">
        <v>25.5</v>
      </c>
      <c r="H37" s="33"/>
      <c r="I37" s="33"/>
    </row>
    <row r="38" s="7" customFormat="1" spans="1:9">
      <c r="A38" s="37">
        <v>45428</v>
      </c>
      <c r="B38" s="38"/>
      <c r="C38" s="38" t="s">
        <v>1465</v>
      </c>
      <c r="D38" s="6">
        <v>8</v>
      </c>
      <c r="E38" s="6">
        <v>25</v>
      </c>
      <c r="F38" s="6">
        <f t="shared" si="3"/>
        <v>200</v>
      </c>
      <c r="G38" s="6"/>
      <c r="H38" s="6" t="s">
        <v>1466</v>
      </c>
      <c r="I38" s="6"/>
    </row>
    <row r="39" s="5" customFormat="1" spans="1:9">
      <c r="A39" s="31">
        <v>45429</v>
      </c>
      <c r="B39" s="32"/>
      <c r="C39" s="32" t="s">
        <v>1467</v>
      </c>
      <c r="D39" s="33">
        <v>20</v>
      </c>
      <c r="E39" s="33">
        <v>25</v>
      </c>
      <c r="F39" s="6">
        <f t="shared" si="3"/>
        <v>500</v>
      </c>
      <c r="G39" s="33"/>
      <c r="H39" s="33"/>
      <c r="I39" s="33"/>
    </row>
    <row r="40" s="7" customFormat="1" spans="1:9">
      <c r="A40" s="37">
        <v>45449</v>
      </c>
      <c r="B40" s="38"/>
      <c r="C40" s="38" t="s">
        <v>1464</v>
      </c>
      <c r="D40" s="6">
        <v>12</v>
      </c>
      <c r="E40" s="6">
        <v>25</v>
      </c>
      <c r="F40" s="6">
        <f t="shared" si="3"/>
        <v>300</v>
      </c>
      <c r="G40" s="6"/>
      <c r="H40" s="6"/>
      <c r="I40" s="6"/>
    </row>
    <row r="41" s="7" customFormat="1" spans="1:9">
      <c r="A41" s="37">
        <v>45449</v>
      </c>
      <c r="B41" s="38"/>
      <c r="C41" s="38" t="s">
        <v>1465</v>
      </c>
      <c r="D41" s="6">
        <v>8</v>
      </c>
      <c r="E41" s="6">
        <v>25</v>
      </c>
      <c r="F41" s="6">
        <f t="shared" si="3"/>
        <v>200</v>
      </c>
      <c r="G41" s="6"/>
      <c r="H41" s="6"/>
      <c r="I41" s="6"/>
    </row>
    <row r="42" s="5" customFormat="1" spans="1:9">
      <c r="A42" s="5" t="s">
        <v>708</v>
      </c>
      <c r="B42" s="32"/>
      <c r="C42" s="32" t="s">
        <v>1458</v>
      </c>
      <c r="D42" s="35">
        <v>6</v>
      </c>
      <c r="E42" s="33">
        <v>190</v>
      </c>
      <c r="F42" s="33">
        <f t="shared" si="3"/>
        <v>1140</v>
      </c>
      <c r="G42" s="33"/>
      <c r="H42" s="33"/>
      <c r="I42" s="33"/>
    </row>
    <row r="43" s="5" customFormat="1" spans="1:9">
      <c r="A43" s="31">
        <v>45467</v>
      </c>
      <c r="C43" s="32" t="s">
        <v>1468</v>
      </c>
      <c r="D43" s="33"/>
      <c r="E43" s="33"/>
      <c r="F43" s="33"/>
      <c r="G43" s="33"/>
      <c r="H43" s="33"/>
      <c r="I43" s="33"/>
    </row>
    <row r="44" s="8" customFormat="1" spans="1:9">
      <c r="A44" s="39">
        <v>45470</v>
      </c>
      <c r="B44" s="40" t="s">
        <v>1469</v>
      </c>
      <c r="C44" s="41"/>
      <c r="D44" s="41"/>
      <c r="E44" s="41"/>
      <c r="F44" s="33"/>
      <c r="G44" s="41"/>
      <c r="H44" s="41"/>
      <c r="I44" s="41"/>
    </row>
    <row r="45" s="5" customFormat="1" spans="1:9">
      <c r="A45" s="31"/>
      <c r="B45" s="32"/>
      <c r="C45" s="33"/>
      <c r="D45" s="33"/>
      <c r="E45" s="33"/>
      <c r="F45" s="33"/>
      <c r="G45" s="33"/>
      <c r="H45" s="33"/>
      <c r="I45" s="33"/>
    </row>
    <row r="46" s="5" customFormat="1" spans="1:9">
      <c r="A46" s="5" t="s">
        <v>1470</v>
      </c>
      <c r="B46" s="32"/>
      <c r="C46" s="33" t="s">
        <v>1471</v>
      </c>
      <c r="D46" s="35">
        <v>6</v>
      </c>
      <c r="E46" s="33">
        <v>200</v>
      </c>
      <c r="F46" s="33">
        <f t="shared" ref="F46:F50" si="4">D46*E46</f>
        <v>1200</v>
      </c>
      <c r="G46" s="33"/>
      <c r="H46" s="33"/>
      <c r="I46" s="33"/>
    </row>
    <row r="47" s="5" customFormat="1" spans="1:9">
      <c r="A47" s="5" t="s">
        <v>1470</v>
      </c>
      <c r="B47" s="32"/>
      <c r="C47" s="33" t="s">
        <v>1472</v>
      </c>
      <c r="D47" s="35">
        <v>7</v>
      </c>
      <c r="E47" s="33">
        <v>185</v>
      </c>
      <c r="F47" s="33">
        <f t="shared" si="4"/>
        <v>1295</v>
      </c>
      <c r="G47" s="33"/>
      <c r="H47" s="33"/>
      <c r="I47" s="33"/>
    </row>
    <row r="48" s="9" customFormat="1" ht="13.5" spans="1:9">
      <c r="A48" s="42">
        <v>45705</v>
      </c>
      <c r="B48" s="9" t="s">
        <v>1473</v>
      </c>
      <c r="C48" s="9" t="s">
        <v>1474</v>
      </c>
      <c r="D48" s="43">
        <v>4</v>
      </c>
      <c r="E48" s="43">
        <v>25</v>
      </c>
      <c r="F48" s="9">
        <v>49</v>
      </c>
      <c r="G48" s="44">
        <f>SUM(D48*E48*F48)</f>
        <v>4900</v>
      </c>
      <c r="H48" s="45"/>
    </row>
    <row r="49" s="9" customFormat="1" ht="13.5" spans="1:9">
      <c r="A49" s="42">
        <v>45705</v>
      </c>
      <c r="B49" s="9" t="s">
        <v>1473</v>
      </c>
      <c r="C49" s="9" t="s">
        <v>1475</v>
      </c>
      <c r="D49" s="43">
        <v>8</v>
      </c>
      <c r="E49" s="43">
        <v>25</v>
      </c>
      <c r="F49" s="9">
        <v>26.5</v>
      </c>
      <c r="G49" s="44">
        <f>SUM(D49*E49*F49)</f>
        <v>5300</v>
      </c>
      <c r="H49" s="45">
        <f>SUM(G48:G49)</f>
        <v>10200</v>
      </c>
    </row>
    <row r="50" s="5" customFormat="1" spans="1:9">
      <c r="A50" s="31">
        <v>45709</v>
      </c>
      <c r="B50" s="32" t="s">
        <v>1476</v>
      </c>
      <c r="C50" s="32" t="s">
        <v>1467</v>
      </c>
      <c r="D50" s="33">
        <v>40</v>
      </c>
      <c r="E50" s="33">
        <v>25</v>
      </c>
      <c r="F50" s="6">
        <f t="shared" si="4"/>
        <v>1000</v>
      </c>
      <c r="G50" s="33"/>
      <c r="H50" s="33"/>
      <c r="I50" s="33"/>
    </row>
    <row r="51" s="5" customFormat="1" spans="1:9">
      <c r="B51" s="32"/>
      <c r="C51" s="33"/>
      <c r="D51" s="33"/>
      <c r="E51" s="33"/>
      <c r="F51" s="33"/>
      <c r="G51" s="33"/>
      <c r="H51" s="33"/>
      <c r="I51" s="33"/>
    </row>
    <row r="52" s="5" customFormat="1" spans="1:9">
      <c r="B52" s="32"/>
      <c r="C52" s="33"/>
      <c r="D52" s="33"/>
      <c r="E52" s="33"/>
      <c r="F52" s="33"/>
      <c r="G52" s="33"/>
      <c r="H52" s="33"/>
      <c r="I52" s="33"/>
    </row>
    <row r="53" s="5" customFormat="1" spans="1:9">
      <c r="B53" s="32"/>
      <c r="C53" s="33"/>
      <c r="D53" s="33"/>
      <c r="E53" s="33"/>
      <c r="F53" s="33"/>
      <c r="G53" s="33"/>
      <c r="H53" s="33"/>
      <c r="I53" s="33"/>
    </row>
    <row r="54" s="5" customFormat="1" spans="1:9">
      <c r="B54" s="32"/>
      <c r="C54" s="33"/>
      <c r="D54" s="33"/>
      <c r="E54" s="33"/>
      <c r="F54" s="33"/>
      <c r="G54" s="33"/>
      <c r="H54" s="33"/>
      <c r="I54" s="33"/>
    </row>
    <row r="55" s="5" customFormat="1" spans="1:9">
      <c r="B55" s="32"/>
      <c r="C55" s="33"/>
      <c r="D55" s="33"/>
      <c r="E55" s="33"/>
      <c r="F55" s="33"/>
      <c r="G55" s="33"/>
      <c r="H55" s="33"/>
      <c r="I55" s="33"/>
    </row>
    <row r="56" s="5" customFormat="1" spans="1:9">
      <c r="B56" s="32"/>
      <c r="C56" s="33"/>
      <c r="D56" s="33"/>
      <c r="E56" s="33"/>
      <c r="F56" s="33"/>
      <c r="G56" s="33"/>
      <c r="H56" s="33"/>
      <c r="I56" s="33"/>
    </row>
    <row r="57" s="5" customFormat="1" spans="1:9">
      <c r="B57" s="32"/>
      <c r="C57" s="33"/>
      <c r="D57" s="33"/>
      <c r="E57" s="33"/>
      <c r="F57" s="33"/>
      <c r="G57" s="33"/>
      <c r="H57" s="33"/>
      <c r="I57" s="33"/>
    </row>
  </sheetData>
  <mergeCells count="3">
    <mergeCell ref="A1:I1"/>
    <mergeCell ref="A15:C15"/>
    <mergeCell ref="I5:I6"/>
  </mergeCells>
  <pageMargins left="0.196527777777778" right="0.196527777777778" top="0.802777777777778" bottom="0.196527777777778" header="0.196527777777778" footer="0.5"/>
  <pageSetup paperSize="9" scale="63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贾总</vt:lpstr>
      <vt:lpstr>贾总出货</vt:lpstr>
      <vt:lpstr>25出货</vt:lpstr>
      <vt:lpstr>材料</vt:lpstr>
      <vt:lpstr>回款</vt:lpstr>
      <vt:lpstr>代号明细</vt:lpstr>
      <vt:lpstr>24材料明细</vt:lpstr>
      <vt:lpstr>贾总购原材料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2022-07-02T02:26:00Z</cp:lastPrinted>
  <dcterms:modified xsi:type="dcterms:W3CDTF">2026-01-22T01:25:12Z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C376BF1CEB134138BC77D4DAFFCA6C26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