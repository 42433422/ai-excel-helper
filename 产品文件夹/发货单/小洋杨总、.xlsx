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 tabRatio="606" activeTab="1"/>
  </bookViews>
  <sheets>
    <sheet name="24徐" sheetId="23" r:id="rId1"/>
    <sheet name="25出货" sheetId="28" r:id="rId2"/>
    <sheet name="出货" sheetId="24" state="hidden" r:id="rId3"/>
    <sheet name="报价" sheetId="21" state="hidden" r:id="rId4"/>
  </sheets>
  <definedNames>
    <definedName name="_xlnm._FilterDatabase" localSheetId="1" hidden="1">'25出货'!$A$2:$N$105</definedName>
    <definedName name="_xlnm._FilterDatabase" localSheetId="2" hidden="1">出货!$A$2:$N$273</definedName>
    <definedName name="_xlnm.Print_Area" localSheetId="0">'24徐'!$A$1:$J$21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<sst xmlns="http://schemas.openxmlformats.org/spreadsheetml/2006/main" count="1314" uniqueCount="317">
  <si>
    <t>成都国圣工业有限公司（五星花）送货单</t>
  </si>
  <si>
    <t>购货单位（乙）：小火洋      联系人：杨总        日期：2026年1月5日    订单编号：26-0100012A</t>
  </si>
  <si>
    <t>荣鑫顺家私</t>
  </si>
  <si>
    <t>谭总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</si>
  <si>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</si>
  <si>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</si>
  <si>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</si>
  <si>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</si>
  <si>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</si>
  <si>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</si>
  <si>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</si>
  <si>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</si>
  <si>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NC金属漆</t>
  </si>
  <si>
    <t>小火洋</t>
  </si>
  <si>
    <t>杨总</t>
  </si>
  <si>
    <t>NC硝基稀释剂</t>
  </si>
  <si>
    <t>尚美</t>
  </si>
  <si>
    <t>黄总</t>
  </si>
  <si>
    <t>新城鞋柜家私</t>
  </si>
  <si>
    <t>李总</t>
  </si>
  <si>
    <t>杰妮熊鞋柜家私</t>
  </si>
  <si>
    <t>陈总</t>
  </si>
  <si>
    <t>鑫顺吴总</t>
  </si>
  <si>
    <t>合   计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</si>
  <si>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</si>
  <si>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</si>
  <si>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</si>
  <si>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</si>
  <si>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</si>
  <si>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</si>
  <si>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</si>
  <si>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</si>
  <si>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25出货</t>
  </si>
  <si>
    <t>总金额</t>
  </si>
  <si>
    <t>厂名</t>
  </si>
  <si>
    <t>日期</t>
  </si>
  <si>
    <t>单号</t>
  </si>
  <si>
    <t>编号</t>
  </si>
  <si>
    <t>产品名称</t>
  </si>
  <si>
    <t>数量/件数</t>
  </si>
  <si>
    <t xml:space="preserve">数量/KG </t>
  </si>
  <si>
    <t>PU白底漆</t>
  </si>
  <si>
    <t>309A</t>
  </si>
  <si>
    <t>PU底漆固化剂</t>
  </si>
  <si>
    <t>303B</t>
  </si>
  <si>
    <t>402-2531</t>
  </si>
  <si>
    <t>PU亮光米灰色漆</t>
  </si>
  <si>
    <t>402-2146</t>
  </si>
  <si>
    <t>PU亮光玉兰白调色面漆</t>
  </si>
  <si>
    <t>452-2138</t>
  </si>
  <si>
    <t>PU亮光浅蓝金属漆</t>
  </si>
  <si>
    <t>407-111</t>
  </si>
  <si>
    <t>PU亮光象牙白色漆</t>
  </si>
  <si>
    <t>XH525</t>
  </si>
  <si>
    <t>PU亮光固化剂</t>
  </si>
  <si>
    <t>13号</t>
  </si>
  <si>
    <t>PU哑光浅灰蓝银珠漆</t>
  </si>
  <si>
    <t>406B</t>
  </si>
  <si>
    <t>PU亮光中灰色漆</t>
  </si>
  <si>
    <t>XH303</t>
  </si>
  <si>
    <t>PU哑光固化剂</t>
  </si>
  <si>
    <t>Z-343</t>
  </si>
  <si>
    <t>PU亮光浅棕金属漆</t>
  </si>
  <si>
    <t>样油</t>
  </si>
  <si>
    <t>PU哑光浅灰色漆</t>
  </si>
  <si>
    <t>已送</t>
  </si>
  <si>
    <t>奔奔熊鞋柜</t>
  </si>
  <si>
    <t xml:space="preserve">BBXAA
</t>
  </si>
  <si>
    <t>PE白底漆</t>
  </si>
  <si>
    <t>NN7101-4</t>
  </si>
  <si>
    <t>PU五分光浅灰色漆</t>
  </si>
  <si>
    <t>PU五分光白面漆</t>
  </si>
  <si>
    <t>餐哑白加2KG白浆</t>
  </si>
  <si>
    <t>BBX303</t>
  </si>
  <si>
    <t>402-2498</t>
  </si>
  <si>
    <t>PU亮光高级灰色漆</t>
  </si>
  <si>
    <t>鑫顺</t>
  </si>
  <si>
    <t>627AA</t>
  </si>
  <si>
    <t>PE特清底漆</t>
  </si>
  <si>
    <t>PU哑光青石绿银珠漆</t>
  </si>
  <si>
    <t>30号</t>
  </si>
  <si>
    <t>PU哑光香槟色漆</t>
  </si>
  <si>
    <t>19号</t>
  </si>
  <si>
    <t>PU哑光深灰色漆</t>
  </si>
  <si>
    <t>NN7101-4B</t>
  </si>
  <si>
    <t>PU七分光浅灰色漆</t>
  </si>
  <si>
    <t>将NN7101-4五分光调成七分光</t>
  </si>
  <si>
    <t>59号</t>
  </si>
  <si>
    <t>PU亮光灰绿色漆</t>
  </si>
  <si>
    <t>NN1351-4</t>
  </si>
  <si>
    <t>PU七分光中灰色漆</t>
  </si>
  <si>
    <t>干板样</t>
  </si>
  <si>
    <t>粉紫色修边漆</t>
  </si>
  <si>
    <t>48号</t>
  </si>
  <si>
    <t>PU底漆稀释剂</t>
  </si>
  <si>
    <t>已送：大桶8.5</t>
  </si>
  <si>
    <t>44号</t>
  </si>
  <si>
    <t>82号</t>
  </si>
  <si>
    <t>28号</t>
  </si>
  <si>
    <t>已退回：叫错货</t>
  </si>
  <si>
    <t>29号</t>
  </si>
  <si>
    <t>PU哑光白面漆</t>
  </si>
  <si>
    <t>餐哑白加1KG白浆</t>
  </si>
  <si>
    <t>46号</t>
  </si>
  <si>
    <t>608AA</t>
  </si>
  <si>
    <t>PE清底漆稀释剂</t>
  </si>
  <si>
    <t>55号</t>
  </si>
  <si>
    <t>见配方（配比1:0.3:0.7-0.9）</t>
  </si>
  <si>
    <t>5号</t>
  </si>
  <si>
    <t>24出货</t>
  </si>
  <si>
    <t>683A</t>
  </si>
  <si>
    <t>鸿扬</t>
  </si>
  <si>
    <t>石材专用白底漆</t>
  </si>
  <si>
    <t>PU五分光中灰色漆</t>
  </si>
  <si>
    <t>23-26</t>
  </si>
  <si>
    <t>PU哑光卡其灰色漆</t>
  </si>
  <si>
    <t>5023-3000</t>
  </si>
  <si>
    <t>PU哑光米灰砂面漆</t>
  </si>
  <si>
    <t>PU半哑浅灰色面漆</t>
  </si>
  <si>
    <t>原油改色</t>
  </si>
  <si>
    <t>PU半哑卡其色面漆</t>
  </si>
  <si>
    <t>PU哑光香槟银珠漆</t>
  </si>
  <si>
    <t>PU哑光沙灰色漆</t>
  </si>
  <si>
    <t>Z813-816</t>
  </si>
  <si>
    <t>PU哑光黑棕修色油</t>
  </si>
  <si>
    <t>PU哑光金色金属漆</t>
  </si>
  <si>
    <t>荣鑫顺</t>
  </si>
  <si>
    <t>RXSAA</t>
  </si>
  <si>
    <t>AA</t>
  </si>
  <si>
    <t>RXS27B</t>
  </si>
  <si>
    <t>PE封固底漆</t>
  </si>
  <si>
    <t>6827B</t>
  </si>
  <si>
    <t>PU哑光银灰砂面漆</t>
  </si>
  <si>
    <t>RXS303</t>
  </si>
  <si>
    <t>RXS04</t>
  </si>
  <si>
    <t>粉绿修边漆</t>
  </si>
  <si>
    <t>RXS02</t>
  </si>
  <si>
    <t>棕灰修边漆</t>
  </si>
  <si>
    <t>PU哑光粉晶银珠漆</t>
  </si>
  <si>
    <t>从本次起固化剂用大桶</t>
  </si>
  <si>
    <t>杰妮熊</t>
  </si>
  <si>
    <t>JNX793</t>
  </si>
  <si>
    <t>PU亮光白面漆</t>
  </si>
  <si>
    <t>元：GAA纯白面加3KG白浆）</t>
  </si>
  <si>
    <t>JNX525</t>
  </si>
  <si>
    <t>元525</t>
  </si>
  <si>
    <t>PU亮光黑面漆</t>
  </si>
  <si>
    <t>元3706:15kg+5KG :色浆</t>
  </si>
  <si>
    <t>PU亮光黑面专用固化剂</t>
  </si>
  <si>
    <t>JNX6827B</t>
  </si>
  <si>
    <t>JNX6821</t>
  </si>
  <si>
    <t>元AA</t>
  </si>
  <si>
    <t>天意：展柜</t>
  </si>
  <si>
    <t>6821AA</t>
  </si>
  <si>
    <t>TYGAA</t>
  </si>
  <si>
    <t>TY525</t>
  </si>
  <si>
    <t>TY850F</t>
  </si>
  <si>
    <t>元：普哑纯白面加3KG白浆）</t>
  </si>
  <si>
    <t>TY535F</t>
  </si>
  <si>
    <t>元535F</t>
  </si>
  <si>
    <t>1870B</t>
  </si>
  <si>
    <t>PU封固底漆</t>
  </si>
  <si>
    <t>1871M</t>
  </si>
  <si>
    <t>TY03-8</t>
  </si>
  <si>
    <t>PU哑光金黄色漆：三分光</t>
  </si>
  <si>
    <t>微信图片样</t>
  </si>
  <si>
    <t>6808A</t>
  </si>
  <si>
    <t>PE白底漆稀释剂</t>
  </si>
  <si>
    <t>9000A</t>
  </si>
  <si>
    <t>未付款</t>
  </si>
  <si>
    <t>9000F-1</t>
  </si>
  <si>
    <t>PU面漆稀释剂</t>
  </si>
  <si>
    <t>1#</t>
  </si>
  <si>
    <t>PU哑光粉绿色漆</t>
  </si>
  <si>
    <t>24#</t>
  </si>
  <si>
    <t>71#</t>
  </si>
  <si>
    <t>PU哑光深香槟银珠漆</t>
  </si>
  <si>
    <t>72#</t>
  </si>
  <si>
    <t>PU哑光紫色闪银漆</t>
  </si>
  <si>
    <t>PU哑光象牙白色漆</t>
  </si>
  <si>
    <t>PU哑光铁灰珠光砂面漆</t>
  </si>
  <si>
    <t>实送15桶（含换货4桶）：已调固含</t>
  </si>
  <si>
    <t>6821AAA</t>
  </si>
  <si>
    <t>9803:</t>
  </si>
  <si>
    <t>PU哑光古铜色银珠漆</t>
  </si>
  <si>
    <t>PU哑光中灰色漆</t>
  </si>
  <si>
    <t>PU亮光浅灰色漆</t>
  </si>
  <si>
    <t>GS-9B</t>
  </si>
  <si>
    <t>PU亮光橙色色漆</t>
  </si>
  <si>
    <t>XFC-608</t>
  </si>
  <si>
    <t>PU哑光珍珠棕-9银珠漆</t>
  </si>
  <si>
    <t>色板</t>
  </si>
  <si>
    <t>9804*</t>
  </si>
  <si>
    <t>303BA</t>
  </si>
  <si>
    <t>退回改色</t>
  </si>
  <si>
    <t>浅灰擦色、修色浆</t>
  </si>
  <si>
    <t>商标按修边漆的样板打印的</t>
  </si>
  <si>
    <t>2#</t>
  </si>
  <si>
    <t>黑胡桃擦色、修色浆</t>
  </si>
  <si>
    <t>3#</t>
  </si>
  <si>
    <t>柚木擦色、修色浆</t>
  </si>
  <si>
    <t>PU全哑清面漆</t>
  </si>
  <si>
    <t>全哑清面：1:0.5-0.6：0.6-0.8</t>
  </si>
  <si>
    <t>PU底得宝</t>
  </si>
  <si>
    <t>亿豪</t>
  </si>
  <si>
    <t>未开单</t>
  </si>
  <si>
    <t>PU亮光米黄色漆</t>
  </si>
  <si>
    <t>抽屉面样：徐新厂</t>
  </si>
  <si>
    <r>
      <rPr>
        <sz val="11"/>
        <color rgb="FFFF0000"/>
        <rFont val="宋体"/>
        <charset val="134"/>
      </rPr>
      <t>颜色已改</t>
    </r>
    <r>
      <rPr>
        <sz val="11"/>
        <color rgb="FF7030A0"/>
        <rFont val="宋体"/>
        <charset val="134"/>
      </rPr>
      <t>以干板样为准26KG/桶*5桶=130KG-100KG</t>
    </r>
  </si>
  <si>
    <t>PU哑光浅灰色漆：</t>
  </si>
  <si>
    <t>原油518改色：</t>
  </si>
  <si>
    <t>白色修边漆</t>
  </si>
  <si>
    <t>303BA:15/5日做</t>
  </si>
  <si>
    <t>PU闪银漆（亮光）</t>
  </si>
  <si>
    <t>元自干型闪银改为PU型的</t>
  </si>
  <si>
    <t>PU灰底漆</t>
  </si>
  <si>
    <t>9805：定制见配方</t>
  </si>
  <si>
    <t>PU亮光玉兰白色面漆</t>
  </si>
  <si>
    <t>JNX850F</t>
  </si>
  <si>
    <t>元：加3KG白浆/桶：3735做纯白面3分光的普哑</t>
  </si>
  <si>
    <t>JNX303</t>
  </si>
  <si>
    <t>元303B</t>
  </si>
  <si>
    <t>元 (525:18KG,2KGL-75)</t>
  </si>
  <si>
    <t>001#</t>
  </si>
  <si>
    <t>深灰修边漆</t>
  </si>
  <si>
    <t>40F</t>
  </si>
  <si>
    <t>干板样：7分光哑纯白面</t>
  </si>
  <si>
    <t xml:space="preserve">BBX303
</t>
  </si>
  <si>
    <t>4/7送的9805：定制见配方</t>
  </si>
  <si>
    <t>早上几桶商标打成RXSAA了</t>
  </si>
  <si>
    <t>银珠砂面</t>
  </si>
  <si>
    <t>PU哑光灰蓝砂面漆</t>
  </si>
  <si>
    <t>送的9805：定制见配方</t>
  </si>
  <si>
    <t>自干型</t>
  </si>
  <si>
    <t>浅棕修边漆</t>
  </si>
  <si>
    <t>透明腻子</t>
  </si>
  <si>
    <t>W6827B</t>
  </si>
  <si>
    <t>温总货</t>
  </si>
  <si>
    <t>PU哑光墨绿色漆</t>
  </si>
  <si>
    <t>43号</t>
  </si>
  <si>
    <t>PU哑光淡灰色漆</t>
  </si>
  <si>
    <t>七彩乐园货</t>
  </si>
  <si>
    <t>七彩乐园货LF</t>
  </si>
  <si>
    <t>87B</t>
  </si>
  <si>
    <t>PU哑光灰绿色漆</t>
  </si>
  <si>
    <t>87#改的颜色以后常用</t>
  </si>
  <si>
    <t>温总货：换货</t>
  </si>
  <si>
    <r>
      <rPr>
        <sz val="16"/>
        <color rgb="FFFF0000"/>
        <rFont val="宋体"/>
        <charset val="134"/>
      </rPr>
      <t>25/9</t>
    </r>
    <r>
      <rPr>
        <sz val="10"/>
        <color rgb="FFFF0000"/>
        <rFont val="宋体"/>
        <charset val="134"/>
      </rPr>
      <t>温总货：换货</t>
    </r>
  </si>
  <si>
    <t>RXS525</t>
  </si>
  <si>
    <t>525:要亮光的</t>
  </si>
  <si>
    <t>9804:</t>
  </si>
  <si>
    <t>以406哑中灰为样调成亮光的</t>
  </si>
  <si>
    <t>元3706:16.5kg+3.5KG国圣色浆</t>
  </si>
  <si>
    <t xml:space="preserve"> </t>
  </si>
  <si>
    <t xml:space="preserve">   </t>
  </si>
  <si>
    <t>退货</t>
  </si>
  <si>
    <t>浅灰修边漆</t>
  </si>
  <si>
    <t>用博旺X003改的银珠砂面</t>
  </si>
  <si>
    <t>泥黄色修边漆</t>
  </si>
  <si>
    <t>老李自用</t>
  </si>
  <si>
    <t>2、3#同色</t>
  </si>
  <si>
    <t>奶白修边漆</t>
  </si>
  <si>
    <t>4#</t>
  </si>
  <si>
    <t>浅灰色修边漆</t>
  </si>
  <si>
    <t>303B:要亮光的</t>
  </si>
  <si>
    <t>6832*</t>
  </si>
  <si>
    <t>DM22-2</t>
  </si>
  <si>
    <t>PU哑光灰蓝银珠砂面漆</t>
  </si>
  <si>
    <t>25年</t>
  </si>
  <si>
    <t>总计</t>
  </si>
  <si>
    <t>拉回色漆292KG改色</t>
  </si>
  <si>
    <t>未送货</t>
  </si>
  <si>
    <t>颜色待确认</t>
  </si>
  <si>
    <t>XFC-609</t>
  </si>
  <si>
    <t>PU哑光海棠灰-9银珠漆</t>
  </si>
  <si>
    <t>XFC-176</t>
  </si>
  <si>
    <t>PU哑光蜜桃粉-9砂面漆</t>
  </si>
  <si>
    <t>XFC-344</t>
  </si>
  <si>
    <t>PU哑光浅珍珠-9砂面漆</t>
  </si>
  <si>
    <t>荣鑫顺（迎扬电视墙）报价单（五星花包装）</t>
  </si>
  <si>
    <t>6.01已调价</t>
  </si>
  <si>
    <t>型号</t>
  </si>
  <si>
    <t>名称</t>
  </si>
  <si>
    <t>规格</t>
  </si>
  <si>
    <t>销售价</t>
  </si>
  <si>
    <t>备注</t>
  </si>
  <si>
    <t>kg/桶</t>
  </si>
  <si>
    <t>6827A</t>
  </si>
  <si>
    <t>PE清底漆</t>
  </si>
  <si>
    <t>PU白面漆</t>
  </si>
  <si>
    <t>象牙白</t>
  </si>
  <si>
    <t>PU实色浅色漆</t>
  </si>
  <si>
    <t>PU实色深色漆</t>
  </si>
  <si>
    <t>PU砂面漆、银珠</t>
  </si>
  <si>
    <t>6/3已调整</t>
  </si>
  <si>
    <t>PU银珠砂面、珠光砂面</t>
  </si>
  <si>
    <t>修边漆</t>
  </si>
  <si>
    <t>固化剂</t>
  </si>
  <si>
    <t>RXS376</t>
  </si>
  <si>
    <t>PU亮光清面漆</t>
  </si>
  <si>
    <t>3706A</t>
  </si>
  <si>
    <t>RXS171</t>
  </si>
  <si>
    <t>PU清底漆</t>
  </si>
  <si>
    <t>君旺家私（茶几、电视柜）</t>
  </si>
  <si>
    <r>
      <rPr>
        <sz val="16"/>
        <color rgb="FF000000"/>
        <rFont val="宋体"/>
        <charset val="134"/>
      </rPr>
      <t>型号</t>
    </r>
  </si>
  <si>
    <r>
      <rPr>
        <sz val="16"/>
        <color rgb="FF000000"/>
        <rFont val="宋体"/>
        <charset val="134"/>
      </rPr>
      <t>名称</t>
    </r>
  </si>
  <si>
    <r>
      <rPr>
        <sz val="16"/>
        <color rgb="FF000000"/>
        <rFont val="宋体"/>
        <charset val="134"/>
      </rPr>
      <t>规格</t>
    </r>
  </si>
  <si>
    <r>
      <rPr>
        <sz val="16"/>
        <color rgb="FF000000"/>
        <rFont val="宋体"/>
        <charset val="134"/>
      </rPr>
      <t>现金价</t>
    </r>
  </si>
  <si>
    <r>
      <rPr>
        <sz val="16"/>
        <color rgb="FF000000"/>
        <rFont val="宋体"/>
        <charset val="134"/>
      </rPr>
      <t>月结价</t>
    </r>
  </si>
  <si>
    <r>
      <rPr>
        <sz val="14"/>
        <rFont val="宋体"/>
        <charset val="134"/>
      </rPr>
      <t>JWAA</t>
    </r>
  </si>
  <si>
    <r>
      <rPr>
        <sz val="14"/>
        <rFont val="宋体"/>
        <charset val="134"/>
      </rPr>
      <t>PE白底漆</t>
    </r>
  </si>
  <si>
    <r>
      <rPr>
        <sz val="14"/>
        <rFont val="宋体"/>
        <charset val="134"/>
      </rPr>
      <t>kg/桶</t>
    </r>
  </si>
  <si>
    <r>
      <rPr>
        <sz val="14"/>
        <rFont val="宋体"/>
        <charset val="134"/>
      </rPr>
      <t>JW27B</t>
    </r>
  </si>
  <si>
    <r>
      <rPr>
        <sz val="14"/>
        <rFont val="宋体"/>
        <charset val="134"/>
      </rPr>
      <t>PE封固底漆</t>
    </r>
  </si>
  <si>
    <r>
      <rPr>
        <sz val="14"/>
        <rFont val="宋体"/>
        <charset val="134"/>
      </rPr>
      <t>PU实色漆</t>
    </r>
  </si>
  <si>
    <r>
      <rPr>
        <sz val="14"/>
        <rFont val="宋体"/>
        <charset val="134"/>
      </rPr>
      <t>PU固化剂</t>
    </r>
  </si>
  <si>
    <r>
      <rPr>
        <sz val="14"/>
        <rFont val="宋体"/>
        <charset val="134"/>
      </rPr>
      <t>PU砂面漆,银珠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</si>
</sst>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_);[Red]\(0.0\)"/>
    <numFmt numFmtId="178" formatCode="0.0_ "/>
    <numFmt numFmtId="179" formatCode="#,##0.0"/>
    <numFmt numFmtId="180" formatCode="0.00_ "/>
    <numFmt numFmtId="181" formatCode="General&quot;号&quot;"/>
    <numFmt numFmtId="182" formatCode="General&quot;桶&quot;"/>
    <numFmt numFmtId="183" formatCode="General&quot;罐&quot;"/>
    <numFmt numFmtId="184" formatCode="000000"/>
    <numFmt numFmtId="185" formatCode="[DBNum2][$RMB]General;[Red][DBNum2][$RMB]General"/>
    <numFmt numFmtId="186" formatCode="0_ "/>
  </numFmts>
  <fonts count="52">
    <font>
      <sz val="12"/>
      <name val="宋体"/>
      <charset val="134"/>
    </font>
    <font>
      <b/>
      <sz val="12"/>
      <name val="宋体"/>
      <charset val="134"/>
    </font>
    <font>
      <b/>
      <sz val="10"/>
      <color rgb="FF00B0F0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6"/>
      <color rgb="FF000000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sz val="8"/>
      <color rgb="FF00B0F0"/>
      <name val="宋体"/>
      <charset val="134"/>
    </font>
    <font>
      <sz val="16"/>
      <color rgb="FF00B0F0"/>
      <name val="宋体"/>
      <charset val="134"/>
    </font>
    <font>
      <sz val="14"/>
      <color rgb="FF00B0F0"/>
      <name val="宋体"/>
      <charset val="134"/>
    </font>
    <font>
      <sz val="16"/>
      <color rgb="FF7030A0"/>
      <name val="宋体"/>
      <charset val="134"/>
    </font>
    <font>
      <sz val="14"/>
      <color rgb="FF7030A0"/>
      <name val="宋体"/>
      <charset val="134"/>
    </font>
    <font>
      <sz val="14"/>
      <color rgb="FFFF0000"/>
      <name val="宋体"/>
      <charset val="134"/>
    </font>
    <font>
      <sz val="16"/>
      <color rgb="FFFF0000"/>
      <name val="宋体"/>
      <charset val="134"/>
    </font>
    <font>
      <sz val="8"/>
      <name val="宋体"/>
      <charset val="134"/>
    </font>
    <font>
      <sz val="10"/>
      <color rgb="FF7030A0"/>
      <name val="宋体"/>
      <charset val="134"/>
    </font>
    <font>
      <sz val="10"/>
      <name val="宋体"/>
      <charset val="134"/>
    </font>
    <font>
      <sz val="9"/>
      <color rgb="FF00B0F0"/>
      <name val="宋体"/>
      <charset val="134"/>
    </font>
    <font>
      <sz val="12"/>
      <color rgb="FF00B0F0"/>
      <name val="宋体"/>
      <charset val="134"/>
    </font>
    <font>
      <sz val="9"/>
      <name val="宋体"/>
      <charset val="134"/>
    </font>
    <font>
      <sz val="10"/>
      <color rgb="FF00B0F0"/>
      <name val="宋体"/>
      <charset val="134"/>
    </font>
    <font>
      <sz val="11"/>
      <color rgb="FFFF0000"/>
      <name val="宋体"/>
      <charset val="134"/>
    </font>
    <font>
      <sz val="12"/>
      <color rgb="FF7030A0"/>
      <name val="宋体"/>
      <charset val="134"/>
    </font>
    <font>
      <sz val="9"/>
      <color rgb="FFFF0000"/>
      <name val="宋体"/>
      <charset val="134"/>
    </font>
    <font>
      <sz val="12"/>
      <color rgb="FFFF0000"/>
      <name val="宋体"/>
      <charset val="134"/>
    </font>
    <font>
      <sz val="10"/>
      <color rgb="FFFF0000"/>
      <name val="宋体"/>
      <charset val="134"/>
    </font>
    <font>
      <b/>
      <sz val="12"/>
      <color rgb="FF00B0F0"/>
      <name val="宋体"/>
      <charset val="134"/>
    </font>
    <font>
      <sz val="2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7030A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" borderId="15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" borderId="18" applyNumberFormat="0" applyAlignment="0" applyProtection="0">
      <alignment vertical="center"/>
    </xf>
    <xf numFmtId="0" fontId="40" fillId="4" borderId="19" applyNumberFormat="0" applyAlignment="0" applyProtection="0">
      <alignment vertical="center"/>
    </xf>
    <xf numFmtId="0" fontId="41" fillId="4" borderId="18" applyNumberFormat="0" applyAlignment="0" applyProtection="0">
      <alignment vertical="center"/>
    </xf>
    <xf numFmtId="0" fontId="42" fillId="5" borderId="20" applyNumberFormat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0" fillId="0" borderId="0"/>
    <xf numFmtId="0" fontId="50" fillId="8" borderId="0" applyNumberFormat="0" applyBorder="0" applyAlignment="0" applyProtection="0">
      <alignment vertical="center"/>
    </xf>
    <xf numFmtId="0" fontId="30" fillId="0" borderId="0"/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</cellStyleXfs>
  <cellXfs count="1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53" applyFont="1" applyBorder="1" applyAlignment="1">
      <alignment horizontal="center" vertical="center"/>
    </xf>
    <xf numFmtId="0" fontId="3" fillId="0" borderId="1" xfId="53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8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180" fontId="7" fillId="0" borderId="6" xfId="0" applyNumberFormat="1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left" vertical="center"/>
    </xf>
    <xf numFmtId="180" fontId="7" fillId="0" borderId="6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1" xfId="0" applyFont="1" applyBorder="1">
      <alignment vertical="center"/>
    </xf>
    <xf numFmtId="0" fontId="8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  <xf numFmtId="0" fontId="11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3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58" fontId="9" fillId="0" borderId="1" xfId="0" applyNumberFormat="1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57" fontId="9" fillId="0" borderId="1" xfId="54" applyNumberFormat="1" applyFont="1" applyBorder="1" applyAlignment="1">
      <alignment horizontal="left" vertical="center"/>
    </xf>
    <xf numFmtId="182" fontId="9" fillId="0" borderId="1" xfId="0" applyNumberFormat="1" applyFont="1" applyFill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1" xfId="0" applyFont="1" applyBorder="1">
      <alignment vertical="center"/>
    </xf>
    <xf numFmtId="58" fontId="8" fillId="0" borderId="0" xfId="0" applyNumberFormat="1" applyFont="1" applyBorder="1" applyAlignment="1">
      <alignment horizontal="left" vertical="center"/>
    </xf>
    <xf numFmtId="181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82" fontId="8" fillId="0" borderId="0" xfId="0" applyNumberFormat="1" applyFont="1" applyFill="1" applyBorder="1" applyAlignment="1">
      <alignment horizontal="center" vertical="center"/>
    </xf>
    <xf numFmtId="180" fontId="8" fillId="0" borderId="0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58" fontId="10" fillId="0" borderId="0" xfId="0" applyNumberFormat="1" applyFont="1" applyBorder="1" applyAlignment="1">
      <alignment horizontal="left" vertical="center"/>
    </xf>
    <xf numFmtId="181" fontId="10" fillId="0" borderId="0" xfId="0" applyNumberFormat="1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182" fontId="10" fillId="0" borderId="0" xfId="0" applyNumberFormat="1" applyFont="1" applyFill="1" applyBorder="1" applyAlignment="1">
      <alignment horizontal="center" vertical="center"/>
    </xf>
    <xf numFmtId="180" fontId="10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58" fontId="8" fillId="0" borderId="0" xfId="0" applyNumberFormat="1" applyFont="1" applyBorder="1" applyAlignment="1">
      <alignment horizontal="center" vertical="center"/>
    </xf>
    <xf numFmtId="0" fontId="8" fillId="0" borderId="0" xfId="54" applyFont="1" applyBorder="1" applyAlignment="1">
      <alignment horizontal="left" vertical="center"/>
    </xf>
    <xf numFmtId="58" fontId="10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54" applyFont="1" applyBorder="1" applyAlignment="1">
      <alignment horizontal="left" vertical="center"/>
    </xf>
    <xf numFmtId="0" fontId="15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58" fontId="12" fillId="0" borderId="0" xfId="0" applyNumberFormat="1" applyFont="1" applyBorder="1" applyAlignment="1">
      <alignment horizontal="left" vertical="center"/>
    </xf>
    <xf numFmtId="181" fontId="12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182" fontId="12" fillId="0" borderId="0" xfId="0" applyNumberFormat="1" applyFont="1" applyFill="1" applyBorder="1" applyAlignment="1">
      <alignment horizontal="center" vertical="center"/>
    </xf>
    <xf numFmtId="180" fontId="12" fillId="0" borderId="0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Font="1">
      <alignment vertical="center"/>
    </xf>
    <xf numFmtId="0" fontId="21" fillId="0" borderId="0" xfId="0" applyFont="1">
      <alignment vertical="center"/>
    </xf>
    <xf numFmtId="178" fontId="10" fillId="0" borderId="0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58" fontId="15" fillId="0" borderId="0" xfId="0" applyNumberFormat="1" applyFont="1" applyBorder="1" applyAlignment="1">
      <alignment horizontal="left" vertical="center"/>
    </xf>
    <xf numFmtId="181" fontId="15" fillId="0" borderId="0" xfId="0" applyNumberFormat="1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54" applyFont="1" applyBorder="1" applyAlignment="1">
      <alignment horizontal="left" vertical="center"/>
    </xf>
    <xf numFmtId="182" fontId="15" fillId="0" borderId="0" xfId="0" applyNumberFormat="1" applyFont="1" applyFill="1" applyBorder="1" applyAlignment="1">
      <alignment horizontal="center" vertical="center"/>
    </xf>
    <xf numFmtId="180" fontId="15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58" fontId="15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23" fillId="0" borderId="0" xfId="0" applyFont="1">
      <alignment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54" applyFont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58" fontId="12" fillId="0" borderId="0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183" fontId="10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8" fillId="0" borderId="0" xfId="0" applyFont="1" applyAlignment="1">
      <alignment horizontal="right" vertical="center"/>
    </xf>
    <xf numFmtId="5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Font="1" applyBorder="1">
      <alignment vertical="center"/>
    </xf>
    <xf numFmtId="0" fontId="20" fillId="0" borderId="0" xfId="0" applyFont="1" applyBorder="1">
      <alignment vertical="center"/>
    </xf>
    <xf numFmtId="0" fontId="20" fillId="0" borderId="0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8" fillId="0" borderId="0" xfId="0" applyFont="1" applyBorder="1">
      <alignment vertical="center"/>
    </xf>
    <xf numFmtId="181" fontId="8" fillId="0" borderId="0" xfId="0" applyNumberFormat="1" applyFont="1" applyBorder="1" applyAlignment="1">
      <alignment horizontal="center" vertical="center"/>
    </xf>
    <xf numFmtId="181" fontId="15" fillId="0" borderId="0" xfId="0" applyNumberFormat="1" applyFont="1" applyBorder="1" applyAlignment="1">
      <alignment horizontal="center" vertical="center"/>
    </xf>
    <xf numFmtId="181" fontId="10" fillId="0" borderId="0" xfId="0" applyNumberFormat="1" applyFont="1" applyBorder="1" applyAlignment="1">
      <alignment horizontal="center" vertical="center"/>
    </xf>
    <xf numFmtId="0" fontId="26" fillId="0" borderId="0" xfId="0" applyFont="1" applyBorder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9" fillId="0" borderId="0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vertical="center"/>
    </xf>
    <xf numFmtId="0" fontId="8" fillId="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82" fontId="15" fillId="0" borderId="1" xfId="0" applyNumberFormat="1" applyFont="1" applyFill="1" applyBorder="1" applyAlignment="1">
      <alignment horizontal="center" vertical="center"/>
    </xf>
    <xf numFmtId="180" fontId="15" fillId="0" borderId="1" xfId="0" applyNumberFormat="1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82" fontId="10" fillId="0" borderId="1" xfId="0" applyNumberFormat="1" applyFont="1" applyFill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82" fontId="8" fillId="0" borderId="1" xfId="0" applyNumberFormat="1" applyFont="1" applyFill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0" fontId="10" fillId="0" borderId="1" xfId="54" applyFont="1" applyBorder="1" applyAlignment="1">
      <alignment horizontal="left" vertical="center"/>
    </xf>
    <xf numFmtId="178" fontId="10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Border="1" applyAlignment="1">
      <alignment vertical="center"/>
    </xf>
    <xf numFmtId="184" fontId="8" fillId="0" borderId="1" xfId="0" applyNumberFormat="1" applyFont="1" applyFill="1" applyBorder="1" applyAlignment="1">
      <alignment horizontal="left" vertical="center"/>
    </xf>
    <xf numFmtId="185" fontId="8" fillId="0" borderId="1" xfId="0" applyNumberFormat="1" applyFont="1" applyFill="1" applyBorder="1" applyAlignment="1">
      <alignment horizontal="left" vertical="center"/>
    </xf>
    <xf numFmtId="186" fontId="10" fillId="0" borderId="1" xfId="0" applyNumberFormat="1" applyFont="1" applyBorder="1" applyAlignment="1">
      <alignment horizontal="center" vertical="center"/>
    </xf>
    <xf numFmtId="0" fontId="7" fillId="0" borderId="8" xfId="0" applyFont="1" applyFill="1" applyBorder="1" applyAlignment="1">
      <alignment horizontal="left" vertical="center" textRotation="255"/>
    </xf>
    <xf numFmtId="0" fontId="7" fillId="0" borderId="9" xfId="0" applyFont="1" applyFill="1" applyBorder="1" applyAlignment="1">
      <alignment horizontal="left" vertical="center" wrapText="1" readingOrder="1"/>
    </xf>
    <xf numFmtId="0" fontId="7" fillId="0" borderId="10" xfId="0" applyFont="1" applyFill="1" applyBorder="1" applyAlignment="1">
      <alignment horizontal="left" vertical="center" wrapText="1" readingOrder="1"/>
    </xf>
    <xf numFmtId="0" fontId="7" fillId="0" borderId="11" xfId="0" applyFont="1" applyFill="1" applyBorder="1" applyAlignment="1">
      <alignment horizontal="left" vertical="center" textRotation="255"/>
    </xf>
    <xf numFmtId="0" fontId="7" fillId="0" borderId="0" xfId="0" applyFont="1" applyFill="1" applyBorder="1" applyAlignment="1">
      <alignment horizontal="left" vertical="center" wrapText="1" readingOrder="1"/>
    </xf>
    <xf numFmtId="0" fontId="7" fillId="0" borderId="12" xfId="0" applyFont="1" applyFill="1" applyBorder="1" applyAlignment="1">
      <alignment horizontal="left" vertical="center" textRotation="255"/>
    </xf>
    <xf numFmtId="0" fontId="7" fillId="0" borderId="13" xfId="0" applyFont="1" applyFill="1" applyBorder="1" applyAlignment="1">
      <alignment horizontal="left" vertical="center" wrapText="1" readingOrder="1"/>
    </xf>
    <xf numFmtId="0" fontId="7" fillId="0" borderId="14" xfId="0" applyFont="1" applyFill="1" applyBorder="1" applyAlignment="1">
      <alignment horizontal="left" vertical="center" wrapText="1" readingOrder="1"/>
    </xf>
    <xf numFmtId="0" fontId="7" fillId="0" borderId="0" xfId="0" applyFont="1" applyFill="1" applyBorder="1" applyAlignment="1">
      <alignment horizontal="left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9" xfId="49"/>
    <cellStyle name="适中 2 4 2" xfId="50"/>
    <cellStyle name="常规 33" xfId="51"/>
    <cellStyle name="常规 38 2" xfId="52"/>
    <cellStyle name="常规 4 2" xfId="53"/>
    <cellStyle name="常规 5 2" xfId="54"/>
    <cellStyle name="货币 4 3 2" xfId="55"/>
  </cellStyles>
  <tableStyles count="1" defaultTableStyle="TableStyleMedium9" defaultPivotStyle="PivotStyleLight16">
    <tableStyle name="表样式 1" pivot="0" count="0" xr9:uid="{7BCD9986-D59C-43E0-88DB-DE60FD7266A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1"/>
  <sheetViews>
    <sheetView workbookViewId="0">
      <selection activeCell="A4" sqref="A4:I5"/>
    </sheetView>
  </sheetViews>
  <sheetFormatPr defaultColWidth="9" defaultRowHeight="14.25"/>
  <cols>
    <col min="1" max="1" width="3.50833333333333" customWidth="1"/>
    <col min="2" max="2" width="2.25833333333333" customWidth="1"/>
    <col min="3" max="3" width="13.375" customWidth="1"/>
    <col min="4" max="4" width="28" customWidth="1"/>
    <col min="5" max="5" width="11.7583333333333" customWidth="1"/>
    <col min="6" max="6" width="12.0083333333333" customWidth="1"/>
    <col min="7" max="7" width="12.875" customWidth="1"/>
    <col min="8" max="8" width="11.625" customWidth="1"/>
    <col min="9" max="9" width="18.5083333333333" customWidth="1"/>
    <col min="10" max="10" width="14.875" customWidth="1"/>
  </cols>
  <sheetData>
    <row r="1" s="130" customFormat="1" ht="34" customHeight="1" spans="1:15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</row>
    <row r="2" s="131" customFormat="1" ht="38" customHeight="1" spans="1:1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M2" s="131" t="s">
        <v>2</v>
      </c>
      <c r="O2" s="44" t="s">
        <v>3</v>
      </c>
    </row>
    <row r="3" s="44" customFormat="1" ht="27" customHeight="1" spans="1:15">
      <c r="A3" s="133" t="s">
        <v>4</v>
      </c>
      <c r="B3" s="133"/>
      <c r="C3" s="133"/>
      <c r="D3" s="134" t="s">
        <v>5</v>
      </c>
      <c r="E3" s="134" t="s">
        <v>6</v>
      </c>
      <c r="F3" s="134" t="s">
        <v>7</v>
      </c>
      <c r="G3" s="134" t="s">
        <v>8</v>
      </c>
      <c r="H3" s="134" t="s">
        <v>9</v>
      </c>
      <c r="I3" s="134" t="s">
        <v>10</v>
      </c>
      <c r="J3" s="134" t="s">
        <v>11</v>
      </c>
      <c r="K3" s="32"/>
      <c r="L3" s="32"/>
    </row>
    <row r="4" s="44" customFormat="1" ht="24" customHeight="1" spans="1:15">
      <c r="A4" s="135">
        <v>106360</v>
      </c>
      <c r="B4" s="135"/>
      <c r="C4" s="135"/>
      <c r="D4" s="136" t="s">
        <v>12</v>
      </c>
      <c r="E4" s="137">
        <v>6</v>
      </c>
      <c r="F4" s="135">
        <v>20</v>
      </c>
      <c r="G4" s="135">
        <f>E4*F4</f>
        <v>120</v>
      </c>
      <c r="H4" s="138">
        <v>22</v>
      </c>
      <c r="I4" s="138">
        <f>G4*H4</f>
        <v>2640</v>
      </c>
      <c r="J4" s="139"/>
      <c r="K4" s="32"/>
      <c r="L4" s="32"/>
      <c r="M4" s="44" t="s">
        <v>13</v>
      </c>
      <c r="N4" s="44" t="s">
        <v>14</v>
      </c>
    </row>
    <row r="5" s="44" customFormat="1" ht="24" customHeight="1" spans="1:15">
      <c r="A5" s="140"/>
      <c r="B5" s="140"/>
      <c r="C5" s="140"/>
      <c r="D5" s="141" t="s">
        <v>15</v>
      </c>
      <c r="E5" s="142">
        <v>6</v>
      </c>
      <c r="F5" s="140">
        <v>18</v>
      </c>
      <c r="G5" s="140">
        <f>E5*F5</f>
        <v>108</v>
      </c>
      <c r="H5" s="143">
        <v>9</v>
      </c>
      <c r="I5" s="143">
        <f>G5*H5</f>
        <v>972</v>
      </c>
      <c r="J5" s="133"/>
      <c r="K5" s="32"/>
      <c r="L5" s="32"/>
      <c r="M5" s="44" t="s">
        <v>13</v>
      </c>
      <c r="N5" s="44" t="s">
        <v>14</v>
      </c>
    </row>
    <row r="6" s="44" customFormat="1" ht="24" customHeight="1" spans="1:15">
      <c r="A6" s="140"/>
      <c r="B6" s="140"/>
      <c r="C6" s="140"/>
      <c r="D6" s="141"/>
      <c r="E6" s="142"/>
      <c r="F6" s="140"/>
      <c r="G6" s="140"/>
      <c r="H6" s="143"/>
      <c r="I6" s="143"/>
      <c r="J6" s="139"/>
      <c r="K6" s="32"/>
      <c r="L6" s="32"/>
    </row>
    <row r="7" s="44" customFormat="1" ht="24" customHeight="1" spans="1:15">
      <c r="A7" s="140"/>
      <c r="B7" s="140"/>
      <c r="C7" s="140"/>
      <c r="D7" s="141"/>
      <c r="E7" s="142"/>
      <c r="F7" s="140"/>
      <c r="G7" s="140"/>
      <c r="H7" s="143"/>
      <c r="I7" s="143"/>
      <c r="J7" s="133"/>
      <c r="K7" s="32"/>
      <c r="L7" s="32"/>
      <c r="M7" s="44" t="s">
        <v>16</v>
      </c>
      <c r="N7" s="44" t="s">
        <v>17</v>
      </c>
    </row>
    <row r="8" s="44" customFormat="1" ht="24" customHeight="1" spans="1:15">
      <c r="A8" s="144"/>
      <c r="B8" s="144"/>
      <c r="C8" s="144"/>
      <c r="D8" s="145"/>
      <c r="E8" s="146"/>
      <c r="F8" s="144"/>
      <c r="G8" s="144"/>
      <c r="H8" s="147"/>
      <c r="I8" s="147"/>
      <c r="J8" s="133"/>
      <c r="M8" s="44" t="s">
        <v>18</v>
      </c>
      <c r="O8" s="44" t="s">
        <v>19</v>
      </c>
    </row>
    <row r="9" s="44" customFormat="1" ht="24" customHeight="1" spans="1:15">
      <c r="A9" s="135"/>
      <c r="B9" s="135"/>
      <c r="C9" s="135"/>
      <c r="D9" s="136"/>
      <c r="E9" s="137"/>
      <c r="F9" s="135"/>
      <c r="G9" s="135"/>
      <c r="H9" s="138"/>
      <c r="I9" s="138"/>
      <c r="J9" s="133"/>
    </row>
    <row r="10" s="44" customFormat="1" ht="24" customHeight="1" spans="1:15">
      <c r="A10" s="144"/>
      <c r="B10" s="144"/>
      <c r="C10" s="144"/>
      <c r="D10" s="145"/>
      <c r="E10" s="146"/>
      <c r="F10" s="144"/>
      <c r="G10" s="140"/>
      <c r="H10" s="147"/>
      <c r="I10" s="143"/>
      <c r="J10" s="133"/>
      <c r="M10" s="44" t="s">
        <v>20</v>
      </c>
    </row>
    <row r="11" s="44" customFormat="1" ht="24" customHeight="1" spans="1:15">
      <c r="A11" s="140"/>
      <c r="B11" s="140"/>
      <c r="C11" s="140"/>
      <c r="D11" s="141"/>
      <c r="E11" s="142"/>
      <c r="F11" s="140"/>
      <c r="G11" s="140"/>
      <c r="H11" s="143"/>
      <c r="I11" s="143"/>
      <c r="J11" s="133"/>
      <c r="M11" s="44" t="s">
        <v>21</v>
      </c>
    </row>
    <row r="12" s="44" customFormat="1" ht="24" customHeight="1" spans="1:15">
      <c r="A12" s="140"/>
      <c r="B12" s="140"/>
      <c r="C12" s="140"/>
      <c r="D12" s="148"/>
      <c r="E12" s="142"/>
      <c r="F12" s="140"/>
      <c r="G12" s="140"/>
      <c r="H12" s="143"/>
      <c r="I12" s="143"/>
      <c r="J12" s="133"/>
      <c r="M12" s="44" t="s">
        <v>22</v>
      </c>
    </row>
    <row r="13" s="44" customFormat="1" ht="24" customHeight="1" spans="1:15">
      <c r="A13" s="140"/>
      <c r="B13" s="140"/>
      <c r="C13" s="140"/>
      <c r="D13" s="141"/>
      <c r="E13" s="142"/>
      <c r="F13" s="140"/>
      <c r="G13" s="140"/>
      <c r="H13" s="149"/>
      <c r="I13" s="143"/>
      <c r="J13" s="133"/>
    </row>
    <row r="14" s="44" customFormat="1" ht="24" customHeight="1" spans="1:15">
      <c r="A14" s="150" t="s">
        <v>23</v>
      </c>
      <c r="B14" s="150"/>
      <c r="C14" s="150"/>
      <c r="D14" s="150"/>
      <c r="E14" s="150">
        <f>SUM(E4:E13)</f>
        <v>12</v>
      </c>
      <c r="F14" s="150"/>
      <c r="G14" s="150"/>
      <c r="H14" s="151"/>
      <c r="I14" s="143"/>
      <c r="J14" s="133"/>
      <c r="N14" s="139"/>
    </row>
    <row r="15" s="44" customFormat="1" ht="24" customHeight="1" spans="1:15">
      <c r="A15" s="152" t="s">
        <v>24</v>
      </c>
      <c r="B15" s="152"/>
      <c r="C15" s="152"/>
      <c r="D15" s="153">
        <f>I15</f>
        <v>3612</v>
      </c>
      <c r="E15" s="153"/>
      <c r="F15" s="153"/>
      <c r="G15" s="153"/>
      <c r="H15" s="153"/>
      <c r="I15" s="154">
        <f>SUM(I4:I14)</f>
        <v>3612</v>
      </c>
      <c r="J15" s="133"/>
    </row>
    <row r="16" ht="20" customHeight="1" spans="1:15">
      <c r="A16" s="155" t="s">
        <v>25</v>
      </c>
      <c r="B16" s="156" t="s">
        <v>26</v>
      </c>
      <c r="C16" s="156"/>
      <c r="D16" s="156"/>
      <c r="E16" s="156"/>
      <c r="F16" s="156"/>
      <c r="G16" s="156"/>
      <c r="H16" s="156"/>
      <c r="I16" s="156"/>
      <c r="J16" s="157"/>
      <c r="K16" s="44"/>
    </row>
    <row r="17" ht="20" customHeight="1" spans="1:10">
      <c r="A17" s="158"/>
      <c r="B17" s="159" t="s">
        <v>27</v>
      </c>
      <c r="C17" s="159"/>
      <c r="D17" s="159"/>
      <c r="E17" s="159"/>
      <c r="F17" s="159"/>
      <c r="G17" s="159"/>
      <c r="H17" s="159"/>
      <c r="I17" s="159"/>
      <c r="J17" s="157"/>
    </row>
    <row r="18" ht="20" customHeight="1" spans="1:10">
      <c r="A18" s="158"/>
      <c r="B18" s="159"/>
      <c r="C18" s="159" t="s">
        <v>28</v>
      </c>
      <c r="D18" s="159"/>
      <c r="E18" s="159"/>
      <c r="F18" s="159"/>
      <c r="G18" s="159"/>
      <c r="H18" s="159"/>
      <c r="I18" s="159"/>
      <c r="J18" s="157"/>
    </row>
    <row r="19" ht="20" customHeight="1" spans="1:10">
      <c r="A19" s="160"/>
      <c r="B19" s="161" t="s">
        <v>29</v>
      </c>
      <c r="C19" s="161"/>
      <c r="D19" s="161"/>
      <c r="E19" s="161"/>
      <c r="F19" s="161"/>
      <c r="G19" s="161"/>
      <c r="H19" s="161"/>
      <c r="I19" s="161"/>
      <c r="J19" s="162"/>
    </row>
    <row r="20" ht="20" customHeight="1" spans="1:10">
      <c r="A20" s="163" t="s">
        <v>30</v>
      </c>
      <c r="B20" s="163"/>
      <c r="C20" s="163"/>
      <c r="D20" s="163"/>
      <c r="E20" s="163"/>
      <c r="F20" s="163"/>
      <c r="G20" s="163"/>
      <c r="H20" s="163"/>
      <c r="I20" s="163"/>
      <c r="J20" s="163"/>
    </row>
    <row r="21" ht="20" customHeight="1" spans="1:10">
      <c r="A21" s="163" t="s">
        <v>31</v>
      </c>
      <c r="B21" s="163"/>
      <c r="C21" s="163"/>
      <c r="D21" s="163"/>
      <c r="E21" s="163"/>
      <c r="F21" s="163"/>
      <c r="G21" s="163"/>
      <c r="H21" s="163"/>
      <c r="I21" s="163"/>
      <c r="J21" s="163"/>
    </row>
  </sheetData>
  <mergeCells count="23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A16:A19"/>
  </mergeCells>
  <printOptions horizontalCentered="1"/>
  <pageMargins left="0.196527777777778" right="0.196527777777778" top="0.196527777777778" bottom="0.196527777777778" header="0.298611111111111" footer="0.298611111111111"/>
  <pageSetup paperSize="9" scale="72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tabSelected="1" topLeftCell="A90" workbookViewId="0">
      <selection activeCell="N109" sqref="N109"/>
    </sheetView>
  </sheetViews>
  <sheetFormatPr defaultColWidth="9" defaultRowHeight="14.25"/>
  <cols>
    <col min="1" max="1" width="14.875" customWidth="1"/>
    <col min="2" max="2" width="11.625" customWidth="1"/>
    <col min="5" max="5" width="8.875" customWidth="1"/>
    <col min="6" max="6" width="9" hidden="1" customWidth="1"/>
    <col min="7" max="7" width="27.625" customWidth="1"/>
    <col min="11" max="11" width="9.875"/>
    <col min="12" max="12" width="12.875"/>
    <col min="13" max="13" width="14.375" customWidth="1"/>
  </cols>
  <sheetData>
    <row r="1" s="31" customFormat="1" ht="21" customHeight="1" spans="1:14">
      <c r="A1" s="45" t="s">
        <v>32</v>
      </c>
      <c r="B1" s="46"/>
      <c r="C1" s="47"/>
      <c r="D1" s="45"/>
      <c r="E1" s="45"/>
      <c r="F1" s="45"/>
      <c r="G1" s="48"/>
      <c r="H1" s="49"/>
      <c r="I1" s="45"/>
      <c r="J1" s="122" t="s">
        <v>33</v>
      </c>
      <c r="K1" s="123"/>
      <c r="L1" s="50">
        <f>SUM(L3:L27)</f>
        <v>12677.1</v>
      </c>
      <c r="M1" s="51"/>
      <c r="N1" s="45"/>
    </row>
    <row r="2" s="31" customFormat="1" ht="18" customHeight="1" spans="1:14">
      <c r="A2" s="45" t="s">
        <v>34</v>
      </c>
      <c r="B2" s="46" t="s">
        <v>35</v>
      </c>
      <c r="C2" s="47" t="s">
        <v>36</v>
      </c>
      <c r="D2" s="45" t="s">
        <v>37</v>
      </c>
      <c r="E2" s="45"/>
      <c r="F2" s="45"/>
      <c r="G2" s="48" t="s">
        <v>38</v>
      </c>
      <c r="H2" s="49" t="s">
        <v>39</v>
      </c>
      <c r="I2" s="45" t="s">
        <v>7</v>
      </c>
      <c r="J2" s="45" t="s">
        <v>40</v>
      </c>
      <c r="K2" s="50" t="s">
        <v>9</v>
      </c>
      <c r="L2" s="50" t="s">
        <v>10</v>
      </c>
      <c r="M2" s="52"/>
      <c r="N2" s="45"/>
    </row>
    <row r="3" s="35" customFormat="1" ht="20.25" spans="1:14">
      <c r="A3" s="60" t="s">
        <v>13</v>
      </c>
      <c r="B3" s="70">
        <v>45661</v>
      </c>
      <c r="C3" s="62">
        <v>13</v>
      </c>
      <c r="D3" s="63">
        <v>3712</v>
      </c>
      <c r="E3" s="63"/>
      <c r="F3" s="63"/>
      <c r="G3" s="64" t="s">
        <v>41</v>
      </c>
      <c r="H3" s="65">
        <v>1</v>
      </c>
      <c r="I3" s="63">
        <v>25</v>
      </c>
      <c r="J3" s="63">
        <f t="shared" ref="J3:J10" si="0">H3*I3</f>
        <v>25</v>
      </c>
      <c r="K3" s="66">
        <v>12</v>
      </c>
      <c r="L3" s="66">
        <f t="shared" ref="L3:L10" si="1">J3*K3</f>
        <v>300</v>
      </c>
      <c r="M3" s="34"/>
      <c r="N3" s="63"/>
    </row>
    <row r="4" s="35" customFormat="1" ht="21" customHeight="1" spans="1:14">
      <c r="A4" s="60" t="s">
        <v>13</v>
      </c>
      <c r="B4" s="70">
        <v>45661</v>
      </c>
      <c r="C4" s="62">
        <v>13</v>
      </c>
      <c r="D4" s="63" t="s">
        <v>42</v>
      </c>
      <c r="E4" s="63"/>
      <c r="F4" s="63"/>
      <c r="G4" s="64" t="s">
        <v>43</v>
      </c>
      <c r="H4" s="65">
        <v>1</v>
      </c>
      <c r="I4" s="63">
        <v>20</v>
      </c>
      <c r="J4" s="63">
        <f t="shared" si="0"/>
        <v>20</v>
      </c>
      <c r="K4" s="66">
        <v>17</v>
      </c>
      <c r="L4" s="66">
        <f t="shared" si="1"/>
        <v>340</v>
      </c>
      <c r="M4" s="90" t="s">
        <v>44</v>
      </c>
      <c r="N4" s="63">
        <f>SUM(L3:L4)</f>
        <v>640</v>
      </c>
    </row>
    <row r="5" s="38" customFormat="1" ht="20.25" spans="1:14">
      <c r="A5" s="43" t="s">
        <v>13</v>
      </c>
      <c r="B5" s="68">
        <v>45663</v>
      </c>
      <c r="C5" s="54">
        <v>19</v>
      </c>
      <c r="D5" s="55" t="s">
        <v>45</v>
      </c>
      <c r="E5" s="55"/>
      <c r="F5" s="55"/>
      <c r="G5" s="56" t="s">
        <v>46</v>
      </c>
      <c r="H5" s="57">
        <v>1</v>
      </c>
      <c r="I5" s="55">
        <v>6</v>
      </c>
      <c r="J5" s="55">
        <f t="shared" si="0"/>
        <v>6</v>
      </c>
      <c r="K5" s="58">
        <v>17</v>
      </c>
      <c r="L5" s="58">
        <f t="shared" si="1"/>
        <v>102</v>
      </c>
      <c r="M5" s="44"/>
      <c r="N5" s="55"/>
    </row>
    <row r="6" s="38" customFormat="1" ht="20.25" spans="1:14">
      <c r="A6" s="43" t="s">
        <v>13</v>
      </c>
      <c r="B6" s="68">
        <v>45663</v>
      </c>
      <c r="C6" s="54">
        <v>19</v>
      </c>
      <c r="D6" s="55" t="s">
        <v>47</v>
      </c>
      <c r="E6" s="55"/>
      <c r="F6" s="55"/>
      <c r="G6" s="56" t="s">
        <v>48</v>
      </c>
      <c r="H6" s="57">
        <v>1</v>
      </c>
      <c r="I6" s="55">
        <v>26</v>
      </c>
      <c r="J6" s="55">
        <f t="shared" si="0"/>
        <v>26</v>
      </c>
      <c r="K6" s="58">
        <v>17</v>
      </c>
      <c r="L6" s="58">
        <f t="shared" si="1"/>
        <v>442</v>
      </c>
      <c r="M6" s="44"/>
      <c r="N6" s="55"/>
    </row>
    <row r="7" s="38" customFormat="1" ht="20.25" spans="1:14">
      <c r="A7" s="43" t="s">
        <v>13</v>
      </c>
      <c r="B7" s="68">
        <v>45663</v>
      </c>
      <c r="C7" s="54">
        <v>19</v>
      </c>
      <c r="D7" s="55" t="s">
        <v>47</v>
      </c>
      <c r="E7" s="55"/>
      <c r="F7" s="55"/>
      <c r="G7" s="56" t="s">
        <v>48</v>
      </c>
      <c r="H7" s="57">
        <v>1</v>
      </c>
      <c r="I7" s="55">
        <v>25</v>
      </c>
      <c r="J7" s="55">
        <f t="shared" si="0"/>
        <v>25</v>
      </c>
      <c r="K7" s="58">
        <v>17</v>
      </c>
      <c r="L7" s="58">
        <f t="shared" si="1"/>
        <v>425</v>
      </c>
      <c r="M7" s="44"/>
      <c r="N7" s="55"/>
    </row>
    <row r="8" s="32" customFormat="1" ht="20.25" spans="1:14">
      <c r="A8" s="43" t="s">
        <v>13</v>
      </c>
      <c r="B8" s="68">
        <v>45663</v>
      </c>
      <c r="C8" s="54">
        <v>19</v>
      </c>
      <c r="D8" s="55" t="s">
        <v>49</v>
      </c>
      <c r="E8" s="55"/>
      <c r="F8" s="55"/>
      <c r="G8" s="56" t="s">
        <v>50</v>
      </c>
      <c r="H8" s="57">
        <v>1</v>
      </c>
      <c r="I8" s="55">
        <v>20</v>
      </c>
      <c r="J8" s="55">
        <f t="shared" si="0"/>
        <v>20</v>
      </c>
      <c r="K8" s="58">
        <v>22</v>
      </c>
      <c r="L8" s="58">
        <f t="shared" si="1"/>
        <v>440</v>
      </c>
      <c r="M8" s="44"/>
      <c r="N8" s="55"/>
    </row>
    <row r="9" s="32" customFormat="1" ht="19" customHeight="1" spans="1:14">
      <c r="A9" s="44" t="s">
        <v>13</v>
      </c>
      <c r="B9" s="68">
        <v>45663</v>
      </c>
      <c r="C9" s="54">
        <v>19</v>
      </c>
      <c r="D9" s="55" t="s">
        <v>51</v>
      </c>
      <c r="E9" s="55"/>
      <c r="F9" s="55"/>
      <c r="G9" s="56" t="s">
        <v>52</v>
      </c>
      <c r="H9" s="57">
        <v>1</v>
      </c>
      <c r="I9" s="55">
        <v>25</v>
      </c>
      <c r="J9" s="55">
        <f t="shared" si="0"/>
        <v>25</v>
      </c>
      <c r="K9" s="58">
        <v>17</v>
      </c>
      <c r="L9" s="58">
        <f t="shared" si="1"/>
        <v>425</v>
      </c>
      <c r="M9" s="44"/>
      <c r="N9" s="55"/>
    </row>
    <row r="10" s="38" customFormat="1" ht="20.25" spans="1:14">
      <c r="A10" s="43" t="s">
        <v>13</v>
      </c>
      <c r="B10" s="68">
        <v>45663</v>
      </c>
      <c r="C10" s="54">
        <v>19</v>
      </c>
      <c r="D10" s="55" t="s">
        <v>53</v>
      </c>
      <c r="E10" s="55"/>
      <c r="F10" s="55"/>
      <c r="G10" s="56" t="s">
        <v>54</v>
      </c>
      <c r="H10" s="57">
        <v>4</v>
      </c>
      <c r="I10" s="55">
        <v>20</v>
      </c>
      <c r="J10" s="55">
        <f t="shared" si="0"/>
        <v>80</v>
      </c>
      <c r="K10" s="58">
        <v>17</v>
      </c>
      <c r="L10" s="58">
        <f t="shared" si="1"/>
        <v>1360</v>
      </c>
      <c r="M10" s="44"/>
      <c r="N10" s="55">
        <f>SUM(L5:L10)</f>
        <v>3194</v>
      </c>
    </row>
    <row r="11" s="34" customFormat="1" ht="20.25" spans="1:14">
      <c r="A11" s="60" t="s">
        <v>13</v>
      </c>
      <c r="B11" s="70">
        <v>45701</v>
      </c>
      <c r="C11" s="34" t="s">
        <v>55</v>
      </c>
      <c r="D11" s="63">
        <v>403</v>
      </c>
      <c r="E11" s="63"/>
      <c r="F11" s="63"/>
      <c r="G11" s="64" t="s">
        <v>56</v>
      </c>
      <c r="H11" s="65">
        <v>1</v>
      </c>
      <c r="I11" s="63">
        <v>20</v>
      </c>
      <c r="J11" s="63">
        <f t="shared" ref="J11:J27" si="2">H11*I11</f>
        <v>20</v>
      </c>
      <c r="K11" s="66">
        <v>22</v>
      </c>
      <c r="L11" s="66">
        <f t="shared" ref="L11:L27" si="3">J11*K11</f>
        <v>440</v>
      </c>
    </row>
    <row r="12" s="34" customFormat="1" ht="20.25" spans="1:14">
      <c r="A12" s="60" t="s">
        <v>13</v>
      </c>
      <c r="B12" s="70">
        <v>45701</v>
      </c>
      <c r="C12" s="34" t="s">
        <v>55</v>
      </c>
      <c r="D12" s="63" t="s">
        <v>57</v>
      </c>
      <c r="E12" s="63"/>
      <c r="F12" s="63"/>
      <c r="G12" s="64" t="s">
        <v>58</v>
      </c>
      <c r="H12" s="65">
        <v>1</v>
      </c>
      <c r="I12" s="63">
        <v>25</v>
      </c>
      <c r="J12" s="63">
        <f t="shared" si="2"/>
        <v>25</v>
      </c>
      <c r="K12" s="66">
        <v>17</v>
      </c>
      <c r="L12" s="66">
        <f t="shared" si="3"/>
        <v>425</v>
      </c>
    </row>
    <row r="13" s="34" customFormat="1" ht="20.25" spans="1:14">
      <c r="A13" s="60" t="s">
        <v>13</v>
      </c>
      <c r="B13" s="70">
        <v>45701</v>
      </c>
      <c r="C13" s="34" t="s">
        <v>55</v>
      </c>
      <c r="D13" s="63" t="s">
        <v>57</v>
      </c>
      <c r="E13" s="63"/>
      <c r="F13" s="63"/>
      <c r="G13" s="64" t="s">
        <v>58</v>
      </c>
      <c r="H13" s="65">
        <v>1</v>
      </c>
      <c r="I13" s="63">
        <v>26</v>
      </c>
      <c r="J13" s="63">
        <f t="shared" si="2"/>
        <v>26</v>
      </c>
      <c r="K13" s="66">
        <v>17</v>
      </c>
      <c r="L13" s="66">
        <f t="shared" si="3"/>
        <v>442</v>
      </c>
    </row>
    <row r="14" s="34" customFormat="1" ht="20.25" spans="1:14">
      <c r="A14" s="60" t="s">
        <v>13</v>
      </c>
      <c r="B14" s="70">
        <v>45701</v>
      </c>
      <c r="C14" s="34" t="s">
        <v>55</v>
      </c>
      <c r="D14" s="63" t="s">
        <v>53</v>
      </c>
      <c r="E14" s="63"/>
      <c r="F14" s="63"/>
      <c r="G14" s="64" t="s">
        <v>54</v>
      </c>
      <c r="H14" s="65">
        <v>2</v>
      </c>
      <c r="I14" s="63">
        <v>20</v>
      </c>
      <c r="J14" s="63">
        <f t="shared" si="2"/>
        <v>40</v>
      </c>
      <c r="K14" s="66">
        <v>17</v>
      </c>
      <c r="L14" s="66">
        <f t="shared" si="3"/>
        <v>680</v>
      </c>
    </row>
    <row r="15" s="34" customFormat="1" ht="20.25" spans="1:14">
      <c r="A15" s="60" t="s">
        <v>13</v>
      </c>
      <c r="B15" s="70">
        <v>45701</v>
      </c>
      <c r="C15" s="34" t="s">
        <v>55</v>
      </c>
      <c r="D15" s="63" t="s">
        <v>59</v>
      </c>
      <c r="E15" s="63"/>
      <c r="F15" s="63"/>
      <c r="G15" s="64" t="s">
        <v>60</v>
      </c>
      <c r="H15" s="65">
        <v>1</v>
      </c>
      <c r="I15" s="63">
        <v>20</v>
      </c>
      <c r="J15" s="63">
        <f t="shared" si="2"/>
        <v>20</v>
      </c>
      <c r="K15" s="66">
        <v>17</v>
      </c>
      <c r="L15" s="66">
        <f t="shared" si="3"/>
        <v>340</v>
      </c>
    </row>
    <row r="16" s="32" customFormat="1" ht="20.25" spans="1:14">
      <c r="A16" s="43" t="s">
        <v>13</v>
      </c>
      <c r="B16" s="68">
        <v>45708</v>
      </c>
      <c r="C16" s="54">
        <v>27</v>
      </c>
      <c r="D16" s="55" t="s">
        <v>61</v>
      </c>
      <c r="E16" s="55"/>
      <c r="F16" s="55"/>
      <c r="G16" s="56" t="s">
        <v>62</v>
      </c>
      <c r="H16" s="57">
        <v>1</v>
      </c>
      <c r="I16" s="55">
        <v>21</v>
      </c>
      <c r="J16" s="55">
        <f t="shared" si="2"/>
        <v>21</v>
      </c>
      <c r="K16" s="58">
        <v>22</v>
      </c>
      <c r="L16" s="58">
        <f t="shared" si="3"/>
        <v>462</v>
      </c>
      <c r="M16" s="44" t="s">
        <v>63</v>
      </c>
      <c r="N16" s="55"/>
    </row>
    <row r="17" s="118" customFormat="1" ht="20.25" spans="1:14">
      <c r="A17" s="43" t="s">
        <v>13</v>
      </c>
      <c r="B17" s="68">
        <v>45708</v>
      </c>
      <c r="C17" s="54">
        <v>27</v>
      </c>
      <c r="D17" s="55">
        <v>2348</v>
      </c>
      <c r="E17" s="55"/>
      <c r="F17" s="55"/>
      <c r="G17" s="69" t="s">
        <v>64</v>
      </c>
      <c r="H17" s="57">
        <v>1</v>
      </c>
      <c r="I17" s="55">
        <v>2</v>
      </c>
      <c r="J17" s="55">
        <f t="shared" si="2"/>
        <v>2</v>
      </c>
      <c r="K17" s="58">
        <v>17</v>
      </c>
      <c r="L17" s="58">
        <f t="shared" si="3"/>
        <v>34</v>
      </c>
      <c r="M17" s="44" t="s">
        <v>65</v>
      </c>
      <c r="N17" s="44"/>
    </row>
    <row r="18" s="38" customFormat="1" ht="20.25" spans="1:14">
      <c r="A18" s="43" t="s">
        <v>13</v>
      </c>
      <c r="B18" s="68">
        <v>45708</v>
      </c>
      <c r="C18" s="54">
        <v>27</v>
      </c>
      <c r="D18" s="55" t="s">
        <v>53</v>
      </c>
      <c r="E18" s="55"/>
      <c r="F18" s="55"/>
      <c r="G18" s="56" t="s">
        <v>54</v>
      </c>
      <c r="H18" s="57">
        <v>1</v>
      </c>
      <c r="I18" s="55">
        <v>20</v>
      </c>
      <c r="J18" s="55">
        <f t="shared" si="2"/>
        <v>20</v>
      </c>
      <c r="K18" s="58">
        <v>17</v>
      </c>
      <c r="L18" s="58">
        <f t="shared" si="3"/>
        <v>340</v>
      </c>
      <c r="M18" s="44"/>
      <c r="N18" s="55">
        <f>SUM(L13:L18)</f>
        <v>2298</v>
      </c>
    </row>
    <row r="19" s="33" customFormat="1" ht="20.25" spans="1:14">
      <c r="A19" s="60" t="s">
        <v>66</v>
      </c>
      <c r="B19" s="70">
        <v>45719</v>
      </c>
      <c r="C19" s="62">
        <v>10</v>
      </c>
      <c r="D19" s="102" t="s">
        <v>67</v>
      </c>
      <c r="E19" s="67"/>
      <c r="F19" s="67"/>
      <c r="G19" s="71" t="s">
        <v>68</v>
      </c>
      <c r="H19" s="65">
        <v>1</v>
      </c>
      <c r="I19" s="63">
        <v>28</v>
      </c>
      <c r="J19" s="63">
        <f t="shared" si="2"/>
        <v>28</v>
      </c>
      <c r="K19" s="66">
        <v>8.7</v>
      </c>
      <c r="L19" s="66">
        <f t="shared" si="3"/>
        <v>243.6</v>
      </c>
      <c r="M19" s="33">
        <v>9804</v>
      </c>
      <c r="N19" s="63"/>
    </row>
    <row r="20" s="33" customFormat="1" ht="20.25" spans="1:14">
      <c r="A20" s="60" t="s">
        <v>66</v>
      </c>
      <c r="B20" s="70">
        <v>45719</v>
      </c>
      <c r="C20" s="62">
        <v>10</v>
      </c>
      <c r="D20" s="63" t="s">
        <v>69</v>
      </c>
      <c r="E20" s="63"/>
      <c r="F20" s="63"/>
      <c r="G20" s="72" t="s">
        <v>70</v>
      </c>
      <c r="H20" s="65">
        <v>1</v>
      </c>
      <c r="I20" s="63">
        <v>24</v>
      </c>
      <c r="J20" s="63">
        <f t="shared" si="2"/>
        <v>24</v>
      </c>
      <c r="K20" s="66">
        <v>18.5</v>
      </c>
      <c r="L20" s="66">
        <f t="shared" si="3"/>
        <v>444</v>
      </c>
      <c r="M20" s="34"/>
      <c r="N20" s="63"/>
    </row>
    <row r="21" s="33" customFormat="1" ht="20.25" spans="1:14">
      <c r="A21" s="60" t="s">
        <v>66</v>
      </c>
      <c r="B21" s="70">
        <v>45719</v>
      </c>
      <c r="C21" s="62">
        <v>10</v>
      </c>
      <c r="D21" s="63"/>
      <c r="E21" s="63"/>
      <c r="F21" s="63"/>
      <c r="G21" s="72" t="s">
        <v>71</v>
      </c>
      <c r="H21" s="65">
        <v>1</v>
      </c>
      <c r="I21" s="63">
        <v>25</v>
      </c>
      <c r="J21" s="63">
        <f t="shared" si="2"/>
        <v>25</v>
      </c>
      <c r="K21" s="66">
        <v>18.5</v>
      </c>
      <c r="L21" s="66">
        <f t="shared" si="3"/>
        <v>462.5</v>
      </c>
      <c r="M21" s="34" t="s">
        <v>72</v>
      </c>
      <c r="N21" s="63"/>
    </row>
    <row r="22" s="33" customFormat="1" ht="20.25" spans="1:14">
      <c r="A22" s="60" t="s">
        <v>66</v>
      </c>
      <c r="B22" s="70">
        <v>45719</v>
      </c>
      <c r="C22" s="62">
        <v>10</v>
      </c>
      <c r="D22" s="63" t="s">
        <v>73</v>
      </c>
      <c r="E22" s="63"/>
      <c r="F22" s="63"/>
      <c r="G22" s="72" t="s">
        <v>60</v>
      </c>
      <c r="H22" s="65">
        <v>3</v>
      </c>
      <c r="I22" s="63">
        <v>10</v>
      </c>
      <c r="J22" s="63">
        <f t="shared" si="2"/>
        <v>30</v>
      </c>
      <c r="K22" s="66">
        <v>18.5</v>
      </c>
      <c r="L22" s="66">
        <f t="shared" si="3"/>
        <v>555</v>
      </c>
      <c r="M22" s="34">
        <f>SUM(L19:L22)</f>
        <v>1705.1</v>
      </c>
      <c r="N22" s="63"/>
    </row>
    <row r="23" s="38" customFormat="1" ht="20.25" spans="1:14">
      <c r="A23" s="43" t="s">
        <v>13</v>
      </c>
      <c r="B23" s="68">
        <v>45722</v>
      </c>
      <c r="C23" s="54">
        <v>20</v>
      </c>
      <c r="D23" s="55">
        <v>3712</v>
      </c>
      <c r="E23" s="55"/>
      <c r="F23" s="55"/>
      <c r="G23" s="56" t="s">
        <v>41</v>
      </c>
      <c r="H23" s="57">
        <v>1</v>
      </c>
      <c r="I23" s="55">
        <v>25</v>
      </c>
      <c r="J23" s="55">
        <f t="shared" si="2"/>
        <v>25</v>
      </c>
      <c r="K23" s="58">
        <v>12</v>
      </c>
      <c r="L23" s="58">
        <f t="shared" si="3"/>
        <v>300</v>
      </c>
      <c r="M23" s="44"/>
      <c r="N23" s="55"/>
    </row>
    <row r="24" s="38" customFormat="1" ht="21" customHeight="1" spans="1:14">
      <c r="A24" s="43" t="s">
        <v>13</v>
      </c>
      <c r="B24" s="68">
        <v>45722</v>
      </c>
      <c r="C24" s="54">
        <v>20</v>
      </c>
      <c r="D24" s="55" t="s">
        <v>42</v>
      </c>
      <c r="E24" s="55"/>
      <c r="F24" s="55"/>
      <c r="G24" s="56" t="s">
        <v>43</v>
      </c>
      <c r="H24" s="57">
        <v>2</v>
      </c>
      <c r="I24" s="55">
        <v>20</v>
      </c>
      <c r="J24" s="55">
        <f t="shared" si="2"/>
        <v>40</v>
      </c>
      <c r="K24" s="58">
        <v>17</v>
      </c>
      <c r="L24" s="58">
        <f t="shared" si="3"/>
        <v>680</v>
      </c>
      <c r="M24" s="83" t="s">
        <v>44</v>
      </c>
      <c r="N24" s="55">
        <f>SUM(L23:L24)</f>
        <v>980</v>
      </c>
    </row>
    <row r="25" s="41" customFormat="1" ht="20.25" spans="1:14">
      <c r="A25" s="60" t="s">
        <v>13</v>
      </c>
      <c r="B25" s="70">
        <v>45732</v>
      </c>
      <c r="C25" s="62">
        <v>59</v>
      </c>
      <c r="D25" s="63" t="s">
        <v>74</v>
      </c>
      <c r="E25" s="63"/>
      <c r="F25" s="63"/>
      <c r="G25" s="72" t="s">
        <v>75</v>
      </c>
      <c r="H25" s="65">
        <v>3</v>
      </c>
      <c r="I25" s="63">
        <v>25</v>
      </c>
      <c r="J25" s="63">
        <f t="shared" si="2"/>
        <v>75</v>
      </c>
      <c r="K25" s="66">
        <v>17</v>
      </c>
      <c r="L25" s="66">
        <f t="shared" si="3"/>
        <v>1275</v>
      </c>
      <c r="M25" s="34" t="s">
        <v>65</v>
      </c>
      <c r="N25" s="34"/>
    </row>
    <row r="26" s="35" customFormat="1" ht="20.25" spans="1:14">
      <c r="A26" s="60" t="s">
        <v>13</v>
      </c>
      <c r="B26" s="70">
        <v>45732</v>
      </c>
      <c r="C26" s="62">
        <v>59</v>
      </c>
      <c r="D26" s="63" t="s">
        <v>53</v>
      </c>
      <c r="E26" s="63"/>
      <c r="F26" s="63"/>
      <c r="G26" s="64" t="s">
        <v>54</v>
      </c>
      <c r="H26" s="65">
        <v>3</v>
      </c>
      <c r="I26" s="63">
        <v>20</v>
      </c>
      <c r="J26" s="63">
        <f t="shared" si="2"/>
        <v>60</v>
      </c>
      <c r="K26" s="66">
        <v>17</v>
      </c>
      <c r="L26" s="66">
        <f t="shared" si="3"/>
        <v>1020</v>
      </c>
      <c r="M26" s="34"/>
      <c r="N26" s="63">
        <f>SUM(L21:L26)</f>
        <v>4292.5</v>
      </c>
    </row>
    <row r="27" s="32" customFormat="1" ht="20.25" spans="1:14">
      <c r="A27" s="43" t="s">
        <v>76</v>
      </c>
      <c r="B27" s="53">
        <v>45736</v>
      </c>
      <c r="C27" s="54">
        <v>77</v>
      </c>
      <c r="D27" s="55" t="s">
        <v>77</v>
      </c>
      <c r="E27" s="55"/>
      <c r="F27" s="55"/>
      <c r="G27" s="69" t="s">
        <v>78</v>
      </c>
      <c r="H27" s="57">
        <v>2</v>
      </c>
      <c r="I27" s="55">
        <v>25</v>
      </c>
      <c r="J27" s="55">
        <f t="shared" si="2"/>
        <v>50</v>
      </c>
      <c r="K27" s="58">
        <v>14</v>
      </c>
      <c r="L27" s="58">
        <f t="shared" si="3"/>
        <v>700</v>
      </c>
      <c r="M27" s="44"/>
      <c r="N27" s="55">
        <f>SUM(L26:L27)</f>
        <v>1720</v>
      </c>
    </row>
    <row r="28" s="35" customFormat="1" ht="20.25" spans="1:14">
      <c r="A28" s="60" t="s">
        <v>13</v>
      </c>
      <c r="B28" s="70">
        <v>45749</v>
      </c>
      <c r="C28" s="62">
        <v>9</v>
      </c>
      <c r="D28" s="63">
        <v>411</v>
      </c>
      <c r="E28" s="63"/>
      <c r="F28" s="63"/>
      <c r="G28" s="64" t="s">
        <v>79</v>
      </c>
      <c r="H28" s="65">
        <v>1</v>
      </c>
      <c r="I28" s="63">
        <v>10</v>
      </c>
      <c r="J28" s="63">
        <v>10</v>
      </c>
      <c r="K28" s="66">
        <v>22</v>
      </c>
      <c r="L28" s="66">
        <v>220</v>
      </c>
      <c r="M28" s="34"/>
      <c r="N28" s="63"/>
    </row>
    <row r="29" s="34" customFormat="1" ht="20.25" spans="1:14">
      <c r="A29" s="60" t="s">
        <v>13</v>
      </c>
      <c r="B29" s="70">
        <v>45749</v>
      </c>
      <c r="C29" s="62">
        <v>9</v>
      </c>
      <c r="D29" s="63" t="s">
        <v>57</v>
      </c>
      <c r="E29" s="63"/>
      <c r="F29" s="63"/>
      <c r="G29" s="64" t="s">
        <v>58</v>
      </c>
      <c r="H29" s="65">
        <v>2</v>
      </c>
      <c r="I29" s="63">
        <v>26</v>
      </c>
      <c r="J29" s="63">
        <f t="shared" ref="J29:J54" si="4">H29*I29</f>
        <v>52</v>
      </c>
      <c r="K29" s="66">
        <v>17</v>
      </c>
      <c r="L29" s="66">
        <f t="shared" ref="L29:L54" si="5">J29*K29</f>
        <v>884</v>
      </c>
    </row>
    <row r="30" s="41" customFormat="1" ht="20.25" spans="1:14">
      <c r="A30" s="60" t="s">
        <v>13</v>
      </c>
      <c r="B30" s="70">
        <v>45749</v>
      </c>
      <c r="C30" s="62">
        <v>9</v>
      </c>
      <c r="D30" s="63" t="s">
        <v>74</v>
      </c>
      <c r="E30" s="63"/>
      <c r="F30" s="63"/>
      <c r="G30" s="72" t="s">
        <v>75</v>
      </c>
      <c r="H30" s="65">
        <v>1</v>
      </c>
      <c r="I30" s="63">
        <v>25</v>
      </c>
      <c r="J30" s="63">
        <f t="shared" si="4"/>
        <v>25</v>
      </c>
      <c r="K30" s="66">
        <v>17</v>
      </c>
      <c r="L30" s="66">
        <f t="shared" si="5"/>
        <v>425</v>
      </c>
      <c r="M30" s="34" t="s">
        <v>65</v>
      </c>
      <c r="N30" s="34"/>
    </row>
    <row r="31" s="35" customFormat="1" ht="20.25" spans="1:14">
      <c r="A31" s="60" t="s">
        <v>13</v>
      </c>
      <c r="B31" s="70">
        <v>45749</v>
      </c>
      <c r="C31" s="62">
        <v>9</v>
      </c>
      <c r="D31" s="63" t="s">
        <v>53</v>
      </c>
      <c r="E31" s="63"/>
      <c r="F31" s="63"/>
      <c r="G31" s="64" t="s">
        <v>54</v>
      </c>
      <c r="H31" s="65">
        <v>3</v>
      </c>
      <c r="I31" s="63">
        <v>20</v>
      </c>
      <c r="J31" s="63">
        <f t="shared" si="4"/>
        <v>60</v>
      </c>
      <c r="K31" s="66">
        <v>17</v>
      </c>
      <c r="L31" s="66">
        <f t="shared" si="5"/>
        <v>1020</v>
      </c>
      <c r="M31" s="34"/>
      <c r="N31" s="63">
        <f>SUM(L28:L31)</f>
        <v>2549</v>
      </c>
    </row>
    <row r="32" s="119" customFormat="1" ht="20.25" spans="1:14">
      <c r="A32" s="55" t="s">
        <v>13</v>
      </c>
      <c r="B32" s="68">
        <v>45752</v>
      </c>
      <c r="C32" s="32" t="s">
        <v>80</v>
      </c>
      <c r="D32" s="55">
        <v>3712</v>
      </c>
      <c r="E32" s="55"/>
      <c r="F32" s="55"/>
      <c r="G32" s="56" t="s">
        <v>41</v>
      </c>
      <c r="H32" s="57">
        <v>2</v>
      </c>
      <c r="I32" s="55">
        <v>25</v>
      </c>
      <c r="J32" s="55">
        <f t="shared" si="4"/>
        <v>50</v>
      </c>
      <c r="K32" s="58">
        <v>12</v>
      </c>
      <c r="L32" s="58">
        <f t="shared" si="5"/>
        <v>600</v>
      </c>
    </row>
    <row r="33" s="119" customFormat="1" ht="20.25" spans="1:14">
      <c r="A33" s="55" t="s">
        <v>13</v>
      </c>
      <c r="B33" s="68">
        <v>45752</v>
      </c>
      <c r="C33" s="32" t="s">
        <v>80</v>
      </c>
      <c r="D33" s="55" t="s">
        <v>42</v>
      </c>
      <c r="E33" s="55"/>
      <c r="F33" s="55"/>
      <c r="G33" s="56" t="s">
        <v>43</v>
      </c>
      <c r="H33" s="57">
        <v>2</v>
      </c>
      <c r="I33" s="55">
        <v>20</v>
      </c>
      <c r="J33" s="55">
        <f t="shared" si="4"/>
        <v>40</v>
      </c>
      <c r="K33" s="58">
        <v>17</v>
      </c>
      <c r="L33" s="58">
        <f t="shared" si="5"/>
        <v>680</v>
      </c>
      <c r="N33" s="124">
        <f>SUM(L32:L33)</f>
        <v>1280</v>
      </c>
    </row>
    <row r="34" s="33" customFormat="1" ht="20.25" spans="1:14">
      <c r="A34" s="60" t="s">
        <v>66</v>
      </c>
      <c r="B34" s="70">
        <v>45769</v>
      </c>
      <c r="C34" s="62">
        <v>63</v>
      </c>
      <c r="D34" s="63" t="s">
        <v>69</v>
      </c>
      <c r="E34" s="63"/>
      <c r="F34" s="63"/>
      <c r="G34" s="72" t="s">
        <v>70</v>
      </c>
      <c r="H34" s="65">
        <v>2</v>
      </c>
      <c r="I34" s="63">
        <v>26</v>
      </c>
      <c r="J34" s="63">
        <f t="shared" si="4"/>
        <v>52</v>
      </c>
      <c r="K34" s="66">
        <v>18.5</v>
      </c>
      <c r="L34" s="66">
        <f t="shared" si="5"/>
        <v>962</v>
      </c>
      <c r="M34" s="34"/>
      <c r="N34" s="63"/>
    </row>
    <row r="35" s="33" customFormat="1" ht="20.25" spans="1:14">
      <c r="A35" s="60" t="s">
        <v>66</v>
      </c>
      <c r="B35" s="70">
        <v>45769</v>
      </c>
      <c r="C35" s="62">
        <v>63</v>
      </c>
      <c r="D35" s="63"/>
      <c r="E35" s="63"/>
      <c r="F35" s="63"/>
      <c r="G35" s="72" t="s">
        <v>71</v>
      </c>
      <c r="H35" s="65">
        <v>1</v>
      </c>
      <c r="I35" s="63">
        <v>26</v>
      </c>
      <c r="J35" s="63">
        <f t="shared" si="4"/>
        <v>26</v>
      </c>
      <c r="K35" s="66">
        <v>18.5</v>
      </c>
      <c r="L35" s="66">
        <f t="shared" si="5"/>
        <v>481</v>
      </c>
      <c r="M35" s="34" t="s">
        <v>72</v>
      </c>
      <c r="N35" s="63"/>
    </row>
    <row r="36" s="33" customFormat="1" ht="20.25" spans="1:14">
      <c r="A36" s="60" t="s">
        <v>66</v>
      </c>
      <c r="B36" s="70">
        <v>45769</v>
      </c>
      <c r="C36" s="62">
        <v>63</v>
      </c>
      <c r="D36" s="63" t="s">
        <v>73</v>
      </c>
      <c r="E36" s="63"/>
      <c r="F36" s="63"/>
      <c r="G36" s="72" t="s">
        <v>60</v>
      </c>
      <c r="H36" s="65">
        <v>6</v>
      </c>
      <c r="I36" s="63">
        <v>10</v>
      </c>
      <c r="J36" s="63">
        <f t="shared" si="4"/>
        <v>60</v>
      </c>
      <c r="K36" s="66">
        <v>18.5</v>
      </c>
      <c r="L36" s="66">
        <f t="shared" si="5"/>
        <v>1110</v>
      </c>
      <c r="M36" s="34">
        <f>SUM(L34:L36)</f>
        <v>2553</v>
      </c>
      <c r="N36" s="63"/>
    </row>
    <row r="37" s="38" customFormat="1" ht="20.25" spans="1:14">
      <c r="A37" s="43" t="s">
        <v>13</v>
      </c>
      <c r="B37" s="68">
        <v>45773</v>
      </c>
      <c r="C37" s="54">
        <v>86</v>
      </c>
      <c r="D37" s="55">
        <v>106360</v>
      </c>
      <c r="E37" s="55"/>
      <c r="F37" s="55"/>
      <c r="G37" s="56" t="s">
        <v>12</v>
      </c>
      <c r="H37" s="57">
        <v>1</v>
      </c>
      <c r="I37" s="55">
        <v>20</v>
      </c>
      <c r="J37" s="63">
        <f t="shared" si="4"/>
        <v>20</v>
      </c>
      <c r="K37" s="58">
        <v>22</v>
      </c>
      <c r="L37" s="58">
        <f t="shared" si="5"/>
        <v>440</v>
      </c>
      <c r="M37" s="44"/>
      <c r="N37" s="55"/>
    </row>
    <row r="38" s="41" customFormat="1" ht="20.25" spans="1:14">
      <c r="A38" s="60" t="s">
        <v>13</v>
      </c>
      <c r="B38" s="70">
        <v>45773</v>
      </c>
      <c r="C38" s="62">
        <v>88</v>
      </c>
      <c r="D38" s="63">
        <v>12048</v>
      </c>
      <c r="E38" s="63"/>
      <c r="F38" s="63"/>
      <c r="G38" s="72" t="s">
        <v>81</v>
      </c>
      <c r="H38" s="65">
        <v>1</v>
      </c>
      <c r="I38" s="63">
        <v>26</v>
      </c>
      <c r="J38" s="63">
        <f t="shared" si="4"/>
        <v>26</v>
      </c>
      <c r="K38" s="66">
        <v>17</v>
      </c>
      <c r="L38" s="66">
        <f t="shared" si="5"/>
        <v>442</v>
      </c>
      <c r="M38" s="34"/>
      <c r="N38" s="34"/>
    </row>
    <row r="39" s="34" customFormat="1" ht="20.25" spans="1:14">
      <c r="A39" s="60" t="s">
        <v>13</v>
      </c>
      <c r="B39" s="70">
        <v>45773</v>
      </c>
      <c r="C39" s="62">
        <v>88</v>
      </c>
      <c r="D39" s="63" t="s">
        <v>59</v>
      </c>
      <c r="E39" s="63"/>
      <c r="F39" s="63"/>
      <c r="G39" s="64" t="s">
        <v>60</v>
      </c>
      <c r="H39" s="65">
        <v>1</v>
      </c>
      <c r="I39" s="63">
        <v>20</v>
      </c>
      <c r="J39" s="63">
        <f t="shared" si="4"/>
        <v>20</v>
      </c>
      <c r="K39" s="66">
        <v>17</v>
      </c>
      <c r="L39" s="66">
        <f t="shared" si="5"/>
        <v>340</v>
      </c>
    </row>
    <row r="40" s="32" customFormat="1" ht="20.25" spans="1:14">
      <c r="A40" s="43" t="s">
        <v>76</v>
      </c>
      <c r="B40" s="53">
        <v>45784</v>
      </c>
      <c r="C40" s="54">
        <v>9</v>
      </c>
      <c r="D40" s="55" t="s">
        <v>77</v>
      </c>
      <c r="E40" s="55"/>
      <c r="F40" s="55"/>
      <c r="G40" s="69" t="s">
        <v>78</v>
      </c>
      <c r="H40" s="57">
        <v>2</v>
      </c>
      <c r="I40" s="55">
        <v>25</v>
      </c>
      <c r="J40" s="55">
        <f t="shared" si="4"/>
        <v>50</v>
      </c>
      <c r="K40" s="58">
        <v>14</v>
      </c>
      <c r="L40" s="58">
        <f t="shared" si="5"/>
        <v>700</v>
      </c>
      <c r="M40" s="44"/>
      <c r="N40" s="55">
        <f>SUM(L39:L40)</f>
        <v>1040</v>
      </c>
    </row>
    <row r="41" s="120" customFormat="1" ht="20.25" spans="1:14">
      <c r="A41" s="63" t="s">
        <v>13</v>
      </c>
      <c r="B41" s="70">
        <v>45786</v>
      </c>
      <c r="C41" s="33" t="s">
        <v>82</v>
      </c>
      <c r="D41" s="63">
        <v>3712</v>
      </c>
      <c r="E41" s="63"/>
      <c r="F41" s="63"/>
      <c r="G41" s="64" t="s">
        <v>41</v>
      </c>
      <c r="H41" s="65">
        <v>1</v>
      </c>
      <c r="I41" s="63">
        <v>25</v>
      </c>
      <c r="J41" s="63">
        <f t="shared" si="4"/>
        <v>25</v>
      </c>
      <c r="K41" s="66">
        <v>12</v>
      </c>
      <c r="L41" s="66">
        <f t="shared" si="5"/>
        <v>300</v>
      </c>
    </row>
    <row r="42" s="120" customFormat="1" ht="20.25" spans="1:14">
      <c r="A42" s="63" t="s">
        <v>13</v>
      </c>
      <c r="B42" s="70">
        <v>45786</v>
      </c>
      <c r="C42" s="33" t="s">
        <v>82</v>
      </c>
      <c r="D42" s="63" t="s">
        <v>42</v>
      </c>
      <c r="E42" s="63"/>
      <c r="F42" s="63"/>
      <c r="G42" s="64" t="s">
        <v>43</v>
      </c>
      <c r="H42" s="65">
        <v>1</v>
      </c>
      <c r="I42" s="63">
        <v>20</v>
      </c>
      <c r="J42" s="63">
        <f t="shared" si="4"/>
        <v>20</v>
      </c>
      <c r="K42" s="66">
        <v>17</v>
      </c>
      <c r="L42" s="66">
        <f t="shared" si="5"/>
        <v>340</v>
      </c>
      <c r="N42" s="125">
        <f>SUM(L41:L42)</f>
        <v>640</v>
      </c>
    </row>
    <row r="43" s="118" customFormat="1" ht="20.25" spans="1:14">
      <c r="A43" s="43" t="s">
        <v>13</v>
      </c>
      <c r="B43" s="68">
        <v>45792</v>
      </c>
      <c r="C43" s="54">
        <v>40</v>
      </c>
      <c r="D43" s="55" t="s">
        <v>74</v>
      </c>
      <c r="E43" s="55"/>
      <c r="F43" s="55"/>
      <c r="G43" s="69" t="s">
        <v>75</v>
      </c>
      <c r="H43" s="57">
        <v>2</v>
      </c>
      <c r="I43" s="55">
        <v>25</v>
      </c>
      <c r="J43" s="55">
        <f t="shared" si="4"/>
        <v>50</v>
      </c>
      <c r="K43" s="58">
        <v>17</v>
      </c>
      <c r="L43" s="58">
        <f t="shared" si="5"/>
        <v>850</v>
      </c>
      <c r="M43" s="44" t="s">
        <v>65</v>
      </c>
      <c r="N43" s="44"/>
    </row>
    <row r="44" s="118" customFormat="1" ht="20.25" spans="1:14">
      <c r="A44" s="43" t="s">
        <v>13</v>
      </c>
      <c r="B44" s="68">
        <v>45792</v>
      </c>
      <c r="C44" s="54">
        <v>40</v>
      </c>
      <c r="D44" s="55">
        <v>11930</v>
      </c>
      <c r="E44" s="55"/>
      <c r="F44" s="55"/>
      <c r="G44" s="69" t="s">
        <v>83</v>
      </c>
      <c r="H44" s="57">
        <v>2</v>
      </c>
      <c r="I44" s="55">
        <v>26</v>
      </c>
      <c r="J44" s="55">
        <f t="shared" si="4"/>
        <v>52</v>
      </c>
      <c r="K44" s="58">
        <v>17</v>
      </c>
      <c r="L44" s="58">
        <f t="shared" si="5"/>
        <v>884</v>
      </c>
      <c r="M44" s="44" t="s">
        <v>65</v>
      </c>
      <c r="N44" s="44"/>
    </row>
    <row r="45" s="38" customFormat="1" ht="20.25" spans="1:14">
      <c r="A45" s="43" t="s">
        <v>13</v>
      </c>
      <c r="B45" s="68">
        <v>45792</v>
      </c>
      <c r="C45" s="54">
        <v>40</v>
      </c>
      <c r="D45" s="55" t="s">
        <v>53</v>
      </c>
      <c r="E45" s="55"/>
      <c r="F45" s="55"/>
      <c r="G45" s="56" t="s">
        <v>54</v>
      </c>
      <c r="H45" s="57">
        <v>2</v>
      </c>
      <c r="I45" s="55">
        <v>20</v>
      </c>
      <c r="J45" s="55">
        <f t="shared" si="4"/>
        <v>40</v>
      </c>
      <c r="K45" s="58">
        <v>17</v>
      </c>
      <c r="L45" s="58">
        <f t="shared" si="5"/>
        <v>680</v>
      </c>
      <c r="M45" s="44"/>
      <c r="N45" s="55"/>
    </row>
    <row r="46" s="38" customFormat="1" ht="20.25" spans="1:14">
      <c r="A46" s="43" t="s">
        <v>13</v>
      </c>
      <c r="B46" s="68">
        <v>45792</v>
      </c>
      <c r="C46" s="54">
        <v>40</v>
      </c>
      <c r="D46" s="55" t="s">
        <v>59</v>
      </c>
      <c r="E46" s="55"/>
      <c r="F46" s="55"/>
      <c r="G46" s="56" t="s">
        <v>60</v>
      </c>
      <c r="H46" s="57">
        <v>1</v>
      </c>
      <c r="I46" s="55">
        <v>20</v>
      </c>
      <c r="J46" s="55">
        <f t="shared" si="4"/>
        <v>20</v>
      </c>
      <c r="K46" s="58">
        <v>17</v>
      </c>
      <c r="L46" s="58">
        <f t="shared" si="5"/>
        <v>340</v>
      </c>
      <c r="M46" s="44"/>
      <c r="N46" s="55">
        <f>SUM(L43:L46)</f>
        <v>2754</v>
      </c>
    </row>
    <row r="47" s="35" customFormat="1" ht="20.25" spans="1:14">
      <c r="A47" s="60" t="s">
        <v>13</v>
      </c>
      <c r="B47" s="70">
        <v>45815</v>
      </c>
      <c r="C47" s="62">
        <v>18</v>
      </c>
      <c r="D47" s="63">
        <v>106360</v>
      </c>
      <c r="E47" s="63"/>
      <c r="F47" s="63"/>
      <c r="G47" s="64" t="s">
        <v>12</v>
      </c>
      <c r="H47" s="65">
        <v>2</v>
      </c>
      <c r="I47" s="63">
        <v>20</v>
      </c>
      <c r="J47" s="63">
        <f t="shared" si="4"/>
        <v>40</v>
      </c>
      <c r="K47" s="66">
        <v>22</v>
      </c>
      <c r="L47" s="66">
        <f t="shared" si="5"/>
        <v>880</v>
      </c>
      <c r="M47" s="34"/>
      <c r="N47" s="63"/>
    </row>
    <row r="48" ht="20.25" spans="1:14">
      <c r="A48" s="43" t="s">
        <v>76</v>
      </c>
      <c r="B48" s="53">
        <v>45823</v>
      </c>
      <c r="C48" s="54">
        <v>45</v>
      </c>
      <c r="D48" s="55" t="s">
        <v>77</v>
      </c>
      <c r="E48" s="55"/>
      <c r="F48" s="55"/>
      <c r="G48" s="69" t="s">
        <v>78</v>
      </c>
      <c r="H48" s="57">
        <v>2</v>
      </c>
      <c r="I48" s="55">
        <v>25</v>
      </c>
      <c r="J48" s="55">
        <f t="shared" si="4"/>
        <v>50</v>
      </c>
      <c r="K48" s="58">
        <v>14</v>
      </c>
      <c r="L48" s="58">
        <f t="shared" si="5"/>
        <v>700</v>
      </c>
    </row>
    <row r="49" s="33" customFormat="1" ht="20.25" spans="1:15">
      <c r="A49" s="60" t="s">
        <v>66</v>
      </c>
      <c r="B49" s="70">
        <v>45842</v>
      </c>
      <c r="C49" s="62">
        <v>7</v>
      </c>
      <c r="D49" s="63" t="s">
        <v>84</v>
      </c>
      <c r="E49" s="63"/>
      <c r="F49" s="63"/>
      <c r="G49" s="72" t="s">
        <v>85</v>
      </c>
      <c r="H49" s="65">
        <v>1</v>
      </c>
      <c r="I49" s="63">
        <v>27</v>
      </c>
      <c r="J49" s="63">
        <f t="shared" ref="J49:J105" si="6">H49*I49</f>
        <v>27</v>
      </c>
      <c r="K49" s="66">
        <v>18.5</v>
      </c>
      <c r="L49" s="66">
        <f t="shared" ref="L49:L105" si="7">J49*K49</f>
        <v>499.5</v>
      </c>
      <c r="M49" s="64" t="s">
        <v>86</v>
      </c>
      <c r="N49" s="64"/>
      <c r="O49" s="64"/>
    </row>
    <row r="50" s="33" customFormat="1" ht="20.25" spans="1:15">
      <c r="A50" s="60" t="s">
        <v>66</v>
      </c>
      <c r="B50" s="70">
        <v>45842</v>
      </c>
      <c r="C50" s="62">
        <v>7</v>
      </c>
      <c r="D50" s="102" t="s">
        <v>67</v>
      </c>
      <c r="E50" s="67"/>
      <c r="F50" s="67"/>
      <c r="G50" s="71" t="s">
        <v>68</v>
      </c>
      <c r="H50" s="65">
        <v>1</v>
      </c>
      <c r="I50" s="63">
        <v>28</v>
      </c>
      <c r="J50" s="63">
        <f t="shared" si="6"/>
        <v>28</v>
      </c>
      <c r="K50" s="66">
        <v>8.7</v>
      </c>
      <c r="L50" s="66">
        <f t="shared" si="7"/>
        <v>243.6</v>
      </c>
      <c r="M50" s="64">
        <v>9804</v>
      </c>
      <c r="N50" s="63"/>
    </row>
    <row r="51" s="33" customFormat="1" ht="20.25" spans="1:15">
      <c r="A51" s="60" t="s">
        <v>66</v>
      </c>
      <c r="B51" s="70">
        <v>45842</v>
      </c>
      <c r="C51" s="62">
        <v>7</v>
      </c>
      <c r="D51" s="64" t="s">
        <v>73</v>
      </c>
      <c r="E51" s="64"/>
      <c r="F51" s="64"/>
      <c r="G51" s="72" t="s">
        <v>60</v>
      </c>
      <c r="H51" s="65">
        <v>1</v>
      </c>
      <c r="I51" s="63">
        <v>10</v>
      </c>
      <c r="J51" s="63">
        <f t="shared" si="6"/>
        <v>10</v>
      </c>
      <c r="K51" s="66">
        <v>18.5</v>
      </c>
      <c r="L51" s="66">
        <f t="shared" si="7"/>
        <v>185</v>
      </c>
      <c r="M51" s="67">
        <f>SUM(L49:L51)</f>
        <v>928.1</v>
      </c>
      <c r="N51" s="63"/>
    </row>
    <row r="52" s="38" customFormat="1" ht="20.25" spans="1:15">
      <c r="A52" s="43" t="s">
        <v>13</v>
      </c>
      <c r="B52" s="68">
        <v>45845</v>
      </c>
      <c r="C52" s="54">
        <v>21</v>
      </c>
      <c r="D52" s="55">
        <v>106360</v>
      </c>
      <c r="E52" s="55"/>
      <c r="F52" s="55"/>
      <c r="G52" s="56" t="s">
        <v>12</v>
      </c>
      <c r="H52" s="57">
        <v>4</v>
      </c>
      <c r="I52" s="55">
        <v>20</v>
      </c>
      <c r="J52" s="55">
        <f t="shared" si="6"/>
        <v>80</v>
      </c>
      <c r="K52" s="58">
        <v>22</v>
      </c>
      <c r="L52" s="58">
        <f t="shared" si="7"/>
        <v>1760</v>
      </c>
      <c r="M52" s="44"/>
      <c r="N52" s="55"/>
    </row>
    <row r="53" s="38" customFormat="1" ht="20.25" spans="1:15">
      <c r="A53" s="43" t="s">
        <v>13</v>
      </c>
      <c r="B53" s="68">
        <v>45845</v>
      </c>
      <c r="C53" s="54">
        <v>21</v>
      </c>
      <c r="D53" s="55" t="s">
        <v>47</v>
      </c>
      <c r="E53" s="55"/>
      <c r="F53" s="55"/>
      <c r="G53" s="56" t="s">
        <v>48</v>
      </c>
      <c r="H53" s="57">
        <v>1</v>
      </c>
      <c r="I53" s="55">
        <v>25</v>
      </c>
      <c r="J53" s="55">
        <f t="shared" si="6"/>
        <v>25</v>
      </c>
      <c r="K53" s="58">
        <v>17</v>
      </c>
      <c r="L53" s="58">
        <f t="shared" si="7"/>
        <v>425</v>
      </c>
      <c r="M53" s="44"/>
      <c r="N53" s="55"/>
    </row>
    <row r="54" s="118" customFormat="1" ht="20.25" spans="1:15">
      <c r="A54" s="43" t="s">
        <v>13</v>
      </c>
      <c r="B54" s="68">
        <v>45845</v>
      </c>
      <c r="C54" s="54">
        <v>21</v>
      </c>
      <c r="D54" s="55">
        <v>11930</v>
      </c>
      <c r="E54" s="55"/>
      <c r="F54" s="55"/>
      <c r="G54" s="69" t="s">
        <v>83</v>
      </c>
      <c r="H54" s="57">
        <v>2</v>
      </c>
      <c r="I54" s="55">
        <v>24</v>
      </c>
      <c r="J54" s="55">
        <f t="shared" si="6"/>
        <v>48</v>
      </c>
      <c r="K54" s="58">
        <v>17</v>
      </c>
      <c r="L54" s="58">
        <f t="shared" si="7"/>
        <v>816</v>
      </c>
      <c r="M54" s="44"/>
      <c r="N54" s="44"/>
    </row>
    <row r="55" s="38" customFormat="1" ht="20.25" spans="1:15">
      <c r="A55" s="43" t="s">
        <v>13</v>
      </c>
      <c r="B55" s="68">
        <v>45845</v>
      </c>
      <c r="C55" s="54">
        <v>21</v>
      </c>
      <c r="D55" s="55" t="s">
        <v>53</v>
      </c>
      <c r="E55" s="55"/>
      <c r="F55" s="55"/>
      <c r="G55" s="56" t="s">
        <v>54</v>
      </c>
      <c r="H55" s="57">
        <v>1</v>
      </c>
      <c r="I55" s="55">
        <v>20</v>
      </c>
      <c r="J55" s="55">
        <f t="shared" si="6"/>
        <v>20</v>
      </c>
      <c r="K55" s="58">
        <v>17</v>
      </c>
      <c r="L55" s="58">
        <f t="shared" si="7"/>
        <v>340</v>
      </c>
      <c r="M55" s="44"/>
      <c r="N55" s="55"/>
    </row>
    <row r="56" s="38" customFormat="1" ht="20.25" spans="1:15">
      <c r="A56" s="43" t="s">
        <v>13</v>
      </c>
      <c r="B56" s="68">
        <v>45845</v>
      </c>
      <c r="C56" s="54">
        <v>21</v>
      </c>
      <c r="D56" s="55" t="s">
        <v>59</v>
      </c>
      <c r="E56" s="55"/>
      <c r="F56" s="55"/>
      <c r="G56" s="56" t="s">
        <v>60</v>
      </c>
      <c r="H56" s="96">
        <v>2</v>
      </c>
      <c r="I56" s="55">
        <v>20</v>
      </c>
      <c r="J56" s="55">
        <f t="shared" si="6"/>
        <v>40</v>
      </c>
      <c r="K56" s="58">
        <v>17</v>
      </c>
      <c r="L56" s="58">
        <f t="shared" si="7"/>
        <v>680</v>
      </c>
      <c r="M56" s="44"/>
      <c r="N56" s="55">
        <f>SUM(L52:L56)</f>
        <v>4021</v>
      </c>
    </row>
    <row r="57" s="120" customFormat="1" ht="20.25" spans="1:15">
      <c r="A57" s="63" t="s">
        <v>13</v>
      </c>
      <c r="B57" s="70">
        <v>45853</v>
      </c>
      <c r="C57" s="33" t="s">
        <v>87</v>
      </c>
      <c r="D57" s="63">
        <v>3712</v>
      </c>
      <c r="E57" s="63"/>
      <c r="F57" s="63"/>
      <c r="G57" s="64" t="s">
        <v>41</v>
      </c>
      <c r="H57" s="65">
        <v>2</v>
      </c>
      <c r="I57" s="63">
        <v>25</v>
      </c>
      <c r="J57" s="63">
        <f t="shared" si="6"/>
        <v>50</v>
      </c>
      <c r="K57" s="66">
        <v>12</v>
      </c>
      <c r="L57" s="66">
        <f t="shared" si="7"/>
        <v>600</v>
      </c>
    </row>
    <row r="58" s="120" customFormat="1" ht="20.25" spans="1:15">
      <c r="A58" s="63" t="s">
        <v>13</v>
      </c>
      <c r="B58" s="70">
        <v>45853</v>
      </c>
      <c r="C58" s="33" t="s">
        <v>87</v>
      </c>
      <c r="D58" s="63" t="s">
        <v>42</v>
      </c>
      <c r="E58" s="63"/>
      <c r="F58" s="63"/>
      <c r="G58" s="64" t="s">
        <v>43</v>
      </c>
      <c r="H58" s="65">
        <v>2</v>
      </c>
      <c r="I58" s="63">
        <v>20</v>
      </c>
      <c r="J58" s="63">
        <f t="shared" si="6"/>
        <v>40</v>
      </c>
      <c r="K58" s="66">
        <v>17</v>
      </c>
      <c r="L58" s="66">
        <f t="shared" si="7"/>
        <v>680</v>
      </c>
      <c r="N58" s="125">
        <f>SUM(L57:L58)</f>
        <v>1280</v>
      </c>
    </row>
    <row r="59" s="38" customFormat="1" ht="20.25" spans="1:15">
      <c r="A59" s="55" t="s">
        <v>13</v>
      </c>
      <c r="B59" s="68">
        <v>45864</v>
      </c>
      <c r="C59" s="126">
        <v>87</v>
      </c>
      <c r="D59" s="55">
        <v>1450</v>
      </c>
      <c r="E59" s="55"/>
      <c r="F59" s="55"/>
      <c r="G59" s="69" t="s">
        <v>88</v>
      </c>
      <c r="H59" s="57">
        <v>1</v>
      </c>
      <c r="I59" s="55">
        <v>26</v>
      </c>
      <c r="J59" s="55">
        <f t="shared" si="6"/>
        <v>26</v>
      </c>
      <c r="K59" s="58">
        <v>17</v>
      </c>
      <c r="L59" s="58">
        <f t="shared" si="7"/>
        <v>442</v>
      </c>
      <c r="M59" s="32"/>
      <c r="N59" s="55"/>
    </row>
    <row r="60" s="38" customFormat="1" ht="20.25" spans="1:15">
      <c r="A60" s="55" t="s">
        <v>13</v>
      </c>
      <c r="B60" s="68">
        <v>45864</v>
      </c>
      <c r="C60" s="126">
        <v>87</v>
      </c>
      <c r="D60" s="55">
        <v>106360</v>
      </c>
      <c r="E60" s="55"/>
      <c r="F60" s="55"/>
      <c r="G60" s="56" t="s">
        <v>12</v>
      </c>
      <c r="H60" s="57">
        <v>1</v>
      </c>
      <c r="I60" s="55">
        <v>20</v>
      </c>
      <c r="J60" s="55">
        <f t="shared" si="6"/>
        <v>20</v>
      </c>
      <c r="K60" s="58">
        <v>22</v>
      </c>
      <c r="L60" s="58">
        <f t="shared" si="7"/>
        <v>440</v>
      </c>
      <c r="M60" s="32"/>
      <c r="N60" s="55"/>
    </row>
    <row r="61" s="38" customFormat="1" ht="20.25" spans="1:15">
      <c r="A61" s="55" t="s">
        <v>13</v>
      </c>
      <c r="B61" s="68">
        <v>45864</v>
      </c>
      <c r="C61" s="126">
        <v>87</v>
      </c>
      <c r="D61" s="55">
        <v>11930</v>
      </c>
      <c r="E61" s="55"/>
      <c r="F61" s="55"/>
      <c r="G61" s="69" t="s">
        <v>83</v>
      </c>
      <c r="H61" s="57">
        <v>2</v>
      </c>
      <c r="I61" s="55">
        <v>23</v>
      </c>
      <c r="J61" s="55">
        <f t="shared" si="6"/>
        <v>46</v>
      </c>
      <c r="K61" s="58">
        <v>17</v>
      </c>
      <c r="L61" s="58">
        <f t="shared" si="7"/>
        <v>782</v>
      </c>
      <c r="M61" s="32"/>
      <c r="N61" s="32"/>
    </row>
    <row r="62" s="38" customFormat="1" ht="20.25" spans="1:15">
      <c r="A62" s="43" t="s">
        <v>13</v>
      </c>
      <c r="B62" s="68">
        <v>45864</v>
      </c>
      <c r="C62" s="126">
        <v>87</v>
      </c>
      <c r="D62" s="55" t="s">
        <v>53</v>
      </c>
      <c r="E62" s="55"/>
      <c r="F62" s="55"/>
      <c r="G62" s="56" t="s">
        <v>54</v>
      </c>
      <c r="H62" s="57">
        <v>1</v>
      </c>
      <c r="I62" s="55">
        <v>20</v>
      </c>
      <c r="J62" s="55">
        <f t="shared" si="6"/>
        <v>20</v>
      </c>
      <c r="K62" s="58">
        <v>17</v>
      </c>
      <c r="L62" s="58">
        <f t="shared" si="7"/>
        <v>340</v>
      </c>
      <c r="M62" s="44"/>
      <c r="N62" s="55"/>
    </row>
    <row r="63" s="38" customFormat="1" ht="20.25" spans="1:15">
      <c r="A63" s="43" t="s">
        <v>13</v>
      </c>
      <c r="B63" s="68">
        <v>45864</v>
      </c>
      <c r="C63" s="126">
        <v>87</v>
      </c>
      <c r="D63" s="55" t="s">
        <v>59</v>
      </c>
      <c r="E63" s="55"/>
      <c r="F63" s="55"/>
      <c r="G63" s="56" t="s">
        <v>60</v>
      </c>
      <c r="H63" s="57">
        <v>1</v>
      </c>
      <c r="I63" s="55">
        <v>20</v>
      </c>
      <c r="J63" s="55">
        <f t="shared" si="6"/>
        <v>20</v>
      </c>
      <c r="K63" s="58">
        <v>17</v>
      </c>
      <c r="L63" s="58">
        <f t="shared" si="7"/>
        <v>340</v>
      </c>
      <c r="M63" s="44"/>
      <c r="N63" s="55">
        <f>SUM(L59:L63)</f>
        <v>2344</v>
      </c>
    </row>
    <row r="64" s="33" customFormat="1" ht="20.25" spans="1:15">
      <c r="A64" s="60" t="s">
        <v>66</v>
      </c>
      <c r="B64" s="70">
        <v>45868</v>
      </c>
      <c r="C64" s="62">
        <v>99</v>
      </c>
      <c r="D64" s="63" t="s">
        <v>89</v>
      </c>
      <c r="E64" s="63"/>
      <c r="F64" s="63"/>
      <c r="G64" s="72" t="s">
        <v>90</v>
      </c>
      <c r="H64" s="65">
        <v>1</v>
      </c>
      <c r="I64" s="63">
        <v>26</v>
      </c>
      <c r="J64" s="63">
        <f t="shared" si="6"/>
        <v>26</v>
      </c>
      <c r="K64" s="66">
        <v>18.5</v>
      </c>
      <c r="L64" s="66">
        <f t="shared" si="7"/>
        <v>481</v>
      </c>
      <c r="M64" s="34"/>
      <c r="N64" s="63"/>
    </row>
    <row r="65" s="38" customFormat="1" ht="20.25" spans="1:14">
      <c r="A65" s="55" t="s">
        <v>13</v>
      </c>
      <c r="B65" s="68">
        <v>45871</v>
      </c>
      <c r="C65" s="126">
        <v>4</v>
      </c>
      <c r="D65" s="55">
        <v>106360</v>
      </c>
      <c r="E65" s="55"/>
      <c r="F65" s="55"/>
      <c r="G65" s="56" t="s">
        <v>12</v>
      </c>
      <c r="H65" s="57">
        <v>2</v>
      </c>
      <c r="I65" s="55">
        <v>20</v>
      </c>
      <c r="J65" s="55">
        <f t="shared" si="6"/>
        <v>40</v>
      </c>
      <c r="K65" s="58">
        <v>22</v>
      </c>
      <c r="L65" s="58">
        <f t="shared" si="7"/>
        <v>880</v>
      </c>
      <c r="M65" s="32"/>
      <c r="N65" s="55"/>
    </row>
    <row r="66" s="33" customFormat="1" ht="20.25" spans="1:14">
      <c r="A66" s="60" t="s">
        <v>66</v>
      </c>
      <c r="B66" s="70">
        <v>45871</v>
      </c>
      <c r="C66" s="62">
        <v>7</v>
      </c>
      <c r="D66" s="63" t="s">
        <v>91</v>
      </c>
      <c r="E66" s="63"/>
      <c r="F66" s="63"/>
      <c r="G66" s="72" t="s">
        <v>92</v>
      </c>
      <c r="H66" s="65">
        <v>1</v>
      </c>
      <c r="I66" s="63">
        <v>5</v>
      </c>
      <c r="J66" s="63">
        <f t="shared" si="6"/>
        <v>5</v>
      </c>
      <c r="K66" s="66">
        <v>18.5</v>
      </c>
      <c r="L66" s="66">
        <f t="shared" si="7"/>
        <v>92.5</v>
      </c>
      <c r="M66" s="34"/>
      <c r="N66" s="63"/>
    </row>
    <row r="67" s="32" customFormat="1" ht="20.25" spans="1:14">
      <c r="A67" s="43" t="s">
        <v>66</v>
      </c>
      <c r="B67" s="68">
        <v>45891</v>
      </c>
      <c r="C67" s="54">
        <v>56</v>
      </c>
      <c r="D67" s="55" t="s">
        <v>89</v>
      </c>
      <c r="E67" s="55"/>
      <c r="F67" s="55"/>
      <c r="G67" s="69" t="s">
        <v>90</v>
      </c>
      <c r="H67" s="57">
        <v>1</v>
      </c>
      <c r="I67" s="55">
        <v>5</v>
      </c>
      <c r="J67" s="55">
        <f t="shared" si="6"/>
        <v>5</v>
      </c>
      <c r="K67" s="58">
        <v>18.5</v>
      </c>
      <c r="L67" s="58">
        <f t="shared" si="7"/>
        <v>92.5</v>
      </c>
      <c r="M67" s="44"/>
      <c r="N67" s="55"/>
    </row>
    <row r="68" s="32" customFormat="1" ht="20.25" spans="1:14">
      <c r="A68" s="43" t="s">
        <v>66</v>
      </c>
      <c r="B68" s="68">
        <v>45891</v>
      </c>
      <c r="C68" s="54">
        <v>56</v>
      </c>
      <c r="D68" s="56" t="s">
        <v>73</v>
      </c>
      <c r="E68" s="56"/>
      <c r="F68" s="56"/>
      <c r="G68" s="69" t="s">
        <v>60</v>
      </c>
      <c r="H68" s="57">
        <v>1</v>
      </c>
      <c r="I68" s="55">
        <v>10</v>
      </c>
      <c r="J68" s="55">
        <f t="shared" si="6"/>
        <v>10</v>
      </c>
      <c r="K68" s="58">
        <v>18.5</v>
      </c>
      <c r="L68" s="58">
        <f t="shared" si="7"/>
        <v>185</v>
      </c>
      <c r="M68" s="59">
        <f>SUM(L67:L68)</f>
        <v>277.5</v>
      </c>
      <c r="N68" s="55"/>
    </row>
    <row r="69" s="39" customFormat="1" ht="20.25" spans="1:14">
      <c r="A69" s="94" t="s">
        <v>13</v>
      </c>
      <c r="B69" s="99">
        <v>45894</v>
      </c>
      <c r="C69" s="127">
        <v>63</v>
      </c>
      <c r="D69" s="94">
        <v>11930</v>
      </c>
      <c r="E69" s="94"/>
      <c r="F69" s="94"/>
      <c r="G69" s="95" t="s">
        <v>83</v>
      </c>
      <c r="H69" s="96">
        <v>2</v>
      </c>
      <c r="I69" s="94">
        <v>21</v>
      </c>
      <c r="J69" s="94">
        <f t="shared" si="6"/>
        <v>42</v>
      </c>
      <c r="K69" s="97">
        <v>17</v>
      </c>
      <c r="L69" s="97">
        <f t="shared" si="7"/>
        <v>714</v>
      </c>
      <c r="M69" s="40"/>
      <c r="N69" s="40"/>
    </row>
    <row r="70" s="39" customFormat="1" ht="20.25" spans="1:14">
      <c r="A70" s="94" t="s">
        <v>13</v>
      </c>
      <c r="B70" s="99">
        <v>45894</v>
      </c>
      <c r="C70" s="127">
        <v>63</v>
      </c>
      <c r="D70" s="94">
        <v>11930</v>
      </c>
      <c r="E70" s="94"/>
      <c r="F70" s="94"/>
      <c r="G70" s="95" t="s">
        <v>83</v>
      </c>
      <c r="H70" s="96">
        <v>1</v>
      </c>
      <c r="I70" s="94">
        <v>23</v>
      </c>
      <c r="J70" s="94">
        <f t="shared" si="6"/>
        <v>23</v>
      </c>
      <c r="K70" s="97">
        <v>17</v>
      </c>
      <c r="L70" s="97">
        <f t="shared" si="7"/>
        <v>391</v>
      </c>
      <c r="M70" s="40"/>
      <c r="N70" s="40"/>
    </row>
    <row r="71" s="39" customFormat="1" ht="20.25" spans="1:14">
      <c r="A71" s="94" t="s">
        <v>13</v>
      </c>
      <c r="B71" s="99">
        <v>45894</v>
      </c>
      <c r="C71" s="127">
        <v>63</v>
      </c>
      <c r="D71" s="94">
        <v>11930</v>
      </c>
      <c r="E71" s="94"/>
      <c r="F71" s="94"/>
      <c r="G71" s="95" t="s">
        <v>83</v>
      </c>
      <c r="H71" s="96">
        <v>1</v>
      </c>
      <c r="I71" s="94">
        <v>20</v>
      </c>
      <c r="J71" s="94">
        <f t="shared" si="6"/>
        <v>20</v>
      </c>
      <c r="K71" s="97">
        <v>17</v>
      </c>
      <c r="L71" s="97">
        <f t="shared" si="7"/>
        <v>340</v>
      </c>
      <c r="M71" s="40"/>
      <c r="N71" s="40"/>
    </row>
    <row r="72" s="39" customFormat="1" ht="20.25" spans="1:14">
      <c r="A72" s="91" t="s">
        <v>13</v>
      </c>
      <c r="B72" s="99">
        <v>45894</v>
      </c>
      <c r="C72" s="127">
        <v>63</v>
      </c>
      <c r="D72" s="94" t="s">
        <v>59</v>
      </c>
      <c r="E72" s="94"/>
      <c r="F72" s="94"/>
      <c r="G72" s="100" t="s">
        <v>60</v>
      </c>
      <c r="H72" s="96">
        <v>2</v>
      </c>
      <c r="I72" s="94">
        <v>20</v>
      </c>
      <c r="J72" s="94">
        <f t="shared" si="6"/>
        <v>40</v>
      </c>
      <c r="K72" s="97">
        <v>17</v>
      </c>
      <c r="L72" s="97">
        <f t="shared" si="7"/>
        <v>680</v>
      </c>
      <c r="M72" s="73"/>
      <c r="N72" s="94"/>
    </row>
    <row r="73" s="39" customFormat="1" ht="20.25" spans="1:14">
      <c r="A73" s="91" t="s">
        <v>13</v>
      </c>
      <c r="B73" s="99">
        <v>45894</v>
      </c>
      <c r="C73" s="127">
        <v>63</v>
      </c>
      <c r="D73" s="94"/>
      <c r="E73" s="94"/>
      <c r="F73" s="94"/>
      <c r="G73" s="100" t="s">
        <v>15</v>
      </c>
      <c r="H73" s="96">
        <v>2</v>
      </c>
      <c r="I73" s="94">
        <v>18</v>
      </c>
      <c r="J73" s="94">
        <f t="shared" si="6"/>
        <v>36</v>
      </c>
      <c r="K73" s="97">
        <v>9</v>
      </c>
      <c r="L73" s="97">
        <f t="shared" si="7"/>
        <v>324</v>
      </c>
      <c r="M73" s="73"/>
      <c r="N73" s="94">
        <f>SUM(L69:L73)</f>
        <v>2449</v>
      </c>
    </row>
    <row r="74" s="119" customFormat="1" ht="20.25" spans="1:14">
      <c r="A74" s="55" t="s">
        <v>13</v>
      </c>
      <c r="B74" s="68">
        <v>45917</v>
      </c>
      <c r="C74" s="32" t="s">
        <v>93</v>
      </c>
      <c r="D74" s="55">
        <v>3712</v>
      </c>
      <c r="E74" s="55"/>
      <c r="F74" s="55"/>
      <c r="G74" s="56" t="s">
        <v>41</v>
      </c>
      <c r="H74" s="57">
        <v>2</v>
      </c>
      <c r="I74" s="55">
        <v>25</v>
      </c>
      <c r="J74" s="55">
        <f t="shared" si="6"/>
        <v>50</v>
      </c>
      <c r="K74" s="58">
        <v>12</v>
      </c>
      <c r="L74" s="58">
        <f t="shared" si="7"/>
        <v>600</v>
      </c>
    </row>
    <row r="75" s="119" customFormat="1" ht="20.25" spans="1:14">
      <c r="A75" s="55" t="s">
        <v>13</v>
      </c>
      <c r="B75" s="68">
        <v>45917</v>
      </c>
      <c r="C75" s="32" t="s">
        <v>93</v>
      </c>
      <c r="D75" s="55" t="s">
        <v>42</v>
      </c>
      <c r="E75" s="55"/>
      <c r="F75" s="55"/>
      <c r="G75" s="56" t="s">
        <v>43</v>
      </c>
      <c r="H75" s="57">
        <v>2</v>
      </c>
      <c r="I75" s="55">
        <v>20</v>
      </c>
      <c r="J75" s="55">
        <f t="shared" si="6"/>
        <v>40</v>
      </c>
      <c r="K75" s="58">
        <v>17</v>
      </c>
      <c r="L75" s="58">
        <f t="shared" si="7"/>
        <v>680</v>
      </c>
      <c r="N75" s="124">
        <f>SUM(L74:L75)</f>
        <v>1280</v>
      </c>
    </row>
    <row r="76" s="38" customFormat="1" ht="20.25" spans="1:14">
      <c r="A76" s="55" t="s">
        <v>13</v>
      </c>
      <c r="B76" s="68">
        <v>45917</v>
      </c>
      <c r="C76" s="32" t="s">
        <v>93</v>
      </c>
      <c r="D76" s="55">
        <v>106360</v>
      </c>
      <c r="E76" s="55"/>
      <c r="F76" s="55"/>
      <c r="G76" s="56" t="s">
        <v>12</v>
      </c>
      <c r="H76" s="57">
        <v>2</v>
      </c>
      <c r="I76" s="55">
        <v>20</v>
      </c>
      <c r="J76" s="55">
        <f t="shared" si="6"/>
        <v>40</v>
      </c>
      <c r="K76" s="58">
        <v>22</v>
      </c>
      <c r="L76" s="58">
        <f t="shared" si="7"/>
        <v>880</v>
      </c>
      <c r="M76" s="32"/>
      <c r="N76" s="55"/>
    </row>
    <row r="77" s="38" customFormat="1" ht="20.25" spans="1:14">
      <c r="A77" s="43" t="s">
        <v>13</v>
      </c>
      <c r="B77" s="68">
        <v>45917</v>
      </c>
      <c r="C77" s="32" t="s">
        <v>93</v>
      </c>
      <c r="D77" s="55"/>
      <c r="E77" s="55"/>
      <c r="F77" s="55"/>
      <c r="G77" s="56" t="s">
        <v>15</v>
      </c>
      <c r="H77" s="57">
        <v>2</v>
      </c>
      <c r="I77" s="55">
        <v>18</v>
      </c>
      <c r="J77" s="55">
        <f t="shared" si="6"/>
        <v>36</v>
      </c>
      <c r="K77" s="58">
        <v>9</v>
      </c>
      <c r="L77" s="58">
        <f t="shared" si="7"/>
        <v>324</v>
      </c>
      <c r="M77" s="44"/>
      <c r="N77" s="55">
        <f>SUM(L73:L77)</f>
        <v>2808</v>
      </c>
    </row>
    <row r="78" s="35" customFormat="1" ht="20.25" spans="1:14">
      <c r="A78" s="63" t="s">
        <v>13</v>
      </c>
      <c r="B78" s="70">
        <v>45919</v>
      </c>
      <c r="C78" s="128">
        <v>69</v>
      </c>
      <c r="D78" s="63">
        <v>106360</v>
      </c>
      <c r="E78" s="63"/>
      <c r="F78" s="63"/>
      <c r="G78" s="64" t="s">
        <v>12</v>
      </c>
      <c r="H78" s="65">
        <v>3</v>
      </c>
      <c r="I78" s="63">
        <v>20</v>
      </c>
      <c r="J78" s="63">
        <f t="shared" si="6"/>
        <v>60</v>
      </c>
      <c r="K78" s="66">
        <v>22</v>
      </c>
      <c r="L78" s="66">
        <f t="shared" si="7"/>
        <v>1320</v>
      </c>
      <c r="M78" s="33"/>
      <c r="N78" s="63"/>
    </row>
    <row r="79" s="35" customFormat="1" ht="20.25" spans="1:14">
      <c r="A79" s="63" t="s">
        <v>13</v>
      </c>
      <c r="B79" s="70">
        <v>45919</v>
      </c>
      <c r="C79" s="128">
        <v>69</v>
      </c>
      <c r="D79" s="63"/>
      <c r="E79" s="63"/>
      <c r="F79" s="63"/>
      <c r="G79" s="64" t="s">
        <v>15</v>
      </c>
      <c r="H79" s="65">
        <v>3</v>
      </c>
      <c r="I79" s="63">
        <v>18</v>
      </c>
      <c r="J79" s="63">
        <f t="shared" si="6"/>
        <v>54</v>
      </c>
      <c r="K79" s="66">
        <v>9</v>
      </c>
      <c r="L79" s="66">
        <f t="shared" si="7"/>
        <v>486</v>
      </c>
      <c r="M79" s="34"/>
      <c r="N79" s="63">
        <f>SUM(L78:L79)</f>
        <v>1806</v>
      </c>
    </row>
    <row r="80" s="38" customFormat="1" ht="20.25" spans="1:14">
      <c r="A80" s="55" t="s">
        <v>13</v>
      </c>
      <c r="B80" s="68">
        <v>45946</v>
      </c>
      <c r="C80" s="126">
        <v>36</v>
      </c>
      <c r="D80" s="68">
        <v>45934</v>
      </c>
      <c r="E80" s="55"/>
      <c r="F80" s="55"/>
      <c r="G80" s="56" t="s">
        <v>94</v>
      </c>
      <c r="H80" s="57">
        <v>3</v>
      </c>
      <c r="I80" s="55">
        <v>18</v>
      </c>
      <c r="J80" s="55">
        <f t="shared" si="6"/>
        <v>54</v>
      </c>
      <c r="K80" s="58">
        <v>9</v>
      </c>
      <c r="L80" s="58">
        <f t="shared" si="7"/>
        <v>486</v>
      </c>
      <c r="M80" s="44" t="s">
        <v>95</v>
      </c>
      <c r="N80" s="55"/>
    </row>
    <row r="81" s="38" customFormat="1" ht="20.25" spans="1:15">
      <c r="A81" s="55" t="s">
        <v>13</v>
      </c>
      <c r="B81" s="68">
        <v>45946</v>
      </c>
      <c r="C81" s="126">
        <v>36</v>
      </c>
      <c r="D81" s="55">
        <v>106360</v>
      </c>
      <c r="E81" s="55"/>
      <c r="F81" s="55"/>
      <c r="G81" s="56" t="s">
        <v>12</v>
      </c>
      <c r="H81" s="57">
        <v>2</v>
      </c>
      <c r="I81" s="55">
        <v>20</v>
      </c>
      <c r="J81" s="55">
        <f t="shared" si="6"/>
        <v>40</v>
      </c>
      <c r="K81" s="58">
        <v>22</v>
      </c>
      <c r="L81" s="58">
        <f t="shared" si="7"/>
        <v>880</v>
      </c>
      <c r="M81" s="32"/>
      <c r="N81" s="55"/>
    </row>
    <row r="82" s="38" customFormat="1" ht="20.25" spans="1:15">
      <c r="A82" s="55" t="s">
        <v>13</v>
      </c>
      <c r="B82" s="68">
        <v>45946</v>
      </c>
      <c r="C82" s="126">
        <v>36</v>
      </c>
      <c r="D82" s="68">
        <v>45946</v>
      </c>
      <c r="E82" s="55"/>
      <c r="F82" s="55"/>
      <c r="G82" s="56" t="s">
        <v>15</v>
      </c>
      <c r="H82" s="57">
        <v>2</v>
      </c>
      <c r="I82" s="55">
        <v>18</v>
      </c>
      <c r="J82" s="55">
        <f t="shared" si="6"/>
        <v>36</v>
      </c>
      <c r="K82" s="58">
        <v>9</v>
      </c>
      <c r="L82" s="58">
        <f t="shared" si="7"/>
        <v>324</v>
      </c>
      <c r="M82" s="44"/>
      <c r="N82" s="55">
        <f>SUM(L80:L82)</f>
        <v>1690</v>
      </c>
    </row>
    <row r="83" s="120" customFormat="1" ht="20.25" spans="1:15">
      <c r="A83" s="63" t="s">
        <v>13</v>
      </c>
      <c r="B83" s="70">
        <v>45947</v>
      </c>
      <c r="C83" s="33" t="s">
        <v>96</v>
      </c>
      <c r="D83" s="63">
        <v>3712</v>
      </c>
      <c r="E83" s="63"/>
      <c r="F83" s="63"/>
      <c r="G83" s="64" t="s">
        <v>41</v>
      </c>
      <c r="H83" s="65">
        <v>3</v>
      </c>
      <c r="I83" s="63">
        <v>25</v>
      </c>
      <c r="J83" s="63">
        <f t="shared" si="6"/>
        <v>75</v>
      </c>
      <c r="K83" s="66">
        <v>12</v>
      </c>
      <c r="L83" s="66">
        <f t="shared" si="7"/>
        <v>900</v>
      </c>
    </row>
    <row r="84" s="120" customFormat="1" ht="20.25" spans="1:15">
      <c r="A84" s="63" t="s">
        <v>13</v>
      </c>
      <c r="B84" s="70">
        <v>45947</v>
      </c>
      <c r="C84" s="33" t="s">
        <v>96</v>
      </c>
      <c r="D84" s="63" t="s">
        <v>42</v>
      </c>
      <c r="E84" s="63"/>
      <c r="F84" s="63"/>
      <c r="G84" s="64" t="s">
        <v>43</v>
      </c>
      <c r="H84" s="65">
        <v>3</v>
      </c>
      <c r="I84" s="63">
        <v>20</v>
      </c>
      <c r="J84" s="63">
        <f t="shared" si="6"/>
        <v>60</v>
      </c>
      <c r="K84" s="66">
        <v>17</v>
      </c>
      <c r="L84" s="66">
        <f t="shared" si="7"/>
        <v>1020</v>
      </c>
      <c r="N84" s="120">
        <f>SUM(L83:L84)</f>
        <v>1920</v>
      </c>
    </row>
    <row r="85" s="120" customFormat="1" ht="20.25" spans="1:15">
      <c r="A85" s="63" t="s">
        <v>13</v>
      </c>
      <c r="B85" s="70">
        <v>45947</v>
      </c>
      <c r="C85" s="33" t="s">
        <v>96</v>
      </c>
      <c r="D85" s="63"/>
      <c r="E85" s="63"/>
      <c r="F85" s="63"/>
      <c r="G85" s="64" t="s">
        <v>94</v>
      </c>
      <c r="H85" s="65">
        <v>3</v>
      </c>
      <c r="I85" s="63">
        <v>18</v>
      </c>
      <c r="J85" s="63">
        <f t="shared" si="6"/>
        <v>54</v>
      </c>
      <c r="K85" s="66">
        <v>9</v>
      </c>
      <c r="L85" s="66">
        <f t="shared" si="7"/>
        <v>486</v>
      </c>
      <c r="M85" s="120" t="s">
        <v>95</v>
      </c>
    </row>
    <row r="86" s="32" customFormat="1" ht="20.25" spans="1:15">
      <c r="A86" s="43" t="s">
        <v>66</v>
      </c>
      <c r="B86" s="68">
        <v>45953</v>
      </c>
      <c r="C86" s="54">
        <v>65</v>
      </c>
      <c r="D86" s="56" t="s">
        <v>84</v>
      </c>
      <c r="E86" s="56"/>
      <c r="F86" s="56"/>
      <c r="G86" s="69" t="s">
        <v>85</v>
      </c>
      <c r="H86" s="57">
        <v>1</v>
      </c>
      <c r="I86" s="55">
        <v>30</v>
      </c>
      <c r="J86" s="55">
        <f t="shared" si="6"/>
        <v>30</v>
      </c>
      <c r="K86" s="58">
        <v>18.5</v>
      </c>
      <c r="L86" s="58">
        <f t="shared" si="7"/>
        <v>555</v>
      </c>
      <c r="M86" s="56" t="s">
        <v>86</v>
      </c>
      <c r="N86" s="56"/>
      <c r="O86" s="56"/>
    </row>
    <row r="87" s="32" customFormat="1" ht="20.25" spans="1:15">
      <c r="A87" s="43" t="s">
        <v>66</v>
      </c>
      <c r="B87" s="68">
        <v>45953</v>
      </c>
      <c r="C87" s="54">
        <v>65</v>
      </c>
      <c r="D87" s="56" t="s">
        <v>73</v>
      </c>
      <c r="E87" s="56"/>
      <c r="F87" s="56"/>
      <c r="G87" s="69" t="s">
        <v>60</v>
      </c>
      <c r="H87" s="57">
        <v>1</v>
      </c>
      <c r="I87" s="55">
        <v>10</v>
      </c>
      <c r="J87" s="55">
        <f t="shared" si="6"/>
        <v>10</v>
      </c>
      <c r="K87" s="58">
        <v>18.5</v>
      </c>
      <c r="L87" s="58">
        <f t="shared" si="7"/>
        <v>185</v>
      </c>
      <c r="M87" s="59">
        <f>SUM(L86:L87)</f>
        <v>740</v>
      </c>
      <c r="N87" s="55"/>
    </row>
    <row r="88" s="35" customFormat="1" ht="20.25" spans="1:15">
      <c r="A88" s="63" t="s">
        <v>13</v>
      </c>
      <c r="B88" s="70">
        <v>45957</v>
      </c>
      <c r="C88" s="128" t="s">
        <v>97</v>
      </c>
      <c r="D88" s="63">
        <v>106360</v>
      </c>
      <c r="E88" s="63"/>
      <c r="F88" s="63"/>
      <c r="G88" s="64" t="s">
        <v>12</v>
      </c>
      <c r="H88" s="65">
        <v>3</v>
      </c>
      <c r="I88" s="63">
        <v>20</v>
      </c>
      <c r="J88" s="63">
        <f t="shared" si="6"/>
        <v>60</v>
      </c>
      <c r="K88" s="66">
        <v>22</v>
      </c>
      <c r="L88" s="66">
        <f t="shared" si="7"/>
        <v>1320</v>
      </c>
      <c r="M88" s="33"/>
      <c r="N88" s="63"/>
    </row>
    <row r="89" s="35" customFormat="1" ht="20.25" spans="1:15">
      <c r="A89" s="63" t="s">
        <v>13</v>
      </c>
      <c r="B89" s="70">
        <v>45957</v>
      </c>
      <c r="C89" s="128" t="s">
        <v>97</v>
      </c>
      <c r="D89" s="63"/>
      <c r="E89" s="63"/>
      <c r="F89" s="63"/>
      <c r="G89" s="64" t="s">
        <v>15</v>
      </c>
      <c r="H89" s="65">
        <v>3</v>
      </c>
      <c r="I89" s="63">
        <v>18</v>
      </c>
      <c r="J89" s="63">
        <f t="shared" si="6"/>
        <v>54</v>
      </c>
      <c r="K89" s="66">
        <v>9</v>
      </c>
      <c r="L89" s="66">
        <f t="shared" si="7"/>
        <v>486</v>
      </c>
      <c r="M89" s="34"/>
      <c r="N89" s="63">
        <f>SUM(L88:L89)</f>
        <v>1806</v>
      </c>
    </row>
    <row r="90" s="119" customFormat="1" ht="20.25" spans="1:15">
      <c r="A90" s="55" t="s">
        <v>13</v>
      </c>
      <c r="B90" s="68">
        <v>45972</v>
      </c>
      <c r="C90" s="32" t="s">
        <v>98</v>
      </c>
      <c r="D90" s="55">
        <v>3712</v>
      </c>
      <c r="E90" s="55"/>
      <c r="F90" s="55"/>
      <c r="G90" s="56" t="s">
        <v>41</v>
      </c>
      <c r="H90" s="57">
        <v>6</v>
      </c>
      <c r="I90" s="55">
        <v>25</v>
      </c>
      <c r="J90" s="55">
        <f t="shared" si="6"/>
        <v>150</v>
      </c>
      <c r="K90" s="58">
        <v>12</v>
      </c>
      <c r="L90" s="97">
        <v>0</v>
      </c>
      <c r="M90" s="129" t="s">
        <v>99</v>
      </c>
    </row>
    <row r="91" s="119" customFormat="1" ht="20.25" spans="1:15">
      <c r="A91" s="55" t="s">
        <v>13</v>
      </c>
      <c r="B91" s="68">
        <v>45972</v>
      </c>
      <c r="C91" s="32" t="s">
        <v>98</v>
      </c>
      <c r="D91" s="55" t="s">
        <v>42</v>
      </c>
      <c r="E91" s="55"/>
      <c r="F91" s="55"/>
      <c r="G91" s="56" t="s">
        <v>43</v>
      </c>
      <c r="H91" s="57">
        <v>6</v>
      </c>
      <c r="I91" s="55">
        <v>20</v>
      </c>
      <c r="J91" s="55">
        <f t="shared" si="6"/>
        <v>120</v>
      </c>
      <c r="K91" s="58">
        <v>17</v>
      </c>
      <c r="L91" s="97">
        <v>0</v>
      </c>
      <c r="M91" s="129" t="s">
        <v>99</v>
      </c>
      <c r="N91" s="119">
        <f>SUM(L90:L92)</f>
        <v>972</v>
      </c>
    </row>
    <row r="92" s="119" customFormat="1" ht="20.25" spans="1:15">
      <c r="A92" s="55" t="s">
        <v>13</v>
      </c>
      <c r="B92" s="68">
        <v>45972</v>
      </c>
      <c r="C92" s="32" t="s">
        <v>98</v>
      </c>
      <c r="D92" s="55"/>
      <c r="E92" s="55"/>
      <c r="F92" s="55"/>
      <c r="G92" s="56" t="s">
        <v>94</v>
      </c>
      <c r="H92" s="57">
        <v>6</v>
      </c>
      <c r="I92" s="55">
        <v>18</v>
      </c>
      <c r="J92" s="55">
        <f t="shared" si="6"/>
        <v>108</v>
      </c>
      <c r="K92" s="58">
        <v>9</v>
      </c>
      <c r="L92" s="58">
        <f t="shared" si="7"/>
        <v>972</v>
      </c>
      <c r="M92" s="119" t="s">
        <v>95</v>
      </c>
    </row>
    <row r="93" s="120" customFormat="1" ht="20.25" spans="1:15">
      <c r="A93" s="63" t="s">
        <v>66</v>
      </c>
      <c r="B93" s="70">
        <v>45972</v>
      </c>
      <c r="C93" s="33" t="s">
        <v>100</v>
      </c>
      <c r="D93" s="63"/>
      <c r="E93" s="63"/>
      <c r="F93" s="63"/>
      <c r="G93" s="64" t="s">
        <v>101</v>
      </c>
      <c r="H93" s="65">
        <v>1</v>
      </c>
      <c r="I93" s="63">
        <v>12</v>
      </c>
      <c r="J93" s="63">
        <f t="shared" si="6"/>
        <v>12</v>
      </c>
      <c r="K93" s="66">
        <v>18.5</v>
      </c>
      <c r="L93" s="66">
        <f t="shared" si="7"/>
        <v>222</v>
      </c>
      <c r="M93" s="34" t="s">
        <v>102</v>
      </c>
    </row>
    <row r="94" customFormat="1" ht="20.25" spans="1:15">
      <c r="A94" s="43" t="s">
        <v>76</v>
      </c>
      <c r="B94" s="53">
        <v>45978</v>
      </c>
      <c r="C94" s="54" t="s">
        <v>103</v>
      </c>
      <c r="D94" s="55" t="s">
        <v>77</v>
      </c>
      <c r="E94" s="55"/>
      <c r="F94" s="55"/>
      <c r="G94" s="69" t="s">
        <v>78</v>
      </c>
      <c r="H94" s="57">
        <v>7</v>
      </c>
      <c r="I94" s="55">
        <v>25</v>
      </c>
      <c r="J94" s="55">
        <f t="shared" si="6"/>
        <v>175</v>
      </c>
      <c r="K94" s="58">
        <v>14</v>
      </c>
      <c r="L94" s="58">
        <f t="shared" si="7"/>
        <v>2450</v>
      </c>
    </row>
    <row r="95" customFormat="1" ht="20.25" spans="1:15">
      <c r="A95" s="43" t="s">
        <v>76</v>
      </c>
      <c r="B95" s="53">
        <v>45980</v>
      </c>
      <c r="C95" s="54">
        <v>53</v>
      </c>
      <c r="D95" s="55" t="s">
        <v>104</v>
      </c>
      <c r="E95" s="55"/>
      <c r="F95" s="55"/>
      <c r="G95" s="69" t="s">
        <v>105</v>
      </c>
      <c r="H95" s="57">
        <v>3</v>
      </c>
      <c r="I95" s="55">
        <v>18</v>
      </c>
      <c r="J95" s="55">
        <f t="shared" si="6"/>
        <v>54</v>
      </c>
      <c r="K95" s="58">
        <v>7</v>
      </c>
      <c r="L95" s="58">
        <f t="shared" si="7"/>
        <v>378</v>
      </c>
    </row>
    <row r="96" s="35" customFormat="1" ht="20.25" spans="1:15">
      <c r="A96" s="63" t="s">
        <v>13</v>
      </c>
      <c r="B96" s="70">
        <v>45988</v>
      </c>
      <c r="C96" s="128">
        <v>78</v>
      </c>
      <c r="D96" s="63">
        <v>106360</v>
      </c>
      <c r="E96" s="63"/>
      <c r="F96" s="63"/>
      <c r="G96" s="64" t="s">
        <v>12</v>
      </c>
      <c r="H96" s="65">
        <v>1</v>
      </c>
      <c r="I96" s="63">
        <v>21</v>
      </c>
      <c r="J96" s="63">
        <f t="shared" si="6"/>
        <v>21</v>
      </c>
      <c r="K96" s="66">
        <v>22</v>
      </c>
      <c r="L96" s="66">
        <f t="shared" si="7"/>
        <v>462</v>
      </c>
      <c r="M96" s="33"/>
      <c r="N96" s="63"/>
    </row>
    <row r="97" s="35" customFormat="1" ht="20.25" spans="1:14">
      <c r="A97" s="63" t="s">
        <v>13</v>
      </c>
      <c r="B97" s="70">
        <v>45988</v>
      </c>
      <c r="C97" s="128">
        <v>78</v>
      </c>
      <c r="D97" s="63">
        <v>106360</v>
      </c>
      <c r="E97" s="63"/>
      <c r="F97" s="63"/>
      <c r="G97" s="64" t="s">
        <v>12</v>
      </c>
      <c r="H97" s="65">
        <v>2</v>
      </c>
      <c r="I97" s="63">
        <v>20</v>
      </c>
      <c r="J97" s="63">
        <f t="shared" si="6"/>
        <v>40</v>
      </c>
      <c r="K97" s="66">
        <v>22</v>
      </c>
      <c r="L97" s="66">
        <f t="shared" si="7"/>
        <v>880</v>
      </c>
      <c r="M97" s="33"/>
      <c r="N97" s="63"/>
    </row>
    <row r="98" s="35" customFormat="1" ht="20.25" spans="1:14">
      <c r="A98" s="63" t="s">
        <v>13</v>
      </c>
      <c r="B98" s="70">
        <v>45988</v>
      </c>
      <c r="C98" s="128">
        <v>78</v>
      </c>
      <c r="D98" s="63"/>
      <c r="E98" s="63"/>
      <c r="F98" s="63"/>
      <c r="G98" s="64" t="s">
        <v>15</v>
      </c>
      <c r="H98" s="65">
        <v>4</v>
      </c>
      <c r="I98" s="63">
        <v>18</v>
      </c>
      <c r="J98" s="63">
        <f t="shared" si="6"/>
        <v>72</v>
      </c>
      <c r="K98" s="66">
        <v>9</v>
      </c>
      <c r="L98" s="66">
        <f t="shared" si="7"/>
        <v>648</v>
      </c>
      <c r="M98" s="34"/>
      <c r="N98" s="63">
        <f>SUM(L96:L98)</f>
        <v>1990</v>
      </c>
    </row>
    <row r="99" customFormat="1" ht="20.25" spans="1:14">
      <c r="A99" s="43" t="s">
        <v>76</v>
      </c>
      <c r="B99" s="53">
        <v>45993</v>
      </c>
      <c r="C99" s="54">
        <v>3</v>
      </c>
      <c r="D99" s="55" t="s">
        <v>77</v>
      </c>
      <c r="E99" s="55"/>
      <c r="F99" s="55"/>
      <c r="G99" s="69" t="s">
        <v>78</v>
      </c>
      <c r="H99" s="57">
        <v>3</v>
      </c>
      <c r="I99" s="55">
        <v>25</v>
      </c>
      <c r="J99" s="55">
        <f t="shared" si="6"/>
        <v>75</v>
      </c>
      <c r="K99" s="58">
        <v>14</v>
      </c>
      <c r="L99" s="58">
        <f t="shared" si="7"/>
        <v>1050</v>
      </c>
    </row>
    <row r="100" s="120" customFormat="1" ht="20.25" spans="1:14">
      <c r="A100" s="63" t="s">
        <v>13</v>
      </c>
      <c r="B100" s="70">
        <v>46014</v>
      </c>
      <c r="C100" s="33" t="s">
        <v>106</v>
      </c>
      <c r="D100" s="63"/>
      <c r="E100" s="63"/>
      <c r="F100" s="63"/>
      <c r="G100" s="64" t="s">
        <v>94</v>
      </c>
      <c r="H100" s="65">
        <v>6</v>
      </c>
      <c r="I100" s="63">
        <v>18</v>
      </c>
      <c r="J100" s="63">
        <f t="shared" si="6"/>
        <v>108</v>
      </c>
      <c r="K100" s="66">
        <v>9</v>
      </c>
      <c r="L100" s="66">
        <f t="shared" si="7"/>
        <v>972</v>
      </c>
      <c r="M100" s="120" t="s">
        <v>95</v>
      </c>
    </row>
    <row r="101" s="39" customFormat="1" ht="20.25" spans="1:14">
      <c r="A101" s="94" t="s">
        <v>13</v>
      </c>
      <c r="B101" s="99">
        <v>46016</v>
      </c>
      <c r="C101" s="127"/>
      <c r="D101" s="94">
        <v>106360</v>
      </c>
      <c r="E101" s="94"/>
      <c r="F101" s="94"/>
      <c r="G101" s="100" t="s">
        <v>12</v>
      </c>
      <c r="H101" s="96">
        <v>6</v>
      </c>
      <c r="I101" s="94">
        <v>20</v>
      </c>
      <c r="J101" s="94">
        <f t="shared" si="6"/>
        <v>120</v>
      </c>
      <c r="K101" s="97">
        <v>22</v>
      </c>
      <c r="L101" s="97">
        <f t="shared" si="7"/>
        <v>2640</v>
      </c>
      <c r="M101" s="40" t="s">
        <v>107</v>
      </c>
      <c r="N101" s="94"/>
    </row>
    <row r="102" s="73" customFormat="1" ht="20.25" spans="1:14">
      <c r="A102" s="91" t="s">
        <v>13</v>
      </c>
      <c r="B102" s="99">
        <v>46016</v>
      </c>
      <c r="C102" s="127"/>
      <c r="D102" s="94">
        <v>403</v>
      </c>
      <c r="E102" s="94"/>
      <c r="F102" s="94"/>
      <c r="G102" s="100" t="s">
        <v>56</v>
      </c>
      <c r="H102" s="96">
        <v>1</v>
      </c>
      <c r="I102" s="94">
        <v>10</v>
      </c>
      <c r="J102" s="94">
        <f t="shared" si="6"/>
        <v>10</v>
      </c>
      <c r="K102" s="97">
        <v>22</v>
      </c>
      <c r="L102" s="97">
        <f t="shared" si="7"/>
        <v>220</v>
      </c>
    </row>
    <row r="103" customFormat="1" ht="20.25" spans="1:14">
      <c r="A103" s="43" t="s">
        <v>76</v>
      </c>
      <c r="B103" s="53">
        <v>46020</v>
      </c>
      <c r="C103" s="54">
        <v>79</v>
      </c>
      <c r="D103" s="55" t="s">
        <v>77</v>
      </c>
      <c r="E103" s="55"/>
      <c r="F103" s="55"/>
      <c r="G103" s="69" t="s">
        <v>78</v>
      </c>
      <c r="H103" s="57">
        <v>3</v>
      </c>
      <c r="I103" s="55">
        <v>25</v>
      </c>
      <c r="J103" s="55">
        <f t="shared" si="6"/>
        <v>75</v>
      </c>
      <c r="K103" s="58">
        <v>14</v>
      </c>
      <c r="L103" s="58">
        <f t="shared" si="7"/>
        <v>1050</v>
      </c>
    </row>
    <row r="104" s="120" customFormat="1" ht="20.25" spans="1:14">
      <c r="A104" s="63" t="s">
        <v>13</v>
      </c>
      <c r="B104" s="61">
        <v>46027</v>
      </c>
      <c r="C104" s="33" t="s">
        <v>108</v>
      </c>
      <c r="D104" s="63">
        <v>106360</v>
      </c>
      <c r="E104" s="63"/>
      <c r="F104" s="63"/>
      <c r="G104" s="64" t="s">
        <v>12</v>
      </c>
      <c r="H104" s="65">
        <v>6</v>
      </c>
      <c r="I104" s="63">
        <v>20</v>
      </c>
      <c r="J104" s="63">
        <f t="shared" si="6"/>
        <v>120</v>
      </c>
      <c r="K104" s="66">
        <v>22</v>
      </c>
      <c r="L104" s="66">
        <f t="shared" si="7"/>
        <v>2640</v>
      </c>
    </row>
    <row r="105" s="121" customFormat="1" ht="20.25" spans="1:14">
      <c r="A105" s="63" t="s">
        <v>13</v>
      </c>
      <c r="B105" s="61">
        <v>46027</v>
      </c>
      <c r="C105" s="33" t="s">
        <v>108</v>
      </c>
      <c r="D105" s="63"/>
      <c r="E105" s="63"/>
      <c r="F105" s="63"/>
      <c r="G105" s="64" t="s">
        <v>15</v>
      </c>
      <c r="H105" s="65">
        <v>6</v>
      </c>
      <c r="I105" s="63">
        <v>18</v>
      </c>
      <c r="J105" s="63">
        <f t="shared" si="6"/>
        <v>108</v>
      </c>
      <c r="K105" s="66">
        <v>9</v>
      </c>
      <c r="L105" s="66">
        <f t="shared" si="7"/>
        <v>972</v>
      </c>
    </row>
  </sheetData>
  <autoFilter xmlns:etc="http://www.wps.cn/officeDocument/2017/etCustomData" ref="A2:N105" etc:filterBottomFollowUsedRange="0">
    <extLst/>
  </autoFilter>
  <mergeCells count="108">
    <mergeCell ref="D1:F1"/>
    <mergeCell ref="J1:K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M49:O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M86:O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308"/>
  <sheetViews>
    <sheetView workbookViewId="0">
      <selection activeCell="P54" sqref="P54"/>
    </sheetView>
  </sheetViews>
  <sheetFormatPr defaultColWidth="9" defaultRowHeight="20.25"/>
  <cols>
    <col min="1" max="1" width="13.375" style="43" customWidth="1"/>
    <col min="2" max="2" width="12.625" style="44"/>
    <col min="3" max="3" width="9" style="44"/>
    <col min="4" max="5" width="3.25" style="44" customWidth="1"/>
    <col min="6" max="6" width="6.875" style="44" customWidth="1"/>
    <col min="7" max="7" width="30" style="44" customWidth="1"/>
    <col min="8" max="11" width="11.625" style="43" customWidth="1"/>
    <col min="12" max="12" width="15.625" style="43" customWidth="1"/>
    <col min="13" max="14" width="15.625" style="44" customWidth="1"/>
  </cols>
  <sheetData>
    <row r="1" s="31" customFormat="1" ht="21" customHeight="1" spans="1:14">
      <c r="A1" s="45" t="s">
        <v>109</v>
      </c>
      <c r="B1" s="46"/>
      <c r="C1" s="47"/>
      <c r="D1" s="45"/>
      <c r="E1" s="45"/>
      <c r="F1" s="45"/>
      <c r="G1" s="48"/>
      <c r="H1" s="49"/>
      <c r="I1" s="45"/>
      <c r="J1" s="45"/>
      <c r="K1" s="50"/>
      <c r="L1" s="50"/>
      <c r="M1" s="51"/>
      <c r="N1" s="45"/>
    </row>
    <row r="2" s="31" customFormat="1" ht="18" customHeight="1" spans="1:14">
      <c r="A2" s="45" t="s">
        <v>34</v>
      </c>
      <c r="B2" s="46" t="s">
        <v>35</v>
      </c>
      <c r="C2" s="47" t="s">
        <v>36</v>
      </c>
      <c r="D2" s="45" t="s">
        <v>37</v>
      </c>
      <c r="E2" s="45"/>
      <c r="F2" s="45"/>
      <c r="G2" s="48" t="s">
        <v>38</v>
      </c>
      <c r="H2" s="49" t="s">
        <v>39</v>
      </c>
      <c r="I2" s="45" t="s">
        <v>7</v>
      </c>
      <c r="J2" s="45" t="s">
        <v>40</v>
      </c>
      <c r="K2" s="50" t="s">
        <v>9</v>
      </c>
      <c r="L2" s="50" t="s">
        <v>10</v>
      </c>
      <c r="M2" s="52"/>
      <c r="N2" s="45"/>
    </row>
    <row r="3" s="32" customFormat="1" hidden="1" spans="1:14">
      <c r="A3" s="43" t="s">
        <v>76</v>
      </c>
      <c r="B3" s="53">
        <v>45343</v>
      </c>
      <c r="C3" s="54">
        <v>1</v>
      </c>
      <c r="D3" s="55" t="s">
        <v>110</v>
      </c>
      <c r="E3" s="55"/>
      <c r="F3" s="55"/>
      <c r="G3" s="56" t="s">
        <v>68</v>
      </c>
      <c r="H3" s="57">
        <v>20</v>
      </c>
      <c r="I3" s="55">
        <v>28</v>
      </c>
      <c r="J3" s="55">
        <f t="shared" ref="J3:J8" si="0">H3*I3</f>
        <v>560</v>
      </c>
      <c r="K3" s="58">
        <v>9.5</v>
      </c>
      <c r="L3" s="58">
        <f t="shared" ref="L3:L15" si="1">J3*K3</f>
        <v>5320</v>
      </c>
      <c r="M3" s="59">
        <v>9803</v>
      </c>
      <c r="N3" s="55"/>
    </row>
    <row r="4" s="33" customFormat="1" hidden="1" spans="1:14">
      <c r="A4" s="60" t="s">
        <v>111</v>
      </c>
      <c r="B4" s="61">
        <v>45350</v>
      </c>
      <c r="C4" s="62">
        <v>6</v>
      </c>
      <c r="D4" s="63">
        <v>6831</v>
      </c>
      <c r="E4" s="63"/>
      <c r="F4" s="63"/>
      <c r="G4" s="64" t="s">
        <v>112</v>
      </c>
      <c r="H4" s="65">
        <v>5</v>
      </c>
      <c r="I4" s="63">
        <v>28</v>
      </c>
      <c r="J4" s="63">
        <f t="shared" si="0"/>
        <v>140</v>
      </c>
      <c r="K4" s="66">
        <v>9.5</v>
      </c>
      <c r="L4" s="66">
        <f t="shared" si="1"/>
        <v>1330</v>
      </c>
      <c r="M4" s="67">
        <v>6831</v>
      </c>
      <c r="N4" s="63"/>
    </row>
    <row r="5" s="32" customFormat="1" hidden="1" spans="1:14">
      <c r="A5" s="43" t="s">
        <v>66</v>
      </c>
      <c r="B5" s="68">
        <v>45353</v>
      </c>
      <c r="C5" s="54">
        <v>4</v>
      </c>
      <c r="D5" s="55" t="s">
        <v>69</v>
      </c>
      <c r="E5" s="55"/>
      <c r="F5" s="55"/>
      <c r="G5" s="69" t="s">
        <v>70</v>
      </c>
      <c r="H5" s="57">
        <v>2</v>
      </c>
      <c r="I5" s="55">
        <v>25</v>
      </c>
      <c r="J5" s="55">
        <f t="shared" si="0"/>
        <v>50</v>
      </c>
      <c r="K5" s="58">
        <v>18.5</v>
      </c>
      <c r="L5" s="58">
        <f t="shared" si="1"/>
        <v>925</v>
      </c>
      <c r="M5" s="44"/>
      <c r="N5" s="55"/>
    </row>
    <row r="6" s="32" customFormat="1" hidden="1" spans="1:14">
      <c r="A6" s="43" t="s">
        <v>66</v>
      </c>
      <c r="B6" s="68">
        <v>45353</v>
      </c>
      <c r="C6" s="54">
        <v>4</v>
      </c>
      <c r="D6" s="55" t="s">
        <v>89</v>
      </c>
      <c r="E6" s="55"/>
      <c r="F6" s="55"/>
      <c r="G6" s="69" t="s">
        <v>113</v>
      </c>
      <c r="H6" s="57">
        <v>1</v>
      </c>
      <c r="I6" s="55">
        <v>26</v>
      </c>
      <c r="J6" s="55">
        <f t="shared" si="0"/>
        <v>26</v>
      </c>
      <c r="K6" s="58">
        <v>18.5</v>
      </c>
      <c r="L6" s="58">
        <f t="shared" si="1"/>
        <v>481</v>
      </c>
      <c r="M6" s="44"/>
      <c r="N6" s="55"/>
    </row>
    <row r="7" s="32" customFormat="1" hidden="1" spans="1:14">
      <c r="A7" s="43" t="s">
        <v>66</v>
      </c>
      <c r="B7" s="68">
        <v>45353</v>
      </c>
      <c r="C7" s="54">
        <v>4</v>
      </c>
      <c r="D7" s="55" t="s">
        <v>73</v>
      </c>
      <c r="E7" s="55"/>
      <c r="F7" s="55"/>
      <c r="G7" s="69" t="s">
        <v>60</v>
      </c>
      <c r="H7" s="57">
        <v>4</v>
      </c>
      <c r="I7" s="55">
        <v>10</v>
      </c>
      <c r="J7" s="55">
        <f t="shared" si="0"/>
        <v>40</v>
      </c>
      <c r="K7" s="58">
        <v>18.5</v>
      </c>
      <c r="L7" s="58">
        <f t="shared" si="1"/>
        <v>740</v>
      </c>
      <c r="M7" s="44">
        <f>SUM(L5:L7)</f>
        <v>2146</v>
      </c>
      <c r="N7" s="55"/>
    </row>
    <row r="8" s="33" customFormat="1" hidden="1" spans="1:14">
      <c r="A8" s="60" t="s">
        <v>13</v>
      </c>
      <c r="B8" s="70">
        <v>45353</v>
      </c>
      <c r="C8" s="62">
        <v>6</v>
      </c>
      <c r="D8" s="63" t="s">
        <v>114</v>
      </c>
      <c r="E8" s="63"/>
      <c r="F8" s="63"/>
      <c r="G8" s="64" t="s">
        <v>115</v>
      </c>
      <c r="H8" s="65">
        <v>2</v>
      </c>
      <c r="I8" s="63">
        <v>26</v>
      </c>
      <c r="J8" s="63">
        <f t="shared" si="0"/>
        <v>52</v>
      </c>
      <c r="K8" s="66">
        <v>17</v>
      </c>
      <c r="L8" s="66">
        <f t="shared" si="1"/>
        <v>884</v>
      </c>
      <c r="M8" s="34"/>
      <c r="N8" s="63"/>
    </row>
    <row r="9" s="33" customFormat="1" hidden="1" spans="1:14">
      <c r="A9" s="60" t="s">
        <v>13</v>
      </c>
      <c r="B9" s="70">
        <v>45353</v>
      </c>
      <c r="C9" s="62">
        <v>6</v>
      </c>
      <c r="D9" s="63" t="s">
        <v>116</v>
      </c>
      <c r="E9" s="63"/>
      <c r="F9" s="63"/>
      <c r="G9" s="64" t="s">
        <v>117</v>
      </c>
      <c r="H9" s="65">
        <v>1</v>
      </c>
      <c r="I9" s="63">
        <v>26</v>
      </c>
      <c r="J9" s="63">
        <f t="shared" ref="J9:J31" si="2">H9*I9</f>
        <v>26</v>
      </c>
      <c r="K9" s="66">
        <v>18</v>
      </c>
      <c r="L9" s="66">
        <f t="shared" ref="L9:L31" si="3">J9*K9</f>
        <v>468</v>
      </c>
      <c r="M9" s="34"/>
      <c r="N9" s="63"/>
    </row>
    <row r="10" s="33" customFormat="1" hidden="1" spans="1:14">
      <c r="A10" s="60" t="s">
        <v>13</v>
      </c>
      <c r="B10" s="70">
        <v>45353</v>
      </c>
      <c r="C10" s="62">
        <v>6</v>
      </c>
      <c r="D10" s="63" t="s">
        <v>49</v>
      </c>
      <c r="E10" s="63"/>
      <c r="F10" s="63"/>
      <c r="G10" s="64" t="s">
        <v>50</v>
      </c>
      <c r="H10" s="65">
        <v>2</v>
      </c>
      <c r="I10" s="63">
        <v>20</v>
      </c>
      <c r="J10" s="63">
        <f t="shared" si="2"/>
        <v>40</v>
      </c>
      <c r="K10" s="66">
        <v>22</v>
      </c>
      <c r="L10" s="66">
        <f t="shared" si="3"/>
        <v>880</v>
      </c>
      <c r="M10" s="34"/>
      <c r="N10" s="63"/>
    </row>
    <row r="11" s="33" customFormat="1" hidden="1" spans="1:14">
      <c r="A11" s="60" t="s">
        <v>13</v>
      </c>
      <c r="B11" s="70">
        <v>45353</v>
      </c>
      <c r="C11" s="62">
        <v>6</v>
      </c>
      <c r="D11" s="63">
        <v>2273</v>
      </c>
      <c r="E11" s="63"/>
      <c r="F11" s="63"/>
      <c r="G11" s="64" t="s">
        <v>118</v>
      </c>
      <c r="H11" s="65">
        <v>2</v>
      </c>
      <c r="I11" s="63">
        <v>25</v>
      </c>
      <c r="J11" s="63">
        <f t="shared" si="2"/>
        <v>50</v>
      </c>
      <c r="K11" s="66"/>
      <c r="L11" s="66"/>
      <c r="M11" s="34" t="s">
        <v>119</v>
      </c>
      <c r="N11" s="63"/>
    </row>
    <row r="12" s="33" customFormat="1" hidden="1" spans="1:14">
      <c r="A12" s="60" t="s">
        <v>13</v>
      </c>
      <c r="B12" s="70">
        <v>45353</v>
      </c>
      <c r="C12" s="62">
        <v>6</v>
      </c>
      <c r="D12" s="63">
        <v>2272</v>
      </c>
      <c r="E12" s="63"/>
      <c r="F12" s="63"/>
      <c r="G12" s="64" t="s">
        <v>120</v>
      </c>
      <c r="H12" s="65">
        <v>1</v>
      </c>
      <c r="I12" s="63">
        <v>26</v>
      </c>
      <c r="J12" s="63">
        <f t="shared" si="2"/>
        <v>26</v>
      </c>
      <c r="K12" s="66">
        <v>17</v>
      </c>
      <c r="L12" s="66">
        <f t="shared" si="3"/>
        <v>442</v>
      </c>
      <c r="M12" s="34"/>
      <c r="N12" s="63"/>
    </row>
    <row r="13" s="33" customFormat="1" hidden="1" spans="1:14">
      <c r="A13" s="60" t="s">
        <v>13</v>
      </c>
      <c r="B13" s="70">
        <v>45353</v>
      </c>
      <c r="C13" s="62">
        <v>6</v>
      </c>
      <c r="D13" s="63">
        <v>401</v>
      </c>
      <c r="E13" s="63"/>
      <c r="F13" s="63"/>
      <c r="G13" s="71" t="s">
        <v>121</v>
      </c>
      <c r="H13" s="65">
        <v>2</v>
      </c>
      <c r="I13" s="63">
        <v>20</v>
      </c>
      <c r="J13" s="63">
        <f t="shared" si="2"/>
        <v>40</v>
      </c>
      <c r="K13" s="66">
        <v>22</v>
      </c>
      <c r="L13" s="66">
        <f t="shared" si="3"/>
        <v>880</v>
      </c>
      <c r="M13" s="34"/>
      <c r="N13" s="63"/>
    </row>
    <row r="14" s="33" customFormat="1" hidden="1" spans="1:14">
      <c r="A14" s="60" t="s">
        <v>13</v>
      </c>
      <c r="B14" s="70">
        <v>45353</v>
      </c>
      <c r="C14" s="62">
        <v>6</v>
      </c>
      <c r="D14" s="63">
        <v>403</v>
      </c>
      <c r="E14" s="63"/>
      <c r="F14" s="63"/>
      <c r="G14" s="64" t="s">
        <v>56</v>
      </c>
      <c r="H14" s="65">
        <v>2</v>
      </c>
      <c r="I14" s="63">
        <v>20</v>
      </c>
      <c r="J14" s="63">
        <f t="shared" si="2"/>
        <v>40</v>
      </c>
      <c r="K14" s="66">
        <v>22</v>
      </c>
      <c r="L14" s="66">
        <f t="shared" si="3"/>
        <v>880</v>
      </c>
      <c r="M14" s="34"/>
      <c r="N14" s="63"/>
    </row>
    <row r="15" s="34" customFormat="1" hidden="1" spans="1:14">
      <c r="A15" s="60" t="s">
        <v>13</v>
      </c>
      <c r="B15" s="70">
        <v>45353</v>
      </c>
      <c r="C15" s="62">
        <v>6</v>
      </c>
      <c r="D15" s="63">
        <v>405</v>
      </c>
      <c r="E15" s="63"/>
      <c r="F15" s="63"/>
      <c r="G15" s="64" t="s">
        <v>64</v>
      </c>
      <c r="H15" s="65">
        <v>1</v>
      </c>
      <c r="I15" s="63">
        <v>25</v>
      </c>
      <c r="J15" s="63">
        <f t="shared" si="2"/>
        <v>25</v>
      </c>
      <c r="K15" s="66">
        <v>17</v>
      </c>
      <c r="L15" s="66">
        <f t="shared" si="3"/>
        <v>425</v>
      </c>
    </row>
    <row r="16" s="35" customFormat="1" hidden="1" spans="1:14">
      <c r="A16" s="60" t="s">
        <v>13</v>
      </c>
      <c r="B16" s="70">
        <v>45353</v>
      </c>
      <c r="C16" s="62">
        <v>6</v>
      </c>
      <c r="D16" s="63">
        <v>410</v>
      </c>
      <c r="E16" s="63"/>
      <c r="F16" s="63"/>
      <c r="G16" s="64" t="s">
        <v>83</v>
      </c>
      <c r="H16" s="65">
        <v>2</v>
      </c>
      <c r="I16" s="63">
        <v>24</v>
      </c>
      <c r="J16" s="63">
        <f t="shared" si="2"/>
        <v>48</v>
      </c>
      <c r="K16" s="66">
        <v>17</v>
      </c>
      <c r="L16" s="66">
        <f t="shared" si="3"/>
        <v>816</v>
      </c>
      <c r="M16" s="34"/>
      <c r="N16" s="63"/>
    </row>
    <row r="17" s="33" customFormat="1" hidden="1" spans="1:14">
      <c r="A17" s="60" t="s">
        <v>13</v>
      </c>
      <c r="B17" s="70">
        <v>45353</v>
      </c>
      <c r="C17" s="62">
        <v>6</v>
      </c>
      <c r="D17" s="63">
        <v>2278</v>
      </c>
      <c r="E17" s="63"/>
      <c r="F17" s="63"/>
      <c r="G17" s="71" t="s">
        <v>122</v>
      </c>
      <c r="H17" s="65">
        <v>1</v>
      </c>
      <c r="I17" s="63">
        <v>25</v>
      </c>
      <c r="J17" s="63">
        <f t="shared" si="2"/>
        <v>25</v>
      </c>
      <c r="K17" s="66">
        <v>17</v>
      </c>
      <c r="L17" s="66">
        <f t="shared" si="3"/>
        <v>425</v>
      </c>
      <c r="M17" s="34"/>
      <c r="N17" s="63"/>
    </row>
    <row r="18" s="33" customFormat="1" hidden="1" spans="1:14">
      <c r="A18" s="60" t="s">
        <v>13</v>
      </c>
      <c r="B18" s="70">
        <v>45353</v>
      </c>
      <c r="C18" s="62">
        <v>6</v>
      </c>
      <c r="D18" s="63" t="s">
        <v>123</v>
      </c>
      <c r="E18" s="63"/>
      <c r="F18" s="63"/>
      <c r="G18" s="71" t="s">
        <v>124</v>
      </c>
      <c r="H18" s="65">
        <v>1</v>
      </c>
      <c r="I18" s="63">
        <v>20</v>
      </c>
      <c r="J18" s="63">
        <f t="shared" si="2"/>
        <v>20</v>
      </c>
      <c r="K18" s="66"/>
      <c r="L18" s="66"/>
      <c r="M18" s="34" t="s">
        <v>119</v>
      </c>
      <c r="N18" s="63"/>
    </row>
    <row r="19" s="33" customFormat="1" hidden="1" spans="1:14">
      <c r="A19" s="60" t="s">
        <v>13</v>
      </c>
      <c r="B19" s="70">
        <v>45353</v>
      </c>
      <c r="C19" s="62">
        <v>6</v>
      </c>
      <c r="D19" s="63">
        <v>508</v>
      </c>
      <c r="E19" s="63"/>
      <c r="F19" s="63"/>
      <c r="G19" s="64" t="s">
        <v>125</v>
      </c>
      <c r="H19" s="65">
        <v>1</v>
      </c>
      <c r="I19" s="63">
        <v>20</v>
      </c>
      <c r="J19" s="63">
        <f t="shared" si="2"/>
        <v>20</v>
      </c>
      <c r="K19" s="66">
        <v>22</v>
      </c>
      <c r="L19" s="66">
        <f t="shared" si="3"/>
        <v>440</v>
      </c>
      <c r="M19" s="34"/>
      <c r="N19" s="63"/>
    </row>
    <row r="20" s="33" customFormat="1" ht="19" hidden="1" customHeight="1" spans="1:14">
      <c r="A20" s="60" t="s">
        <v>13</v>
      </c>
      <c r="B20" s="70">
        <v>45353</v>
      </c>
      <c r="C20" s="62">
        <v>6</v>
      </c>
      <c r="D20" s="63" t="s">
        <v>47</v>
      </c>
      <c r="E20" s="63"/>
      <c r="F20" s="63"/>
      <c r="G20" s="64" t="s">
        <v>48</v>
      </c>
      <c r="H20" s="65">
        <v>1</v>
      </c>
      <c r="I20" s="63">
        <v>25</v>
      </c>
      <c r="J20" s="63">
        <f t="shared" si="2"/>
        <v>25</v>
      </c>
      <c r="K20" s="66">
        <v>17</v>
      </c>
      <c r="L20" s="66">
        <f t="shared" si="3"/>
        <v>425</v>
      </c>
      <c r="M20" s="34"/>
      <c r="N20" s="63"/>
    </row>
    <row r="21" s="33" customFormat="1" hidden="1" spans="1:14">
      <c r="A21" s="60" t="s">
        <v>13</v>
      </c>
      <c r="B21" s="70">
        <v>45353</v>
      </c>
      <c r="C21" s="62">
        <v>6</v>
      </c>
      <c r="D21" s="63" t="s">
        <v>59</v>
      </c>
      <c r="E21" s="63"/>
      <c r="F21" s="63"/>
      <c r="G21" s="72" t="s">
        <v>60</v>
      </c>
      <c r="H21" s="65">
        <v>6</v>
      </c>
      <c r="I21" s="63">
        <v>20</v>
      </c>
      <c r="J21" s="63">
        <f t="shared" si="2"/>
        <v>120</v>
      </c>
      <c r="K21" s="66">
        <v>17</v>
      </c>
      <c r="L21" s="66">
        <f t="shared" si="3"/>
        <v>2040</v>
      </c>
      <c r="M21" s="34"/>
      <c r="N21" s="63">
        <f>SUM(L8:L21)</f>
        <v>9005</v>
      </c>
    </row>
    <row r="22" s="32" customFormat="1" spans="1:14">
      <c r="A22" s="43" t="s">
        <v>126</v>
      </c>
      <c r="B22" s="53">
        <v>45357</v>
      </c>
      <c r="C22" s="54">
        <v>10</v>
      </c>
      <c r="D22" s="55" t="s">
        <v>127</v>
      </c>
      <c r="E22" s="55"/>
      <c r="F22" s="55"/>
      <c r="G22" s="69" t="s">
        <v>68</v>
      </c>
      <c r="H22" s="57">
        <v>20</v>
      </c>
      <c r="I22" s="55">
        <v>28</v>
      </c>
      <c r="J22" s="55">
        <f t="shared" si="2"/>
        <v>560</v>
      </c>
      <c r="K22" s="58">
        <v>9.5</v>
      </c>
      <c r="L22" s="58">
        <f t="shared" si="3"/>
        <v>5320</v>
      </c>
      <c r="M22" s="56" t="s">
        <v>128</v>
      </c>
      <c r="N22" s="55"/>
    </row>
    <row r="23" s="32" customFormat="1" spans="1:14">
      <c r="A23" s="43" t="s">
        <v>126</v>
      </c>
      <c r="B23" s="53">
        <v>45357</v>
      </c>
      <c r="C23" s="54">
        <v>10</v>
      </c>
      <c r="D23" s="55" t="s">
        <v>129</v>
      </c>
      <c r="E23" s="55"/>
      <c r="F23" s="55"/>
      <c r="G23" s="56" t="s">
        <v>130</v>
      </c>
      <c r="H23" s="57">
        <v>10</v>
      </c>
      <c r="I23" s="55">
        <v>25</v>
      </c>
      <c r="J23" s="55">
        <f t="shared" si="2"/>
        <v>250</v>
      </c>
      <c r="K23" s="58">
        <v>11.5</v>
      </c>
      <c r="L23" s="58">
        <f t="shared" si="3"/>
        <v>2875</v>
      </c>
      <c r="M23" s="73" t="s">
        <v>131</v>
      </c>
      <c r="N23" s="55">
        <f>SUM(L22:L23)</f>
        <v>8195</v>
      </c>
    </row>
    <row r="24" s="36" customFormat="1" spans="1:14">
      <c r="A24" s="74" t="s">
        <v>126</v>
      </c>
      <c r="B24" s="75">
        <v>45357</v>
      </c>
      <c r="C24" s="76">
        <v>13</v>
      </c>
      <c r="D24" s="77">
        <v>519</v>
      </c>
      <c r="E24" s="77"/>
      <c r="F24" s="77"/>
      <c r="G24" s="78" t="s">
        <v>132</v>
      </c>
      <c r="H24" s="79">
        <v>2</v>
      </c>
      <c r="I24" s="77">
        <v>21</v>
      </c>
      <c r="J24" s="77">
        <f t="shared" si="2"/>
        <v>42</v>
      </c>
      <c r="K24" s="80">
        <v>25</v>
      </c>
      <c r="L24" s="80">
        <f t="shared" si="3"/>
        <v>1050</v>
      </c>
      <c r="M24" s="81"/>
      <c r="N24" s="77"/>
    </row>
    <row r="25" s="36" customFormat="1" spans="1:14">
      <c r="A25" s="74" t="s">
        <v>126</v>
      </c>
      <c r="B25" s="75">
        <v>45357</v>
      </c>
      <c r="C25" s="76">
        <v>13</v>
      </c>
      <c r="D25" s="77">
        <v>519</v>
      </c>
      <c r="E25" s="77"/>
      <c r="F25" s="77"/>
      <c r="G25" s="78" t="s">
        <v>132</v>
      </c>
      <c r="H25" s="79">
        <v>3</v>
      </c>
      <c r="I25" s="77">
        <v>20</v>
      </c>
      <c r="J25" s="77">
        <f t="shared" si="2"/>
        <v>60</v>
      </c>
      <c r="K25" s="80">
        <v>25</v>
      </c>
      <c r="L25" s="80">
        <f t="shared" si="3"/>
        <v>1500</v>
      </c>
      <c r="M25" s="81"/>
      <c r="N25" s="77"/>
    </row>
    <row r="26" s="37" customFormat="1" spans="1:14">
      <c r="A26" s="74" t="s">
        <v>126</v>
      </c>
      <c r="B26" s="75">
        <v>45357</v>
      </c>
      <c r="C26" s="76">
        <v>13</v>
      </c>
      <c r="D26" s="77" t="s">
        <v>133</v>
      </c>
      <c r="E26" s="77"/>
      <c r="F26" s="77"/>
      <c r="G26" s="78" t="s">
        <v>60</v>
      </c>
      <c r="H26" s="79">
        <v>15</v>
      </c>
      <c r="I26" s="77">
        <v>10</v>
      </c>
      <c r="J26" s="77">
        <f t="shared" si="2"/>
        <v>150</v>
      </c>
      <c r="K26" s="80">
        <v>20</v>
      </c>
      <c r="L26" s="80">
        <f t="shared" si="3"/>
        <v>3000</v>
      </c>
      <c r="M26" s="82"/>
      <c r="N26" s="77">
        <f>SUM(L24:L26)</f>
        <v>5550</v>
      </c>
    </row>
    <row r="27" s="33" customFormat="1" spans="1:14">
      <c r="A27" s="60" t="s">
        <v>126</v>
      </c>
      <c r="B27" s="61">
        <v>45358</v>
      </c>
      <c r="C27" s="62">
        <v>18</v>
      </c>
      <c r="D27" s="63" t="s">
        <v>134</v>
      </c>
      <c r="E27" s="63"/>
      <c r="F27" s="63"/>
      <c r="G27" s="64" t="s">
        <v>135</v>
      </c>
      <c r="H27" s="65">
        <v>1</v>
      </c>
      <c r="I27" s="63">
        <v>4</v>
      </c>
      <c r="J27" s="63">
        <f t="shared" si="2"/>
        <v>4</v>
      </c>
      <c r="K27" s="66">
        <v>20</v>
      </c>
      <c r="L27" s="66">
        <f t="shared" si="3"/>
        <v>80</v>
      </c>
      <c r="M27" s="34"/>
      <c r="N27" s="63"/>
    </row>
    <row r="28" s="33" customFormat="1" spans="1:14">
      <c r="A28" s="60" t="s">
        <v>126</v>
      </c>
      <c r="B28" s="61">
        <v>45358</v>
      </c>
      <c r="C28" s="62">
        <v>18</v>
      </c>
      <c r="D28" s="63" t="s">
        <v>136</v>
      </c>
      <c r="E28" s="63"/>
      <c r="F28" s="63"/>
      <c r="G28" s="64" t="s">
        <v>137</v>
      </c>
      <c r="H28" s="65">
        <v>1</v>
      </c>
      <c r="I28" s="63">
        <v>4</v>
      </c>
      <c r="J28" s="63">
        <f t="shared" si="2"/>
        <v>4</v>
      </c>
      <c r="K28" s="66">
        <v>20</v>
      </c>
      <c r="L28" s="66">
        <f t="shared" si="3"/>
        <v>80</v>
      </c>
      <c r="M28" s="34"/>
      <c r="N28" s="63">
        <f>SUM(L27:L28)</f>
        <v>160</v>
      </c>
    </row>
    <row r="29" s="32" customFormat="1" spans="1:14">
      <c r="A29" s="43" t="s">
        <v>126</v>
      </c>
      <c r="B29" s="53">
        <v>45359</v>
      </c>
      <c r="C29" s="54">
        <v>20</v>
      </c>
      <c r="D29" s="55"/>
      <c r="E29" s="55"/>
      <c r="F29" s="55"/>
      <c r="G29" s="56" t="s">
        <v>138</v>
      </c>
      <c r="H29" s="57">
        <v>1</v>
      </c>
      <c r="I29" s="55">
        <v>20</v>
      </c>
      <c r="J29" s="55">
        <f t="shared" si="2"/>
        <v>20</v>
      </c>
      <c r="K29" s="58">
        <v>23</v>
      </c>
      <c r="L29" s="58">
        <f t="shared" si="3"/>
        <v>460</v>
      </c>
      <c r="M29" s="44"/>
      <c r="N29" s="55"/>
    </row>
    <row r="30" s="32" customFormat="1" spans="1:14">
      <c r="A30" s="43" t="s">
        <v>126</v>
      </c>
      <c r="B30" s="53">
        <v>45359</v>
      </c>
      <c r="C30" s="54">
        <v>20</v>
      </c>
      <c r="D30" s="55"/>
      <c r="E30" s="55"/>
      <c r="F30" s="55"/>
      <c r="G30" s="56" t="s">
        <v>138</v>
      </c>
      <c r="H30" s="57">
        <v>2</v>
      </c>
      <c r="I30" s="55">
        <v>21</v>
      </c>
      <c r="J30" s="55">
        <f t="shared" si="2"/>
        <v>42</v>
      </c>
      <c r="K30" s="58">
        <v>23</v>
      </c>
      <c r="L30" s="58">
        <f t="shared" si="3"/>
        <v>966</v>
      </c>
      <c r="M30" s="44"/>
      <c r="N30" s="55"/>
    </row>
    <row r="31" s="38" customFormat="1" spans="1:14">
      <c r="A31" s="43" t="s">
        <v>126</v>
      </c>
      <c r="B31" s="53">
        <v>45359</v>
      </c>
      <c r="C31" s="54">
        <v>20</v>
      </c>
      <c r="D31" s="55" t="s">
        <v>133</v>
      </c>
      <c r="E31" s="55"/>
      <c r="F31" s="55"/>
      <c r="G31" s="56" t="s">
        <v>60</v>
      </c>
      <c r="H31" s="57">
        <v>2</v>
      </c>
      <c r="I31" s="55">
        <v>20</v>
      </c>
      <c r="J31" s="55">
        <f t="shared" si="2"/>
        <v>40</v>
      </c>
      <c r="K31" s="58">
        <v>20</v>
      </c>
      <c r="L31" s="58">
        <f t="shared" si="3"/>
        <v>800</v>
      </c>
      <c r="M31" s="83" t="s">
        <v>139</v>
      </c>
      <c r="N31" s="55">
        <f>SUM(L29:L31)</f>
        <v>2226</v>
      </c>
    </row>
    <row r="32" s="33" customFormat="1" hidden="1" spans="1:14">
      <c r="A32" s="60" t="s">
        <v>140</v>
      </c>
      <c r="B32" s="61">
        <v>45360</v>
      </c>
      <c r="C32" s="62">
        <v>21</v>
      </c>
      <c r="D32" s="63" t="s">
        <v>141</v>
      </c>
      <c r="E32" s="63"/>
      <c r="F32" s="63"/>
      <c r="G32" s="64" t="s">
        <v>142</v>
      </c>
      <c r="H32" s="65">
        <v>1</v>
      </c>
      <c r="I32" s="63">
        <v>26</v>
      </c>
      <c r="J32" s="63">
        <f t="shared" ref="J32:J37" si="4">H32*I32</f>
        <v>26</v>
      </c>
      <c r="K32" s="66">
        <v>19</v>
      </c>
      <c r="L32" s="66">
        <f t="shared" ref="L32:L37" si="5">J32*K32</f>
        <v>494</v>
      </c>
      <c r="M32" s="84" t="s">
        <v>143</v>
      </c>
      <c r="N32" s="63"/>
    </row>
    <row r="33" s="33" customFormat="1" hidden="1" spans="1:14">
      <c r="A33" s="60" t="s">
        <v>140</v>
      </c>
      <c r="B33" s="61">
        <v>45360</v>
      </c>
      <c r="C33" s="62">
        <v>21</v>
      </c>
      <c r="D33" s="63" t="s">
        <v>141</v>
      </c>
      <c r="E33" s="63"/>
      <c r="F33" s="63"/>
      <c r="G33" s="64" t="s">
        <v>142</v>
      </c>
      <c r="H33" s="65">
        <v>2</v>
      </c>
      <c r="I33" s="63">
        <v>25</v>
      </c>
      <c r="J33" s="63">
        <f t="shared" si="4"/>
        <v>50</v>
      </c>
      <c r="K33" s="66">
        <v>19</v>
      </c>
      <c r="L33" s="66">
        <f t="shared" si="5"/>
        <v>950</v>
      </c>
      <c r="M33" s="84" t="s">
        <v>143</v>
      </c>
      <c r="N33" s="63"/>
    </row>
    <row r="34" s="33" customFormat="1" hidden="1" spans="1:14">
      <c r="A34" s="60" t="s">
        <v>140</v>
      </c>
      <c r="B34" s="61">
        <v>45360</v>
      </c>
      <c r="C34" s="62">
        <v>21</v>
      </c>
      <c r="D34" s="63" t="s">
        <v>144</v>
      </c>
      <c r="E34" s="63"/>
      <c r="F34" s="63"/>
      <c r="G34" s="64" t="s">
        <v>54</v>
      </c>
      <c r="H34" s="65">
        <v>3</v>
      </c>
      <c r="I34" s="63">
        <v>20</v>
      </c>
      <c r="J34" s="63">
        <f t="shared" si="4"/>
        <v>60</v>
      </c>
      <c r="K34" s="66">
        <v>19</v>
      </c>
      <c r="L34" s="66">
        <f t="shared" si="5"/>
        <v>1140</v>
      </c>
      <c r="M34" s="85" t="s">
        <v>145</v>
      </c>
      <c r="N34" s="63"/>
    </row>
    <row r="35" s="33" customFormat="1" hidden="1" spans="1:14">
      <c r="A35" s="60" t="s">
        <v>140</v>
      </c>
      <c r="B35" s="61">
        <v>45360</v>
      </c>
      <c r="C35" s="62">
        <v>21</v>
      </c>
      <c r="D35" s="63"/>
      <c r="E35" s="63"/>
      <c r="F35" s="63"/>
      <c r="G35" s="64" t="s">
        <v>146</v>
      </c>
      <c r="H35" s="65">
        <v>2</v>
      </c>
      <c r="I35" s="63">
        <v>20</v>
      </c>
      <c r="J35" s="63">
        <f t="shared" si="4"/>
        <v>40</v>
      </c>
      <c r="K35" s="66">
        <v>19</v>
      </c>
      <c r="L35" s="66">
        <f t="shared" si="5"/>
        <v>760</v>
      </c>
      <c r="M35" s="84" t="s">
        <v>147</v>
      </c>
      <c r="N35" s="63"/>
    </row>
    <row r="36" s="33" customFormat="1" hidden="1" spans="1:14">
      <c r="A36" s="60" t="s">
        <v>140</v>
      </c>
      <c r="B36" s="61">
        <v>45360</v>
      </c>
      <c r="C36" s="62">
        <v>21</v>
      </c>
      <c r="D36" s="63"/>
      <c r="E36" s="63"/>
      <c r="F36" s="63"/>
      <c r="G36" s="64" t="s">
        <v>148</v>
      </c>
      <c r="H36" s="65">
        <v>2</v>
      </c>
      <c r="I36" s="63">
        <v>20</v>
      </c>
      <c r="J36" s="63">
        <f t="shared" si="4"/>
        <v>40</v>
      </c>
      <c r="K36" s="66">
        <v>19</v>
      </c>
      <c r="L36" s="66">
        <f t="shared" si="5"/>
        <v>760</v>
      </c>
      <c r="M36" s="34"/>
      <c r="N36" s="63"/>
    </row>
    <row r="37" s="33" customFormat="1" hidden="1" spans="1:14">
      <c r="A37" s="60" t="s">
        <v>140</v>
      </c>
      <c r="B37" s="61">
        <v>45360</v>
      </c>
      <c r="C37" s="62">
        <v>21</v>
      </c>
      <c r="D37" s="63" t="s">
        <v>149</v>
      </c>
      <c r="E37" s="63"/>
      <c r="F37" s="63"/>
      <c r="G37" s="64" t="s">
        <v>130</v>
      </c>
      <c r="H37" s="65">
        <v>2</v>
      </c>
      <c r="I37" s="63">
        <v>25</v>
      </c>
      <c r="J37" s="63">
        <f t="shared" si="4"/>
        <v>50</v>
      </c>
      <c r="K37" s="66">
        <v>13.5</v>
      </c>
      <c r="L37" s="66">
        <f t="shared" si="5"/>
        <v>675</v>
      </c>
      <c r="M37" s="34"/>
      <c r="N37" s="63"/>
    </row>
    <row r="38" s="33" customFormat="1" hidden="1" spans="1:14">
      <c r="A38" s="60" t="s">
        <v>140</v>
      </c>
      <c r="B38" s="61">
        <v>45360</v>
      </c>
      <c r="C38" s="62">
        <v>21</v>
      </c>
      <c r="D38" s="63" t="s">
        <v>150</v>
      </c>
      <c r="E38" s="63"/>
      <c r="F38" s="63"/>
      <c r="G38" s="64" t="s">
        <v>68</v>
      </c>
      <c r="H38" s="65">
        <v>6</v>
      </c>
      <c r="I38" s="63">
        <v>28</v>
      </c>
      <c r="J38" s="63">
        <f t="shared" ref="J38:J44" si="6">H38*I38</f>
        <v>168</v>
      </c>
      <c r="K38" s="66">
        <v>9.5</v>
      </c>
      <c r="L38" s="66">
        <f t="shared" ref="L38:L44" si="7">J38*K38</f>
        <v>1596</v>
      </c>
      <c r="M38" s="85" t="s">
        <v>151</v>
      </c>
      <c r="N38" s="63">
        <f>SUM(L32:L38)</f>
        <v>6375</v>
      </c>
    </row>
    <row r="39" s="38" customFormat="1" hidden="1" spans="1:14">
      <c r="A39" s="43" t="s">
        <v>152</v>
      </c>
      <c r="B39" s="53">
        <v>45362</v>
      </c>
      <c r="C39" s="54">
        <v>30</v>
      </c>
      <c r="D39" s="55" t="s">
        <v>153</v>
      </c>
      <c r="E39" s="55"/>
      <c r="F39" s="55"/>
      <c r="G39" s="56" t="s">
        <v>68</v>
      </c>
      <c r="H39" s="57">
        <v>10</v>
      </c>
      <c r="I39" s="55">
        <v>28</v>
      </c>
      <c r="J39" s="55">
        <f t="shared" si="6"/>
        <v>280</v>
      </c>
      <c r="K39" s="58">
        <v>9.5</v>
      </c>
      <c r="L39" s="58">
        <f t="shared" si="7"/>
        <v>2660</v>
      </c>
      <c r="M39" s="86" t="s">
        <v>151</v>
      </c>
      <c r="N39" s="55"/>
    </row>
    <row r="40" s="38" customFormat="1" hidden="1" spans="1:14">
      <c r="A40" s="43" t="s">
        <v>152</v>
      </c>
      <c r="B40" s="53">
        <v>45362</v>
      </c>
      <c r="C40" s="54">
        <v>30</v>
      </c>
      <c r="D40" s="55" t="s">
        <v>154</v>
      </c>
      <c r="E40" s="55"/>
      <c r="F40" s="55"/>
      <c r="G40" s="56" t="s">
        <v>142</v>
      </c>
      <c r="H40" s="57">
        <v>5</v>
      </c>
      <c r="I40" s="55">
        <v>25</v>
      </c>
      <c r="J40" s="55">
        <f t="shared" si="6"/>
        <v>125</v>
      </c>
      <c r="K40" s="58">
        <v>21</v>
      </c>
      <c r="L40" s="58">
        <f t="shared" si="7"/>
        <v>2625</v>
      </c>
      <c r="M40" s="87" t="s">
        <v>143</v>
      </c>
      <c r="N40" s="55"/>
    </row>
    <row r="41" s="38" customFormat="1" hidden="1" spans="1:14">
      <c r="A41" s="43" t="s">
        <v>152</v>
      </c>
      <c r="B41" s="53">
        <v>45362</v>
      </c>
      <c r="C41" s="54">
        <v>30</v>
      </c>
      <c r="D41" s="55" t="s">
        <v>155</v>
      </c>
      <c r="E41" s="55"/>
      <c r="F41" s="55"/>
      <c r="G41" s="56" t="s">
        <v>54</v>
      </c>
      <c r="H41" s="57">
        <v>5</v>
      </c>
      <c r="I41" s="55">
        <v>20</v>
      </c>
      <c r="J41" s="55">
        <f t="shared" si="6"/>
        <v>100</v>
      </c>
      <c r="K41" s="58">
        <v>22</v>
      </c>
      <c r="L41" s="58">
        <f t="shared" si="7"/>
        <v>2200</v>
      </c>
      <c r="M41" s="86" t="s">
        <v>145</v>
      </c>
      <c r="N41" s="55"/>
    </row>
    <row r="42" s="38" customFormat="1" hidden="1" spans="1:14">
      <c r="A42" s="43" t="s">
        <v>152</v>
      </c>
      <c r="B42" s="53">
        <v>45362</v>
      </c>
      <c r="C42" s="54">
        <v>30</v>
      </c>
      <c r="D42" s="55" t="s">
        <v>156</v>
      </c>
      <c r="E42" s="55"/>
      <c r="F42" s="55"/>
      <c r="G42" s="56" t="s">
        <v>101</v>
      </c>
      <c r="H42" s="57">
        <v>5</v>
      </c>
      <c r="I42" s="55">
        <v>25</v>
      </c>
      <c r="J42" s="55">
        <f t="shared" si="6"/>
        <v>125</v>
      </c>
      <c r="K42" s="58">
        <v>19</v>
      </c>
      <c r="L42" s="58">
        <f t="shared" si="7"/>
        <v>2375</v>
      </c>
      <c r="M42" s="87" t="s">
        <v>157</v>
      </c>
      <c r="N42" s="55"/>
    </row>
    <row r="43" s="38" customFormat="1" hidden="1" spans="1:14">
      <c r="A43" s="43" t="s">
        <v>152</v>
      </c>
      <c r="B43" s="53">
        <v>45362</v>
      </c>
      <c r="C43" s="54">
        <v>30</v>
      </c>
      <c r="D43" s="55" t="s">
        <v>158</v>
      </c>
      <c r="E43" s="55"/>
      <c r="F43" s="55"/>
      <c r="G43" s="56" t="s">
        <v>60</v>
      </c>
      <c r="H43" s="57">
        <v>5</v>
      </c>
      <c r="I43" s="55">
        <v>10</v>
      </c>
      <c r="J43" s="55">
        <f t="shared" si="6"/>
        <v>50</v>
      </c>
      <c r="K43" s="58">
        <v>20</v>
      </c>
      <c r="L43" s="58">
        <f t="shared" si="7"/>
        <v>1000</v>
      </c>
      <c r="M43" s="86" t="s">
        <v>159</v>
      </c>
      <c r="N43" s="55"/>
    </row>
    <row r="44" s="38" customFormat="1" hidden="1" spans="1:14">
      <c r="A44" s="43" t="s">
        <v>152</v>
      </c>
      <c r="B44" s="53">
        <v>45362</v>
      </c>
      <c r="C44" s="54">
        <v>30</v>
      </c>
      <c r="D44" s="55" t="s">
        <v>160</v>
      </c>
      <c r="E44" s="55"/>
      <c r="F44" s="55"/>
      <c r="G44" s="56" t="s">
        <v>161</v>
      </c>
      <c r="H44" s="57">
        <v>5</v>
      </c>
      <c r="I44" s="55">
        <v>25</v>
      </c>
      <c r="J44" s="55">
        <f t="shared" si="6"/>
        <v>125</v>
      </c>
      <c r="K44" s="58">
        <v>10</v>
      </c>
      <c r="L44" s="58">
        <f t="shared" si="7"/>
        <v>1250</v>
      </c>
      <c r="M44" s="83" t="s">
        <v>162</v>
      </c>
      <c r="N44" s="55"/>
    </row>
    <row r="45" s="38" customFormat="1" hidden="1" spans="1:14">
      <c r="A45" s="43" t="s">
        <v>152</v>
      </c>
      <c r="B45" s="53">
        <v>45362</v>
      </c>
      <c r="C45" s="54">
        <v>30</v>
      </c>
      <c r="D45" s="55" t="s">
        <v>42</v>
      </c>
      <c r="E45" s="55"/>
      <c r="F45" s="55"/>
      <c r="G45" s="56" t="s">
        <v>43</v>
      </c>
      <c r="H45" s="57">
        <v>5</v>
      </c>
      <c r="I45" s="55">
        <v>20</v>
      </c>
      <c r="J45" s="55">
        <f t="shared" ref="J45:J52" si="8">H45*I45</f>
        <v>100</v>
      </c>
      <c r="K45" s="58">
        <v>17</v>
      </c>
      <c r="L45" s="58">
        <f t="shared" ref="L45:L52" si="9">J45*K45</f>
        <v>1700</v>
      </c>
      <c r="M45" s="83"/>
      <c r="N45" s="55"/>
    </row>
    <row r="46" s="38" customFormat="1" hidden="1" spans="1:14">
      <c r="A46" s="43" t="s">
        <v>152</v>
      </c>
      <c r="B46" s="53">
        <v>45362</v>
      </c>
      <c r="C46" s="54">
        <v>30</v>
      </c>
      <c r="D46" s="55" t="s">
        <v>163</v>
      </c>
      <c r="E46" s="55"/>
      <c r="F46" s="55"/>
      <c r="G46" s="56" t="s">
        <v>164</v>
      </c>
      <c r="H46" s="57">
        <v>1</v>
      </c>
      <c r="I46" s="55">
        <v>5</v>
      </c>
      <c r="J46" s="55">
        <f t="shared" si="8"/>
        <v>5</v>
      </c>
      <c r="K46" s="58">
        <v>23</v>
      </c>
      <c r="L46" s="58">
        <f t="shared" si="9"/>
        <v>115</v>
      </c>
      <c r="M46" s="83" t="s">
        <v>165</v>
      </c>
      <c r="N46" s="55"/>
    </row>
    <row r="47" s="38" customFormat="1" hidden="1" spans="1:14">
      <c r="A47" s="43" t="s">
        <v>152</v>
      </c>
      <c r="B47" s="53">
        <v>45362</v>
      </c>
      <c r="C47" s="54">
        <v>30</v>
      </c>
      <c r="D47" s="55" t="s">
        <v>166</v>
      </c>
      <c r="E47" s="55"/>
      <c r="F47" s="55"/>
      <c r="G47" s="56" t="s">
        <v>167</v>
      </c>
      <c r="H47" s="57">
        <v>1</v>
      </c>
      <c r="I47" s="55">
        <v>180</v>
      </c>
      <c r="J47" s="55">
        <f t="shared" si="8"/>
        <v>180</v>
      </c>
      <c r="K47" s="58">
        <v>7</v>
      </c>
      <c r="L47" s="58">
        <f t="shared" si="9"/>
        <v>1260</v>
      </c>
      <c r="M47" s="83"/>
      <c r="N47" s="55"/>
    </row>
    <row r="48" s="38" customFormat="1" hidden="1" spans="1:14">
      <c r="A48" s="43" t="s">
        <v>152</v>
      </c>
      <c r="B48" s="53">
        <v>45362</v>
      </c>
      <c r="C48" s="54">
        <v>30</v>
      </c>
      <c r="D48" s="55" t="s">
        <v>168</v>
      </c>
      <c r="E48" s="55"/>
      <c r="F48" s="55"/>
      <c r="G48" s="56" t="s">
        <v>94</v>
      </c>
      <c r="H48" s="57">
        <v>5</v>
      </c>
      <c r="I48" s="55">
        <v>18</v>
      </c>
      <c r="J48" s="55">
        <f t="shared" si="8"/>
        <v>90</v>
      </c>
      <c r="K48" s="58">
        <v>7.5</v>
      </c>
      <c r="L48" s="58">
        <f t="shared" si="9"/>
        <v>675</v>
      </c>
      <c r="M48" s="83"/>
      <c r="N48" s="55" t="s">
        <v>169</v>
      </c>
    </row>
    <row r="49" s="38" customFormat="1" hidden="1" spans="1:14">
      <c r="A49" s="43" t="s">
        <v>152</v>
      </c>
      <c r="B49" s="53">
        <v>45362</v>
      </c>
      <c r="C49" s="54">
        <v>30</v>
      </c>
      <c r="D49" s="55" t="s">
        <v>170</v>
      </c>
      <c r="E49" s="55"/>
      <c r="F49" s="55"/>
      <c r="G49" s="56" t="s">
        <v>171</v>
      </c>
      <c r="H49" s="57">
        <v>1</v>
      </c>
      <c r="I49" s="55">
        <v>180</v>
      </c>
      <c r="J49" s="55">
        <f t="shared" si="8"/>
        <v>180</v>
      </c>
      <c r="K49" s="58">
        <v>9.5</v>
      </c>
      <c r="L49" s="58">
        <f t="shared" si="9"/>
        <v>1710</v>
      </c>
      <c r="M49" s="83"/>
      <c r="N49" s="55">
        <f>SUM(L39:L49)</f>
        <v>17570</v>
      </c>
    </row>
    <row r="50" s="33" customFormat="1" spans="1:14">
      <c r="A50" s="63" t="s">
        <v>126</v>
      </c>
      <c r="B50" s="61">
        <v>45362</v>
      </c>
      <c r="C50" s="62">
        <v>32</v>
      </c>
      <c r="D50" s="63" t="s">
        <v>172</v>
      </c>
      <c r="E50" s="63"/>
      <c r="F50" s="63"/>
      <c r="G50" s="64" t="s">
        <v>173</v>
      </c>
      <c r="H50" s="65">
        <v>1</v>
      </c>
      <c r="I50" s="63">
        <v>26</v>
      </c>
      <c r="J50" s="63">
        <f t="shared" si="8"/>
        <v>26</v>
      </c>
      <c r="K50" s="66">
        <v>20</v>
      </c>
      <c r="L50" s="66">
        <f t="shared" si="9"/>
        <v>520</v>
      </c>
      <c r="M50" s="34"/>
      <c r="N50" s="63"/>
    </row>
    <row r="51" s="33" customFormat="1" spans="1:14">
      <c r="A51" s="63" t="s">
        <v>126</v>
      </c>
      <c r="B51" s="61">
        <v>45362</v>
      </c>
      <c r="C51" s="62">
        <v>32</v>
      </c>
      <c r="D51" s="63" t="s">
        <v>172</v>
      </c>
      <c r="E51" s="63"/>
      <c r="F51" s="63"/>
      <c r="G51" s="64" t="s">
        <v>173</v>
      </c>
      <c r="H51" s="65">
        <v>4</v>
      </c>
      <c r="I51" s="63">
        <v>27</v>
      </c>
      <c r="J51" s="63">
        <f t="shared" si="8"/>
        <v>108</v>
      </c>
      <c r="K51" s="66">
        <v>20</v>
      </c>
      <c r="L51" s="66">
        <f t="shared" ref="L51:L100" si="10">J51*K51</f>
        <v>2160</v>
      </c>
      <c r="M51" s="34"/>
      <c r="N51" s="63"/>
    </row>
    <row r="52" s="35" customFormat="1" spans="1:14">
      <c r="A52" s="60" t="s">
        <v>126</v>
      </c>
      <c r="B52" s="61">
        <v>45362</v>
      </c>
      <c r="C52" s="62">
        <v>32</v>
      </c>
      <c r="D52" s="63" t="s">
        <v>174</v>
      </c>
      <c r="E52" s="63"/>
      <c r="F52" s="63"/>
      <c r="G52" s="72" t="s">
        <v>64</v>
      </c>
      <c r="H52" s="65">
        <v>5</v>
      </c>
      <c r="I52" s="63">
        <v>25</v>
      </c>
      <c r="J52" s="63">
        <f t="shared" si="8"/>
        <v>125</v>
      </c>
      <c r="K52" s="66">
        <v>20</v>
      </c>
      <c r="L52" s="66">
        <f t="shared" si="10"/>
        <v>2500</v>
      </c>
      <c r="M52" s="34"/>
      <c r="N52" s="63"/>
    </row>
    <row r="53" s="33" customFormat="1" spans="1:14">
      <c r="A53" s="60" t="s">
        <v>126</v>
      </c>
      <c r="B53" s="61">
        <v>45362</v>
      </c>
      <c r="C53" s="62">
        <v>32</v>
      </c>
      <c r="D53" s="63" t="s">
        <v>175</v>
      </c>
      <c r="E53" s="63"/>
      <c r="F53" s="63"/>
      <c r="G53" s="72" t="s">
        <v>176</v>
      </c>
      <c r="H53" s="65">
        <v>1</v>
      </c>
      <c r="I53" s="63">
        <v>21</v>
      </c>
      <c r="J53" s="63">
        <f t="shared" ref="J53:J103" si="11">H53*I53</f>
        <v>21</v>
      </c>
      <c r="K53" s="66">
        <v>23</v>
      </c>
      <c r="L53" s="66">
        <f t="shared" si="10"/>
        <v>483</v>
      </c>
      <c r="M53" s="34"/>
      <c r="N53" s="63"/>
    </row>
    <row r="54" s="33" customFormat="1" spans="1:14">
      <c r="A54" s="60" t="s">
        <v>126</v>
      </c>
      <c r="B54" s="61">
        <v>45362</v>
      </c>
      <c r="C54" s="62">
        <v>32</v>
      </c>
      <c r="D54" s="63" t="s">
        <v>175</v>
      </c>
      <c r="E54" s="63"/>
      <c r="F54" s="63"/>
      <c r="G54" s="72" t="s">
        <v>176</v>
      </c>
      <c r="H54" s="65">
        <v>2</v>
      </c>
      <c r="I54" s="63">
        <v>20</v>
      </c>
      <c r="J54" s="63">
        <f t="shared" si="11"/>
        <v>40</v>
      </c>
      <c r="K54" s="66">
        <v>23</v>
      </c>
      <c r="L54" s="66">
        <f t="shared" si="10"/>
        <v>920</v>
      </c>
      <c r="M54" s="34"/>
      <c r="N54" s="63"/>
    </row>
    <row r="55" s="33" customFormat="1" spans="1:14">
      <c r="A55" s="60" t="s">
        <v>126</v>
      </c>
      <c r="B55" s="61">
        <v>45362</v>
      </c>
      <c r="C55" s="62">
        <v>32</v>
      </c>
      <c r="D55" s="63" t="s">
        <v>177</v>
      </c>
      <c r="E55" s="63"/>
      <c r="F55" s="63"/>
      <c r="G55" s="72" t="s">
        <v>178</v>
      </c>
      <c r="H55" s="65">
        <v>1</v>
      </c>
      <c r="I55" s="63">
        <v>20</v>
      </c>
      <c r="J55" s="63">
        <f t="shared" si="11"/>
        <v>20</v>
      </c>
      <c r="K55" s="66">
        <v>23</v>
      </c>
      <c r="L55" s="66">
        <f t="shared" si="10"/>
        <v>460</v>
      </c>
      <c r="M55" s="34"/>
      <c r="N55" s="63"/>
    </row>
    <row r="56" s="33" customFormat="1" spans="1:14">
      <c r="A56" s="60" t="s">
        <v>126</v>
      </c>
      <c r="B56" s="61">
        <v>45362</v>
      </c>
      <c r="C56" s="62">
        <v>32</v>
      </c>
      <c r="D56" s="63">
        <v>4680</v>
      </c>
      <c r="E56" s="63"/>
      <c r="F56" s="63"/>
      <c r="G56" s="72" t="s">
        <v>179</v>
      </c>
      <c r="H56" s="65">
        <v>1</v>
      </c>
      <c r="I56" s="63">
        <v>26</v>
      </c>
      <c r="J56" s="63">
        <f t="shared" si="11"/>
        <v>26</v>
      </c>
      <c r="K56" s="66">
        <v>20</v>
      </c>
      <c r="L56" s="66">
        <f t="shared" si="10"/>
        <v>520</v>
      </c>
      <c r="M56" s="34"/>
      <c r="N56" s="63"/>
    </row>
    <row r="57" s="33" customFormat="1" spans="1:14">
      <c r="A57" s="60" t="s">
        <v>126</v>
      </c>
      <c r="B57" s="61">
        <v>45362</v>
      </c>
      <c r="C57" s="62">
        <v>32</v>
      </c>
      <c r="D57" s="63">
        <v>4680</v>
      </c>
      <c r="E57" s="63"/>
      <c r="F57" s="63"/>
      <c r="G57" s="72" t="s">
        <v>179</v>
      </c>
      <c r="H57" s="65">
        <v>4</v>
      </c>
      <c r="I57" s="63">
        <v>25</v>
      </c>
      <c r="J57" s="63">
        <f t="shared" si="11"/>
        <v>100</v>
      </c>
      <c r="K57" s="66">
        <v>20</v>
      </c>
      <c r="L57" s="66">
        <f t="shared" si="10"/>
        <v>2000</v>
      </c>
      <c r="M57" s="34"/>
      <c r="N57" s="63">
        <f>SUM(L50:L57)</f>
        <v>9563</v>
      </c>
    </row>
    <row r="58" s="32" customFormat="1" spans="1:14">
      <c r="A58" s="43" t="s">
        <v>126</v>
      </c>
      <c r="B58" s="53">
        <v>45363</v>
      </c>
      <c r="C58" s="54">
        <v>34</v>
      </c>
      <c r="D58" s="55" t="s">
        <v>127</v>
      </c>
      <c r="E58" s="55"/>
      <c r="F58" s="55"/>
      <c r="G58" s="69" t="s">
        <v>68</v>
      </c>
      <c r="H58" s="57">
        <v>10</v>
      </c>
      <c r="I58" s="55">
        <v>28</v>
      </c>
      <c r="J58" s="55">
        <f t="shared" si="11"/>
        <v>280</v>
      </c>
      <c r="K58" s="58">
        <v>9.5</v>
      </c>
      <c r="L58" s="58">
        <f t="shared" si="10"/>
        <v>2660</v>
      </c>
      <c r="M58" s="56" t="s">
        <v>128</v>
      </c>
      <c r="N58" s="55"/>
    </row>
    <row r="59" s="32" customFormat="1" spans="1:14">
      <c r="A59" s="43" t="s">
        <v>126</v>
      </c>
      <c r="B59" s="53">
        <v>45363</v>
      </c>
      <c r="C59" s="54">
        <v>34</v>
      </c>
      <c r="D59" s="55">
        <v>10545</v>
      </c>
      <c r="E59" s="55"/>
      <c r="F59" s="55"/>
      <c r="G59" s="56" t="s">
        <v>180</v>
      </c>
      <c r="H59" s="57">
        <v>2</v>
      </c>
      <c r="I59" s="55">
        <v>21</v>
      </c>
      <c r="J59" s="55">
        <f t="shared" si="11"/>
        <v>42</v>
      </c>
      <c r="K59" s="58">
        <v>25</v>
      </c>
      <c r="L59" s="58">
        <f t="shared" si="10"/>
        <v>1050</v>
      </c>
      <c r="M59" s="44"/>
      <c r="N59" s="55"/>
    </row>
    <row r="60" s="32" customFormat="1" spans="1:14">
      <c r="A60" s="43" t="s">
        <v>126</v>
      </c>
      <c r="B60" s="53">
        <v>45363</v>
      </c>
      <c r="C60" s="54">
        <v>34</v>
      </c>
      <c r="D60" s="55">
        <v>10545</v>
      </c>
      <c r="E60" s="55"/>
      <c r="F60" s="55"/>
      <c r="G60" s="56" t="s">
        <v>180</v>
      </c>
      <c r="H60" s="57">
        <v>1</v>
      </c>
      <c r="I60" s="55">
        <v>22</v>
      </c>
      <c r="J60" s="55">
        <f t="shared" si="11"/>
        <v>22</v>
      </c>
      <c r="K60" s="58">
        <v>25</v>
      </c>
      <c r="L60" s="58">
        <f t="shared" si="10"/>
        <v>550</v>
      </c>
      <c r="M60" s="44"/>
      <c r="N60" s="55"/>
    </row>
    <row r="61" s="38" customFormat="1" spans="1:14">
      <c r="A61" s="43" t="s">
        <v>126</v>
      </c>
      <c r="B61" s="53">
        <v>45363</v>
      </c>
      <c r="C61" s="54">
        <v>34</v>
      </c>
      <c r="D61" s="55" t="s">
        <v>133</v>
      </c>
      <c r="E61" s="55"/>
      <c r="F61" s="55"/>
      <c r="G61" s="56" t="s">
        <v>60</v>
      </c>
      <c r="H61" s="57">
        <v>11</v>
      </c>
      <c r="I61" s="55">
        <v>20</v>
      </c>
      <c r="J61" s="55">
        <f t="shared" si="11"/>
        <v>220</v>
      </c>
      <c r="K61" s="58">
        <v>20</v>
      </c>
      <c r="L61" s="58">
        <f t="shared" si="10"/>
        <v>4400</v>
      </c>
      <c r="M61" s="83" t="s">
        <v>181</v>
      </c>
      <c r="N61" s="55">
        <f>SUM(L58:L61)</f>
        <v>8660</v>
      </c>
    </row>
    <row r="62" s="35" customFormat="1" hidden="1" spans="1:14">
      <c r="A62" s="60" t="s">
        <v>13</v>
      </c>
      <c r="B62" s="70">
        <v>45365</v>
      </c>
      <c r="C62" s="62">
        <v>42</v>
      </c>
      <c r="D62" s="63">
        <v>3712</v>
      </c>
      <c r="E62" s="63"/>
      <c r="F62" s="63"/>
      <c r="G62" s="64" t="s">
        <v>41</v>
      </c>
      <c r="H62" s="65">
        <v>1</v>
      </c>
      <c r="I62" s="63">
        <v>25</v>
      </c>
      <c r="J62" s="63">
        <f t="shared" si="11"/>
        <v>25</v>
      </c>
      <c r="K62" s="66">
        <v>12</v>
      </c>
      <c r="L62" s="66">
        <f t="shared" si="10"/>
        <v>300</v>
      </c>
      <c r="M62" s="34"/>
      <c r="N62" s="63"/>
    </row>
    <row r="63" s="35" customFormat="1" hidden="1" spans="1:14">
      <c r="A63" s="60" t="s">
        <v>13</v>
      </c>
      <c r="B63" s="70">
        <v>45365</v>
      </c>
      <c r="C63" s="62">
        <v>42</v>
      </c>
      <c r="D63" s="63" t="s">
        <v>59</v>
      </c>
      <c r="E63" s="63"/>
      <c r="F63" s="63"/>
      <c r="G63" s="64" t="s">
        <v>60</v>
      </c>
      <c r="H63" s="65">
        <v>1</v>
      </c>
      <c r="I63" s="63">
        <v>20</v>
      </c>
      <c r="J63" s="63">
        <f t="shared" si="11"/>
        <v>20</v>
      </c>
      <c r="K63" s="66">
        <v>17</v>
      </c>
      <c r="L63" s="66">
        <f t="shared" si="10"/>
        <v>340</v>
      </c>
      <c r="M63" s="34"/>
      <c r="N63" s="63">
        <f>SUM(L62:L63)</f>
        <v>640</v>
      </c>
    </row>
    <row r="64" s="38" customFormat="1" hidden="1" spans="1:14">
      <c r="A64" s="43" t="s">
        <v>13</v>
      </c>
      <c r="B64" s="68">
        <v>45366</v>
      </c>
      <c r="C64" s="54">
        <v>46</v>
      </c>
      <c r="D64" s="55" t="s">
        <v>131</v>
      </c>
      <c r="E64" s="55"/>
      <c r="F64" s="55"/>
      <c r="G64" s="56" t="s">
        <v>130</v>
      </c>
      <c r="H64" s="57">
        <v>10</v>
      </c>
      <c r="I64" s="55">
        <v>25</v>
      </c>
      <c r="J64" s="55">
        <f t="shared" si="11"/>
        <v>250</v>
      </c>
      <c r="K64" s="58">
        <v>12.5</v>
      </c>
      <c r="L64" s="58">
        <f t="shared" si="10"/>
        <v>3125</v>
      </c>
      <c r="M64" s="44"/>
      <c r="N64" s="55"/>
    </row>
    <row r="65" s="35" customFormat="1" hidden="1" spans="1:14">
      <c r="A65" s="60" t="s">
        <v>13</v>
      </c>
      <c r="B65" s="70">
        <v>45373</v>
      </c>
      <c r="C65" s="62">
        <v>61</v>
      </c>
      <c r="D65" s="63" t="s">
        <v>182</v>
      </c>
      <c r="E65" s="63"/>
      <c r="F65" s="63"/>
      <c r="G65" s="64" t="s">
        <v>68</v>
      </c>
      <c r="H65" s="65">
        <v>10</v>
      </c>
      <c r="I65" s="63">
        <v>28</v>
      </c>
      <c r="J65" s="63">
        <f t="shared" si="11"/>
        <v>280</v>
      </c>
      <c r="K65" s="88">
        <v>9</v>
      </c>
      <c r="L65" s="66">
        <f t="shared" si="10"/>
        <v>2520</v>
      </c>
      <c r="M65" s="34" t="s">
        <v>183</v>
      </c>
      <c r="N65" s="63"/>
    </row>
    <row r="66" s="32" customFormat="1" hidden="1" spans="1:14">
      <c r="A66" s="43" t="s">
        <v>140</v>
      </c>
      <c r="B66" s="53">
        <v>45378</v>
      </c>
      <c r="C66" s="54">
        <v>76</v>
      </c>
      <c r="D66" s="55" t="s">
        <v>150</v>
      </c>
      <c r="E66" s="55"/>
      <c r="F66" s="55"/>
      <c r="G66" s="56" t="s">
        <v>68</v>
      </c>
      <c r="H66" s="57">
        <v>6</v>
      </c>
      <c r="I66" s="55">
        <v>28</v>
      </c>
      <c r="J66" s="55">
        <f t="shared" si="11"/>
        <v>168</v>
      </c>
      <c r="K66" s="58">
        <v>9.5</v>
      </c>
      <c r="L66" s="58">
        <f t="shared" si="10"/>
        <v>1596</v>
      </c>
      <c r="M66" s="86" t="s">
        <v>151</v>
      </c>
      <c r="N66" s="55">
        <f>SUM(L60:L66)</f>
        <v>12831</v>
      </c>
    </row>
    <row r="67" s="35" customFormat="1" hidden="1" spans="1:14">
      <c r="A67" s="60" t="s">
        <v>13</v>
      </c>
      <c r="B67" s="70">
        <v>45384</v>
      </c>
      <c r="C67" s="62">
        <v>6</v>
      </c>
      <c r="D67" s="63" t="s">
        <v>131</v>
      </c>
      <c r="E67" s="63"/>
      <c r="F67" s="63"/>
      <c r="G67" s="64" t="s">
        <v>130</v>
      </c>
      <c r="H67" s="65">
        <v>10</v>
      </c>
      <c r="I67" s="63">
        <v>25</v>
      </c>
      <c r="J67" s="63">
        <f t="shared" si="11"/>
        <v>250</v>
      </c>
      <c r="K67" s="66">
        <v>12.5</v>
      </c>
      <c r="L67" s="66">
        <f t="shared" si="10"/>
        <v>3125</v>
      </c>
      <c r="M67" s="34"/>
      <c r="N67" s="63"/>
    </row>
    <row r="68" s="38" customFormat="1" hidden="1" spans="1:14">
      <c r="A68" s="43" t="s">
        <v>13</v>
      </c>
      <c r="B68" s="68">
        <v>45385</v>
      </c>
      <c r="C68" s="54">
        <v>8</v>
      </c>
      <c r="D68" s="55" t="s">
        <v>182</v>
      </c>
      <c r="E68" s="55"/>
      <c r="F68" s="55"/>
      <c r="G68" s="56" t="s">
        <v>68</v>
      </c>
      <c r="H68" s="57">
        <v>10</v>
      </c>
      <c r="I68" s="55">
        <v>28</v>
      </c>
      <c r="J68" s="55">
        <f t="shared" si="11"/>
        <v>280</v>
      </c>
      <c r="K68" s="89">
        <v>9</v>
      </c>
      <c r="L68" s="58">
        <f t="shared" si="10"/>
        <v>2520</v>
      </c>
      <c r="M68" s="44" t="s">
        <v>183</v>
      </c>
      <c r="N68" s="55"/>
    </row>
    <row r="69" s="33" customFormat="1" hidden="1" spans="1:14">
      <c r="A69" s="60" t="s">
        <v>13</v>
      </c>
      <c r="B69" s="70">
        <v>45391</v>
      </c>
      <c r="C69" s="62">
        <v>27</v>
      </c>
      <c r="D69" s="63" t="s">
        <v>61</v>
      </c>
      <c r="E69" s="63"/>
      <c r="F69" s="63"/>
      <c r="G69" s="64" t="s">
        <v>62</v>
      </c>
      <c r="H69" s="65">
        <v>1</v>
      </c>
      <c r="I69" s="63">
        <v>20</v>
      </c>
      <c r="J69" s="63">
        <f t="shared" si="11"/>
        <v>20</v>
      </c>
      <c r="K69" s="66">
        <v>22</v>
      </c>
      <c r="L69" s="66">
        <f t="shared" si="10"/>
        <v>440</v>
      </c>
      <c r="M69" s="34" t="s">
        <v>63</v>
      </c>
      <c r="N69" s="63"/>
    </row>
    <row r="70" s="33" customFormat="1" hidden="1" spans="1:14">
      <c r="A70" s="60" t="s">
        <v>13</v>
      </c>
      <c r="B70" s="70">
        <v>45391</v>
      </c>
      <c r="C70" s="62">
        <v>27</v>
      </c>
      <c r="D70" s="63">
        <v>403</v>
      </c>
      <c r="E70" s="63"/>
      <c r="F70" s="63"/>
      <c r="G70" s="64" t="s">
        <v>56</v>
      </c>
      <c r="H70" s="65">
        <v>1</v>
      </c>
      <c r="I70" s="63">
        <v>21</v>
      </c>
      <c r="J70" s="63">
        <f t="shared" si="11"/>
        <v>21</v>
      </c>
      <c r="K70" s="66">
        <v>22</v>
      </c>
      <c r="L70" s="66">
        <f t="shared" si="10"/>
        <v>462</v>
      </c>
      <c r="M70" s="34"/>
      <c r="N70" s="63"/>
    </row>
    <row r="71" s="34" customFormat="1" hidden="1" spans="1:14">
      <c r="A71" s="60" t="s">
        <v>13</v>
      </c>
      <c r="B71" s="70">
        <v>45391</v>
      </c>
      <c r="C71" s="62">
        <v>27</v>
      </c>
      <c r="D71" s="63">
        <v>404</v>
      </c>
      <c r="E71" s="63"/>
      <c r="F71" s="63"/>
      <c r="G71" s="64" t="s">
        <v>184</v>
      </c>
      <c r="H71" s="65">
        <v>1</v>
      </c>
      <c r="I71" s="63">
        <v>2</v>
      </c>
      <c r="J71" s="63">
        <f t="shared" si="11"/>
        <v>2</v>
      </c>
      <c r="K71" s="66">
        <v>22</v>
      </c>
      <c r="L71" s="66">
        <f t="shared" si="10"/>
        <v>44</v>
      </c>
      <c r="N71" s="60"/>
    </row>
    <row r="72" s="34" customFormat="1" hidden="1" spans="1:14">
      <c r="A72" s="60" t="s">
        <v>13</v>
      </c>
      <c r="B72" s="70">
        <v>45391</v>
      </c>
      <c r="C72" s="62">
        <v>27</v>
      </c>
      <c r="D72" s="63">
        <v>405</v>
      </c>
      <c r="E72" s="63"/>
      <c r="F72" s="63"/>
      <c r="G72" s="64" t="s">
        <v>64</v>
      </c>
      <c r="H72" s="65">
        <v>3</v>
      </c>
      <c r="I72" s="63">
        <v>26</v>
      </c>
      <c r="J72" s="63">
        <f t="shared" si="11"/>
        <v>78</v>
      </c>
      <c r="K72" s="66">
        <v>17</v>
      </c>
      <c r="L72" s="66">
        <f t="shared" si="10"/>
        <v>1326</v>
      </c>
    </row>
    <row r="73" s="33" customFormat="1" hidden="1" spans="1:14">
      <c r="A73" s="60" t="s">
        <v>13</v>
      </c>
      <c r="B73" s="70">
        <v>45391</v>
      </c>
      <c r="C73" s="62">
        <v>27</v>
      </c>
      <c r="D73" s="63">
        <v>406</v>
      </c>
      <c r="E73" s="63"/>
      <c r="F73" s="63"/>
      <c r="G73" s="72" t="s">
        <v>185</v>
      </c>
      <c r="H73" s="65">
        <v>1</v>
      </c>
      <c r="I73" s="63">
        <v>26</v>
      </c>
      <c r="J73" s="63">
        <f t="shared" si="11"/>
        <v>26</v>
      </c>
      <c r="K73" s="66">
        <v>17</v>
      </c>
      <c r="L73" s="66">
        <f t="shared" si="10"/>
        <v>442</v>
      </c>
      <c r="M73" s="34"/>
      <c r="N73" s="63"/>
    </row>
    <row r="74" s="33" customFormat="1" ht="19" hidden="1" customHeight="1" spans="1:14">
      <c r="A74" s="60" t="s">
        <v>13</v>
      </c>
      <c r="B74" s="70">
        <v>45391</v>
      </c>
      <c r="C74" s="62">
        <v>27</v>
      </c>
      <c r="D74" s="63" t="s">
        <v>47</v>
      </c>
      <c r="E74" s="63"/>
      <c r="F74" s="63"/>
      <c r="G74" s="64" t="s">
        <v>48</v>
      </c>
      <c r="H74" s="65">
        <v>1</v>
      </c>
      <c r="I74" s="63">
        <v>25</v>
      </c>
      <c r="J74" s="63">
        <f t="shared" si="11"/>
        <v>25</v>
      </c>
      <c r="K74" s="66">
        <v>17</v>
      </c>
      <c r="L74" s="66">
        <f t="shared" si="10"/>
        <v>425</v>
      </c>
      <c r="M74" s="34"/>
      <c r="N74" s="63"/>
    </row>
    <row r="75" s="33" customFormat="1" hidden="1" spans="1:14">
      <c r="A75" s="60" t="s">
        <v>13</v>
      </c>
      <c r="B75" s="70">
        <v>45391</v>
      </c>
      <c r="C75" s="62">
        <v>27</v>
      </c>
      <c r="D75" s="63" t="s">
        <v>49</v>
      </c>
      <c r="E75" s="63"/>
      <c r="F75" s="63"/>
      <c r="G75" s="64" t="s">
        <v>50</v>
      </c>
      <c r="H75" s="65">
        <v>1</v>
      </c>
      <c r="I75" s="63">
        <v>20</v>
      </c>
      <c r="J75" s="63">
        <f t="shared" si="11"/>
        <v>20</v>
      </c>
      <c r="K75" s="66">
        <v>22</v>
      </c>
      <c r="L75" s="66">
        <f t="shared" si="10"/>
        <v>440</v>
      </c>
      <c r="M75" s="34"/>
      <c r="N75" s="63"/>
    </row>
    <row r="76" s="35" customFormat="1" hidden="1" spans="1:14">
      <c r="A76" s="60" t="s">
        <v>13</v>
      </c>
      <c r="B76" s="70">
        <v>45391</v>
      </c>
      <c r="C76" s="62">
        <v>27</v>
      </c>
      <c r="D76" s="63" t="s">
        <v>59</v>
      </c>
      <c r="E76" s="63"/>
      <c r="F76" s="63"/>
      <c r="G76" s="64" t="s">
        <v>60</v>
      </c>
      <c r="H76" s="65">
        <v>4</v>
      </c>
      <c r="I76" s="63">
        <v>20</v>
      </c>
      <c r="J76" s="63">
        <f t="shared" si="11"/>
        <v>80</v>
      </c>
      <c r="K76" s="66">
        <v>17</v>
      </c>
      <c r="L76" s="66">
        <f t="shared" si="10"/>
        <v>1360</v>
      </c>
      <c r="M76" s="34"/>
      <c r="N76" s="63"/>
    </row>
    <row r="77" s="35" customFormat="1" hidden="1" spans="1:14">
      <c r="A77" s="60" t="s">
        <v>13</v>
      </c>
      <c r="B77" s="70">
        <v>45391</v>
      </c>
      <c r="C77" s="62">
        <v>27</v>
      </c>
      <c r="D77" s="63" t="s">
        <v>53</v>
      </c>
      <c r="E77" s="63"/>
      <c r="F77" s="63"/>
      <c r="G77" s="64" t="s">
        <v>60</v>
      </c>
      <c r="H77" s="65">
        <v>2</v>
      </c>
      <c r="I77" s="63">
        <v>20</v>
      </c>
      <c r="J77" s="63">
        <f t="shared" si="11"/>
        <v>40</v>
      </c>
      <c r="K77" s="66">
        <v>17</v>
      </c>
      <c r="L77" s="66">
        <f t="shared" si="10"/>
        <v>680</v>
      </c>
      <c r="M77" s="34"/>
      <c r="N77" s="63">
        <f>SUM(L69:L77)</f>
        <v>5619</v>
      </c>
    </row>
    <row r="78" s="32" customFormat="1" hidden="1" spans="1:14">
      <c r="A78" s="43" t="s">
        <v>140</v>
      </c>
      <c r="B78" s="68">
        <v>45393</v>
      </c>
      <c r="C78" s="54">
        <v>36</v>
      </c>
      <c r="D78" s="55">
        <v>230408</v>
      </c>
      <c r="E78" s="55"/>
      <c r="F78" s="55"/>
      <c r="G78" s="56" t="s">
        <v>186</v>
      </c>
      <c r="H78" s="57">
        <v>1</v>
      </c>
      <c r="I78" s="55">
        <v>22</v>
      </c>
      <c r="J78" s="55">
        <f t="shared" si="11"/>
        <v>22</v>
      </c>
      <c r="K78" s="58">
        <v>19</v>
      </c>
      <c r="L78" s="58">
        <f t="shared" si="10"/>
        <v>418</v>
      </c>
      <c r="M78" s="44"/>
      <c r="N78" s="55"/>
    </row>
    <row r="79" s="32" customFormat="1" hidden="1" spans="1:14">
      <c r="A79" s="43" t="s">
        <v>140</v>
      </c>
      <c r="B79" s="68">
        <v>45393</v>
      </c>
      <c r="C79" s="54">
        <v>36</v>
      </c>
      <c r="D79" s="55">
        <v>230408</v>
      </c>
      <c r="E79" s="55"/>
      <c r="F79" s="55"/>
      <c r="G79" s="56" t="s">
        <v>186</v>
      </c>
      <c r="H79" s="57">
        <v>1</v>
      </c>
      <c r="I79" s="55">
        <v>23</v>
      </c>
      <c r="J79" s="55">
        <f t="shared" si="11"/>
        <v>23</v>
      </c>
      <c r="K79" s="58">
        <v>19</v>
      </c>
      <c r="L79" s="58">
        <f t="shared" si="10"/>
        <v>437</v>
      </c>
      <c r="M79" s="44"/>
      <c r="N79" s="55"/>
    </row>
    <row r="80" s="32" customFormat="1" hidden="1" spans="1:14">
      <c r="A80" s="43" t="s">
        <v>140</v>
      </c>
      <c r="B80" s="68">
        <v>45393</v>
      </c>
      <c r="C80" s="54">
        <v>36</v>
      </c>
      <c r="D80" s="55" t="s">
        <v>144</v>
      </c>
      <c r="E80" s="55"/>
      <c r="F80" s="55"/>
      <c r="G80" s="56" t="s">
        <v>54</v>
      </c>
      <c r="H80" s="57">
        <v>2</v>
      </c>
      <c r="I80" s="55">
        <v>20</v>
      </c>
      <c r="J80" s="55">
        <f t="shared" si="11"/>
        <v>40</v>
      </c>
      <c r="K80" s="58">
        <v>19</v>
      </c>
      <c r="L80" s="58">
        <f t="shared" si="10"/>
        <v>760</v>
      </c>
      <c r="M80" s="44"/>
      <c r="N80" s="55">
        <f>SUBTOTAL(9,L78:L80)</f>
        <v>0</v>
      </c>
    </row>
    <row r="81" s="33" customFormat="1" spans="1:14">
      <c r="A81" s="63" t="s">
        <v>126</v>
      </c>
      <c r="B81" s="70">
        <v>45393</v>
      </c>
      <c r="C81" s="62">
        <v>37</v>
      </c>
      <c r="D81" s="63" t="s">
        <v>187</v>
      </c>
      <c r="E81" s="63"/>
      <c r="F81" s="63"/>
      <c r="G81" s="64" t="s">
        <v>188</v>
      </c>
      <c r="H81" s="65">
        <v>1</v>
      </c>
      <c r="I81" s="63">
        <v>12</v>
      </c>
      <c r="J81" s="63">
        <f t="shared" si="11"/>
        <v>12</v>
      </c>
      <c r="K81" s="66">
        <v>20</v>
      </c>
      <c r="L81" s="66">
        <f t="shared" si="10"/>
        <v>240</v>
      </c>
      <c r="M81" s="34"/>
      <c r="N81" s="63"/>
    </row>
    <row r="82" s="33" customFormat="1" spans="1:14">
      <c r="A82" s="60" t="s">
        <v>126</v>
      </c>
      <c r="B82" s="70">
        <v>45393</v>
      </c>
      <c r="C82" s="62">
        <v>37</v>
      </c>
      <c r="D82" s="63" t="s">
        <v>127</v>
      </c>
      <c r="E82" s="63"/>
      <c r="F82" s="63"/>
      <c r="G82" s="72" t="s">
        <v>68</v>
      </c>
      <c r="H82" s="65">
        <v>10</v>
      </c>
      <c r="I82" s="63">
        <v>28</v>
      </c>
      <c r="J82" s="63">
        <f t="shared" si="11"/>
        <v>280</v>
      </c>
      <c r="K82" s="66">
        <v>9.5</v>
      </c>
      <c r="L82" s="66">
        <f t="shared" si="10"/>
        <v>2660</v>
      </c>
      <c r="M82" s="64">
        <v>9803</v>
      </c>
      <c r="N82" s="63">
        <f>SUM(L81:L82)</f>
        <v>2900</v>
      </c>
    </row>
    <row r="83" s="32" customFormat="1" spans="1:14">
      <c r="A83" s="43" t="s">
        <v>126</v>
      </c>
      <c r="B83" s="53">
        <v>45394</v>
      </c>
      <c r="C83" s="54">
        <v>40</v>
      </c>
      <c r="D83" s="55" t="s">
        <v>129</v>
      </c>
      <c r="E83" s="55"/>
      <c r="F83" s="55"/>
      <c r="G83" s="56" t="s">
        <v>130</v>
      </c>
      <c r="H83" s="57">
        <v>5</v>
      </c>
      <c r="I83" s="55">
        <v>25</v>
      </c>
      <c r="J83" s="55">
        <f t="shared" si="11"/>
        <v>125</v>
      </c>
      <c r="K83" s="58">
        <v>11.5</v>
      </c>
      <c r="L83" s="58">
        <f t="shared" si="10"/>
        <v>1437.5</v>
      </c>
      <c r="M83" s="73" t="s">
        <v>131</v>
      </c>
      <c r="N83" s="55">
        <f>SUM(L82:L83)</f>
        <v>4097.5</v>
      </c>
    </row>
    <row r="84" s="33" customFormat="1" spans="1:14">
      <c r="A84" s="60" t="s">
        <v>126</v>
      </c>
      <c r="B84" s="61">
        <v>45395</v>
      </c>
      <c r="C84" s="62">
        <v>44</v>
      </c>
      <c r="D84" s="63" t="s">
        <v>189</v>
      </c>
      <c r="E84" s="63"/>
      <c r="F84" s="63"/>
      <c r="G84" s="72" t="s">
        <v>190</v>
      </c>
      <c r="H84" s="65">
        <v>1</v>
      </c>
      <c r="I84" s="63">
        <v>4</v>
      </c>
      <c r="J84" s="63">
        <f t="shared" si="11"/>
        <v>4</v>
      </c>
      <c r="K84" s="66">
        <v>23</v>
      </c>
      <c r="L84" s="66">
        <f t="shared" si="10"/>
        <v>92</v>
      </c>
      <c r="M84" s="34" t="s">
        <v>191</v>
      </c>
      <c r="N84" s="63"/>
    </row>
    <row r="85" s="32" customFormat="1" hidden="1" spans="1:14">
      <c r="A85" s="43" t="s">
        <v>76</v>
      </c>
      <c r="B85" s="53">
        <v>45399</v>
      </c>
      <c r="C85" s="54">
        <v>52</v>
      </c>
      <c r="D85" s="55" t="s">
        <v>110</v>
      </c>
      <c r="E85" s="55"/>
      <c r="F85" s="55"/>
      <c r="G85" s="56" t="s">
        <v>68</v>
      </c>
      <c r="H85" s="57">
        <v>20</v>
      </c>
      <c r="I85" s="55">
        <v>28</v>
      </c>
      <c r="J85" s="55">
        <f t="shared" si="11"/>
        <v>560</v>
      </c>
      <c r="K85" s="58">
        <v>9.5</v>
      </c>
      <c r="L85" s="58">
        <f t="shared" si="10"/>
        <v>5320</v>
      </c>
      <c r="M85" s="44" t="s">
        <v>192</v>
      </c>
      <c r="N85" s="55"/>
    </row>
    <row r="86" s="35" customFormat="1" spans="1:14">
      <c r="A86" s="60" t="s">
        <v>126</v>
      </c>
      <c r="B86" s="61">
        <v>45401</v>
      </c>
      <c r="C86" s="62">
        <v>64</v>
      </c>
      <c r="D86" s="63" t="s">
        <v>174</v>
      </c>
      <c r="E86" s="63"/>
      <c r="F86" s="63"/>
      <c r="G86" s="72" t="s">
        <v>64</v>
      </c>
      <c r="H86" s="65">
        <v>3</v>
      </c>
      <c r="I86" s="63">
        <v>26</v>
      </c>
      <c r="J86" s="63">
        <f t="shared" si="11"/>
        <v>78</v>
      </c>
      <c r="K86" s="66">
        <v>20</v>
      </c>
      <c r="L86" s="66">
        <f t="shared" si="10"/>
        <v>1560</v>
      </c>
      <c r="M86" s="34"/>
      <c r="N86" s="63"/>
    </row>
    <row r="87" s="35" customFormat="1" spans="1:14">
      <c r="A87" s="60" t="s">
        <v>126</v>
      </c>
      <c r="B87" s="61">
        <v>45401</v>
      </c>
      <c r="C87" s="62">
        <v>64</v>
      </c>
      <c r="D87" s="63" t="s">
        <v>133</v>
      </c>
      <c r="E87" s="63"/>
      <c r="F87" s="63"/>
      <c r="G87" s="64" t="s">
        <v>60</v>
      </c>
      <c r="H87" s="65">
        <v>2</v>
      </c>
      <c r="I87" s="63">
        <v>20</v>
      </c>
      <c r="J87" s="63">
        <f t="shared" si="11"/>
        <v>40</v>
      </c>
      <c r="K87" s="66">
        <v>20</v>
      </c>
      <c r="L87" s="66">
        <f t="shared" si="10"/>
        <v>800</v>
      </c>
      <c r="M87" s="90" t="s">
        <v>193</v>
      </c>
      <c r="N87" s="63">
        <f>SUM(L86:L87)</f>
        <v>2360</v>
      </c>
    </row>
    <row r="88" s="39" customFormat="1" spans="1:14">
      <c r="A88" s="91" t="s">
        <v>126</v>
      </c>
      <c r="B88" s="92">
        <v>45401</v>
      </c>
      <c r="C88" s="93"/>
      <c r="D88" s="94">
        <v>518</v>
      </c>
      <c r="E88" s="94"/>
      <c r="F88" s="94"/>
      <c r="G88" s="95" t="s">
        <v>64</v>
      </c>
      <c r="H88" s="96">
        <v>4</v>
      </c>
      <c r="I88" s="94">
        <v>25</v>
      </c>
      <c r="J88" s="94">
        <f t="shared" si="11"/>
        <v>100</v>
      </c>
      <c r="K88" s="97"/>
      <c r="L88" s="97">
        <f t="shared" si="10"/>
        <v>0</v>
      </c>
      <c r="M88" s="73" t="s">
        <v>194</v>
      </c>
      <c r="N88" s="94"/>
    </row>
    <row r="89" s="32" customFormat="1" hidden="1" spans="1:14">
      <c r="A89" s="43" t="s">
        <v>13</v>
      </c>
      <c r="B89" s="68">
        <v>45402</v>
      </c>
      <c r="C89" s="54">
        <v>75</v>
      </c>
      <c r="D89" s="55" t="s">
        <v>49</v>
      </c>
      <c r="E89" s="55"/>
      <c r="F89" s="55"/>
      <c r="G89" s="56" t="s">
        <v>50</v>
      </c>
      <c r="H89" s="57">
        <v>2</v>
      </c>
      <c r="I89" s="55">
        <v>20</v>
      </c>
      <c r="J89" s="55">
        <f t="shared" si="11"/>
        <v>40</v>
      </c>
      <c r="K89" s="58">
        <v>22</v>
      </c>
      <c r="L89" s="58">
        <f t="shared" si="10"/>
        <v>880</v>
      </c>
      <c r="M89" s="44"/>
      <c r="N89" s="55"/>
    </row>
    <row r="90" s="33" customFormat="1" spans="1:14">
      <c r="A90" s="60" t="s">
        <v>126</v>
      </c>
      <c r="B90" s="70">
        <v>45405</v>
      </c>
      <c r="C90" s="62">
        <v>78</v>
      </c>
      <c r="D90" s="63" t="s">
        <v>127</v>
      </c>
      <c r="E90" s="63"/>
      <c r="F90" s="63"/>
      <c r="G90" s="72" t="s">
        <v>68</v>
      </c>
      <c r="H90" s="65">
        <v>10</v>
      </c>
      <c r="I90" s="63">
        <v>28</v>
      </c>
      <c r="J90" s="63">
        <f t="shared" si="11"/>
        <v>280</v>
      </c>
      <c r="K90" s="66">
        <v>9.5</v>
      </c>
      <c r="L90" s="66">
        <f t="shared" si="10"/>
        <v>2660</v>
      </c>
      <c r="M90" s="64">
        <v>9803</v>
      </c>
      <c r="N90" s="63">
        <f>SUM(L89:L90)</f>
        <v>3540</v>
      </c>
    </row>
    <row r="91" s="32" customFormat="1" hidden="1" spans="1:14">
      <c r="A91" s="43" t="s">
        <v>13</v>
      </c>
      <c r="B91" s="68">
        <v>45408</v>
      </c>
      <c r="C91" s="54">
        <v>93</v>
      </c>
      <c r="D91" s="55" t="s">
        <v>172</v>
      </c>
      <c r="E91" s="55"/>
      <c r="F91" s="55"/>
      <c r="G91" s="98" t="s">
        <v>195</v>
      </c>
      <c r="H91" s="57">
        <v>1</v>
      </c>
      <c r="I91" s="55">
        <v>4</v>
      </c>
      <c r="J91" s="55">
        <f t="shared" si="11"/>
        <v>4</v>
      </c>
      <c r="K91" s="58">
        <v>19</v>
      </c>
      <c r="L91" s="58">
        <f t="shared" si="10"/>
        <v>76</v>
      </c>
      <c r="M91" s="32" t="s">
        <v>196</v>
      </c>
      <c r="N91" s="55"/>
    </row>
    <row r="92" s="32" customFormat="1" hidden="1" spans="1:14">
      <c r="A92" s="43" t="s">
        <v>13</v>
      </c>
      <c r="B92" s="68">
        <v>45408</v>
      </c>
      <c r="C92" s="54">
        <v>93</v>
      </c>
      <c r="D92" s="55" t="s">
        <v>197</v>
      </c>
      <c r="E92" s="55"/>
      <c r="F92" s="55"/>
      <c r="G92" s="98" t="s">
        <v>198</v>
      </c>
      <c r="H92" s="57">
        <v>1</v>
      </c>
      <c r="I92" s="55">
        <v>4</v>
      </c>
      <c r="J92" s="55">
        <f t="shared" si="11"/>
        <v>4</v>
      </c>
      <c r="K92" s="58">
        <v>19</v>
      </c>
      <c r="L92" s="58">
        <f t="shared" si="10"/>
        <v>76</v>
      </c>
      <c r="M92" s="32" t="s">
        <v>196</v>
      </c>
      <c r="N92" s="55"/>
    </row>
    <row r="93" s="32" customFormat="1" hidden="1" spans="1:14">
      <c r="A93" s="43" t="s">
        <v>13</v>
      </c>
      <c r="B93" s="68">
        <v>45408</v>
      </c>
      <c r="C93" s="54">
        <v>93</v>
      </c>
      <c r="D93" s="55" t="s">
        <v>199</v>
      </c>
      <c r="E93" s="55"/>
      <c r="F93" s="55"/>
      <c r="G93" s="98" t="s">
        <v>200</v>
      </c>
      <c r="H93" s="57">
        <v>1</v>
      </c>
      <c r="I93" s="55">
        <v>4</v>
      </c>
      <c r="J93" s="55">
        <f t="shared" si="11"/>
        <v>4</v>
      </c>
      <c r="K93" s="58">
        <v>19</v>
      </c>
      <c r="L93" s="58">
        <f t="shared" si="10"/>
        <v>76</v>
      </c>
      <c r="M93" s="32" t="s">
        <v>196</v>
      </c>
      <c r="N93" s="55"/>
    </row>
    <row r="94" s="32" customFormat="1" hidden="1" spans="1:14">
      <c r="A94" s="43" t="s">
        <v>13</v>
      </c>
      <c r="B94" s="68">
        <v>45408</v>
      </c>
      <c r="C94" s="54">
        <v>93</v>
      </c>
      <c r="D94" s="55"/>
      <c r="E94" s="55"/>
      <c r="F94" s="55"/>
      <c r="G94" s="98" t="s">
        <v>201</v>
      </c>
      <c r="H94" s="57">
        <v>3</v>
      </c>
      <c r="I94" s="55">
        <v>20</v>
      </c>
      <c r="J94" s="55">
        <f t="shared" si="11"/>
        <v>60</v>
      </c>
      <c r="K94" s="58">
        <v>17</v>
      </c>
      <c r="L94" s="58">
        <f t="shared" si="10"/>
        <v>1020</v>
      </c>
      <c r="M94" s="44" t="s">
        <v>202</v>
      </c>
      <c r="N94" s="55"/>
    </row>
    <row r="95" s="38" customFormat="1" hidden="1" spans="1:14">
      <c r="A95" s="43" t="s">
        <v>13</v>
      </c>
      <c r="B95" s="68">
        <v>45408</v>
      </c>
      <c r="C95" s="54">
        <v>93</v>
      </c>
      <c r="D95" s="55" t="s">
        <v>59</v>
      </c>
      <c r="E95" s="55"/>
      <c r="F95" s="55"/>
      <c r="G95" s="56" t="s">
        <v>60</v>
      </c>
      <c r="H95" s="57">
        <v>2</v>
      </c>
      <c r="I95" s="55">
        <v>20</v>
      </c>
      <c r="J95" s="55">
        <f t="shared" si="11"/>
        <v>40</v>
      </c>
      <c r="K95" s="58">
        <v>17</v>
      </c>
      <c r="L95" s="58">
        <f t="shared" si="10"/>
        <v>680</v>
      </c>
      <c r="M95" s="44"/>
      <c r="N95" s="55">
        <f>SUM(L91:L95)</f>
        <v>1928</v>
      </c>
    </row>
    <row r="96" s="33" customFormat="1" hidden="1" spans="1:14">
      <c r="A96" s="60" t="s">
        <v>76</v>
      </c>
      <c r="B96" s="61">
        <v>45419</v>
      </c>
      <c r="C96" s="62">
        <v>3</v>
      </c>
      <c r="D96" s="63" t="s">
        <v>110</v>
      </c>
      <c r="E96" s="63"/>
      <c r="F96" s="63"/>
      <c r="G96" s="64" t="s">
        <v>68</v>
      </c>
      <c r="H96" s="65">
        <v>20</v>
      </c>
      <c r="I96" s="63">
        <v>28</v>
      </c>
      <c r="J96" s="63">
        <f t="shared" si="11"/>
        <v>560</v>
      </c>
      <c r="K96" s="66">
        <v>9.5</v>
      </c>
      <c r="L96" s="66">
        <f t="shared" si="10"/>
        <v>5320</v>
      </c>
      <c r="M96" s="34" t="s">
        <v>192</v>
      </c>
      <c r="N96" s="63"/>
    </row>
    <row r="97" s="32" customFormat="1" spans="1:14">
      <c r="A97" s="43" t="s">
        <v>126</v>
      </c>
      <c r="B97" s="68">
        <v>45421</v>
      </c>
      <c r="C97" s="54">
        <v>17</v>
      </c>
      <c r="D97" s="55" t="s">
        <v>127</v>
      </c>
      <c r="E97" s="55"/>
      <c r="F97" s="55"/>
      <c r="G97" s="69" t="s">
        <v>68</v>
      </c>
      <c r="H97" s="57">
        <v>10</v>
      </c>
      <c r="I97" s="55">
        <v>28</v>
      </c>
      <c r="J97" s="55">
        <f t="shared" si="11"/>
        <v>280</v>
      </c>
      <c r="K97" s="58">
        <v>9.5</v>
      </c>
      <c r="L97" s="58">
        <f t="shared" si="10"/>
        <v>2660</v>
      </c>
      <c r="M97" s="56">
        <v>9803</v>
      </c>
      <c r="N97" s="55"/>
    </row>
    <row r="98" s="32" customFormat="1" spans="1:14">
      <c r="A98" s="43" t="s">
        <v>126</v>
      </c>
      <c r="B98" s="68">
        <v>45421</v>
      </c>
      <c r="C98" s="54">
        <v>17</v>
      </c>
      <c r="D98" s="55" t="s">
        <v>129</v>
      </c>
      <c r="E98" s="55"/>
      <c r="F98" s="55"/>
      <c r="G98" s="56" t="s">
        <v>130</v>
      </c>
      <c r="H98" s="57">
        <v>10</v>
      </c>
      <c r="I98" s="55">
        <v>25</v>
      </c>
      <c r="J98" s="55">
        <f t="shared" si="11"/>
        <v>250</v>
      </c>
      <c r="K98" s="58">
        <v>11.5</v>
      </c>
      <c r="L98" s="58">
        <f t="shared" si="10"/>
        <v>2875</v>
      </c>
      <c r="M98" s="73" t="s">
        <v>131</v>
      </c>
      <c r="N98" s="55">
        <f>SUM(L97:L98)</f>
        <v>5535</v>
      </c>
    </row>
    <row r="99" s="35" customFormat="1" hidden="1" spans="1:14">
      <c r="A99" s="60" t="s">
        <v>13</v>
      </c>
      <c r="B99" s="70">
        <v>45421</v>
      </c>
      <c r="C99" s="62">
        <v>16</v>
      </c>
      <c r="D99" s="63"/>
      <c r="E99" s="63"/>
      <c r="F99" s="63"/>
      <c r="G99" s="64" t="s">
        <v>203</v>
      </c>
      <c r="H99" s="65">
        <v>1</v>
      </c>
      <c r="I99" s="63">
        <v>10</v>
      </c>
      <c r="J99" s="63">
        <f t="shared" ref="J99:J130" si="12">H99*I99</f>
        <v>10</v>
      </c>
      <c r="K99" s="66">
        <v>14</v>
      </c>
      <c r="L99" s="66">
        <f t="shared" ref="L99:L130" si="13">J99*K99</f>
        <v>140</v>
      </c>
      <c r="M99" s="34"/>
      <c r="N99" s="63">
        <f>SUM(L95:L99)</f>
        <v>11675</v>
      </c>
    </row>
    <row r="100" s="38" customFormat="1" hidden="1" spans="1:14">
      <c r="A100" s="43" t="s">
        <v>13</v>
      </c>
      <c r="B100" s="68">
        <v>45422</v>
      </c>
      <c r="C100" s="54">
        <v>17</v>
      </c>
      <c r="D100" s="55" t="s">
        <v>59</v>
      </c>
      <c r="E100" s="55"/>
      <c r="F100" s="55"/>
      <c r="G100" s="56" t="s">
        <v>60</v>
      </c>
      <c r="H100" s="57">
        <v>3</v>
      </c>
      <c r="I100" s="55">
        <v>20</v>
      </c>
      <c r="J100" s="55">
        <f t="shared" si="12"/>
        <v>60</v>
      </c>
      <c r="K100" s="58">
        <v>17</v>
      </c>
      <c r="L100" s="58">
        <f t="shared" si="13"/>
        <v>1020</v>
      </c>
      <c r="M100" s="44"/>
      <c r="N100" s="55">
        <f>L100</f>
        <v>1020</v>
      </c>
    </row>
    <row r="101" s="35" customFormat="1" hidden="1" spans="1:14">
      <c r="A101" s="60" t="s">
        <v>13</v>
      </c>
      <c r="B101" s="70">
        <v>45422</v>
      </c>
      <c r="C101" s="62">
        <v>20</v>
      </c>
      <c r="D101" s="63" t="s">
        <v>59</v>
      </c>
      <c r="E101" s="63"/>
      <c r="F101" s="63"/>
      <c r="G101" s="64" t="s">
        <v>60</v>
      </c>
      <c r="H101" s="65">
        <v>2</v>
      </c>
      <c r="I101" s="63">
        <v>20</v>
      </c>
      <c r="J101" s="63">
        <f t="shared" si="12"/>
        <v>40</v>
      </c>
      <c r="K101" s="66">
        <v>17</v>
      </c>
      <c r="L101" s="66">
        <f t="shared" si="13"/>
        <v>680</v>
      </c>
      <c r="M101" s="34"/>
      <c r="N101" s="63">
        <f>L101</f>
        <v>680</v>
      </c>
    </row>
    <row r="102" s="39" customFormat="1" hidden="1" spans="1:14">
      <c r="A102" s="91" t="s">
        <v>204</v>
      </c>
      <c r="B102" s="99">
        <v>45423</v>
      </c>
      <c r="C102" s="93" t="s">
        <v>205</v>
      </c>
      <c r="D102" s="94">
        <v>2410</v>
      </c>
      <c r="E102" s="94"/>
      <c r="F102" s="94"/>
      <c r="G102" s="100" t="s">
        <v>206</v>
      </c>
      <c r="H102" s="96">
        <v>1</v>
      </c>
      <c r="I102" s="94">
        <v>10</v>
      </c>
      <c r="J102" s="94">
        <f t="shared" si="12"/>
        <v>10</v>
      </c>
      <c r="K102" s="97"/>
      <c r="L102" s="97">
        <f t="shared" si="13"/>
        <v>0</v>
      </c>
      <c r="M102" s="73" t="s">
        <v>207</v>
      </c>
      <c r="N102" s="94"/>
    </row>
    <row r="103" s="35" customFormat="1" spans="1:14">
      <c r="A103" s="60" t="s">
        <v>126</v>
      </c>
      <c r="B103" s="61">
        <v>45427</v>
      </c>
      <c r="C103" s="62">
        <v>39</v>
      </c>
      <c r="D103" s="63" t="s">
        <v>174</v>
      </c>
      <c r="E103" s="63"/>
      <c r="F103" s="63"/>
      <c r="G103" s="72" t="s">
        <v>64</v>
      </c>
      <c r="H103" s="65">
        <v>1</v>
      </c>
      <c r="I103" s="63">
        <v>30</v>
      </c>
      <c r="J103" s="63">
        <f t="shared" si="12"/>
        <v>30</v>
      </c>
      <c r="K103" s="66">
        <v>20</v>
      </c>
      <c r="L103" s="66">
        <f t="shared" si="13"/>
        <v>600</v>
      </c>
      <c r="M103" s="101" t="s">
        <v>208</v>
      </c>
      <c r="N103" s="63"/>
    </row>
    <row r="104" s="35" customFormat="1" spans="1:14">
      <c r="A104" s="60" t="s">
        <v>126</v>
      </c>
      <c r="B104" s="61">
        <v>45427</v>
      </c>
      <c r="C104" s="62">
        <v>39</v>
      </c>
      <c r="D104" s="94" t="s">
        <v>174</v>
      </c>
      <c r="E104" s="94"/>
      <c r="F104" s="94"/>
      <c r="G104" s="95" t="s">
        <v>209</v>
      </c>
      <c r="H104" s="96">
        <v>1</v>
      </c>
      <c r="I104" s="94">
        <v>100</v>
      </c>
      <c r="J104" s="94">
        <f t="shared" si="12"/>
        <v>100</v>
      </c>
      <c r="K104" s="97"/>
      <c r="L104" s="97">
        <f t="shared" si="13"/>
        <v>0</v>
      </c>
      <c r="M104" s="73" t="s">
        <v>210</v>
      </c>
      <c r="N104" s="63"/>
    </row>
    <row r="105" s="35" customFormat="1" spans="1:14">
      <c r="A105" s="60" t="s">
        <v>126</v>
      </c>
      <c r="B105" s="61">
        <v>45427</v>
      </c>
      <c r="C105" s="62">
        <v>39</v>
      </c>
      <c r="D105" s="63">
        <v>513</v>
      </c>
      <c r="E105" s="63"/>
      <c r="F105" s="63"/>
      <c r="G105" s="72" t="s">
        <v>211</v>
      </c>
      <c r="H105" s="65">
        <v>1</v>
      </c>
      <c r="I105" s="63">
        <v>4</v>
      </c>
      <c r="J105" s="63">
        <f t="shared" si="12"/>
        <v>4</v>
      </c>
      <c r="K105" s="66">
        <v>20</v>
      </c>
      <c r="L105" s="66">
        <f t="shared" si="13"/>
        <v>80</v>
      </c>
      <c r="M105" s="34"/>
      <c r="N105" s="63"/>
    </row>
    <row r="106" s="35" customFormat="1" spans="1:14">
      <c r="A106" s="60" t="s">
        <v>126</v>
      </c>
      <c r="B106" s="61">
        <v>45427</v>
      </c>
      <c r="C106" s="62">
        <v>39</v>
      </c>
      <c r="D106" s="63" t="s">
        <v>133</v>
      </c>
      <c r="E106" s="63"/>
      <c r="F106" s="63"/>
      <c r="G106" s="64" t="s">
        <v>60</v>
      </c>
      <c r="H106" s="65">
        <v>4</v>
      </c>
      <c r="I106" s="63">
        <v>20</v>
      </c>
      <c r="J106" s="63">
        <f t="shared" si="12"/>
        <v>80</v>
      </c>
      <c r="K106" s="66">
        <v>20</v>
      </c>
      <c r="L106" s="66">
        <f t="shared" si="13"/>
        <v>1600</v>
      </c>
      <c r="M106" s="90" t="s">
        <v>212</v>
      </c>
      <c r="N106" s="63">
        <f>SUM(L103:L106)</f>
        <v>2280</v>
      </c>
    </row>
    <row r="107" s="32" customFormat="1" hidden="1" spans="1:14">
      <c r="A107" s="43" t="s">
        <v>13</v>
      </c>
      <c r="B107" s="68">
        <v>45428</v>
      </c>
      <c r="C107" s="54"/>
      <c r="D107" s="55"/>
      <c r="E107" s="55"/>
      <c r="F107" s="55"/>
      <c r="G107" s="98" t="s">
        <v>213</v>
      </c>
      <c r="H107" s="57">
        <v>1</v>
      </c>
      <c r="I107" s="55">
        <v>10</v>
      </c>
      <c r="J107" s="55">
        <f t="shared" si="12"/>
        <v>10</v>
      </c>
      <c r="K107" s="58">
        <v>22</v>
      </c>
      <c r="L107" s="58">
        <f t="shared" si="13"/>
        <v>220</v>
      </c>
      <c r="M107" s="56" t="s">
        <v>214</v>
      </c>
      <c r="N107" s="55"/>
    </row>
    <row r="108" s="33" customFormat="1" hidden="1" spans="1:14">
      <c r="A108" s="60" t="s">
        <v>140</v>
      </c>
      <c r="B108" s="61">
        <v>45434</v>
      </c>
      <c r="C108" s="62">
        <v>68</v>
      </c>
      <c r="D108" s="63"/>
      <c r="E108" s="63"/>
      <c r="F108" s="63"/>
      <c r="G108" s="64" t="s">
        <v>146</v>
      </c>
      <c r="H108" s="65">
        <v>2</v>
      </c>
      <c r="I108" s="63">
        <v>20</v>
      </c>
      <c r="J108" s="63">
        <f t="shared" si="12"/>
        <v>40</v>
      </c>
      <c r="K108" s="66">
        <v>19</v>
      </c>
      <c r="L108" s="66">
        <f t="shared" si="13"/>
        <v>760</v>
      </c>
      <c r="M108" s="84" t="s">
        <v>147</v>
      </c>
      <c r="N108" s="63"/>
    </row>
    <row r="109" s="33" customFormat="1" hidden="1" spans="1:14">
      <c r="A109" s="60" t="s">
        <v>140</v>
      </c>
      <c r="B109" s="61">
        <v>45434</v>
      </c>
      <c r="C109" s="62">
        <v>68</v>
      </c>
      <c r="D109" s="63" t="s">
        <v>150</v>
      </c>
      <c r="E109" s="63"/>
      <c r="F109" s="63"/>
      <c r="G109" s="64" t="s">
        <v>68</v>
      </c>
      <c r="H109" s="65">
        <v>5</v>
      </c>
      <c r="I109" s="63">
        <v>28</v>
      </c>
      <c r="J109" s="63">
        <f t="shared" si="12"/>
        <v>140</v>
      </c>
      <c r="K109" s="66">
        <v>9.5</v>
      </c>
      <c r="L109" s="66">
        <f t="shared" si="13"/>
        <v>1330</v>
      </c>
      <c r="M109" s="85" t="s">
        <v>151</v>
      </c>
      <c r="N109" s="63"/>
    </row>
    <row r="110" s="33" customFormat="1" hidden="1" spans="1:14">
      <c r="A110" s="60" t="s">
        <v>140</v>
      </c>
      <c r="B110" s="61">
        <v>45434</v>
      </c>
      <c r="C110" s="62">
        <v>68</v>
      </c>
      <c r="D110" s="63"/>
      <c r="E110" s="63"/>
      <c r="F110" s="63"/>
      <c r="G110" s="64" t="s">
        <v>148</v>
      </c>
      <c r="H110" s="65">
        <v>2</v>
      </c>
      <c r="I110" s="63">
        <v>20</v>
      </c>
      <c r="J110" s="63">
        <f t="shared" si="12"/>
        <v>40</v>
      </c>
      <c r="K110" s="66">
        <v>19</v>
      </c>
      <c r="L110" s="66">
        <f t="shared" si="13"/>
        <v>760</v>
      </c>
      <c r="M110" s="34"/>
      <c r="N110" s="63">
        <f>SUM(L108:L110)</f>
        <v>2850</v>
      </c>
    </row>
    <row r="111" s="32" customFormat="1" spans="1:14">
      <c r="A111" s="43" t="s">
        <v>126</v>
      </c>
      <c r="B111" s="53">
        <v>45435</v>
      </c>
      <c r="C111" s="54">
        <v>70</v>
      </c>
      <c r="D111" s="55" t="s">
        <v>127</v>
      </c>
      <c r="E111" s="55"/>
      <c r="F111" s="55"/>
      <c r="G111" s="69" t="s">
        <v>68</v>
      </c>
      <c r="H111" s="57">
        <v>10</v>
      </c>
      <c r="I111" s="55">
        <v>28</v>
      </c>
      <c r="J111" s="55">
        <f t="shared" si="12"/>
        <v>280</v>
      </c>
      <c r="K111" s="58">
        <v>9.5</v>
      </c>
      <c r="L111" s="58">
        <f t="shared" si="13"/>
        <v>2660</v>
      </c>
      <c r="M111" s="56">
        <v>9803</v>
      </c>
      <c r="N111" s="55"/>
    </row>
    <row r="112" s="40" customFormat="1" hidden="1" spans="1:14">
      <c r="A112" s="60" t="s">
        <v>13</v>
      </c>
      <c r="B112" s="70">
        <v>45437</v>
      </c>
      <c r="C112" s="62">
        <v>76</v>
      </c>
      <c r="D112" s="63">
        <v>24056</v>
      </c>
      <c r="E112" s="63"/>
      <c r="F112" s="63"/>
      <c r="G112" s="64" t="s">
        <v>215</v>
      </c>
      <c r="H112" s="65">
        <v>1</v>
      </c>
      <c r="I112" s="63">
        <v>4</v>
      </c>
      <c r="J112" s="63">
        <f t="shared" si="12"/>
        <v>4</v>
      </c>
      <c r="K112" s="66">
        <v>14</v>
      </c>
      <c r="L112" s="66">
        <f t="shared" si="13"/>
        <v>56</v>
      </c>
      <c r="M112" s="73"/>
      <c r="N112" s="94"/>
    </row>
    <row r="113" s="32" customFormat="1" spans="1:14">
      <c r="A113" s="91" t="s">
        <v>126</v>
      </c>
      <c r="B113" s="92">
        <v>45441</v>
      </c>
      <c r="C113" s="93">
        <v>84</v>
      </c>
      <c r="D113" s="94">
        <v>9805</v>
      </c>
      <c r="E113" s="94"/>
      <c r="F113" s="94"/>
      <c r="G113" s="95" t="s">
        <v>68</v>
      </c>
      <c r="H113" s="96">
        <v>5</v>
      </c>
      <c r="I113" s="94">
        <v>28</v>
      </c>
      <c r="J113" s="94">
        <f t="shared" si="12"/>
        <v>140</v>
      </c>
      <c r="K113" s="97">
        <v>9.5</v>
      </c>
      <c r="L113" s="97">
        <f t="shared" si="13"/>
        <v>1330</v>
      </c>
      <c r="M113" s="100" t="s">
        <v>216</v>
      </c>
      <c r="N113" s="94"/>
    </row>
    <row r="114" s="40" customFormat="1" hidden="1" spans="1:14">
      <c r="A114" s="60" t="s">
        <v>13</v>
      </c>
      <c r="B114" s="70">
        <v>45442</v>
      </c>
      <c r="C114" s="62">
        <v>88</v>
      </c>
      <c r="D114" s="63">
        <v>24056</v>
      </c>
      <c r="E114" s="63"/>
      <c r="F114" s="63"/>
      <c r="G114" s="64" t="s">
        <v>215</v>
      </c>
      <c r="H114" s="65">
        <v>1</v>
      </c>
      <c r="I114" s="63">
        <v>5</v>
      </c>
      <c r="J114" s="63">
        <f t="shared" si="12"/>
        <v>5</v>
      </c>
      <c r="K114" s="66">
        <v>14</v>
      </c>
      <c r="L114" s="66">
        <f t="shared" si="13"/>
        <v>70</v>
      </c>
      <c r="M114" s="73"/>
      <c r="N114" s="94"/>
    </row>
    <row r="115" s="32" customFormat="1" hidden="1" spans="1:14">
      <c r="A115" s="43" t="s">
        <v>76</v>
      </c>
      <c r="B115" s="53">
        <v>45444</v>
      </c>
      <c r="C115" s="54">
        <v>1</v>
      </c>
      <c r="D115" s="55" t="s">
        <v>110</v>
      </c>
      <c r="E115" s="55"/>
      <c r="F115" s="55"/>
      <c r="G115" s="56" t="s">
        <v>68</v>
      </c>
      <c r="H115" s="57">
        <v>20</v>
      </c>
      <c r="I115" s="55">
        <v>28</v>
      </c>
      <c r="J115" s="55">
        <f t="shared" si="12"/>
        <v>560</v>
      </c>
      <c r="K115" s="58">
        <v>9.5</v>
      </c>
      <c r="L115" s="58">
        <f t="shared" si="13"/>
        <v>5320</v>
      </c>
      <c r="M115" s="44" t="s">
        <v>192</v>
      </c>
      <c r="N115" s="55"/>
    </row>
    <row r="116" s="33" customFormat="1" ht="19" hidden="1" customHeight="1" spans="1:14">
      <c r="A116" s="60" t="s">
        <v>13</v>
      </c>
      <c r="B116" s="70">
        <v>45444</v>
      </c>
      <c r="C116" s="62">
        <v>3</v>
      </c>
      <c r="D116" s="63" t="s">
        <v>47</v>
      </c>
      <c r="E116" s="63"/>
      <c r="F116" s="63"/>
      <c r="G116" s="64" t="s">
        <v>217</v>
      </c>
      <c r="H116" s="65">
        <v>4</v>
      </c>
      <c r="I116" s="63">
        <v>25</v>
      </c>
      <c r="J116" s="63">
        <f t="shared" si="12"/>
        <v>100</v>
      </c>
      <c r="K116" s="66">
        <v>17</v>
      </c>
      <c r="L116" s="66">
        <f t="shared" si="13"/>
        <v>1700</v>
      </c>
      <c r="M116" s="34"/>
      <c r="N116" s="63"/>
    </row>
    <row r="117" s="33" customFormat="1" ht="19" hidden="1" customHeight="1" spans="1:14">
      <c r="A117" s="60" t="s">
        <v>13</v>
      </c>
      <c r="B117" s="70">
        <v>45444</v>
      </c>
      <c r="C117" s="62">
        <v>3</v>
      </c>
      <c r="D117" s="63" t="s">
        <v>47</v>
      </c>
      <c r="E117" s="63"/>
      <c r="F117" s="63"/>
      <c r="G117" s="64" t="s">
        <v>217</v>
      </c>
      <c r="H117" s="65">
        <v>1</v>
      </c>
      <c r="I117" s="63">
        <v>26</v>
      </c>
      <c r="J117" s="63">
        <f t="shared" si="12"/>
        <v>26</v>
      </c>
      <c r="K117" s="66">
        <v>17</v>
      </c>
      <c r="L117" s="66">
        <f t="shared" si="13"/>
        <v>442</v>
      </c>
      <c r="M117" s="34"/>
      <c r="N117" s="63"/>
    </row>
    <row r="118" s="32" customFormat="1" hidden="1" spans="1:14">
      <c r="A118" s="60" t="s">
        <v>13</v>
      </c>
      <c r="B118" s="70">
        <v>45444</v>
      </c>
      <c r="C118" s="62">
        <v>3</v>
      </c>
      <c r="D118" s="63" t="s">
        <v>53</v>
      </c>
      <c r="E118" s="63"/>
      <c r="F118" s="63"/>
      <c r="G118" s="64" t="s">
        <v>54</v>
      </c>
      <c r="H118" s="65">
        <v>5</v>
      </c>
      <c r="I118" s="63">
        <v>20</v>
      </c>
      <c r="J118" s="63">
        <f t="shared" si="12"/>
        <v>100</v>
      </c>
      <c r="K118" s="66">
        <v>17</v>
      </c>
      <c r="L118" s="66">
        <f t="shared" si="13"/>
        <v>1700</v>
      </c>
      <c r="M118" s="44">
        <f>SUM(L116:L118)</f>
        <v>3842</v>
      </c>
      <c r="N118" s="55"/>
    </row>
    <row r="119" s="32" customFormat="1" ht="19" hidden="1" customHeight="1" spans="1:14">
      <c r="A119" s="43" t="s">
        <v>13</v>
      </c>
      <c r="B119" s="68">
        <v>45449</v>
      </c>
      <c r="C119" s="54">
        <v>20</v>
      </c>
      <c r="D119" s="55" t="s">
        <v>47</v>
      </c>
      <c r="E119" s="55"/>
      <c r="F119" s="55"/>
      <c r="G119" s="56" t="s">
        <v>217</v>
      </c>
      <c r="H119" s="57">
        <v>2</v>
      </c>
      <c r="I119" s="55">
        <v>25</v>
      </c>
      <c r="J119" s="55">
        <f t="shared" si="12"/>
        <v>50</v>
      </c>
      <c r="K119" s="58">
        <v>17</v>
      </c>
      <c r="L119" s="58">
        <f t="shared" si="13"/>
        <v>850</v>
      </c>
      <c r="M119" s="44"/>
      <c r="N119" s="55"/>
    </row>
    <row r="120" s="32" customFormat="1" hidden="1" spans="1:14">
      <c r="A120" s="43" t="s">
        <v>13</v>
      </c>
      <c r="B120" s="68">
        <v>45449</v>
      </c>
      <c r="C120" s="54">
        <v>20</v>
      </c>
      <c r="D120" s="55" t="s">
        <v>53</v>
      </c>
      <c r="E120" s="55"/>
      <c r="F120" s="55"/>
      <c r="G120" s="56" t="s">
        <v>54</v>
      </c>
      <c r="H120" s="57">
        <v>1</v>
      </c>
      <c r="I120" s="55">
        <v>20</v>
      </c>
      <c r="J120" s="55">
        <f t="shared" si="12"/>
        <v>20</v>
      </c>
      <c r="K120" s="58">
        <v>17</v>
      </c>
      <c r="L120" s="58">
        <f t="shared" si="13"/>
        <v>340</v>
      </c>
      <c r="M120" s="44">
        <f>SUM(L118:L120)</f>
        <v>2890</v>
      </c>
      <c r="N120" s="55"/>
    </row>
    <row r="121" s="33" customFormat="1" spans="1:14">
      <c r="A121" s="60" t="s">
        <v>126</v>
      </c>
      <c r="B121" s="70">
        <v>45450</v>
      </c>
      <c r="C121" s="62">
        <v>27</v>
      </c>
      <c r="D121" s="94">
        <v>9805</v>
      </c>
      <c r="E121" s="94"/>
      <c r="F121" s="94"/>
      <c r="G121" s="72" t="s">
        <v>68</v>
      </c>
      <c r="H121" s="65">
        <v>10</v>
      </c>
      <c r="I121" s="63">
        <v>28</v>
      </c>
      <c r="J121" s="63">
        <f t="shared" si="12"/>
        <v>280</v>
      </c>
      <c r="K121" s="66">
        <v>9.5</v>
      </c>
      <c r="L121" s="66">
        <f t="shared" si="13"/>
        <v>2660</v>
      </c>
      <c r="M121" s="64" t="s">
        <v>216</v>
      </c>
      <c r="N121" s="63"/>
    </row>
    <row r="122" s="33" customFormat="1" spans="1:14">
      <c r="A122" s="60" t="s">
        <v>126</v>
      </c>
      <c r="B122" s="70">
        <v>45450</v>
      </c>
      <c r="C122" s="62">
        <v>27</v>
      </c>
      <c r="D122" s="63" t="s">
        <v>129</v>
      </c>
      <c r="E122" s="63"/>
      <c r="F122" s="63"/>
      <c r="G122" s="64" t="s">
        <v>130</v>
      </c>
      <c r="H122" s="65">
        <v>10</v>
      </c>
      <c r="I122" s="63">
        <v>25</v>
      </c>
      <c r="J122" s="63">
        <f t="shared" si="12"/>
        <v>250</v>
      </c>
      <c r="K122" s="66">
        <v>11.5</v>
      </c>
      <c r="L122" s="66">
        <f t="shared" si="13"/>
        <v>2875</v>
      </c>
      <c r="M122" s="34" t="s">
        <v>131</v>
      </c>
      <c r="N122" s="63">
        <f>SUM(L121:L122)</f>
        <v>5535</v>
      </c>
    </row>
    <row r="123" s="32" customFormat="1" hidden="1" spans="1:14">
      <c r="A123" s="43" t="s">
        <v>76</v>
      </c>
      <c r="B123" s="53">
        <v>45455</v>
      </c>
      <c r="C123" s="54">
        <v>31</v>
      </c>
      <c r="D123" s="55" t="s">
        <v>110</v>
      </c>
      <c r="E123" s="55"/>
      <c r="F123" s="55"/>
      <c r="G123" s="56" t="s">
        <v>68</v>
      </c>
      <c r="H123" s="57">
        <v>30</v>
      </c>
      <c r="I123" s="55">
        <v>28</v>
      </c>
      <c r="J123" s="55">
        <f t="shared" si="12"/>
        <v>840</v>
      </c>
      <c r="K123" s="58">
        <v>9.5</v>
      </c>
      <c r="L123" s="58">
        <f t="shared" si="13"/>
        <v>7980</v>
      </c>
      <c r="M123" s="44" t="s">
        <v>192</v>
      </c>
      <c r="N123" s="55"/>
    </row>
    <row r="124" s="33" customFormat="1" hidden="1" spans="1:14">
      <c r="A124" s="60" t="s">
        <v>140</v>
      </c>
      <c r="B124" s="61">
        <v>45464</v>
      </c>
      <c r="C124" s="62">
        <v>53</v>
      </c>
      <c r="D124" s="63" t="s">
        <v>141</v>
      </c>
      <c r="E124" s="63"/>
      <c r="F124" s="63"/>
      <c r="G124" s="64" t="s">
        <v>142</v>
      </c>
      <c r="H124" s="65">
        <v>4</v>
      </c>
      <c r="I124" s="63">
        <v>25</v>
      </c>
      <c r="J124" s="63">
        <f t="shared" ref="J124:J126" si="14">H124*I124</f>
        <v>100</v>
      </c>
      <c r="K124" s="66">
        <v>19</v>
      </c>
      <c r="L124" s="66">
        <f t="shared" si="13"/>
        <v>1900</v>
      </c>
      <c r="M124" s="84" t="s">
        <v>143</v>
      </c>
      <c r="N124" s="63"/>
    </row>
    <row r="125" s="33" customFormat="1" hidden="1" spans="1:14">
      <c r="A125" s="60" t="s">
        <v>140</v>
      </c>
      <c r="B125" s="61">
        <v>45464</v>
      </c>
      <c r="C125" s="62">
        <v>53</v>
      </c>
      <c r="D125" s="63" t="s">
        <v>218</v>
      </c>
      <c r="E125" s="63"/>
      <c r="F125" s="63"/>
      <c r="G125" s="64" t="s">
        <v>71</v>
      </c>
      <c r="H125" s="65">
        <v>1</v>
      </c>
      <c r="I125" s="63">
        <v>25</v>
      </c>
      <c r="J125" s="63">
        <f t="shared" si="14"/>
        <v>25</v>
      </c>
      <c r="K125" s="66">
        <v>19</v>
      </c>
      <c r="L125" s="66">
        <f t="shared" ref="L125:L188" si="15">J125*K125</f>
        <v>475</v>
      </c>
      <c r="M125" s="34" t="s">
        <v>219</v>
      </c>
      <c r="N125" s="63"/>
    </row>
    <row r="126" s="33" customFormat="1" hidden="1" spans="1:14">
      <c r="A126" s="60" t="s">
        <v>140</v>
      </c>
      <c r="B126" s="61">
        <v>45464</v>
      </c>
      <c r="C126" s="62">
        <v>53</v>
      </c>
      <c r="D126" s="63" t="s">
        <v>220</v>
      </c>
      <c r="E126" s="63"/>
      <c r="F126" s="63"/>
      <c r="G126" s="64" t="s">
        <v>60</v>
      </c>
      <c r="H126" s="65">
        <v>1</v>
      </c>
      <c r="I126" s="63">
        <v>10</v>
      </c>
      <c r="J126" s="63">
        <f t="shared" si="14"/>
        <v>10</v>
      </c>
      <c r="K126" s="66">
        <v>19</v>
      </c>
      <c r="L126" s="66">
        <f t="shared" si="15"/>
        <v>190</v>
      </c>
      <c r="M126" s="85" t="s">
        <v>221</v>
      </c>
      <c r="N126" s="63"/>
    </row>
    <row r="127" s="33" customFormat="1" hidden="1" spans="1:14">
      <c r="A127" s="60" t="s">
        <v>140</v>
      </c>
      <c r="B127" s="61">
        <v>45464</v>
      </c>
      <c r="C127" s="62">
        <v>53</v>
      </c>
      <c r="D127" s="63" t="s">
        <v>144</v>
      </c>
      <c r="E127" s="63"/>
      <c r="F127" s="63"/>
      <c r="G127" s="64" t="s">
        <v>54</v>
      </c>
      <c r="H127" s="65">
        <v>3</v>
      </c>
      <c r="I127" s="63">
        <v>20</v>
      </c>
      <c r="J127" s="63">
        <f t="shared" ref="J127:J190" si="16">H127*I127</f>
        <v>60</v>
      </c>
      <c r="K127" s="66">
        <v>19</v>
      </c>
      <c r="L127" s="66">
        <f t="shared" si="15"/>
        <v>1140</v>
      </c>
      <c r="M127" s="85" t="s">
        <v>145</v>
      </c>
      <c r="N127" s="63"/>
    </row>
    <row r="128" s="33" customFormat="1" hidden="1" spans="1:14">
      <c r="A128" s="60" t="s">
        <v>140</v>
      </c>
      <c r="B128" s="61">
        <v>45464</v>
      </c>
      <c r="C128" s="62">
        <v>53</v>
      </c>
      <c r="D128" s="63"/>
      <c r="E128" s="63"/>
      <c r="F128" s="63"/>
      <c r="G128" s="64" t="s">
        <v>146</v>
      </c>
      <c r="H128" s="65">
        <v>2</v>
      </c>
      <c r="I128" s="63">
        <v>20</v>
      </c>
      <c r="J128" s="63">
        <f t="shared" si="16"/>
        <v>40</v>
      </c>
      <c r="K128" s="66">
        <v>19</v>
      </c>
      <c r="L128" s="66">
        <f t="shared" si="15"/>
        <v>760</v>
      </c>
      <c r="M128" s="84" t="s">
        <v>147</v>
      </c>
      <c r="N128" s="63"/>
    </row>
    <row r="129" s="33" customFormat="1" hidden="1" spans="1:14">
      <c r="A129" s="60" t="s">
        <v>140</v>
      </c>
      <c r="B129" s="61">
        <v>45464</v>
      </c>
      <c r="C129" s="62">
        <v>53</v>
      </c>
      <c r="D129" s="63"/>
      <c r="E129" s="63"/>
      <c r="F129" s="63"/>
      <c r="G129" s="64" t="s">
        <v>148</v>
      </c>
      <c r="H129" s="65">
        <v>2</v>
      </c>
      <c r="I129" s="63">
        <v>20</v>
      </c>
      <c r="J129" s="63">
        <f t="shared" si="16"/>
        <v>40</v>
      </c>
      <c r="K129" s="66">
        <v>19</v>
      </c>
      <c r="L129" s="66">
        <f t="shared" si="15"/>
        <v>760</v>
      </c>
      <c r="M129" s="85" t="s">
        <v>222</v>
      </c>
      <c r="N129" s="63"/>
    </row>
    <row r="130" s="33" customFormat="1" hidden="1" spans="1:14">
      <c r="A130" s="60" t="s">
        <v>140</v>
      </c>
      <c r="B130" s="61">
        <v>45464</v>
      </c>
      <c r="C130" s="62">
        <v>53</v>
      </c>
      <c r="D130" s="63" t="s">
        <v>149</v>
      </c>
      <c r="E130" s="63"/>
      <c r="F130" s="63"/>
      <c r="G130" s="64" t="s">
        <v>130</v>
      </c>
      <c r="H130" s="65">
        <v>2</v>
      </c>
      <c r="I130" s="63">
        <v>25</v>
      </c>
      <c r="J130" s="63">
        <f t="shared" si="16"/>
        <v>50</v>
      </c>
      <c r="K130" s="66">
        <v>13.5</v>
      </c>
      <c r="L130" s="66">
        <f t="shared" si="15"/>
        <v>675</v>
      </c>
      <c r="M130" s="34"/>
      <c r="N130" s="63"/>
    </row>
    <row r="131" s="33" customFormat="1" hidden="1" spans="1:14">
      <c r="A131" s="60" t="s">
        <v>140</v>
      </c>
      <c r="B131" s="61">
        <v>45464</v>
      </c>
      <c r="C131" s="62">
        <v>53</v>
      </c>
      <c r="D131" s="63" t="s">
        <v>150</v>
      </c>
      <c r="E131" s="63"/>
      <c r="F131" s="63"/>
      <c r="G131" s="64" t="s">
        <v>68</v>
      </c>
      <c r="H131" s="65">
        <v>5</v>
      </c>
      <c r="I131" s="63">
        <v>28</v>
      </c>
      <c r="J131" s="63">
        <f t="shared" si="16"/>
        <v>140</v>
      </c>
      <c r="K131" s="66">
        <v>9.5</v>
      </c>
      <c r="L131" s="66">
        <f t="shared" si="15"/>
        <v>1330</v>
      </c>
      <c r="M131" s="85" t="s">
        <v>151</v>
      </c>
      <c r="N131" s="63">
        <f>SUM(L124:L131)</f>
        <v>7230</v>
      </c>
    </row>
    <row r="132" s="32" customFormat="1" spans="1:14">
      <c r="A132" s="43" t="s">
        <v>126</v>
      </c>
      <c r="B132" s="68">
        <v>45465</v>
      </c>
      <c r="C132" s="54">
        <v>54</v>
      </c>
      <c r="D132" s="55">
        <v>9805</v>
      </c>
      <c r="E132" s="55"/>
      <c r="F132" s="55"/>
      <c r="G132" s="69" t="s">
        <v>68</v>
      </c>
      <c r="H132" s="57">
        <v>10</v>
      </c>
      <c r="I132" s="55">
        <v>28</v>
      </c>
      <c r="J132" s="55">
        <f t="shared" si="16"/>
        <v>280</v>
      </c>
      <c r="K132" s="58">
        <v>9.5</v>
      </c>
      <c r="L132" s="58">
        <f t="shared" si="15"/>
        <v>2660</v>
      </c>
      <c r="M132" s="56" t="s">
        <v>216</v>
      </c>
      <c r="N132" s="55">
        <f>L132</f>
        <v>2660</v>
      </c>
    </row>
    <row r="133" s="33" customFormat="1" spans="1:14">
      <c r="A133" s="60" t="s">
        <v>126</v>
      </c>
      <c r="B133" s="61">
        <v>45465</v>
      </c>
      <c r="C133" s="62">
        <v>55</v>
      </c>
      <c r="D133" s="63" t="s">
        <v>223</v>
      </c>
      <c r="E133" s="63"/>
      <c r="F133" s="63"/>
      <c r="G133" s="64" t="s">
        <v>224</v>
      </c>
      <c r="H133" s="65">
        <v>1</v>
      </c>
      <c r="I133" s="63">
        <v>5</v>
      </c>
      <c r="J133" s="63">
        <f t="shared" si="16"/>
        <v>5</v>
      </c>
      <c r="K133" s="66">
        <v>20</v>
      </c>
      <c r="L133" s="66">
        <f t="shared" si="15"/>
        <v>100</v>
      </c>
      <c r="M133" s="34" t="s">
        <v>91</v>
      </c>
      <c r="N133" s="63">
        <f>L133</f>
        <v>100</v>
      </c>
    </row>
    <row r="134" s="32" customFormat="1" ht="19" hidden="1" customHeight="1" spans="1:14">
      <c r="A134" s="43" t="s">
        <v>13</v>
      </c>
      <c r="B134" s="68">
        <v>45469</v>
      </c>
      <c r="C134" s="54">
        <v>73</v>
      </c>
      <c r="D134" s="55" t="s">
        <v>74</v>
      </c>
      <c r="E134" s="55"/>
      <c r="F134" s="55"/>
      <c r="G134" s="56" t="s">
        <v>75</v>
      </c>
      <c r="H134" s="57">
        <v>2</v>
      </c>
      <c r="I134" s="55">
        <v>25</v>
      </c>
      <c r="J134" s="55">
        <f t="shared" si="16"/>
        <v>50</v>
      </c>
      <c r="K134" s="58">
        <v>17</v>
      </c>
      <c r="L134" s="58">
        <f t="shared" si="15"/>
        <v>850</v>
      </c>
      <c r="M134" s="44"/>
      <c r="N134" s="55"/>
    </row>
    <row r="135" s="32" customFormat="1" ht="19" hidden="1" customHeight="1" spans="1:14">
      <c r="A135" s="43" t="s">
        <v>13</v>
      </c>
      <c r="B135" s="68">
        <v>45469</v>
      </c>
      <c r="C135" s="54">
        <v>73</v>
      </c>
      <c r="D135" s="55" t="s">
        <v>47</v>
      </c>
      <c r="E135" s="55"/>
      <c r="F135" s="55"/>
      <c r="G135" s="56" t="s">
        <v>48</v>
      </c>
      <c r="H135" s="57">
        <v>2</v>
      </c>
      <c r="I135" s="55">
        <v>25</v>
      </c>
      <c r="J135" s="55">
        <f t="shared" si="16"/>
        <v>50</v>
      </c>
      <c r="K135" s="58">
        <v>17</v>
      </c>
      <c r="L135" s="58">
        <f t="shared" si="15"/>
        <v>850</v>
      </c>
      <c r="M135" s="44"/>
      <c r="N135" s="55"/>
    </row>
    <row r="136" s="32" customFormat="1" hidden="1" spans="1:14">
      <c r="A136" s="43" t="s">
        <v>13</v>
      </c>
      <c r="B136" s="68">
        <v>45469</v>
      </c>
      <c r="C136" s="54">
        <v>73</v>
      </c>
      <c r="D136" s="55" t="s">
        <v>49</v>
      </c>
      <c r="E136" s="55"/>
      <c r="F136" s="55"/>
      <c r="G136" s="56" t="s">
        <v>50</v>
      </c>
      <c r="H136" s="57">
        <v>2</v>
      </c>
      <c r="I136" s="55">
        <v>20</v>
      </c>
      <c r="J136" s="55">
        <f t="shared" si="16"/>
        <v>40</v>
      </c>
      <c r="K136" s="58">
        <v>22</v>
      </c>
      <c r="L136" s="58">
        <f t="shared" si="15"/>
        <v>880</v>
      </c>
      <c r="M136" s="44">
        <f>SUM(L134:L136)</f>
        <v>2580</v>
      </c>
      <c r="N136" s="55"/>
    </row>
    <row r="137" s="33" customFormat="1" hidden="1" spans="1:14">
      <c r="A137" s="60" t="s">
        <v>66</v>
      </c>
      <c r="B137" s="70">
        <v>45471</v>
      </c>
      <c r="C137" s="62">
        <v>83</v>
      </c>
      <c r="D137" s="63" t="s">
        <v>69</v>
      </c>
      <c r="E137" s="63"/>
      <c r="F137" s="63"/>
      <c r="G137" s="72" t="s">
        <v>70</v>
      </c>
      <c r="H137" s="65">
        <v>1</v>
      </c>
      <c r="I137" s="63">
        <v>24</v>
      </c>
      <c r="J137" s="63">
        <f t="shared" si="16"/>
        <v>24</v>
      </c>
      <c r="K137" s="66">
        <v>18.5</v>
      </c>
      <c r="L137" s="66">
        <f t="shared" si="15"/>
        <v>444</v>
      </c>
      <c r="M137" s="34"/>
      <c r="N137" s="63"/>
    </row>
    <row r="138" s="33" customFormat="1" hidden="1" spans="1:14">
      <c r="A138" s="60" t="s">
        <v>66</v>
      </c>
      <c r="B138" s="70">
        <v>45471</v>
      </c>
      <c r="C138" s="62">
        <v>83</v>
      </c>
      <c r="D138" s="63" t="s">
        <v>225</v>
      </c>
      <c r="E138" s="63"/>
      <c r="F138" s="63"/>
      <c r="G138" s="72" t="s">
        <v>101</v>
      </c>
      <c r="H138" s="65">
        <v>2</v>
      </c>
      <c r="I138" s="63">
        <v>25</v>
      </c>
      <c r="J138" s="63">
        <f t="shared" si="16"/>
        <v>50</v>
      </c>
      <c r="K138" s="66">
        <v>18.5</v>
      </c>
      <c r="L138" s="66">
        <f t="shared" si="15"/>
        <v>925</v>
      </c>
      <c r="M138" s="34" t="s">
        <v>226</v>
      </c>
      <c r="N138" s="63"/>
    </row>
    <row r="139" s="33" customFormat="1" hidden="1" spans="1:14">
      <c r="A139" s="60" t="s">
        <v>66</v>
      </c>
      <c r="B139" s="70">
        <v>45471</v>
      </c>
      <c r="C139" s="62">
        <v>83</v>
      </c>
      <c r="D139" s="102" t="s">
        <v>227</v>
      </c>
      <c r="E139" s="67"/>
      <c r="F139" s="67"/>
      <c r="G139" s="71" t="s">
        <v>60</v>
      </c>
      <c r="H139" s="65">
        <v>3</v>
      </c>
      <c r="I139" s="63">
        <v>10</v>
      </c>
      <c r="J139" s="63">
        <f t="shared" si="16"/>
        <v>30</v>
      </c>
      <c r="K139" s="66">
        <v>18.5</v>
      </c>
      <c r="L139" s="66">
        <f t="shared" si="15"/>
        <v>555</v>
      </c>
      <c r="M139" s="34"/>
      <c r="N139" s="63"/>
    </row>
    <row r="140" s="40" customFormat="1" hidden="1" spans="1:14">
      <c r="A140" s="60" t="s">
        <v>66</v>
      </c>
      <c r="B140" s="70">
        <v>45471</v>
      </c>
      <c r="C140" s="62">
        <v>83</v>
      </c>
      <c r="D140" s="102" t="s">
        <v>67</v>
      </c>
      <c r="E140" s="67"/>
      <c r="F140" s="67"/>
      <c r="G140" s="71" t="s">
        <v>68</v>
      </c>
      <c r="H140" s="65">
        <v>1</v>
      </c>
      <c r="I140" s="63">
        <v>28</v>
      </c>
      <c r="J140" s="63">
        <f t="shared" si="16"/>
        <v>28</v>
      </c>
      <c r="K140" s="66">
        <v>8.7</v>
      </c>
      <c r="L140" s="66">
        <f t="shared" si="15"/>
        <v>243.6</v>
      </c>
      <c r="M140" s="33">
        <f>SUM(L137:L140)</f>
        <v>2167.6</v>
      </c>
      <c r="N140" s="94"/>
    </row>
    <row r="141" s="32" customFormat="1" spans="1:14">
      <c r="A141" s="43" t="s">
        <v>126</v>
      </c>
      <c r="B141" s="53">
        <v>45478</v>
      </c>
      <c r="C141" s="54">
        <v>10</v>
      </c>
      <c r="D141" s="103">
        <v>9805</v>
      </c>
      <c r="E141" s="43"/>
      <c r="F141" s="43"/>
      <c r="G141" s="98" t="s">
        <v>68</v>
      </c>
      <c r="H141" s="57">
        <v>10</v>
      </c>
      <c r="I141" s="55">
        <v>28</v>
      </c>
      <c r="J141" s="55">
        <f t="shared" si="16"/>
        <v>280</v>
      </c>
      <c r="K141" s="58">
        <v>9.5</v>
      </c>
      <c r="L141" s="58">
        <f t="shared" si="15"/>
        <v>2660</v>
      </c>
      <c r="M141" s="32" t="s">
        <v>228</v>
      </c>
      <c r="N141" s="55" t="s">
        <v>229</v>
      </c>
    </row>
    <row r="142" s="32" customFormat="1" spans="1:14">
      <c r="A142" s="43" t="s">
        <v>126</v>
      </c>
      <c r="B142" s="53">
        <v>45478</v>
      </c>
      <c r="C142" s="54">
        <v>10</v>
      </c>
      <c r="D142" s="55">
        <v>519</v>
      </c>
      <c r="E142" s="55"/>
      <c r="F142" s="55"/>
      <c r="G142" s="56" t="s">
        <v>132</v>
      </c>
      <c r="H142" s="57">
        <v>3</v>
      </c>
      <c r="I142" s="55">
        <v>20</v>
      </c>
      <c r="J142" s="55">
        <f t="shared" si="16"/>
        <v>60</v>
      </c>
      <c r="K142" s="58">
        <v>25</v>
      </c>
      <c r="L142" s="58">
        <f t="shared" si="15"/>
        <v>1500</v>
      </c>
      <c r="M142" s="44" t="s">
        <v>230</v>
      </c>
      <c r="N142" s="55"/>
    </row>
    <row r="143" s="38" customFormat="1" spans="1:14">
      <c r="A143" s="43" t="s">
        <v>126</v>
      </c>
      <c r="B143" s="53">
        <v>45478</v>
      </c>
      <c r="C143" s="54">
        <v>10</v>
      </c>
      <c r="D143" s="55" t="s">
        <v>133</v>
      </c>
      <c r="E143" s="55"/>
      <c r="F143" s="55"/>
      <c r="G143" s="56" t="s">
        <v>60</v>
      </c>
      <c r="H143" s="57">
        <v>2</v>
      </c>
      <c r="I143" s="55">
        <v>20</v>
      </c>
      <c r="J143" s="55">
        <f t="shared" si="16"/>
        <v>40</v>
      </c>
      <c r="K143" s="58">
        <v>20</v>
      </c>
      <c r="L143" s="58">
        <f t="shared" si="15"/>
        <v>800</v>
      </c>
      <c r="M143" s="83" t="s">
        <v>212</v>
      </c>
      <c r="N143" s="55">
        <f>SUM(L141:L143)</f>
        <v>4960</v>
      </c>
    </row>
    <row r="144" s="33" customFormat="1" spans="1:14">
      <c r="A144" s="60" t="s">
        <v>126</v>
      </c>
      <c r="B144" s="61">
        <v>45479</v>
      </c>
      <c r="C144" s="62">
        <v>15</v>
      </c>
      <c r="D144" s="63">
        <v>11547</v>
      </c>
      <c r="E144" s="63"/>
      <c r="F144" s="63"/>
      <c r="G144" s="64" t="s">
        <v>231</v>
      </c>
      <c r="H144" s="65">
        <v>4</v>
      </c>
      <c r="I144" s="63">
        <v>25</v>
      </c>
      <c r="J144" s="63">
        <f t="shared" si="16"/>
        <v>100</v>
      </c>
      <c r="K144" s="66">
        <v>23</v>
      </c>
      <c r="L144" s="66">
        <f t="shared" si="15"/>
        <v>2300</v>
      </c>
      <c r="M144" s="34" t="s">
        <v>63</v>
      </c>
      <c r="N144" s="63"/>
    </row>
    <row r="145" s="32" customFormat="1" spans="1:14">
      <c r="A145" s="43" t="s">
        <v>126</v>
      </c>
      <c r="B145" s="53">
        <v>45484</v>
      </c>
      <c r="C145" s="54">
        <v>34</v>
      </c>
      <c r="D145" s="103">
        <v>9805</v>
      </c>
      <c r="E145" s="43"/>
      <c r="F145" s="43"/>
      <c r="G145" s="98" t="s">
        <v>68</v>
      </c>
      <c r="H145" s="57">
        <v>20</v>
      </c>
      <c r="I145" s="55">
        <v>28</v>
      </c>
      <c r="J145" s="55">
        <f t="shared" si="16"/>
        <v>560</v>
      </c>
      <c r="K145" s="58">
        <v>9.5</v>
      </c>
      <c r="L145" s="58">
        <f t="shared" si="15"/>
        <v>5320</v>
      </c>
      <c r="M145" s="32" t="s">
        <v>232</v>
      </c>
      <c r="N145" s="55"/>
    </row>
    <row r="146" s="32" customFormat="1" spans="1:14">
      <c r="A146" s="43" t="s">
        <v>126</v>
      </c>
      <c r="B146" s="53">
        <v>45484</v>
      </c>
      <c r="C146" s="54">
        <v>34</v>
      </c>
      <c r="D146" s="55">
        <v>11547</v>
      </c>
      <c r="E146" s="55"/>
      <c r="F146" s="55"/>
      <c r="G146" s="56" t="s">
        <v>231</v>
      </c>
      <c r="H146" s="57">
        <v>1</v>
      </c>
      <c r="I146" s="55">
        <v>26</v>
      </c>
      <c r="J146" s="55">
        <f t="shared" si="16"/>
        <v>26</v>
      </c>
      <c r="K146" s="58">
        <v>23</v>
      </c>
      <c r="L146" s="58">
        <f t="shared" si="15"/>
        <v>598</v>
      </c>
      <c r="M146" s="44" t="s">
        <v>63</v>
      </c>
      <c r="N146" s="55"/>
    </row>
    <row r="147" s="38" customFormat="1" spans="1:14">
      <c r="A147" s="43" t="s">
        <v>126</v>
      </c>
      <c r="B147" s="53">
        <v>45484</v>
      </c>
      <c r="C147" s="54">
        <v>34</v>
      </c>
      <c r="D147" s="55" t="s">
        <v>133</v>
      </c>
      <c r="E147" s="55"/>
      <c r="F147" s="55"/>
      <c r="G147" s="56" t="s">
        <v>60</v>
      </c>
      <c r="H147" s="57">
        <v>1</v>
      </c>
      <c r="I147" s="55">
        <v>20</v>
      </c>
      <c r="J147" s="55">
        <f t="shared" si="16"/>
        <v>20</v>
      </c>
      <c r="K147" s="58">
        <v>20</v>
      </c>
      <c r="L147" s="58">
        <f t="shared" si="15"/>
        <v>400</v>
      </c>
      <c r="M147" s="83" t="s">
        <v>212</v>
      </c>
      <c r="N147" s="55">
        <f>SUM(L145:L147)</f>
        <v>6318</v>
      </c>
    </row>
    <row r="148" s="33" customFormat="1" hidden="1" spans="1:14">
      <c r="A148" s="60" t="s">
        <v>76</v>
      </c>
      <c r="B148" s="61">
        <v>45486</v>
      </c>
      <c r="C148" s="62">
        <v>49</v>
      </c>
      <c r="D148" s="63" t="s">
        <v>110</v>
      </c>
      <c r="E148" s="63"/>
      <c r="F148" s="63"/>
      <c r="G148" s="64" t="s">
        <v>68</v>
      </c>
      <c r="H148" s="65">
        <v>50</v>
      </c>
      <c r="I148" s="63">
        <v>28</v>
      </c>
      <c r="J148" s="63">
        <f t="shared" si="16"/>
        <v>1400</v>
      </c>
      <c r="K148" s="66">
        <v>9.5</v>
      </c>
      <c r="L148" s="66">
        <f t="shared" si="15"/>
        <v>13300</v>
      </c>
      <c r="M148" s="34" t="s">
        <v>192</v>
      </c>
      <c r="N148" s="63"/>
    </row>
    <row r="149" s="32" customFormat="1" spans="1:14">
      <c r="A149" s="43" t="s">
        <v>126</v>
      </c>
      <c r="B149" s="53">
        <v>45485</v>
      </c>
      <c r="C149" s="54">
        <v>44</v>
      </c>
      <c r="D149" s="55" t="s">
        <v>233</v>
      </c>
      <c r="E149" s="55"/>
      <c r="F149" s="55"/>
      <c r="G149" s="56" t="s">
        <v>234</v>
      </c>
      <c r="H149" s="57">
        <v>1</v>
      </c>
      <c r="I149" s="55">
        <v>4</v>
      </c>
      <c r="J149" s="55">
        <f t="shared" si="16"/>
        <v>4</v>
      </c>
      <c r="K149" s="58">
        <v>20</v>
      </c>
      <c r="L149" s="58">
        <f t="shared" si="15"/>
        <v>80</v>
      </c>
      <c r="M149" s="44" t="s">
        <v>63</v>
      </c>
      <c r="N149" s="55"/>
    </row>
    <row r="150" s="33" customFormat="1" spans="1:14">
      <c r="A150" s="60" t="s">
        <v>126</v>
      </c>
      <c r="B150" s="61">
        <v>45488</v>
      </c>
      <c r="C150" s="62">
        <v>54</v>
      </c>
      <c r="D150" s="63" t="s">
        <v>129</v>
      </c>
      <c r="E150" s="63"/>
      <c r="F150" s="63"/>
      <c r="G150" s="64" t="s">
        <v>130</v>
      </c>
      <c r="H150" s="65">
        <v>10</v>
      </c>
      <c r="I150" s="63">
        <v>25</v>
      </c>
      <c r="J150" s="63">
        <f t="shared" si="16"/>
        <v>250</v>
      </c>
      <c r="K150" s="66">
        <v>11.5</v>
      </c>
      <c r="L150" s="66">
        <f t="shared" si="15"/>
        <v>2875</v>
      </c>
      <c r="M150" s="34" t="s">
        <v>131</v>
      </c>
      <c r="N150" s="63">
        <f>SUM(L150:L150)</f>
        <v>2875</v>
      </c>
    </row>
    <row r="151" s="38" customFormat="1" hidden="1" spans="1:14">
      <c r="A151" s="43" t="s">
        <v>13</v>
      </c>
      <c r="B151" s="68">
        <v>45493</v>
      </c>
      <c r="C151" s="54">
        <v>72</v>
      </c>
      <c r="D151" s="55" t="s">
        <v>45</v>
      </c>
      <c r="E151" s="55"/>
      <c r="F151" s="55"/>
      <c r="G151" s="56" t="s">
        <v>46</v>
      </c>
      <c r="H151" s="57">
        <v>1</v>
      </c>
      <c r="I151" s="55">
        <v>25</v>
      </c>
      <c r="J151" s="55">
        <f t="shared" si="16"/>
        <v>25</v>
      </c>
      <c r="K151" s="58">
        <v>17</v>
      </c>
      <c r="L151" s="58">
        <f t="shared" si="15"/>
        <v>425</v>
      </c>
      <c r="M151" s="44"/>
      <c r="N151" s="55"/>
    </row>
    <row r="152" s="33" customFormat="1" spans="1:14">
      <c r="A152" s="60" t="s">
        <v>126</v>
      </c>
      <c r="B152" s="61">
        <v>45498</v>
      </c>
      <c r="C152" s="62">
        <v>81</v>
      </c>
      <c r="D152" s="63"/>
      <c r="E152" s="63"/>
      <c r="F152" s="63"/>
      <c r="G152" s="64" t="s">
        <v>235</v>
      </c>
      <c r="H152" s="65">
        <v>1</v>
      </c>
      <c r="I152" s="63">
        <v>5</v>
      </c>
      <c r="J152" s="63">
        <f t="shared" si="16"/>
        <v>5</v>
      </c>
      <c r="K152" s="66">
        <v>12</v>
      </c>
      <c r="L152" s="66">
        <f t="shared" si="15"/>
        <v>60</v>
      </c>
      <c r="M152" s="34"/>
      <c r="N152" s="63">
        <f>L152</f>
        <v>60</v>
      </c>
    </row>
    <row r="153" s="32" customFormat="1" spans="1:14">
      <c r="A153" s="43" t="s">
        <v>126</v>
      </c>
      <c r="B153" s="53">
        <v>45499</v>
      </c>
      <c r="C153" s="54">
        <v>82</v>
      </c>
      <c r="D153" s="103">
        <v>9805</v>
      </c>
      <c r="E153" s="43"/>
      <c r="F153" s="43"/>
      <c r="G153" s="98" t="s">
        <v>68</v>
      </c>
      <c r="H153" s="57">
        <v>10</v>
      </c>
      <c r="I153" s="55">
        <v>28</v>
      </c>
      <c r="J153" s="55">
        <f t="shared" si="16"/>
        <v>280</v>
      </c>
      <c r="K153" s="58">
        <v>9.5</v>
      </c>
      <c r="L153" s="58">
        <f t="shared" si="15"/>
        <v>2660</v>
      </c>
      <c r="M153" s="56">
        <v>9805</v>
      </c>
      <c r="N153" s="55"/>
    </row>
    <row r="154" s="33" customFormat="1" spans="1:14">
      <c r="A154" s="91" t="s">
        <v>126</v>
      </c>
      <c r="B154" s="61">
        <v>45510</v>
      </c>
      <c r="C154" s="62">
        <v>9</v>
      </c>
      <c r="D154" s="94" t="s">
        <v>236</v>
      </c>
      <c r="E154" s="94"/>
      <c r="F154" s="94"/>
      <c r="G154" s="100" t="s">
        <v>130</v>
      </c>
      <c r="H154" s="65">
        <v>2</v>
      </c>
      <c r="I154" s="63">
        <v>25</v>
      </c>
      <c r="J154" s="63">
        <f t="shared" si="16"/>
        <v>50</v>
      </c>
      <c r="K154" s="66">
        <v>11.5</v>
      </c>
      <c r="L154" s="66">
        <f t="shared" si="15"/>
        <v>575</v>
      </c>
      <c r="M154" s="34" t="s">
        <v>237</v>
      </c>
      <c r="N154" s="63">
        <f>SUM(L154:L154)</f>
        <v>575</v>
      </c>
    </row>
    <row r="155" s="32" customFormat="1" spans="1:14">
      <c r="A155" s="43" t="s">
        <v>126</v>
      </c>
      <c r="B155" s="53">
        <v>45514</v>
      </c>
      <c r="C155" s="54">
        <v>20</v>
      </c>
      <c r="D155" s="103">
        <v>9805</v>
      </c>
      <c r="E155" s="43"/>
      <c r="F155" s="43"/>
      <c r="G155" s="98" t="s">
        <v>68</v>
      </c>
      <c r="H155" s="57">
        <v>10</v>
      </c>
      <c r="I155" s="55">
        <v>28</v>
      </c>
      <c r="J155" s="55">
        <f t="shared" si="16"/>
        <v>280</v>
      </c>
      <c r="K155" s="58">
        <v>9.5</v>
      </c>
      <c r="L155" s="58">
        <f t="shared" si="15"/>
        <v>2660</v>
      </c>
      <c r="M155" s="56">
        <v>9805</v>
      </c>
      <c r="N155" s="55"/>
    </row>
    <row r="156" s="32" customFormat="1" spans="1:14">
      <c r="A156" s="43" t="s">
        <v>126</v>
      </c>
      <c r="B156" s="53">
        <v>45514</v>
      </c>
      <c r="C156" s="54">
        <v>20</v>
      </c>
      <c r="D156" s="55">
        <v>4680</v>
      </c>
      <c r="E156" s="55"/>
      <c r="F156" s="55"/>
      <c r="G156" s="69" t="s">
        <v>179</v>
      </c>
      <c r="H156" s="57">
        <v>4</v>
      </c>
      <c r="I156" s="55">
        <v>20</v>
      </c>
      <c r="J156" s="55">
        <f t="shared" si="16"/>
        <v>80</v>
      </c>
      <c r="K156" s="58">
        <v>20</v>
      </c>
      <c r="L156" s="58">
        <f t="shared" si="15"/>
        <v>1600</v>
      </c>
      <c r="M156" s="44"/>
      <c r="N156" s="55"/>
    </row>
    <row r="157" s="38" customFormat="1" spans="1:14">
      <c r="A157" s="43" t="s">
        <v>126</v>
      </c>
      <c r="B157" s="53">
        <v>45514</v>
      </c>
      <c r="C157" s="54">
        <v>20</v>
      </c>
      <c r="D157" s="55" t="s">
        <v>133</v>
      </c>
      <c r="E157" s="55"/>
      <c r="F157" s="55"/>
      <c r="G157" s="56" t="s">
        <v>60</v>
      </c>
      <c r="H157" s="57">
        <v>2</v>
      </c>
      <c r="I157" s="55">
        <v>20</v>
      </c>
      <c r="J157" s="55">
        <f t="shared" si="16"/>
        <v>40</v>
      </c>
      <c r="K157" s="58">
        <v>20</v>
      </c>
      <c r="L157" s="58">
        <f t="shared" si="15"/>
        <v>800</v>
      </c>
      <c r="M157" s="83" t="s">
        <v>44</v>
      </c>
      <c r="N157" s="55">
        <f>SUM(L155:L157)</f>
        <v>5060</v>
      </c>
    </row>
    <row r="158" s="33" customFormat="1" spans="1:14">
      <c r="A158" s="60" t="s">
        <v>126</v>
      </c>
      <c r="B158" s="61">
        <v>45514</v>
      </c>
      <c r="C158" s="62">
        <v>28</v>
      </c>
      <c r="D158" s="63">
        <v>24810</v>
      </c>
      <c r="E158" s="63"/>
      <c r="F158" s="63"/>
      <c r="G158" s="72" t="s">
        <v>238</v>
      </c>
      <c r="H158" s="65">
        <v>1</v>
      </c>
      <c r="I158" s="63">
        <v>4</v>
      </c>
      <c r="J158" s="63">
        <f t="shared" si="16"/>
        <v>4</v>
      </c>
      <c r="K158" s="66">
        <v>20</v>
      </c>
      <c r="L158" s="66">
        <f t="shared" si="15"/>
        <v>80</v>
      </c>
      <c r="M158" s="34" t="s">
        <v>91</v>
      </c>
      <c r="N158" s="63"/>
    </row>
    <row r="159" s="36" customFormat="1" hidden="1" spans="1:14">
      <c r="A159" s="74" t="s">
        <v>76</v>
      </c>
      <c r="B159" s="75">
        <v>45518</v>
      </c>
      <c r="C159" s="76" t="s">
        <v>239</v>
      </c>
      <c r="D159" s="77">
        <v>813</v>
      </c>
      <c r="E159" s="77"/>
      <c r="F159" s="77"/>
      <c r="G159" s="104" t="s">
        <v>240</v>
      </c>
      <c r="H159" s="79">
        <v>1</v>
      </c>
      <c r="I159" s="77">
        <v>26</v>
      </c>
      <c r="J159" s="77">
        <f t="shared" si="16"/>
        <v>26</v>
      </c>
      <c r="K159" s="80">
        <v>18</v>
      </c>
      <c r="L159" s="80">
        <f t="shared" si="15"/>
        <v>468</v>
      </c>
      <c r="M159" s="81" t="s">
        <v>241</v>
      </c>
      <c r="N159" s="77"/>
    </row>
    <row r="160" s="36" customFormat="1" hidden="1" spans="1:14">
      <c r="A160" s="74" t="s">
        <v>76</v>
      </c>
      <c r="B160" s="75">
        <v>45518</v>
      </c>
      <c r="C160" s="76" t="s">
        <v>239</v>
      </c>
      <c r="D160" s="77"/>
      <c r="E160" s="77"/>
      <c r="F160" s="77"/>
      <c r="G160" s="104" t="s">
        <v>60</v>
      </c>
      <c r="H160" s="79">
        <v>1</v>
      </c>
      <c r="I160" s="77">
        <v>10</v>
      </c>
      <c r="J160" s="77">
        <f t="shared" si="16"/>
        <v>10</v>
      </c>
      <c r="K160" s="80">
        <v>18</v>
      </c>
      <c r="L160" s="80">
        <f t="shared" si="15"/>
        <v>180</v>
      </c>
      <c r="M160" s="81" t="s">
        <v>242</v>
      </c>
      <c r="N160" s="77"/>
    </row>
    <row r="161" s="33" customFormat="1" hidden="1" spans="1:14">
      <c r="A161" s="60" t="s">
        <v>76</v>
      </c>
      <c r="B161" s="61">
        <v>45531</v>
      </c>
      <c r="C161" s="62">
        <v>90</v>
      </c>
      <c r="D161" s="63" t="s">
        <v>77</v>
      </c>
      <c r="E161" s="63"/>
      <c r="F161" s="63"/>
      <c r="G161" s="72" t="s">
        <v>78</v>
      </c>
      <c r="H161" s="65">
        <v>2</v>
      </c>
      <c r="I161" s="63">
        <v>25</v>
      </c>
      <c r="J161" s="63">
        <f t="shared" si="16"/>
        <v>50</v>
      </c>
      <c r="K161" s="66">
        <v>14</v>
      </c>
      <c r="L161" s="66">
        <f t="shared" si="15"/>
        <v>700</v>
      </c>
      <c r="M161" s="34"/>
      <c r="N161" s="63"/>
    </row>
    <row r="162" s="32" customFormat="1" hidden="1" spans="1:14">
      <c r="A162" s="43" t="s">
        <v>76</v>
      </c>
      <c r="B162" s="53">
        <v>45542</v>
      </c>
      <c r="C162" s="54">
        <v>21</v>
      </c>
      <c r="D162" s="55" t="s">
        <v>110</v>
      </c>
      <c r="E162" s="55"/>
      <c r="F162" s="55"/>
      <c r="G162" s="56" t="s">
        <v>68</v>
      </c>
      <c r="H162" s="57">
        <v>30</v>
      </c>
      <c r="I162" s="55">
        <v>28</v>
      </c>
      <c r="J162" s="55">
        <f t="shared" si="16"/>
        <v>840</v>
      </c>
      <c r="K162" s="58">
        <v>9.5</v>
      </c>
      <c r="L162" s="58">
        <f t="shared" si="15"/>
        <v>7980</v>
      </c>
      <c r="M162" s="44" t="s">
        <v>192</v>
      </c>
      <c r="N162" s="55"/>
    </row>
    <row r="163" s="32" customFormat="1" hidden="1" spans="1:14">
      <c r="A163" s="43" t="s">
        <v>76</v>
      </c>
      <c r="B163" s="53">
        <v>45542</v>
      </c>
      <c r="C163" s="54">
        <v>21</v>
      </c>
      <c r="D163" s="55" t="s">
        <v>77</v>
      </c>
      <c r="E163" s="55"/>
      <c r="F163" s="55"/>
      <c r="G163" s="69" t="s">
        <v>78</v>
      </c>
      <c r="H163" s="57">
        <v>2</v>
      </c>
      <c r="I163" s="55">
        <v>25</v>
      </c>
      <c r="J163" s="55">
        <f t="shared" si="16"/>
        <v>50</v>
      </c>
      <c r="K163" s="58">
        <v>14</v>
      </c>
      <c r="L163" s="58">
        <f t="shared" si="15"/>
        <v>700</v>
      </c>
      <c r="M163" s="44"/>
      <c r="N163" s="55">
        <f>SUM(L162:L163)</f>
        <v>8680</v>
      </c>
    </row>
    <row r="164" s="33" customFormat="1" spans="1:14">
      <c r="A164" s="34" t="s">
        <v>126</v>
      </c>
      <c r="B164" s="70">
        <v>45546</v>
      </c>
      <c r="C164" s="62">
        <v>40</v>
      </c>
      <c r="D164" s="105">
        <v>9804</v>
      </c>
      <c r="E164" s="60"/>
      <c r="F164" s="60"/>
      <c r="G164" s="71" t="s">
        <v>68</v>
      </c>
      <c r="H164" s="65">
        <v>10</v>
      </c>
      <c r="I164" s="63">
        <v>28</v>
      </c>
      <c r="J164" s="63">
        <f t="shared" si="16"/>
        <v>280</v>
      </c>
      <c r="K164" s="66">
        <v>9.5</v>
      </c>
      <c r="L164" s="66">
        <f t="shared" si="15"/>
        <v>2660</v>
      </c>
      <c r="M164" s="64">
        <v>9804</v>
      </c>
      <c r="N164" s="63">
        <f>SUM(L164:L164)</f>
        <v>2660</v>
      </c>
    </row>
    <row r="165" s="38" customFormat="1" spans="1:14">
      <c r="A165" s="32" t="s">
        <v>126</v>
      </c>
      <c r="B165" s="68">
        <v>45547</v>
      </c>
      <c r="C165" s="54">
        <v>42</v>
      </c>
      <c r="D165" s="55" t="s">
        <v>243</v>
      </c>
      <c r="E165" s="55"/>
      <c r="F165" s="55"/>
      <c r="G165" s="56" t="s">
        <v>244</v>
      </c>
      <c r="H165" s="57">
        <v>1</v>
      </c>
      <c r="I165" s="55">
        <v>26</v>
      </c>
      <c r="J165" s="55">
        <f t="shared" si="16"/>
        <v>26</v>
      </c>
      <c r="K165" s="58">
        <v>20</v>
      </c>
      <c r="L165" s="58">
        <f t="shared" si="15"/>
        <v>520</v>
      </c>
      <c r="M165" s="32" t="s">
        <v>245</v>
      </c>
      <c r="N165" s="55"/>
    </row>
    <row r="166" s="38" customFormat="1" spans="1:14">
      <c r="A166" s="44" t="s">
        <v>126</v>
      </c>
      <c r="B166" s="68">
        <v>45547</v>
      </c>
      <c r="C166" s="54">
        <v>42</v>
      </c>
      <c r="D166" s="55" t="s">
        <v>174</v>
      </c>
      <c r="E166" s="55"/>
      <c r="F166" s="55"/>
      <c r="G166" s="69" t="s">
        <v>209</v>
      </c>
      <c r="H166" s="57">
        <v>4</v>
      </c>
      <c r="I166" s="55">
        <v>25</v>
      </c>
      <c r="J166" s="55">
        <f t="shared" si="16"/>
        <v>100</v>
      </c>
      <c r="K166" s="58">
        <v>20</v>
      </c>
      <c r="L166" s="58">
        <f t="shared" si="15"/>
        <v>2000</v>
      </c>
      <c r="M166" s="44" t="s">
        <v>210</v>
      </c>
      <c r="N166" s="55"/>
    </row>
    <row r="167" s="32" customFormat="1" spans="1:14">
      <c r="A167" s="44" t="s">
        <v>126</v>
      </c>
      <c r="B167" s="68">
        <v>45547</v>
      </c>
      <c r="C167" s="54">
        <v>42</v>
      </c>
      <c r="D167" s="55">
        <v>10545</v>
      </c>
      <c r="E167" s="55"/>
      <c r="F167" s="55"/>
      <c r="G167" s="56" t="s">
        <v>180</v>
      </c>
      <c r="H167" s="57">
        <v>2</v>
      </c>
      <c r="I167" s="55">
        <v>20</v>
      </c>
      <c r="J167" s="55">
        <f t="shared" si="16"/>
        <v>40</v>
      </c>
      <c r="K167" s="58">
        <v>25</v>
      </c>
      <c r="L167" s="58">
        <f t="shared" si="15"/>
        <v>1000</v>
      </c>
      <c r="M167" s="44"/>
      <c r="N167" s="55"/>
    </row>
    <row r="168" s="38" customFormat="1" spans="1:14">
      <c r="A168" s="44" t="s">
        <v>126</v>
      </c>
      <c r="B168" s="68">
        <v>45547</v>
      </c>
      <c r="C168" s="54">
        <v>42</v>
      </c>
      <c r="D168" s="55" t="s">
        <v>133</v>
      </c>
      <c r="E168" s="55"/>
      <c r="F168" s="55"/>
      <c r="G168" s="56" t="s">
        <v>60</v>
      </c>
      <c r="H168" s="57">
        <v>4</v>
      </c>
      <c r="I168" s="55">
        <v>20</v>
      </c>
      <c r="J168" s="55">
        <f t="shared" si="16"/>
        <v>80</v>
      </c>
      <c r="K168" s="58">
        <v>20</v>
      </c>
      <c r="L168" s="58">
        <f t="shared" si="15"/>
        <v>1600</v>
      </c>
      <c r="M168" s="83" t="s">
        <v>44</v>
      </c>
      <c r="N168" s="55"/>
    </row>
    <row r="169" s="32" customFormat="1" spans="1:14">
      <c r="A169" s="44" t="s">
        <v>126</v>
      </c>
      <c r="B169" s="68">
        <v>45547</v>
      </c>
      <c r="C169" s="54">
        <v>42</v>
      </c>
      <c r="D169" s="55" t="s">
        <v>236</v>
      </c>
      <c r="E169" s="55"/>
      <c r="F169" s="55"/>
      <c r="G169" s="56" t="s">
        <v>130</v>
      </c>
      <c r="H169" s="57">
        <v>5</v>
      </c>
      <c r="I169" s="55">
        <v>25</v>
      </c>
      <c r="J169" s="55">
        <f t="shared" si="16"/>
        <v>125</v>
      </c>
      <c r="K169" s="58">
        <v>11.5</v>
      </c>
      <c r="L169" s="58">
        <f t="shared" si="15"/>
        <v>1437.5</v>
      </c>
      <c r="M169" s="44" t="s">
        <v>237</v>
      </c>
      <c r="N169" s="55">
        <f>SUM(L165:L169)</f>
        <v>6557.5</v>
      </c>
    </row>
    <row r="170" s="32" customFormat="1" spans="1:14">
      <c r="A170" s="44" t="s">
        <v>126</v>
      </c>
      <c r="B170" s="53">
        <v>45547</v>
      </c>
      <c r="C170" s="54">
        <v>40</v>
      </c>
      <c r="D170" s="103">
        <v>9804</v>
      </c>
      <c r="E170" s="43"/>
      <c r="F170" s="43"/>
      <c r="G170" s="98" t="s">
        <v>68</v>
      </c>
      <c r="H170" s="57">
        <v>10</v>
      </c>
      <c r="I170" s="55">
        <v>28</v>
      </c>
      <c r="J170" s="55">
        <f t="shared" si="16"/>
        <v>280</v>
      </c>
      <c r="K170" s="58">
        <v>9.5</v>
      </c>
      <c r="L170" s="58">
        <f t="shared" si="15"/>
        <v>2660</v>
      </c>
      <c r="M170" s="56"/>
      <c r="N170" s="55"/>
    </row>
    <row r="171" s="33" customFormat="1" hidden="1" spans="1:14">
      <c r="A171" s="34" t="s">
        <v>13</v>
      </c>
      <c r="B171" s="70">
        <v>45549</v>
      </c>
      <c r="C171" s="62">
        <v>50</v>
      </c>
      <c r="D171" s="63">
        <v>403</v>
      </c>
      <c r="E171" s="63"/>
      <c r="F171" s="63"/>
      <c r="G171" s="64" t="s">
        <v>56</v>
      </c>
      <c r="H171" s="65">
        <v>1</v>
      </c>
      <c r="I171" s="63">
        <v>20</v>
      </c>
      <c r="J171" s="63">
        <f t="shared" si="16"/>
        <v>20</v>
      </c>
      <c r="K171" s="66">
        <v>22</v>
      </c>
      <c r="L171" s="66">
        <f t="shared" si="15"/>
        <v>440</v>
      </c>
      <c r="M171" s="34"/>
      <c r="N171" s="63"/>
    </row>
    <row r="172" s="33" customFormat="1" ht="19" hidden="1" customHeight="1" spans="1:14">
      <c r="A172" s="34" t="s">
        <v>13</v>
      </c>
      <c r="B172" s="70">
        <v>45549</v>
      </c>
      <c r="C172" s="62">
        <v>50</v>
      </c>
      <c r="D172" s="63" t="s">
        <v>47</v>
      </c>
      <c r="E172" s="63"/>
      <c r="F172" s="63"/>
      <c r="G172" s="64" t="s">
        <v>48</v>
      </c>
      <c r="H172" s="65">
        <v>1</v>
      </c>
      <c r="I172" s="63">
        <v>25</v>
      </c>
      <c r="J172" s="63">
        <f t="shared" si="16"/>
        <v>25</v>
      </c>
      <c r="K172" s="66">
        <v>17</v>
      </c>
      <c r="L172" s="66">
        <f t="shared" si="15"/>
        <v>425</v>
      </c>
      <c r="M172" s="34"/>
      <c r="N172" s="63"/>
    </row>
    <row r="173" s="35" customFormat="1" hidden="1" spans="1:14">
      <c r="A173" s="34" t="s">
        <v>13</v>
      </c>
      <c r="B173" s="70">
        <v>45549</v>
      </c>
      <c r="C173" s="62">
        <v>50</v>
      </c>
      <c r="D173" s="63" t="s">
        <v>53</v>
      </c>
      <c r="E173" s="63"/>
      <c r="F173" s="63"/>
      <c r="G173" s="64" t="s">
        <v>54</v>
      </c>
      <c r="H173" s="65">
        <v>1</v>
      </c>
      <c r="I173" s="63">
        <v>20</v>
      </c>
      <c r="J173" s="63">
        <f t="shared" si="16"/>
        <v>20</v>
      </c>
      <c r="K173" s="66">
        <v>17</v>
      </c>
      <c r="L173" s="66">
        <f t="shared" si="15"/>
        <v>340</v>
      </c>
      <c r="M173" s="34"/>
      <c r="N173" s="63"/>
    </row>
    <row r="174" s="35" customFormat="1" hidden="1" spans="1:14">
      <c r="A174" s="34" t="s">
        <v>13</v>
      </c>
      <c r="B174" s="70">
        <v>45549</v>
      </c>
      <c r="C174" s="62">
        <v>50</v>
      </c>
      <c r="D174" s="63" t="s">
        <v>59</v>
      </c>
      <c r="E174" s="63"/>
      <c r="F174" s="63"/>
      <c r="G174" s="64" t="s">
        <v>60</v>
      </c>
      <c r="H174" s="65">
        <v>1</v>
      </c>
      <c r="I174" s="63">
        <v>20</v>
      </c>
      <c r="J174" s="63">
        <f t="shared" si="16"/>
        <v>20</v>
      </c>
      <c r="K174" s="66">
        <v>17</v>
      </c>
      <c r="L174" s="66">
        <f t="shared" si="15"/>
        <v>340</v>
      </c>
      <c r="M174" s="34"/>
      <c r="N174" s="63">
        <f>SUM(L171:L174)</f>
        <v>1545</v>
      </c>
    </row>
    <row r="175" s="32" customFormat="1" spans="1:14">
      <c r="A175" s="43" t="s">
        <v>126</v>
      </c>
      <c r="B175" s="53">
        <v>45554</v>
      </c>
      <c r="C175" s="54">
        <v>58</v>
      </c>
      <c r="D175" s="55" t="s">
        <v>175</v>
      </c>
      <c r="E175" s="55"/>
      <c r="F175" s="55"/>
      <c r="G175" s="69" t="s">
        <v>176</v>
      </c>
      <c r="H175" s="57">
        <v>2</v>
      </c>
      <c r="I175" s="55">
        <v>21</v>
      </c>
      <c r="J175" s="55">
        <f t="shared" si="16"/>
        <v>42</v>
      </c>
      <c r="K175" s="58">
        <v>23</v>
      </c>
      <c r="L175" s="58">
        <f t="shared" si="15"/>
        <v>966</v>
      </c>
      <c r="M175" s="44"/>
      <c r="N175" s="55"/>
    </row>
    <row r="176" s="32" customFormat="1" spans="1:14">
      <c r="A176" s="43" t="s">
        <v>126</v>
      </c>
      <c r="B176" s="53">
        <v>45554</v>
      </c>
      <c r="C176" s="54">
        <v>58</v>
      </c>
      <c r="D176" s="55" t="s">
        <v>177</v>
      </c>
      <c r="E176" s="55"/>
      <c r="F176" s="55"/>
      <c r="G176" s="69" t="s">
        <v>178</v>
      </c>
      <c r="H176" s="57">
        <v>1</v>
      </c>
      <c r="I176" s="55">
        <v>20</v>
      </c>
      <c r="J176" s="55">
        <f t="shared" si="16"/>
        <v>20</v>
      </c>
      <c r="K176" s="58">
        <v>23</v>
      </c>
      <c r="L176" s="58">
        <f t="shared" si="15"/>
        <v>460</v>
      </c>
      <c r="M176" s="44"/>
      <c r="N176" s="55"/>
    </row>
    <row r="177" s="38" customFormat="1" spans="1:14">
      <c r="A177" s="43" t="s">
        <v>126</v>
      </c>
      <c r="B177" s="53">
        <v>45554</v>
      </c>
      <c r="C177" s="54">
        <v>58</v>
      </c>
      <c r="D177" s="55" t="s">
        <v>133</v>
      </c>
      <c r="E177" s="55"/>
      <c r="F177" s="55"/>
      <c r="G177" s="56" t="s">
        <v>60</v>
      </c>
      <c r="H177" s="57">
        <v>2</v>
      </c>
      <c r="I177" s="55">
        <v>20</v>
      </c>
      <c r="J177" s="55">
        <f t="shared" si="16"/>
        <v>40</v>
      </c>
      <c r="K177" s="58">
        <v>20</v>
      </c>
      <c r="L177" s="58">
        <f t="shared" si="15"/>
        <v>800</v>
      </c>
      <c r="M177" s="83" t="s">
        <v>44</v>
      </c>
      <c r="N177" s="55">
        <f>SUM(L175:L177)</f>
        <v>2226</v>
      </c>
    </row>
    <row r="178" s="33" customFormat="1" spans="1:14">
      <c r="A178" s="60" t="s">
        <v>126</v>
      </c>
      <c r="B178" s="61">
        <v>45558</v>
      </c>
      <c r="C178" s="62">
        <v>74</v>
      </c>
      <c r="D178" s="63">
        <v>24810</v>
      </c>
      <c r="E178" s="63"/>
      <c r="F178" s="63"/>
      <c r="G178" s="72" t="s">
        <v>238</v>
      </c>
      <c r="H178" s="65">
        <v>1</v>
      </c>
      <c r="I178" s="63">
        <v>4</v>
      </c>
      <c r="J178" s="63">
        <f t="shared" si="16"/>
        <v>4</v>
      </c>
      <c r="K178" s="66">
        <v>20</v>
      </c>
      <c r="L178" s="66">
        <f t="shared" si="15"/>
        <v>80</v>
      </c>
      <c r="M178" s="34" t="s">
        <v>91</v>
      </c>
      <c r="N178" s="63"/>
    </row>
    <row r="179" s="40" customFormat="1" spans="1:14">
      <c r="A179" s="73" t="s">
        <v>126</v>
      </c>
      <c r="B179" s="99">
        <v>45560</v>
      </c>
      <c r="C179" s="93"/>
      <c r="D179" s="94" t="s">
        <v>236</v>
      </c>
      <c r="E179" s="94"/>
      <c r="F179" s="94"/>
      <c r="G179" s="100" t="s">
        <v>130</v>
      </c>
      <c r="H179" s="96">
        <v>2</v>
      </c>
      <c r="I179" s="94">
        <v>25</v>
      </c>
      <c r="J179" s="94">
        <f t="shared" si="16"/>
        <v>50</v>
      </c>
      <c r="K179" s="97"/>
      <c r="L179" s="97">
        <f t="shared" si="15"/>
        <v>0</v>
      </c>
      <c r="M179" s="73" t="s">
        <v>246</v>
      </c>
      <c r="N179" s="94">
        <f>SUM(L175:L179)</f>
        <v>2306</v>
      </c>
    </row>
    <row r="180" s="33" customFormat="1" hidden="1" spans="1:14">
      <c r="A180" s="60" t="s">
        <v>13</v>
      </c>
      <c r="B180" s="70">
        <v>45560</v>
      </c>
      <c r="C180" s="62">
        <v>84</v>
      </c>
      <c r="D180" s="63" t="s">
        <v>61</v>
      </c>
      <c r="E180" s="63"/>
      <c r="F180" s="63"/>
      <c r="G180" s="64" t="s">
        <v>62</v>
      </c>
      <c r="H180" s="65">
        <v>1</v>
      </c>
      <c r="I180" s="63">
        <v>10</v>
      </c>
      <c r="J180" s="63">
        <f t="shared" si="16"/>
        <v>10</v>
      </c>
      <c r="K180" s="66">
        <v>22</v>
      </c>
      <c r="L180" s="66">
        <f t="shared" si="15"/>
        <v>220</v>
      </c>
      <c r="M180" s="34" t="s">
        <v>63</v>
      </c>
      <c r="N180" s="63"/>
    </row>
    <row r="181" s="35" customFormat="1" hidden="1" spans="1:14">
      <c r="A181" s="60" t="s">
        <v>13</v>
      </c>
      <c r="B181" s="70">
        <v>45560</v>
      </c>
      <c r="C181" s="62">
        <v>84</v>
      </c>
      <c r="D181" s="63">
        <v>3712</v>
      </c>
      <c r="E181" s="63"/>
      <c r="F181" s="63"/>
      <c r="G181" s="64" t="s">
        <v>41</v>
      </c>
      <c r="H181" s="65">
        <v>1</v>
      </c>
      <c r="I181" s="63">
        <v>25</v>
      </c>
      <c r="J181" s="63">
        <f t="shared" si="16"/>
        <v>25</v>
      </c>
      <c r="K181" s="66">
        <v>12</v>
      </c>
      <c r="L181" s="66">
        <f t="shared" si="15"/>
        <v>300</v>
      </c>
      <c r="M181" s="34"/>
      <c r="N181" s="63"/>
    </row>
    <row r="182" s="40" customFormat="1" spans="1:14">
      <c r="A182" s="73" t="s">
        <v>126</v>
      </c>
      <c r="B182" s="99">
        <v>45562</v>
      </c>
      <c r="C182" s="93">
        <v>89</v>
      </c>
      <c r="D182" s="94" t="s">
        <v>236</v>
      </c>
      <c r="E182" s="94"/>
      <c r="F182" s="94"/>
      <c r="G182" s="100" t="s">
        <v>130</v>
      </c>
      <c r="H182" s="96">
        <v>2</v>
      </c>
      <c r="I182" s="94">
        <v>25</v>
      </c>
      <c r="J182" s="94">
        <f t="shared" si="16"/>
        <v>50</v>
      </c>
      <c r="K182" s="97">
        <v>11.5</v>
      </c>
      <c r="L182" s="97">
        <f t="shared" si="15"/>
        <v>575</v>
      </c>
      <c r="M182" s="73" t="s">
        <v>247</v>
      </c>
      <c r="N182" s="94"/>
    </row>
    <row r="183" s="38" customFormat="1" spans="1:14">
      <c r="A183" s="73" t="s">
        <v>126</v>
      </c>
      <c r="B183" s="99">
        <v>45562</v>
      </c>
      <c r="C183" s="93">
        <v>89</v>
      </c>
      <c r="D183" s="94" t="s">
        <v>236</v>
      </c>
      <c r="E183" s="94"/>
      <c r="F183" s="94"/>
      <c r="G183" s="100" t="s">
        <v>130</v>
      </c>
      <c r="H183" s="96">
        <v>5</v>
      </c>
      <c r="I183" s="94">
        <v>25</v>
      </c>
      <c r="J183" s="94">
        <f t="shared" si="16"/>
        <v>125</v>
      </c>
      <c r="K183" s="97">
        <v>11.5</v>
      </c>
      <c r="L183" s="97">
        <f t="shared" si="15"/>
        <v>1437.5</v>
      </c>
      <c r="M183" s="83"/>
      <c r="N183" s="55">
        <f>SUM(L182:L183)</f>
        <v>2012.5</v>
      </c>
    </row>
    <row r="184" s="35" customFormat="1" hidden="1" spans="1:14">
      <c r="A184" s="60" t="s">
        <v>13</v>
      </c>
      <c r="B184" s="70">
        <v>45571</v>
      </c>
      <c r="C184" s="62">
        <v>4</v>
      </c>
      <c r="D184" s="63">
        <v>3712</v>
      </c>
      <c r="E184" s="63"/>
      <c r="F184" s="63"/>
      <c r="G184" s="64" t="s">
        <v>41</v>
      </c>
      <c r="H184" s="65">
        <v>2</v>
      </c>
      <c r="I184" s="63">
        <v>25</v>
      </c>
      <c r="J184" s="63">
        <f t="shared" si="16"/>
        <v>50</v>
      </c>
      <c r="K184" s="66">
        <v>12</v>
      </c>
      <c r="L184" s="66">
        <f t="shared" si="15"/>
        <v>600</v>
      </c>
      <c r="M184" s="34"/>
      <c r="N184" s="63"/>
    </row>
    <row r="185" s="35" customFormat="1" hidden="1" spans="1:14">
      <c r="A185" s="60" t="s">
        <v>13</v>
      </c>
      <c r="B185" s="70">
        <v>45571</v>
      </c>
      <c r="C185" s="62">
        <v>4</v>
      </c>
      <c r="D185" s="63" t="s">
        <v>42</v>
      </c>
      <c r="E185" s="63"/>
      <c r="F185" s="63"/>
      <c r="G185" s="64" t="s">
        <v>43</v>
      </c>
      <c r="H185" s="65">
        <v>2</v>
      </c>
      <c r="I185" s="63">
        <v>20</v>
      </c>
      <c r="J185" s="63">
        <f t="shared" si="16"/>
        <v>40</v>
      </c>
      <c r="K185" s="66">
        <v>17</v>
      </c>
      <c r="L185" s="66">
        <f t="shared" si="15"/>
        <v>680</v>
      </c>
      <c r="M185" s="90" t="s">
        <v>44</v>
      </c>
      <c r="N185" s="63">
        <f>SUM(L184:L185)</f>
        <v>1280</v>
      </c>
    </row>
    <row r="186" s="32" customFormat="1" ht="19" hidden="1" customHeight="1" spans="1:14">
      <c r="A186" s="44" t="s">
        <v>13</v>
      </c>
      <c r="B186" s="68">
        <v>45572</v>
      </c>
      <c r="C186" s="54">
        <v>12</v>
      </c>
      <c r="D186" s="55" t="s">
        <v>51</v>
      </c>
      <c r="E186" s="55"/>
      <c r="F186" s="55"/>
      <c r="G186" s="56" t="s">
        <v>52</v>
      </c>
      <c r="H186" s="57">
        <v>2</v>
      </c>
      <c r="I186" s="55">
        <v>18</v>
      </c>
      <c r="J186" s="55">
        <f t="shared" si="16"/>
        <v>36</v>
      </c>
      <c r="K186" s="58">
        <v>17</v>
      </c>
      <c r="L186" s="58">
        <f t="shared" si="15"/>
        <v>612</v>
      </c>
      <c r="M186" s="44"/>
      <c r="N186" s="55"/>
    </row>
    <row r="187" s="38" customFormat="1" hidden="1" spans="1:14">
      <c r="A187" s="44" t="s">
        <v>13</v>
      </c>
      <c r="B187" s="68">
        <v>45572</v>
      </c>
      <c r="C187" s="54">
        <v>12</v>
      </c>
      <c r="D187" s="55" t="s">
        <v>53</v>
      </c>
      <c r="E187" s="55"/>
      <c r="F187" s="55"/>
      <c r="G187" s="56" t="s">
        <v>54</v>
      </c>
      <c r="H187" s="57">
        <v>2</v>
      </c>
      <c r="I187" s="55">
        <v>20</v>
      </c>
      <c r="J187" s="55">
        <f t="shared" si="16"/>
        <v>40</v>
      </c>
      <c r="K187" s="58">
        <v>17</v>
      </c>
      <c r="L187" s="58">
        <f t="shared" si="15"/>
        <v>680</v>
      </c>
      <c r="M187" s="44"/>
      <c r="N187" s="55">
        <f>SUM(L186:L187)</f>
        <v>1292</v>
      </c>
    </row>
    <row r="188" s="33" customFormat="1" spans="1:14">
      <c r="A188" s="34" t="s">
        <v>126</v>
      </c>
      <c r="B188" s="61">
        <v>45574</v>
      </c>
      <c r="C188" s="62">
        <v>17</v>
      </c>
      <c r="D188" s="105">
        <v>9804</v>
      </c>
      <c r="E188" s="60"/>
      <c r="F188" s="60"/>
      <c r="G188" s="71" t="s">
        <v>68</v>
      </c>
      <c r="H188" s="65">
        <v>20</v>
      </c>
      <c r="I188" s="63">
        <v>28</v>
      </c>
      <c r="J188" s="63">
        <f t="shared" si="16"/>
        <v>560</v>
      </c>
      <c r="K188" s="66">
        <v>9.5</v>
      </c>
      <c r="L188" s="66">
        <f t="shared" si="15"/>
        <v>5320</v>
      </c>
      <c r="M188" s="64"/>
      <c r="N188" s="63"/>
    </row>
    <row r="189" s="32" customFormat="1" spans="1:14">
      <c r="A189" s="43" t="s">
        <v>126</v>
      </c>
      <c r="B189" s="53">
        <v>45574</v>
      </c>
      <c r="C189" s="54">
        <v>18</v>
      </c>
      <c r="D189" s="55">
        <v>519</v>
      </c>
      <c r="E189" s="55"/>
      <c r="F189" s="55"/>
      <c r="G189" s="56" t="s">
        <v>132</v>
      </c>
      <c r="H189" s="57">
        <v>3</v>
      </c>
      <c r="I189" s="55">
        <v>21</v>
      </c>
      <c r="J189" s="55">
        <f t="shared" si="16"/>
        <v>63</v>
      </c>
      <c r="K189" s="58">
        <v>25</v>
      </c>
      <c r="L189" s="58">
        <f>J189*K189</f>
        <v>1575</v>
      </c>
      <c r="M189" s="44" t="s">
        <v>230</v>
      </c>
      <c r="N189" s="55"/>
    </row>
    <row r="190" s="38" customFormat="1" spans="1:14">
      <c r="A190" s="43" t="s">
        <v>126</v>
      </c>
      <c r="B190" s="53">
        <v>45574</v>
      </c>
      <c r="C190" s="54">
        <v>18</v>
      </c>
      <c r="D190" s="55" t="s">
        <v>248</v>
      </c>
      <c r="E190" s="55"/>
      <c r="F190" s="55"/>
      <c r="G190" s="56" t="s">
        <v>54</v>
      </c>
      <c r="H190" s="57">
        <v>3</v>
      </c>
      <c r="I190" s="55">
        <v>20</v>
      </c>
      <c r="J190" s="55">
        <f t="shared" si="16"/>
        <v>60</v>
      </c>
      <c r="K190" s="58">
        <v>20</v>
      </c>
      <c r="L190" s="58">
        <f>J190*K190</f>
        <v>1200</v>
      </c>
      <c r="M190" s="106" t="s">
        <v>249</v>
      </c>
      <c r="N190" s="55">
        <f>SUM(L189:L190)</f>
        <v>2775</v>
      </c>
    </row>
    <row r="191" s="33" customFormat="1" ht="19" hidden="1" customHeight="1" spans="1:14">
      <c r="A191" s="60" t="s">
        <v>13</v>
      </c>
      <c r="B191" s="70">
        <v>45580</v>
      </c>
      <c r="C191" s="62">
        <v>40</v>
      </c>
      <c r="D191" s="63" t="s">
        <v>74</v>
      </c>
      <c r="E191" s="63"/>
      <c r="F191" s="63"/>
      <c r="G191" s="64" t="s">
        <v>75</v>
      </c>
      <c r="H191" s="65">
        <v>1</v>
      </c>
      <c r="I191" s="63">
        <v>25</v>
      </c>
      <c r="J191" s="63">
        <f>H191*I191</f>
        <v>25</v>
      </c>
      <c r="K191" s="66">
        <v>17</v>
      </c>
      <c r="L191" s="66">
        <f>J191*K191</f>
        <v>425</v>
      </c>
      <c r="M191" s="34"/>
      <c r="N191" s="63"/>
    </row>
    <row r="192" s="35" customFormat="1" hidden="1" spans="1:14">
      <c r="A192" s="60" t="s">
        <v>13</v>
      </c>
      <c r="B192" s="70">
        <v>45580</v>
      </c>
      <c r="C192" s="62">
        <v>40</v>
      </c>
      <c r="D192" s="63" t="s">
        <v>45</v>
      </c>
      <c r="E192" s="63"/>
      <c r="F192" s="63"/>
      <c r="G192" s="64" t="s">
        <v>46</v>
      </c>
      <c r="H192" s="65">
        <v>1</v>
      </c>
      <c r="I192" s="63">
        <v>20</v>
      </c>
      <c r="J192" s="63">
        <f t="shared" ref="J192:J220" si="17">H192*I192</f>
        <v>20</v>
      </c>
      <c r="K192" s="66">
        <v>17</v>
      </c>
      <c r="L192" s="66">
        <f t="shared" ref="L192:L206" si="18">J192*K192</f>
        <v>340</v>
      </c>
      <c r="M192" s="34"/>
      <c r="N192" s="63"/>
    </row>
    <row r="193" s="35" customFormat="1" hidden="1" spans="1:14">
      <c r="A193" s="60" t="s">
        <v>13</v>
      </c>
      <c r="B193" s="70">
        <v>45580</v>
      </c>
      <c r="C193" s="62">
        <v>40</v>
      </c>
      <c r="D193" s="63" t="s">
        <v>45</v>
      </c>
      <c r="E193" s="63"/>
      <c r="F193" s="63"/>
      <c r="G193" s="64" t="s">
        <v>46</v>
      </c>
      <c r="H193" s="65">
        <v>1</v>
      </c>
      <c r="I193" s="63">
        <v>15</v>
      </c>
      <c r="J193" s="63">
        <f t="shared" si="17"/>
        <v>15</v>
      </c>
      <c r="K193" s="66">
        <v>17</v>
      </c>
      <c r="L193" s="66">
        <f t="shared" si="18"/>
        <v>255</v>
      </c>
      <c r="M193" s="34"/>
      <c r="N193" s="63"/>
    </row>
    <row r="194" s="34" customFormat="1" hidden="1" spans="1:14">
      <c r="A194" s="60" t="s">
        <v>13</v>
      </c>
      <c r="B194" s="70">
        <v>45580</v>
      </c>
      <c r="C194" s="62">
        <v>40</v>
      </c>
      <c r="D194" s="63">
        <v>411</v>
      </c>
      <c r="E194" s="63"/>
      <c r="F194" s="63"/>
      <c r="G194" s="64" t="s">
        <v>79</v>
      </c>
      <c r="H194" s="65">
        <v>1</v>
      </c>
      <c r="I194" s="63">
        <v>10</v>
      </c>
      <c r="J194" s="63">
        <f t="shared" si="17"/>
        <v>10</v>
      </c>
      <c r="K194" s="66">
        <v>22</v>
      </c>
      <c r="L194" s="66">
        <f t="shared" si="18"/>
        <v>220</v>
      </c>
      <c r="N194" s="60"/>
    </row>
    <row r="195" s="35" customFormat="1" hidden="1" spans="1:14">
      <c r="A195" s="34" t="s">
        <v>13</v>
      </c>
      <c r="B195" s="70">
        <v>45580</v>
      </c>
      <c r="C195" s="62">
        <v>40</v>
      </c>
      <c r="D195" s="63" t="s">
        <v>53</v>
      </c>
      <c r="E195" s="63"/>
      <c r="F195" s="63"/>
      <c r="G195" s="64" t="s">
        <v>54</v>
      </c>
      <c r="H195" s="65">
        <v>5</v>
      </c>
      <c r="I195" s="63">
        <v>20</v>
      </c>
      <c r="J195" s="63">
        <f t="shared" si="17"/>
        <v>100</v>
      </c>
      <c r="K195" s="66">
        <v>17</v>
      </c>
      <c r="L195" s="66">
        <f t="shared" si="18"/>
        <v>1700</v>
      </c>
      <c r="M195" s="34"/>
      <c r="N195" s="63"/>
    </row>
    <row r="196" s="35" customFormat="1" hidden="1" spans="1:14">
      <c r="A196" s="60" t="s">
        <v>13</v>
      </c>
      <c r="B196" s="70">
        <v>45580</v>
      </c>
      <c r="C196" s="62">
        <v>40</v>
      </c>
      <c r="D196" s="63" t="s">
        <v>47</v>
      </c>
      <c r="E196" s="63"/>
      <c r="F196" s="63"/>
      <c r="G196" s="64" t="s">
        <v>48</v>
      </c>
      <c r="H196" s="65">
        <v>1</v>
      </c>
      <c r="I196" s="63">
        <v>10</v>
      </c>
      <c r="J196" s="63">
        <f t="shared" si="17"/>
        <v>10</v>
      </c>
      <c r="K196" s="66">
        <v>17</v>
      </c>
      <c r="L196" s="66">
        <f t="shared" si="18"/>
        <v>170</v>
      </c>
      <c r="M196" s="34"/>
      <c r="N196" s="63"/>
    </row>
    <row r="197" s="35" customFormat="1" hidden="1" spans="1:14">
      <c r="A197" s="60" t="s">
        <v>13</v>
      </c>
      <c r="B197" s="70">
        <v>45580</v>
      </c>
      <c r="C197" s="62">
        <v>40</v>
      </c>
      <c r="D197" s="63">
        <v>1450</v>
      </c>
      <c r="E197" s="63"/>
      <c r="F197" s="63"/>
      <c r="G197" s="72" t="s">
        <v>88</v>
      </c>
      <c r="H197" s="65">
        <v>1</v>
      </c>
      <c r="I197" s="63">
        <v>20</v>
      </c>
      <c r="J197" s="63">
        <f t="shared" si="17"/>
        <v>20</v>
      </c>
      <c r="K197" s="66">
        <v>17</v>
      </c>
      <c r="L197" s="66">
        <f t="shared" si="18"/>
        <v>340</v>
      </c>
      <c r="M197" s="34"/>
      <c r="N197" s="63"/>
    </row>
    <row r="198" s="35" customFormat="1" hidden="1" spans="1:14">
      <c r="A198" s="60" t="s">
        <v>13</v>
      </c>
      <c r="B198" s="70">
        <v>45580</v>
      </c>
      <c r="C198" s="62">
        <v>40</v>
      </c>
      <c r="D198" s="63">
        <v>1450</v>
      </c>
      <c r="E198" s="63"/>
      <c r="F198" s="63"/>
      <c r="G198" s="72" t="s">
        <v>88</v>
      </c>
      <c r="H198" s="65">
        <v>1</v>
      </c>
      <c r="I198" s="63">
        <v>21</v>
      </c>
      <c r="J198" s="63">
        <f t="shared" si="17"/>
        <v>21</v>
      </c>
      <c r="K198" s="66">
        <v>17</v>
      </c>
      <c r="L198" s="66">
        <f t="shared" si="18"/>
        <v>357</v>
      </c>
      <c r="M198" s="34"/>
      <c r="N198" s="63">
        <f>SUM(L191:L199)</f>
        <v>8847</v>
      </c>
    </row>
    <row r="199" s="38" customFormat="1" hidden="1" spans="1:14">
      <c r="A199" s="63" t="s">
        <v>13</v>
      </c>
      <c r="B199" s="70">
        <v>45580</v>
      </c>
      <c r="C199" s="62">
        <v>40</v>
      </c>
      <c r="D199" s="63" t="s">
        <v>182</v>
      </c>
      <c r="E199" s="63"/>
      <c r="F199" s="63"/>
      <c r="G199" s="64" t="s">
        <v>68</v>
      </c>
      <c r="H199" s="65">
        <v>20</v>
      </c>
      <c r="I199" s="63">
        <v>28</v>
      </c>
      <c r="J199" s="63">
        <f t="shared" si="17"/>
        <v>560</v>
      </c>
      <c r="K199" s="88">
        <v>9</v>
      </c>
      <c r="L199" s="66">
        <f t="shared" si="18"/>
        <v>5040</v>
      </c>
      <c r="M199" s="44" t="s">
        <v>250</v>
      </c>
      <c r="N199" s="55"/>
    </row>
    <row r="200" s="38" customFormat="1" hidden="1" spans="1:14">
      <c r="A200" s="44" t="s">
        <v>13</v>
      </c>
      <c r="B200" s="68">
        <v>45580</v>
      </c>
      <c r="C200" s="54">
        <v>40</v>
      </c>
      <c r="D200" s="55" t="s">
        <v>59</v>
      </c>
      <c r="E200" s="55"/>
      <c r="F200" s="55"/>
      <c r="G200" s="56" t="s">
        <v>60</v>
      </c>
      <c r="H200" s="57">
        <v>4</v>
      </c>
      <c r="I200" s="55">
        <v>10</v>
      </c>
      <c r="J200" s="55">
        <f t="shared" si="17"/>
        <v>40</v>
      </c>
      <c r="K200" s="58">
        <v>17</v>
      </c>
      <c r="L200" s="58">
        <f t="shared" si="18"/>
        <v>680</v>
      </c>
      <c r="M200" s="44"/>
      <c r="N200" s="55"/>
    </row>
    <row r="201" s="33" customFormat="1" hidden="1" spans="1:14">
      <c r="A201" s="60" t="s">
        <v>76</v>
      </c>
      <c r="B201" s="61">
        <v>45589</v>
      </c>
      <c r="C201" s="62">
        <v>72</v>
      </c>
      <c r="D201" s="63" t="s">
        <v>77</v>
      </c>
      <c r="E201" s="63"/>
      <c r="F201" s="63"/>
      <c r="G201" s="72" t="s">
        <v>78</v>
      </c>
      <c r="H201" s="65">
        <v>2</v>
      </c>
      <c r="I201" s="63">
        <v>25</v>
      </c>
      <c r="J201" s="63">
        <f t="shared" si="17"/>
        <v>50</v>
      </c>
      <c r="K201" s="66">
        <v>14</v>
      </c>
      <c r="L201" s="66">
        <f t="shared" si="18"/>
        <v>700</v>
      </c>
      <c r="M201" s="34"/>
      <c r="N201" s="63">
        <f>SUM(L201:L201)</f>
        <v>700</v>
      </c>
    </row>
    <row r="202" s="38" customFormat="1" spans="1:14">
      <c r="A202" s="44" t="s">
        <v>126</v>
      </c>
      <c r="B202" s="68">
        <v>45591</v>
      </c>
      <c r="C202" s="54">
        <v>80</v>
      </c>
      <c r="D202" s="55" t="s">
        <v>174</v>
      </c>
      <c r="E202" s="55"/>
      <c r="F202" s="55"/>
      <c r="G202" s="69" t="s">
        <v>209</v>
      </c>
      <c r="H202" s="57">
        <v>2</v>
      </c>
      <c r="I202" s="55">
        <v>25</v>
      </c>
      <c r="J202" s="55">
        <f t="shared" si="17"/>
        <v>50</v>
      </c>
      <c r="K202" s="58">
        <v>20</v>
      </c>
      <c r="L202" s="58">
        <f t="shared" si="18"/>
        <v>1000</v>
      </c>
      <c r="M202" s="44" t="s">
        <v>210</v>
      </c>
      <c r="N202" s="55"/>
    </row>
    <row r="203" s="32" customFormat="1" spans="1:14">
      <c r="A203" s="44" t="s">
        <v>126</v>
      </c>
      <c r="B203" s="68">
        <v>45591</v>
      </c>
      <c r="C203" s="54">
        <v>80</v>
      </c>
      <c r="D203" s="55">
        <v>10545</v>
      </c>
      <c r="E203" s="55"/>
      <c r="F203" s="55"/>
      <c r="G203" s="56" t="s">
        <v>180</v>
      </c>
      <c r="H203" s="57">
        <v>1</v>
      </c>
      <c r="I203" s="55">
        <v>21</v>
      </c>
      <c r="J203" s="55">
        <f t="shared" si="17"/>
        <v>21</v>
      </c>
      <c r="K203" s="58">
        <v>25</v>
      </c>
      <c r="L203" s="58">
        <f t="shared" si="18"/>
        <v>525</v>
      </c>
      <c r="M203" s="44"/>
      <c r="N203" s="55"/>
    </row>
    <row r="204" s="38" customFormat="1" spans="1:14">
      <c r="A204" s="43" t="s">
        <v>126</v>
      </c>
      <c r="B204" s="68">
        <v>45591</v>
      </c>
      <c r="C204" s="54">
        <v>80</v>
      </c>
      <c r="D204" s="55" t="s">
        <v>133</v>
      </c>
      <c r="E204" s="55"/>
      <c r="F204" s="55"/>
      <c r="G204" s="56" t="s">
        <v>60</v>
      </c>
      <c r="H204" s="57">
        <v>2</v>
      </c>
      <c r="I204" s="55">
        <v>20</v>
      </c>
      <c r="J204" s="55">
        <f t="shared" si="17"/>
        <v>40</v>
      </c>
      <c r="K204" s="58">
        <v>20</v>
      </c>
      <c r="L204" s="58">
        <f t="shared" si="18"/>
        <v>800</v>
      </c>
      <c r="M204" s="83" t="s">
        <v>212</v>
      </c>
      <c r="N204" s="55">
        <f>SUM(L202:L204)</f>
        <v>2325</v>
      </c>
    </row>
    <row r="205" s="35" customFormat="1" hidden="1" spans="1:14">
      <c r="A205" s="60" t="s">
        <v>13</v>
      </c>
      <c r="B205" s="70">
        <v>45591</v>
      </c>
      <c r="C205" s="62">
        <v>81</v>
      </c>
      <c r="D205" s="63" t="s">
        <v>47</v>
      </c>
      <c r="E205" s="63"/>
      <c r="F205" s="63"/>
      <c r="G205" s="64" t="s">
        <v>48</v>
      </c>
      <c r="H205" s="65">
        <v>1</v>
      </c>
      <c r="I205" s="63">
        <v>26</v>
      </c>
      <c r="J205" s="63">
        <f t="shared" si="17"/>
        <v>26</v>
      </c>
      <c r="K205" s="66">
        <v>17</v>
      </c>
      <c r="L205" s="66">
        <f t="shared" si="18"/>
        <v>442</v>
      </c>
      <c r="M205" s="34"/>
      <c r="N205" s="63"/>
    </row>
    <row r="206" s="33" customFormat="1" ht="19" hidden="1" customHeight="1" spans="1:14">
      <c r="A206" s="34" t="s">
        <v>13</v>
      </c>
      <c r="B206" s="70">
        <v>45591</v>
      </c>
      <c r="C206" s="62">
        <v>81</v>
      </c>
      <c r="D206" s="63" t="s">
        <v>51</v>
      </c>
      <c r="E206" s="63"/>
      <c r="F206" s="63"/>
      <c r="G206" s="64" t="s">
        <v>52</v>
      </c>
      <c r="H206" s="65">
        <v>1</v>
      </c>
      <c r="I206" s="63">
        <v>25</v>
      </c>
      <c r="J206" s="63">
        <f t="shared" si="17"/>
        <v>25</v>
      </c>
      <c r="K206" s="66">
        <v>17</v>
      </c>
      <c r="L206" s="66">
        <f t="shared" si="18"/>
        <v>425</v>
      </c>
      <c r="M206" s="34"/>
      <c r="N206" s="63"/>
    </row>
    <row r="207" s="41" customFormat="1" hidden="1" spans="1:14">
      <c r="A207" s="60" t="s">
        <v>13</v>
      </c>
      <c r="B207" s="70">
        <v>45591</v>
      </c>
      <c r="C207" s="62">
        <v>81</v>
      </c>
      <c r="D207" s="63">
        <v>2348</v>
      </c>
      <c r="E207" s="63"/>
      <c r="F207" s="63"/>
      <c r="G207" s="72" t="s">
        <v>64</v>
      </c>
      <c r="H207" s="65">
        <v>1</v>
      </c>
      <c r="I207" s="63">
        <v>1</v>
      </c>
      <c r="J207" s="63">
        <f t="shared" si="17"/>
        <v>1</v>
      </c>
      <c r="K207" s="66"/>
      <c r="L207" s="66"/>
      <c r="M207" s="34"/>
      <c r="N207" s="34"/>
    </row>
    <row r="208" s="35" customFormat="1" hidden="1" spans="1:14">
      <c r="A208" s="34" t="s">
        <v>13</v>
      </c>
      <c r="B208" s="70">
        <v>45591</v>
      </c>
      <c r="C208" s="62">
        <v>81</v>
      </c>
      <c r="D208" s="63" t="s">
        <v>53</v>
      </c>
      <c r="E208" s="63"/>
      <c r="F208" s="63"/>
      <c r="G208" s="64" t="s">
        <v>54</v>
      </c>
      <c r="H208" s="65">
        <v>2</v>
      </c>
      <c r="I208" s="63">
        <v>20</v>
      </c>
      <c r="J208" s="63">
        <f t="shared" si="17"/>
        <v>40</v>
      </c>
      <c r="K208" s="66">
        <v>17</v>
      </c>
      <c r="L208" s="66">
        <f t="shared" ref="L208:L220" si="19">J208*K208</f>
        <v>680</v>
      </c>
      <c r="M208" s="34"/>
      <c r="N208" s="63">
        <f>SUM(L205:L208)</f>
        <v>1547</v>
      </c>
    </row>
    <row r="209" s="38" customFormat="1" spans="1:14">
      <c r="A209" s="44" t="s">
        <v>126</v>
      </c>
      <c r="B209" s="68">
        <v>45593</v>
      </c>
      <c r="C209" s="54">
        <v>84</v>
      </c>
      <c r="D209" s="55" t="s">
        <v>236</v>
      </c>
      <c r="E209" s="55"/>
      <c r="F209" s="55"/>
      <c r="G209" s="56" t="s">
        <v>130</v>
      </c>
      <c r="H209" s="57">
        <v>5</v>
      </c>
      <c r="I209" s="55">
        <v>25</v>
      </c>
      <c r="J209" s="55">
        <f t="shared" si="17"/>
        <v>125</v>
      </c>
      <c r="K209" s="58">
        <v>11.5</v>
      </c>
      <c r="L209" s="58">
        <f t="shared" si="19"/>
        <v>1437.5</v>
      </c>
      <c r="M209" s="83"/>
      <c r="N209" s="55"/>
    </row>
    <row r="210" s="35" customFormat="1" hidden="1" spans="1:14">
      <c r="A210" s="34" t="s">
        <v>13</v>
      </c>
      <c r="B210" s="70">
        <v>45593</v>
      </c>
      <c r="C210" s="62">
        <v>87</v>
      </c>
      <c r="D210" s="63" t="s">
        <v>53</v>
      </c>
      <c r="E210" s="63"/>
      <c r="F210" s="63"/>
      <c r="G210" s="64" t="s">
        <v>54</v>
      </c>
      <c r="H210" s="65">
        <v>1</v>
      </c>
      <c r="I210" s="63">
        <v>20</v>
      </c>
      <c r="J210" s="63">
        <f t="shared" si="17"/>
        <v>20</v>
      </c>
      <c r="K210" s="66">
        <v>17</v>
      </c>
      <c r="L210" s="66">
        <f t="shared" si="19"/>
        <v>340</v>
      </c>
      <c r="M210" s="34"/>
      <c r="N210" s="63"/>
    </row>
    <row r="211" s="33" customFormat="1" ht="19" hidden="1" customHeight="1" spans="1:14">
      <c r="A211" s="34" t="s">
        <v>13</v>
      </c>
      <c r="B211" s="70">
        <v>45593</v>
      </c>
      <c r="C211" s="62">
        <v>87</v>
      </c>
      <c r="D211" s="63" t="s">
        <v>57</v>
      </c>
      <c r="E211" s="63"/>
      <c r="F211" s="63"/>
      <c r="G211" s="64" t="s">
        <v>58</v>
      </c>
      <c r="H211" s="65">
        <v>1</v>
      </c>
      <c r="I211" s="63">
        <v>26</v>
      </c>
      <c r="J211" s="63">
        <f t="shared" si="17"/>
        <v>26</v>
      </c>
      <c r="K211" s="66">
        <v>17</v>
      </c>
      <c r="L211" s="66">
        <f t="shared" si="19"/>
        <v>442</v>
      </c>
      <c r="M211" s="73" t="s">
        <v>251</v>
      </c>
      <c r="N211" s="63"/>
    </row>
    <row r="212" s="32" customFormat="1" spans="1:14">
      <c r="A212" s="44" t="s">
        <v>126</v>
      </c>
      <c r="B212" s="53">
        <v>45595</v>
      </c>
      <c r="C212" s="54">
        <v>96</v>
      </c>
      <c r="D212" s="103">
        <v>9804</v>
      </c>
      <c r="E212" s="43"/>
      <c r="F212" s="43"/>
      <c r="G212" s="98" t="s">
        <v>68</v>
      </c>
      <c r="H212" s="57">
        <v>5</v>
      </c>
      <c r="I212" s="55">
        <v>28</v>
      </c>
      <c r="J212" s="55">
        <f t="shared" si="17"/>
        <v>140</v>
      </c>
      <c r="K212" s="58">
        <v>9.5</v>
      </c>
      <c r="L212" s="58">
        <f t="shared" si="19"/>
        <v>1330</v>
      </c>
      <c r="M212" s="56"/>
      <c r="N212" s="55"/>
    </row>
    <row r="213" s="32" customFormat="1" spans="1:14">
      <c r="A213" s="55" t="s">
        <v>126</v>
      </c>
      <c r="B213" s="68">
        <v>45595</v>
      </c>
      <c r="C213" s="54">
        <v>96</v>
      </c>
      <c r="D213" s="55" t="s">
        <v>187</v>
      </c>
      <c r="E213" s="55"/>
      <c r="F213" s="55"/>
      <c r="G213" s="56" t="s">
        <v>188</v>
      </c>
      <c r="H213" s="57">
        <v>1</v>
      </c>
      <c r="I213" s="55">
        <v>13</v>
      </c>
      <c r="J213" s="55">
        <f t="shared" si="17"/>
        <v>13</v>
      </c>
      <c r="K213" s="58">
        <v>20</v>
      </c>
      <c r="L213" s="58">
        <f t="shared" si="19"/>
        <v>260</v>
      </c>
      <c r="M213" s="44"/>
      <c r="N213" s="55">
        <f>SUM(L212:L213)</f>
        <v>1590</v>
      </c>
    </row>
    <row r="214" s="36" customFormat="1" hidden="1" spans="1:14">
      <c r="A214" s="81" t="s">
        <v>140</v>
      </c>
      <c r="B214" s="107">
        <v>45598</v>
      </c>
      <c r="C214" s="76">
        <v>3</v>
      </c>
      <c r="D214" s="77" t="s">
        <v>141</v>
      </c>
      <c r="E214" s="77"/>
      <c r="F214" s="77"/>
      <c r="G214" s="78" t="s">
        <v>142</v>
      </c>
      <c r="H214" s="79">
        <v>4</v>
      </c>
      <c r="I214" s="77">
        <v>25</v>
      </c>
      <c r="J214" s="77">
        <f t="shared" si="17"/>
        <v>100</v>
      </c>
      <c r="K214" s="80">
        <v>19</v>
      </c>
      <c r="L214" s="80">
        <f t="shared" si="19"/>
        <v>1900</v>
      </c>
      <c r="M214" s="81" t="s">
        <v>143</v>
      </c>
      <c r="N214" s="77"/>
    </row>
    <row r="215" s="36" customFormat="1" hidden="1" spans="1:14">
      <c r="A215" s="81" t="s">
        <v>140</v>
      </c>
      <c r="B215" s="107">
        <v>45598</v>
      </c>
      <c r="C215" s="76">
        <v>3</v>
      </c>
      <c r="D215" s="77"/>
      <c r="E215" s="77"/>
      <c r="F215" s="77"/>
      <c r="G215" s="78" t="s">
        <v>146</v>
      </c>
      <c r="H215" s="79">
        <v>3</v>
      </c>
      <c r="I215" s="77">
        <v>20</v>
      </c>
      <c r="J215" s="77">
        <f t="shared" si="17"/>
        <v>60</v>
      </c>
      <c r="K215" s="80">
        <v>19</v>
      </c>
      <c r="L215" s="80">
        <f t="shared" si="19"/>
        <v>1140</v>
      </c>
      <c r="M215" s="81" t="s">
        <v>252</v>
      </c>
      <c r="N215" s="77"/>
    </row>
    <row r="216" s="36" customFormat="1" hidden="1" spans="1:14">
      <c r="A216" s="81" t="s">
        <v>140</v>
      </c>
      <c r="B216" s="107">
        <v>45598</v>
      </c>
      <c r="C216" s="76">
        <v>3</v>
      </c>
      <c r="D216" s="77" t="s">
        <v>144</v>
      </c>
      <c r="E216" s="77"/>
      <c r="F216" s="77"/>
      <c r="G216" s="78" t="s">
        <v>54</v>
      </c>
      <c r="H216" s="79" t="s">
        <v>253</v>
      </c>
      <c r="I216" s="77">
        <v>20</v>
      </c>
      <c r="J216" s="77" t="e">
        <f t="shared" si="17"/>
        <v>#VALUE!</v>
      </c>
      <c r="K216" s="80">
        <v>19</v>
      </c>
      <c r="L216" s="80" t="e">
        <f t="shared" si="19"/>
        <v>#VALUE!</v>
      </c>
      <c r="M216" s="81" t="s">
        <v>145</v>
      </c>
      <c r="N216" s="77"/>
    </row>
    <row r="217" s="36" customFormat="1" hidden="1" spans="1:14">
      <c r="A217" s="81" t="s">
        <v>140</v>
      </c>
      <c r="B217" s="107">
        <v>45598</v>
      </c>
      <c r="C217" s="76">
        <v>3</v>
      </c>
      <c r="D217" s="77"/>
      <c r="E217" s="77"/>
      <c r="F217" s="77"/>
      <c r="G217" s="78" t="s">
        <v>148</v>
      </c>
      <c r="H217" s="79" t="s">
        <v>253</v>
      </c>
      <c r="I217" s="77">
        <v>20</v>
      </c>
      <c r="J217" s="77" t="e">
        <f t="shared" si="17"/>
        <v>#VALUE!</v>
      </c>
      <c r="K217" s="80">
        <v>19</v>
      </c>
      <c r="L217" s="80" t="e">
        <f t="shared" si="19"/>
        <v>#VALUE!</v>
      </c>
      <c r="M217" s="108" t="s">
        <v>222</v>
      </c>
      <c r="N217" s="77" t="e">
        <f>SUM(L214:L217)</f>
        <v>#VALUE!</v>
      </c>
    </row>
    <row r="218" s="33" customFormat="1" ht="19" hidden="1" customHeight="1" spans="1:14">
      <c r="A218" s="60" t="s">
        <v>13</v>
      </c>
      <c r="B218" s="70">
        <v>45601</v>
      </c>
      <c r="C218" s="62">
        <v>7</v>
      </c>
      <c r="D218" s="63" t="s">
        <v>74</v>
      </c>
      <c r="E218" s="63"/>
      <c r="F218" s="63"/>
      <c r="G218" s="64" t="s">
        <v>75</v>
      </c>
      <c r="H218" s="65" t="s">
        <v>254</v>
      </c>
      <c r="I218" s="63">
        <v>26</v>
      </c>
      <c r="J218" s="63" t="e">
        <f t="shared" si="17"/>
        <v>#VALUE!</v>
      </c>
      <c r="K218" s="66">
        <v>17</v>
      </c>
      <c r="L218" s="66" t="e">
        <f t="shared" si="19"/>
        <v>#VALUE!</v>
      </c>
      <c r="M218" s="34"/>
      <c r="N218" s="63"/>
    </row>
    <row r="219" s="35" customFormat="1" hidden="1" spans="1:14">
      <c r="A219" s="60" t="s">
        <v>13</v>
      </c>
      <c r="B219" s="70">
        <v>45601</v>
      </c>
      <c r="C219" s="62">
        <v>7</v>
      </c>
      <c r="D219" s="63" t="s">
        <v>47</v>
      </c>
      <c r="E219" s="63"/>
      <c r="F219" s="63"/>
      <c r="G219" s="64" t="s">
        <v>48</v>
      </c>
      <c r="H219" s="65">
        <v>1</v>
      </c>
      <c r="I219" s="63">
        <v>25</v>
      </c>
      <c r="J219" s="63">
        <f t="shared" si="17"/>
        <v>25</v>
      </c>
      <c r="K219" s="66">
        <v>17</v>
      </c>
      <c r="L219" s="66">
        <f t="shared" si="19"/>
        <v>425</v>
      </c>
      <c r="M219" s="34"/>
      <c r="N219" s="63"/>
    </row>
    <row r="220" s="35" customFormat="1" hidden="1" spans="1:14">
      <c r="A220" s="34" t="s">
        <v>13</v>
      </c>
      <c r="B220" s="70">
        <v>45601</v>
      </c>
      <c r="C220" s="62">
        <v>7</v>
      </c>
      <c r="D220" s="63" t="s">
        <v>53</v>
      </c>
      <c r="E220" s="63"/>
      <c r="F220" s="63"/>
      <c r="G220" s="64" t="s">
        <v>54</v>
      </c>
      <c r="H220" s="65">
        <v>2</v>
      </c>
      <c r="I220" s="63">
        <v>20</v>
      </c>
      <c r="J220" s="63">
        <f t="shared" si="17"/>
        <v>40</v>
      </c>
      <c r="K220" s="66">
        <v>17</v>
      </c>
      <c r="L220" s="66">
        <f t="shared" si="19"/>
        <v>680</v>
      </c>
      <c r="M220" s="34"/>
      <c r="N220" s="63"/>
    </row>
    <row r="221" s="32" customFormat="1" spans="1:14">
      <c r="A221" s="44" t="s">
        <v>126</v>
      </c>
      <c r="B221" s="53">
        <v>45604</v>
      </c>
      <c r="C221" s="54">
        <v>20</v>
      </c>
      <c r="D221" s="103">
        <v>9804</v>
      </c>
      <c r="E221" s="43"/>
      <c r="F221" s="43"/>
      <c r="G221" s="98" t="s">
        <v>68</v>
      </c>
      <c r="H221" s="57">
        <v>20</v>
      </c>
      <c r="I221" s="55">
        <v>28</v>
      </c>
      <c r="J221" s="55">
        <f t="shared" ref="J209:J256" si="20">H221*I221</f>
        <v>560</v>
      </c>
      <c r="K221" s="58">
        <v>9.5</v>
      </c>
      <c r="L221" s="58">
        <f t="shared" ref="L212:L232" si="21">J221*K221</f>
        <v>5320</v>
      </c>
      <c r="M221" s="56"/>
      <c r="N221" s="55"/>
    </row>
    <row r="222" s="39" customFormat="1" hidden="1" spans="1:14">
      <c r="A222" s="91" t="s">
        <v>152</v>
      </c>
      <c r="B222" s="92">
        <v>45605</v>
      </c>
      <c r="C222" s="93" t="s">
        <v>255</v>
      </c>
      <c r="D222" s="94" t="s">
        <v>154</v>
      </c>
      <c r="E222" s="94"/>
      <c r="F222" s="94"/>
      <c r="G222" s="100" t="s">
        <v>142</v>
      </c>
      <c r="H222" s="96">
        <v>-4</v>
      </c>
      <c r="I222" s="94">
        <v>25</v>
      </c>
      <c r="J222" s="94">
        <f t="shared" si="20"/>
        <v>-100</v>
      </c>
      <c r="K222" s="97">
        <v>21</v>
      </c>
      <c r="L222" s="97">
        <f t="shared" si="21"/>
        <v>-2100</v>
      </c>
      <c r="M222" s="109" t="s">
        <v>143</v>
      </c>
      <c r="N222" s="94"/>
    </row>
    <row r="223" s="39" customFormat="1" hidden="1" spans="1:14">
      <c r="A223" s="91" t="s">
        <v>152</v>
      </c>
      <c r="B223" s="92">
        <v>45605</v>
      </c>
      <c r="C223" s="93" t="s">
        <v>255</v>
      </c>
      <c r="D223" s="94" t="s">
        <v>155</v>
      </c>
      <c r="E223" s="94"/>
      <c r="F223" s="94"/>
      <c r="G223" s="100" t="s">
        <v>54</v>
      </c>
      <c r="H223" s="96">
        <v>-3</v>
      </c>
      <c r="I223" s="94">
        <v>20</v>
      </c>
      <c r="J223" s="94">
        <f t="shared" si="20"/>
        <v>-60</v>
      </c>
      <c r="K223" s="97">
        <v>22</v>
      </c>
      <c r="L223" s="97">
        <f t="shared" si="21"/>
        <v>-1320</v>
      </c>
      <c r="M223" s="110" t="s">
        <v>145</v>
      </c>
      <c r="N223" s="94"/>
    </row>
    <row r="224" s="39" customFormat="1" hidden="1" spans="1:14">
      <c r="A224" s="91" t="s">
        <v>152</v>
      </c>
      <c r="B224" s="92">
        <v>45605</v>
      </c>
      <c r="C224" s="93" t="s">
        <v>255</v>
      </c>
      <c r="D224" s="94" t="s">
        <v>160</v>
      </c>
      <c r="E224" s="94"/>
      <c r="F224" s="94"/>
      <c r="G224" s="100" t="s">
        <v>161</v>
      </c>
      <c r="H224" s="96">
        <v>-3</v>
      </c>
      <c r="I224" s="94">
        <v>25</v>
      </c>
      <c r="J224" s="94">
        <f t="shared" si="20"/>
        <v>-75</v>
      </c>
      <c r="K224" s="97">
        <v>10</v>
      </c>
      <c r="L224" s="97">
        <f t="shared" si="21"/>
        <v>-750</v>
      </c>
      <c r="M224" s="111" t="s">
        <v>162</v>
      </c>
      <c r="N224" s="94"/>
    </row>
    <row r="225" s="39" customFormat="1" hidden="1" spans="1:14">
      <c r="A225" s="91" t="s">
        <v>152</v>
      </c>
      <c r="B225" s="92">
        <v>45605</v>
      </c>
      <c r="C225" s="93" t="s">
        <v>255</v>
      </c>
      <c r="D225" s="94" t="s">
        <v>42</v>
      </c>
      <c r="E225" s="94"/>
      <c r="F225" s="94"/>
      <c r="G225" s="100" t="s">
        <v>43</v>
      </c>
      <c r="H225" s="96">
        <v>-2</v>
      </c>
      <c r="I225" s="94">
        <v>20</v>
      </c>
      <c r="J225" s="94">
        <f t="shared" si="20"/>
        <v>-40</v>
      </c>
      <c r="K225" s="97">
        <v>17</v>
      </c>
      <c r="L225" s="97">
        <f t="shared" si="21"/>
        <v>-680</v>
      </c>
      <c r="M225" s="111"/>
      <c r="N225" s="94">
        <f>SUM(L222:L225)</f>
        <v>-4850</v>
      </c>
    </row>
    <row r="226" s="32" customFormat="1" spans="1:14">
      <c r="A226" s="43" t="s">
        <v>126</v>
      </c>
      <c r="B226" s="53">
        <v>45612</v>
      </c>
      <c r="C226" s="54">
        <v>40</v>
      </c>
      <c r="D226" s="55">
        <v>519</v>
      </c>
      <c r="E226" s="55"/>
      <c r="F226" s="55"/>
      <c r="G226" s="56" t="s">
        <v>132</v>
      </c>
      <c r="H226" s="57">
        <v>1</v>
      </c>
      <c r="I226" s="55">
        <v>20</v>
      </c>
      <c r="J226" s="55">
        <f t="shared" si="20"/>
        <v>20</v>
      </c>
      <c r="K226" s="58">
        <v>25</v>
      </c>
      <c r="L226" s="58">
        <f t="shared" si="21"/>
        <v>500</v>
      </c>
      <c r="M226" s="44" t="s">
        <v>230</v>
      </c>
      <c r="N226" s="55"/>
    </row>
    <row r="227" s="38" customFormat="1" spans="1:14">
      <c r="A227" s="43" t="s">
        <v>126</v>
      </c>
      <c r="B227" s="53">
        <v>45612</v>
      </c>
      <c r="C227" s="54">
        <v>40</v>
      </c>
      <c r="D227" s="55" t="s">
        <v>133</v>
      </c>
      <c r="E227" s="55"/>
      <c r="F227" s="55"/>
      <c r="G227" s="56" t="s">
        <v>60</v>
      </c>
      <c r="H227" s="57">
        <v>1</v>
      </c>
      <c r="I227" s="55">
        <v>20</v>
      </c>
      <c r="J227" s="55">
        <f t="shared" si="20"/>
        <v>20</v>
      </c>
      <c r="K227" s="58">
        <v>20</v>
      </c>
      <c r="L227" s="58">
        <f t="shared" si="21"/>
        <v>400</v>
      </c>
      <c r="M227" s="83" t="s">
        <v>212</v>
      </c>
      <c r="N227" s="55">
        <f>SUM(L226:L227)</f>
        <v>900</v>
      </c>
    </row>
    <row r="228" s="33" customFormat="1" spans="1:14">
      <c r="A228" s="60" t="s">
        <v>126</v>
      </c>
      <c r="B228" s="61">
        <v>45614</v>
      </c>
      <c r="C228" s="62">
        <v>48</v>
      </c>
      <c r="D228" s="63"/>
      <c r="E228" s="63"/>
      <c r="F228" s="63"/>
      <c r="G228" s="64" t="s">
        <v>256</v>
      </c>
      <c r="H228" s="65">
        <v>1</v>
      </c>
      <c r="I228" s="63">
        <v>4</v>
      </c>
      <c r="J228" s="63">
        <f t="shared" si="20"/>
        <v>4</v>
      </c>
      <c r="K228" s="66">
        <v>20</v>
      </c>
      <c r="L228" s="66">
        <f t="shared" si="21"/>
        <v>80</v>
      </c>
      <c r="M228" s="34"/>
      <c r="N228" s="63"/>
    </row>
    <row r="229" s="33" customFormat="1" spans="1:14">
      <c r="A229" s="60" t="s">
        <v>126</v>
      </c>
      <c r="B229" s="61">
        <v>45614</v>
      </c>
      <c r="C229" s="62">
        <v>48</v>
      </c>
      <c r="D229" s="63">
        <v>519</v>
      </c>
      <c r="E229" s="63"/>
      <c r="F229" s="63"/>
      <c r="G229" s="64" t="s">
        <v>132</v>
      </c>
      <c r="H229" s="65">
        <v>3</v>
      </c>
      <c r="I229" s="63">
        <v>21</v>
      </c>
      <c r="J229" s="63">
        <f t="shared" si="20"/>
        <v>63</v>
      </c>
      <c r="K229" s="66">
        <v>25</v>
      </c>
      <c r="L229" s="66">
        <f t="shared" si="21"/>
        <v>1575</v>
      </c>
      <c r="M229" s="34" t="s">
        <v>257</v>
      </c>
      <c r="N229" s="63"/>
    </row>
    <row r="230" s="35" customFormat="1" spans="1:14">
      <c r="A230" s="60" t="s">
        <v>126</v>
      </c>
      <c r="B230" s="61">
        <v>45614</v>
      </c>
      <c r="C230" s="62">
        <v>48</v>
      </c>
      <c r="D230" s="63" t="s">
        <v>133</v>
      </c>
      <c r="E230" s="63"/>
      <c r="F230" s="63"/>
      <c r="G230" s="64" t="s">
        <v>60</v>
      </c>
      <c r="H230" s="65">
        <v>2</v>
      </c>
      <c r="I230" s="63">
        <v>20</v>
      </c>
      <c r="J230" s="63">
        <f t="shared" si="20"/>
        <v>40</v>
      </c>
      <c r="K230" s="66">
        <v>20</v>
      </c>
      <c r="L230" s="66">
        <f t="shared" si="21"/>
        <v>800</v>
      </c>
      <c r="M230" s="90" t="s">
        <v>44</v>
      </c>
      <c r="N230" s="63"/>
    </row>
    <row r="231" s="38" customFormat="1" hidden="1" spans="1:14">
      <c r="A231" s="43" t="s">
        <v>13</v>
      </c>
      <c r="B231" s="68">
        <v>45614</v>
      </c>
      <c r="C231" s="54">
        <v>49</v>
      </c>
      <c r="D231" s="55" t="s">
        <v>45</v>
      </c>
      <c r="E231" s="55"/>
      <c r="F231" s="55"/>
      <c r="G231" s="56" t="s">
        <v>46</v>
      </c>
      <c r="H231" s="57">
        <v>1</v>
      </c>
      <c r="I231" s="55">
        <v>10</v>
      </c>
      <c r="J231" s="55">
        <f t="shared" si="20"/>
        <v>10</v>
      </c>
      <c r="K231" s="58">
        <v>17</v>
      </c>
      <c r="L231" s="58">
        <f t="shared" si="21"/>
        <v>170</v>
      </c>
      <c r="M231" s="44"/>
      <c r="N231" s="55"/>
    </row>
    <row r="232" s="33" customFormat="1" spans="1:14">
      <c r="A232" s="60" t="s">
        <v>126</v>
      </c>
      <c r="B232" s="61">
        <v>45614</v>
      </c>
      <c r="C232" s="62"/>
      <c r="D232" s="63" t="s">
        <v>172</v>
      </c>
      <c r="E232" s="63"/>
      <c r="F232" s="63"/>
      <c r="G232" s="64" t="s">
        <v>258</v>
      </c>
      <c r="H232" s="112">
        <v>1</v>
      </c>
      <c r="I232" s="63">
        <v>1</v>
      </c>
      <c r="J232" s="63">
        <f t="shared" si="20"/>
        <v>1</v>
      </c>
      <c r="K232" s="66"/>
      <c r="L232" s="66"/>
      <c r="M232" s="34" t="s">
        <v>259</v>
      </c>
      <c r="N232" s="63"/>
    </row>
    <row r="233" s="33" customFormat="1" spans="1:14">
      <c r="A233" s="60" t="s">
        <v>126</v>
      </c>
      <c r="B233" s="61">
        <v>45614</v>
      </c>
      <c r="C233" s="62"/>
      <c r="D233" s="63" t="s">
        <v>260</v>
      </c>
      <c r="E233" s="63"/>
      <c r="F233" s="63"/>
      <c r="G233" s="64" t="s">
        <v>261</v>
      </c>
      <c r="H233" s="112">
        <v>1</v>
      </c>
      <c r="I233" s="63">
        <v>1</v>
      </c>
      <c r="J233" s="63">
        <f t="shared" si="20"/>
        <v>1</v>
      </c>
      <c r="K233" s="66"/>
      <c r="L233" s="66"/>
      <c r="M233" s="34" t="s">
        <v>259</v>
      </c>
      <c r="N233" s="63"/>
    </row>
    <row r="234" s="35" customFormat="1" spans="1:14">
      <c r="A234" s="60" t="s">
        <v>126</v>
      </c>
      <c r="B234" s="61">
        <v>45614</v>
      </c>
      <c r="C234" s="62"/>
      <c r="D234" s="63" t="s">
        <v>262</v>
      </c>
      <c r="E234" s="63"/>
      <c r="F234" s="63"/>
      <c r="G234" s="64" t="s">
        <v>263</v>
      </c>
      <c r="H234" s="112">
        <v>1</v>
      </c>
      <c r="I234" s="63">
        <v>1</v>
      </c>
      <c r="J234" s="63">
        <f t="shared" si="20"/>
        <v>1</v>
      </c>
      <c r="K234" s="66"/>
      <c r="L234" s="66"/>
      <c r="M234" s="34" t="s">
        <v>259</v>
      </c>
      <c r="N234" s="63">
        <f>SUM(L228:L234)</f>
        <v>2625</v>
      </c>
    </row>
    <row r="235" s="38" customFormat="1" hidden="1" spans="1:14">
      <c r="A235" s="43" t="s">
        <v>13</v>
      </c>
      <c r="B235" s="68">
        <v>45612</v>
      </c>
      <c r="C235" s="54">
        <v>49</v>
      </c>
      <c r="D235" s="55" t="s">
        <v>45</v>
      </c>
      <c r="E235" s="55"/>
      <c r="F235" s="55"/>
      <c r="G235" s="56" t="s">
        <v>46</v>
      </c>
      <c r="H235" s="57">
        <v>1</v>
      </c>
      <c r="I235" s="55">
        <v>10</v>
      </c>
      <c r="J235" s="55">
        <f t="shared" si="20"/>
        <v>10</v>
      </c>
      <c r="K235" s="58">
        <v>17</v>
      </c>
      <c r="L235" s="58">
        <f t="shared" ref="L235:L256" si="22">J235*K235</f>
        <v>170</v>
      </c>
      <c r="M235" s="44"/>
      <c r="N235" s="55"/>
    </row>
    <row r="236" s="33" customFormat="1" hidden="1" spans="1:14">
      <c r="A236" s="60" t="s">
        <v>76</v>
      </c>
      <c r="B236" s="61">
        <v>45616</v>
      </c>
      <c r="C236" s="62">
        <v>58</v>
      </c>
      <c r="D236" s="63" t="s">
        <v>77</v>
      </c>
      <c r="E236" s="63"/>
      <c r="F236" s="63"/>
      <c r="G236" s="72" t="s">
        <v>78</v>
      </c>
      <c r="H236" s="65">
        <v>1</v>
      </c>
      <c r="I236" s="63">
        <v>25</v>
      </c>
      <c r="J236" s="63">
        <f t="shared" si="20"/>
        <v>25</v>
      </c>
      <c r="K236" s="66">
        <v>14</v>
      </c>
      <c r="L236" s="66">
        <f t="shared" si="22"/>
        <v>350</v>
      </c>
      <c r="M236" s="34"/>
      <c r="N236" s="63">
        <f>SUM(L235:L236)</f>
        <v>520</v>
      </c>
    </row>
    <row r="237" s="38" customFormat="1" hidden="1" spans="1:14">
      <c r="A237" s="43" t="s">
        <v>13</v>
      </c>
      <c r="B237" s="68">
        <v>45617</v>
      </c>
      <c r="C237" s="54">
        <v>64</v>
      </c>
      <c r="D237" s="55" t="s">
        <v>42</v>
      </c>
      <c r="E237" s="55"/>
      <c r="F237" s="55"/>
      <c r="G237" s="56" t="s">
        <v>43</v>
      </c>
      <c r="H237" s="57">
        <v>1</v>
      </c>
      <c r="I237" s="55">
        <v>20</v>
      </c>
      <c r="J237" s="55">
        <f t="shared" si="20"/>
        <v>20</v>
      </c>
      <c r="K237" s="58">
        <v>17</v>
      </c>
      <c r="L237" s="58">
        <f t="shared" si="22"/>
        <v>340</v>
      </c>
      <c r="M237" s="44"/>
      <c r="N237" s="55"/>
    </row>
    <row r="238" s="35" customFormat="1" spans="1:14">
      <c r="A238" s="34" t="s">
        <v>126</v>
      </c>
      <c r="B238" s="70">
        <v>45619</v>
      </c>
      <c r="C238" s="62">
        <v>70</v>
      </c>
      <c r="D238" s="63" t="s">
        <v>236</v>
      </c>
      <c r="E238" s="63"/>
      <c r="F238" s="63"/>
      <c r="G238" s="64" t="s">
        <v>130</v>
      </c>
      <c r="H238" s="65">
        <v>5</v>
      </c>
      <c r="I238" s="63">
        <v>25</v>
      </c>
      <c r="J238" s="63">
        <f t="shared" si="20"/>
        <v>125</v>
      </c>
      <c r="K238" s="66">
        <v>11.5</v>
      </c>
      <c r="L238" s="66">
        <f t="shared" si="22"/>
        <v>1437.5</v>
      </c>
      <c r="M238" s="90"/>
      <c r="N238" s="63"/>
    </row>
    <row r="239" s="32" customFormat="1" spans="1:14">
      <c r="A239" s="43" t="s">
        <v>126</v>
      </c>
      <c r="B239" s="53">
        <v>45621</v>
      </c>
      <c r="C239" s="54">
        <v>73</v>
      </c>
      <c r="D239" s="55">
        <v>4680</v>
      </c>
      <c r="E239" s="55"/>
      <c r="F239" s="55"/>
      <c r="G239" s="69" t="s">
        <v>179</v>
      </c>
      <c r="H239" s="57">
        <v>4</v>
      </c>
      <c r="I239" s="55">
        <v>25</v>
      </c>
      <c r="J239" s="55">
        <f t="shared" si="20"/>
        <v>100</v>
      </c>
      <c r="K239" s="58">
        <v>20</v>
      </c>
      <c r="L239" s="58">
        <f t="shared" si="22"/>
        <v>2000</v>
      </c>
      <c r="M239" s="44"/>
      <c r="N239" s="55"/>
    </row>
    <row r="240" s="38" customFormat="1" spans="1:14">
      <c r="A240" s="43" t="s">
        <v>126</v>
      </c>
      <c r="B240" s="53">
        <v>45621</v>
      </c>
      <c r="C240" s="54">
        <v>73</v>
      </c>
      <c r="D240" s="55" t="s">
        <v>248</v>
      </c>
      <c r="E240" s="55"/>
      <c r="F240" s="55"/>
      <c r="G240" s="56" t="s">
        <v>54</v>
      </c>
      <c r="H240" s="57">
        <v>4</v>
      </c>
      <c r="I240" s="55">
        <v>20</v>
      </c>
      <c r="J240" s="55">
        <f t="shared" si="20"/>
        <v>80</v>
      </c>
      <c r="K240" s="58">
        <v>20</v>
      </c>
      <c r="L240" s="58">
        <f t="shared" si="22"/>
        <v>1600</v>
      </c>
      <c r="M240" s="83" t="s">
        <v>249</v>
      </c>
      <c r="N240" s="55">
        <f>SUM(L239:L240)</f>
        <v>3600</v>
      </c>
    </row>
    <row r="241" s="33" customFormat="1" hidden="1" spans="1:14">
      <c r="A241" s="34" t="s">
        <v>13</v>
      </c>
      <c r="B241" s="70">
        <v>45625</v>
      </c>
      <c r="C241" s="62">
        <v>91</v>
      </c>
      <c r="D241" s="63">
        <v>403</v>
      </c>
      <c r="E241" s="63"/>
      <c r="F241" s="63"/>
      <c r="G241" s="64" t="s">
        <v>56</v>
      </c>
      <c r="H241" s="65">
        <v>1</v>
      </c>
      <c r="I241" s="63">
        <v>20</v>
      </c>
      <c r="J241" s="63">
        <f t="shared" si="20"/>
        <v>20</v>
      </c>
      <c r="K241" s="66">
        <v>22</v>
      </c>
      <c r="L241" s="66">
        <f t="shared" si="22"/>
        <v>440</v>
      </c>
      <c r="M241" s="34"/>
      <c r="N241" s="63"/>
    </row>
    <row r="242" s="35" customFormat="1" hidden="1" spans="1:14">
      <c r="A242" s="34" t="s">
        <v>13</v>
      </c>
      <c r="B242" s="70">
        <v>45625</v>
      </c>
      <c r="C242" s="62">
        <v>91</v>
      </c>
      <c r="D242" s="63" t="s">
        <v>45</v>
      </c>
      <c r="E242" s="63"/>
      <c r="F242" s="63"/>
      <c r="G242" s="64" t="s">
        <v>46</v>
      </c>
      <c r="H242" s="65">
        <v>1</v>
      </c>
      <c r="I242" s="63">
        <v>26</v>
      </c>
      <c r="J242" s="63">
        <f t="shared" si="20"/>
        <v>26</v>
      </c>
      <c r="K242" s="66">
        <v>17</v>
      </c>
      <c r="L242" s="66">
        <f t="shared" si="22"/>
        <v>442</v>
      </c>
      <c r="M242" s="34"/>
      <c r="N242" s="63"/>
    </row>
    <row r="243" s="33" customFormat="1" ht="19" hidden="1" customHeight="1" spans="1:14">
      <c r="A243" s="34" t="s">
        <v>13</v>
      </c>
      <c r="B243" s="70">
        <v>45625</v>
      </c>
      <c r="C243" s="62">
        <v>91</v>
      </c>
      <c r="D243" s="63" t="s">
        <v>57</v>
      </c>
      <c r="E243" s="63"/>
      <c r="F243" s="63"/>
      <c r="G243" s="64" t="s">
        <v>58</v>
      </c>
      <c r="H243" s="65">
        <v>1</v>
      </c>
      <c r="I243" s="63">
        <v>7</v>
      </c>
      <c r="J243" s="63">
        <f t="shared" si="20"/>
        <v>7</v>
      </c>
      <c r="K243" s="66">
        <v>17</v>
      </c>
      <c r="L243" s="66">
        <f t="shared" si="22"/>
        <v>119</v>
      </c>
      <c r="M243" s="73" t="s">
        <v>251</v>
      </c>
      <c r="N243" s="63"/>
    </row>
    <row r="244" s="38" customFormat="1" hidden="1" spans="1:14">
      <c r="A244" s="34" t="s">
        <v>13</v>
      </c>
      <c r="B244" s="70">
        <v>45625</v>
      </c>
      <c r="C244" s="62">
        <v>91</v>
      </c>
      <c r="D244" s="63" t="s">
        <v>53</v>
      </c>
      <c r="E244" s="63"/>
      <c r="F244" s="63"/>
      <c r="G244" s="64" t="s">
        <v>54</v>
      </c>
      <c r="H244" s="65">
        <v>1</v>
      </c>
      <c r="I244" s="63">
        <v>20</v>
      </c>
      <c r="J244" s="63">
        <f t="shared" si="20"/>
        <v>20</v>
      </c>
      <c r="K244" s="66">
        <v>17</v>
      </c>
      <c r="L244" s="66">
        <f t="shared" si="22"/>
        <v>340</v>
      </c>
      <c r="M244" s="83" t="s">
        <v>249</v>
      </c>
      <c r="N244" s="55"/>
    </row>
    <row r="245" s="38" customFormat="1" hidden="1" spans="1:14">
      <c r="A245" s="34" t="s">
        <v>13</v>
      </c>
      <c r="B245" s="70">
        <v>45625</v>
      </c>
      <c r="C245" s="62">
        <v>91</v>
      </c>
      <c r="D245" s="63" t="s">
        <v>59</v>
      </c>
      <c r="E245" s="63"/>
      <c r="F245" s="63"/>
      <c r="G245" s="64" t="s">
        <v>60</v>
      </c>
      <c r="H245" s="65">
        <v>1</v>
      </c>
      <c r="I245" s="63">
        <v>20</v>
      </c>
      <c r="J245" s="63">
        <f t="shared" si="20"/>
        <v>20</v>
      </c>
      <c r="K245" s="66">
        <v>17</v>
      </c>
      <c r="L245" s="66">
        <f t="shared" si="22"/>
        <v>340</v>
      </c>
      <c r="M245" s="83" t="s">
        <v>264</v>
      </c>
      <c r="N245" s="55">
        <f>SUM(L241:L245)</f>
        <v>1681</v>
      </c>
    </row>
    <row r="246" s="38" customFormat="1" hidden="1" spans="1:14">
      <c r="A246" s="43" t="s">
        <v>13</v>
      </c>
      <c r="B246" s="68">
        <v>45630</v>
      </c>
      <c r="C246" s="54">
        <v>10</v>
      </c>
      <c r="D246" s="55" t="s">
        <v>45</v>
      </c>
      <c r="E246" s="55"/>
      <c r="F246" s="55"/>
      <c r="G246" s="56" t="s">
        <v>46</v>
      </c>
      <c r="H246" s="57">
        <v>1</v>
      </c>
      <c r="I246" s="55">
        <v>25</v>
      </c>
      <c r="J246" s="55">
        <f t="shared" si="20"/>
        <v>25</v>
      </c>
      <c r="K246" s="58">
        <v>17</v>
      </c>
      <c r="L246" s="58">
        <f t="shared" si="22"/>
        <v>425</v>
      </c>
      <c r="M246" s="44"/>
      <c r="N246" s="55"/>
    </row>
    <row r="247" s="38" customFormat="1" hidden="1" spans="1:14">
      <c r="A247" s="43" t="s">
        <v>13</v>
      </c>
      <c r="B247" s="68">
        <v>45630</v>
      </c>
      <c r="C247" s="54">
        <v>10</v>
      </c>
      <c r="D247" s="55" t="s">
        <v>53</v>
      </c>
      <c r="E247" s="55"/>
      <c r="F247" s="55"/>
      <c r="G247" s="56" t="s">
        <v>54</v>
      </c>
      <c r="H247" s="57">
        <v>1</v>
      </c>
      <c r="I247" s="55">
        <v>20</v>
      </c>
      <c r="J247" s="55">
        <f t="shared" si="20"/>
        <v>20</v>
      </c>
      <c r="K247" s="58">
        <v>17</v>
      </c>
      <c r="L247" s="58">
        <f t="shared" si="22"/>
        <v>340</v>
      </c>
      <c r="M247" s="83" t="s">
        <v>249</v>
      </c>
      <c r="N247" s="55"/>
    </row>
    <row r="248" s="33" customFormat="1" hidden="1" spans="1:14">
      <c r="A248" s="60" t="s">
        <v>66</v>
      </c>
      <c r="B248" s="70">
        <v>45632</v>
      </c>
      <c r="C248" s="62">
        <v>15</v>
      </c>
      <c r="D248" s="63" t="s">
        <v>69</v>
      </c>
      <c r="E248" s="63"/>
      <c r="F248" s="63"/>
      <c r="G248" s="72" t="s">
        <v>70</v>
      </c>
      <c r="H248" s="65">
        <v>1</v>
      </c>
      <c r="I248" s="63">
        <v>24</v>
      </c>
      <c r="J248" s="63">
        <f t="shared" si="20"/>
        <v>24</v>
      </c>
      <c r="K248" s="66">
        <v>18.5</v>
      </c>
      <c r="L248" s="66">
        <f t="shared" si="22"/>
        <v>444</v>
      </c>
      <c r="M248" s="34"/>
      <c r="N248" s="63"/>
    </row>
    <row r="249" s="33" customFormat="1" hidden="1" spans="1:14">
      <c r="A249" s="60" t="s">
        <v>66</v>
      </c>
      <c r="B249" s="70">
        <v>45632</v>
      </c>
      <c r="C249" s="62">
        <v>15</v>
      </c>
      <c r="D249" s="63" t="s">
        <v>225</v>
      </c>
      <c r="E249" s="63"/>
      <c r="F249" s="63"/>
      <c r="G249" s="72" t="s">
        <v>101</v>
      </c>
      <c r="H249" s="65">
        <v>1</v>
      </c>
      <c r="I249" s="63">
        <v>25</v>
      </c>
      <c r="J249" s="63">
        <f t="shared" si="20"/>
        <v>25</v>
      </c>
      <c r="K249" s="66">
        <v>18.5</v>
      </c>
      <c r="L249" s="66">
        <f t="shared" si="22"/>
        <v>462.5</v>
      </c>
      <c r="M249" s="34" t="s">
        <v>226</v>
      </c>
      <c r="N249" s="63"/>
    </row>
    <row r="250" s="33" customFormat="1" hidden="1" spans="1:14">
      <c r="A250" s="60" t="s">
        <v>66</v>
      </c>
      <c r="B250" s="70">
        <v>45632</v>
      </c>
      <c r="C250" s="62">
        <v>15</v>
      </c>
      <c r="D250" s="102" t="s">
        <v>227</v>
      </c>
      <c r="E250" s="67"/>
      <c r="F250" s="67"/>
      <c r="G250" s="71" t="s">
        <v>60</v>
      </c>
      <c r="H250" s="65">
        <v>4</v>
      </c>
      <c r="I250" s="63">
        <v>10</v>
      </c>
      <c r="J250" s="63">
        <f t="shared" si="20"/>
        <v>40</v>
      </c>
      <c r="K250" s="66">
        <v>18.5</v>
      </c>
      <c r="L250" s="66">
        <f t="shared" si="22"/>
        <v>740</v>
      </c>
      <c r="M250" s="34"/>
      <c r="N250" s="63"/>
    </row>
    <row r="251" s="40" customFormat="1" hidden="1" spans="1:14">
      <c r="A251" s="60" t="s">
        <v>66</v>
      </c>
      <c r="B251" s="70">
        <v>45632</v>
      </c>
      <c r="C251" s="62">
        <v>15</v>
      </c>
      <c r="D251" s="102" t="s">
        <v>67</v>
      </c>
      <c r="E251" s="67"/>
      <c r="F251" s="67"/>
      <c r="G251" s="71" t="s">
        <v>68</v>
      </c>
      <c r="H251" s="65">
        <v>1</v>
      </c>
      <c r="I251" s="63">
        <v>30</v>
      </c>
      <c r="J251" s="63">
        <f t="shared" si="20"/>
        <v>30</v>
      </c>
      <c r="K251" s="66">
        <v>8.7</v>
      </c>
      <c r="L251" s="66">
        <f t="shared" si="22"/>
        <v>261</v>
      </c>
      <c r="M251" s="33" t="s">
        <v>265</v>
      </c>
      <c r="N251" s="94">
        <f>SUM(L248:L251)</f>
        <v>1907.5</v>
      </c>
    </row>
    <row r="252" s="32" customFormat="1" spans="1:14">
      <c r="A252" s="44" t="s">
        <v>126</v>
      </c>
      <c r="B252" s="53">
        <v>45632</v>
      </c>
      <c r="C252" s="54">
        <v>16</v>
      </c>
      <c r="D252" s="103">
        <v>9804</v>
      </c>
      <c r="E252" s="43"/>
      <c r="F252" s="43"/>
      <c r="G252" s="98" t="s">
        <v>68</v>
      </c>
      <c r="H252" s="57">
        <v>20</v>
      </c>
      <c r="I252" s="55">
        <v>28</v>
      </c>
      <c r="J252" s="55">
        <f t="shared" si="20"/>
        <v>560</v>
      </c>
      <c r="K252" s="58">
        <v>9.5</v>
      </c>
      <c r="L252" s="58">
        <f t="shared" si="22"/>
        <v>5320</v>
      </c>
      <c r="M252" s="56"/>
      <c r="N252" s="55"/>
    </row>
    <row r="253" s="35" customFormat="1" spans="1:14">
      <c r="A253" s="34" t="s">
        <v>126</v>
      </c>
      <c r="B253" s="61">
        <v>45633</v>
      </c>
      <c r="C253" s="62">
        <v>24</v>
      </c>
      <c r="D253" s="105" t="s">
        <v>266</v>
      </c>
      <c r="E253" s="60"/>
      <c r="F253" s="60"/>
      <c r="G253" s="113" t="s">
        <v>267</v>
      </c>
      <c r="H253" s="65">
        <v>1</v>
      </c>
      <c r="I253" s="63">
        <v>20</v>
      </c>
      <c r="J253" s="63">
        <f t="shared" si="20"/>
        <v>20</v>
      </c>
      <c r="K253" s="66">
        <v>25</v>
      </c>
      <c r="L253" s="66">
        <f t="shared" si="22"/>
        <v>500</v>
      </c>
      <c r="M253" s="90"/>
      <c r="N253" s="63"/>
    </row>
    <row r="254" s="35" customFormat="1" spans="1:14">
      <c r="A254" s="60" t="s">
        <v>126</v>
      </c>
      <c r="B254" s="61">
        <v>45633</v>
      </c>
      <c r="C254" s="62">
        <v>24</v>
      </c>
      <c r="D254" s="63" t="s">
        <v>133</v>
      </c>
      <c r="E254" s="63"/>
      <c r="F254" s="63"/>
      <c r="G254" s="64" t="s">
        <v>60</v>
      </c>
      <c r="H254" s="65">
        <v>1</v>
      </c>
      <c r="I254" s="63">
        <v>20</v>
      </c>
      <c r="J254" s="63">
        <f t="shared" si="20"/>
        <v>20</v>
      </c>
      <c r="K254" s="66">
        <v>20</v>
      </c>
      <c r="L254" s="66">
        <f t="shared" si="22"/>
        <v>400</v>
      </c>
      <c r="M254" s="90"/>
      <c r="N254" s="63">
        <f t="shared" ref="N254:N259" si="23">SUM(L253:L254)</f>
        <v>900</v>
      </c>
    </row>
    <row r="255" s="38" customFormat="1" spans="1:14">
      <c r="A255" s="43" t="s">
        <v>126</v>
      </c>
      <c r="B255" s="53">
        <v>45636</v>
      </c>
      <c r="C255" s="54">
        <v>29</v>
      </c>
      <c r="D255" s="55" t="s">
        <v>248</v>
      </c>
      <c r="E255" s="55"/>
      <c r="F255" s="55"/>
      <c r="G255" s="56" t="s">
        <v>54</v>
      </c>
      <c r="H255" s="57">
        <v>5</v>
      </c>
      <c r="I255" s="55">
        <v>20</v>
      </c>
      <c r="J255" s="55">
        <f t="shared" si="20"/>
        <v>100</v>
      </c>
      <c r="K255" s="58">
        <v>20</v>
      </c>
      <c r="L255" s="58">
        <f t="shared" si="22"/>
        <v>2000</v>
      </c>
      <c r="M255" s="83"/>
      <c r="N255" s="55">
        <f t="shared" si="23"/>
        <v>2400</v>
      </c>
    </row>
    <row r="256" s="33" customFormat="1" spans="1:14">
      <c r="A256" s="60" t="s">
        <v>126</v>
      </c>
      <c r="B256" s="61">
        <v>45639</v>
      </c>
      <c r="C256" s="62" t="s">
        <v>239</v>
      </c>
      <c r="D256" s="63" t="s">
        <v>175</v>
      </c>
      <c r="E256" s="63"/>
      <c r="F256" s="63"/>
      <c r="G256" s="72" t="s">
        <v>176</v>
      </c>
      <c r="H256" s="65">
        <v>2</v>
      </c>
      <c r="I256" s="63">
        <v>20</v>
      </c>
      <c r="J256" s="55">
        <f t="shared" si="20"/>
        <v>40</v>
      </c>
      <c r="K256" s="66">
        <v>23</v>
      </c>
      <c r="L256" s="58">
        <f t="shared" si="22"/>
        <v>920</v>
      </c>
      <c r="M256" s="34"/>
      <c r="N256" s="63"/>
    </row>
    <row r="257" s="33" customFormat="1" spans="1:14">
      <c r="A257" s="60" t="s">
        <v>126</v>
      </c>
      <c r="B257" s="61">
        <v>45639</v>
      </c>
      <c r="C257" s="62" t="s">
        <v>239</v>
      </c>
      <c r="D257" s="63" t="s">
        <v>177</v>
      </c>
      <c r="E257" s="63"/>
      <c r="F257" s="63"/>
      <c r="G257" s="72" t="s">
        <v>178</v>
      </c>
      <c r="H257" s="65">
        <v>1</v>
      </c>
      <c r="I257" s="63">
        <v>20</v>
      </c>
      <c r="J257" s="55">
        <f t="shared" ref="J257:J267" si="24">H257*I257</f>
        <v>20</v>
      </c>
      <c r="K257" s="66">
        <v>23</v>
      </c>
      <c r="L257" s="58">
        <f t="shared" ref="L257:L267" si="25">J257*K257</f>
        <v>460</v>
      </c>
      <c r="M257" s="34"/>
      <c r="N257" s="63"/>
    </row>
    <row r="258" s="35" customFormat="1" spans="1:14">
      <c r="A258" s="60" t="s">
        <v>126</v>
      </c>
      <c r="B258" s="61">
        <v>45639</v>
      </c>
      <c r="C258" s="62" t="s">
        <v>239</v>
      </c>
      <c r="D258" s="63" t="s">
        <v>174</v>
      </c>
      <c r="E258" s="63"/>
      <c r="F258" s="63"/>
      <c r="G258" s="72" t="s">
        <v>209</v>
      </c>
      <c r="H258" s="65">
        <v>2</v>
      </c>
      <c r="I258" s="63">
        <v>25</v>
      </c>
      <c r="J258" s="55">
        <f t="shared" si="24"/>
        <v>50</v>
      </c>
      <c r="K258" s="66">
        <v>20</v>
      </c>
      <c r="L258" s="58">
        <f t="shared" si="25"/>
        <v>1000</v>
      </c>
      <c r="M258" s="34"/>
      <c r="N258" s="63">
        <f>SUM(L256:L258)</f>
        <v>2380</v>
      </c>
    </row>
    <row r="259" s="33" customFormat="1" hidden="1" spans="1:14">
      <c r="A259" s="60" t="s">
        <v>76</v>
      </c>
      <c r="B259" s="61">
        <v>45642</v>
      </c>
      <c r="C259" s="62">
        <v>51</v>
      </c>
      <c r="D259" s="63" t="s">
        <v>77</v>
      </c>
      <c r="E259" s="63"/>
      <c r="F259" s="63"/>
      <c r="G259" s="72" t="s">
        <v>78</v>
      </c>
      <c r="H259" s="65">
        <v>1</v>
      </c>
      <c r="I259" s="63">
        <v>25</v>
      </c>
      <c r="J259" s="63">
        <f t="shared" si="24"/>
        <v>25</v>
      </c>
      <c r="K259" s="66">
        <v>14</v>
      </c>
      <c r="L259" s="66">
        <f t="shared" si="25"/>
        <v>350</v>
      </c>
      <c r="M259" s="34"/>
      <c r="N259" s="63">
        <f t="shared" si="23"/>
        <v>1350</v>
      </c>
    </row>
    <row r="260" s="32" customFormat="1" spans="1:14">
      <c r="A260" s="44" t="s">
        <v>126</v>
      </c>
      <c r="B260" s="68">
        <v>45642</v>
      </c>
      <c r="C260" s="54">
        <v>52</v>
      </c>
      <c r="D260" s="55">
        <v>10545</v>
      </c>
      <c r="E260" s="55"/>
      <c r="F260" s="55"/>
      <c r="G260" s="56" t="s">
        <v>180</v>
      </c>
      <c r="H260" s="57">
        <v>1</v>
      </c>
      <c r="I260" s="55">
        <v>21</v>
      </c>
      <c r="J260" s="55">
        <f t="shared" si="24"/>
        <v>21</v>
      </c>
      <c r="K260" s="58">
        <v>25</v>
      </c>
      <c r="L260" s="58">
        <f t="shared" si="25"/>
        <v>525</v>
      </c>
      <c r="M260" s="44"/>
      <c r="N260" s="55"/>
    </row>
    <row r="261" s="35" customFormat="1" spans="1:14">
      <c r="A261" s="34" t="s">
        <v>126</v>
      </c>
      <c r="B261" s="70">
        <v>45645</v>
      </c>
      <c r="C261" s="62">
        <v>66</v>
      </c>
      <c r="D261" s="63" t="s">
        <v>236</v>
      </c>
      <c r="E261" s="63"/>
      <c r="F261" s="63"/>
      <c r="G261" s="64" t="s">
        <v>130</v>
      </c>
      <c r="H261" s="65">
        <v>5</v>
      </c>
      <c r="I261" s="63">
        <v>25</v>
      </c>
      <c r="J261" s="63">
        <f t="shared" si="24"/>
        <v>125</v>
      </c>
      <c r="K261" s="66">
        <v>11.5</v>
      </c>
      <c r="L261" s="66">
        <f t="shared" si="25"/>
        <v>1437.5</v>
      </c>
      <c r="M261" s="90"/>
      <c r="N261" s="63"/>
    </row>
    <row r="262" s="32" customFormat="1" hidden="1" spans="1:14">
      <c r="A262" s="43" t="s">
        <v>13</v>
      </c>
      <c r="B262" s="68">
        <v>45391</v>
      </c>
      <c r="C262" s="54">
        <v>27</v>
      </c>
      <c r="D262" s="55">
        <v>403</v>
      </c>
      <c r="E262" s="55"/>
      <c r="F262" s="55"/>
      <c r="G262" s="56" t="s">
        <v>56</v>
      </c>
      <c r="H262" s="57">
        <v>1</v>
      </c>
      <c r="I262" s="55">
        <v>20</v>
      </c>
      <c r="J262" s="55">
        <f t="shared" si="24"/>
        <v>20</v>
      </c>
      <c r="K262" s="58">
        <v>22</v>
      </c>
      <c r="L262" s="58">
        <f t="shared" si="25"/>
        <v>440</v>
      </c>
      <c r="M262" s="44"/>
      <c r="N262" s="55"/>
    </row>
    <row r="263" s="38" customFormat="1" hidden="1" spans="1:14">
      <c r="A263" s="43" t="s">
        <v>13</v>
      </c>
      <c r="B263" s="68">
        <v>45329</v>
      </c>
      <c r="C263" s="54">
        <v>7</v>
      </c>
      <c r="D263" s="55" t="s">
        <v>59</v>
      </c>
      <c r="E263" s="55"/>
      <c r="F263" s="55"/>
      <c r="G263" s="56" t="s">
        <v>60</v>
      </c>
      <c r="H263" s="57">
        <v>1</v>
      </c>
      <c r="I263" s="55">
        <v>20</v>
      </c>
      <c r="J263" s="55">
        <f t="shared" si="24"/>
        <v>20</v>
      </c>
      <c r="K263" s="58">
        <v>17</v>
      </c>
      <c r="L263" s="58">
        <f t="shared" si="25"/>
        <v>340</v>
      </c>
      <c r="M263" s="44"/>
      <c r="N263" s="55">
        <f>SUM(L262:L263)</f>
        <v>780</v>
      </c>
    </row>
    <row r="264" s="33" customFormat="1" hidden="1" spans="1:14">
      <c r="A264" s="60" t="s">
        <v>76</v>
      </c>
      <c r="B264" s="61">
        <v>45656</v>
      </c>
      <c r="C264" s="62">
        <v>99</v>
      </c>
      <c r="D264" s="63" t="s">
        <v>77</v>
      </c>
      <c r="E264" s="63"/>
      <c r="F264" s="63"/>
      <c r="G264" s="72" t="s">
        <v>78</v>
      </c>
      <c r="H264" s="65">
        <v>2</v>
      </c>
      <c r="I264" s="63">
        <v>25</v>
      </c>
      <c r="J264" s="63">
        <f t="shared" si="24"/>
        <v>50</v>
      </c>
      <c r="K264" s="66">
        <v>14</v>
      </c>
      <c r="L264" s="66">
        <f t="shared" si="25"/>
        <v>700</v>
      </c>
      <c r="M264" s="34"/>
      <c r="N264" s="63">
        <f>SUM(L263:L264)</f>
        <v>1040</v>
      </c>
    </row>
    <row r="265" s="40" customFormat="1" ht="19" hidden="1" customHeight="1" spans="1:14">
      <c r="A265" s="73"/>
      <c r="B265" s="99"/>
      <c r="C265" s="93"/>
      <c r="D265" s="91"/>
      <c r="E265" s="91"/>
      <c r="F265" s="91"/>
      <c r="G265" s="100" t="s">
        <v>268</v>
      </c>
      <c r="H265" s="96"/>
      <c r="I265" s="94"/>
      <c r="J265" s="94"/>
      <c r="K265" s="97"/>
      <c r="L265" s="97"/>
      <c r="M265" s="73"/>
      <c r="N265" s="94"/>
    </row>
    <row r="266" s="35" customFormat="1" hidden="1" spans="1:14">
      <c r="A266" s="60" t="s">
        <v>13</v>
      </c>
      <c r="B266" s="70">
        <v>45661</v>
      </c>
      <c r="C266" s="62">
        <v>13</v>
      </c>
      <c r="D266" s="63">
        <v>3712</v>
      </c>
      <c r="E266" s="63"/>
      <c r="F266" s="63"/>
      <c r="G266" s="64" t="s">
        <v>41</v>
      </c>
      <c r="H266" s="65">
        <v>1</v>
      </c>
      <c r="I266" s="63">
        <v>25</v>
      </c>
      <c r="J266" s="63">
        <f>H266*I266</f>
        <v>25</v>
      </c>
      <c r="K266" s="66">
        <v>12</v>
      </c>
      <c r="L266" s="66">
        <f>J266*K266</f>
        <v>300</v>
      </c>
      <c r="M266" s="34"/>
      <c r="N266" s="63"/>
    </row>
    <row r="267" s="35" customFormat="1" ht="21" hidden="1" customHeight="1" spans="1:14">
      <c r="A267" s="60" t="s">
        <v>13</v>
      </c>
      <c r="B267" s="70">
        <v>45661</v>
      </c>
      <c r="C267" s="62">
        <v>13</v>
      </c>
      <c r="D267" s="63" t="s">
        <v>42</v>
      </c>
      <c r="E267" s="63"/>
      <c r="F267" s="63"/>
      <c r="G267" s="64" t="s">
        <v>43</v>
      </c>
      <c r="H267" s="65">
        <v>1</v>
      </c>
      <c r="I267" s="63">
        <v>20</v>
      </c>
      <c r="J267" s="63">
        <f>H267*I267</f>
        <v>20</v>
      </c>
      <c r="K267" s="66">
        <v>17</v>
      </c>
      <c r="L267" s="66">
        <f>J267*K267</f>
        <v>340</v>
      </c>
      <c r="M267" s="90" t="s">
        <v>44</v>
      </c>
      <c r="N267" s="63">
        <f>SUM(L266:L267)</f>
        <v>640</v>
      </c>
    </row>
    <row r="268" s="38" customFormat="1" hidden="1" spans="1:14">
      <c r="A268" s="43" t="s">
        <v>13</v>
      </c>
      <c r="B268" s="68">
        <v>45663</v>
      </c>
      <c r="C268" s="54">
        <v>19</v>
      </c>
      <c r="D268" s="55" t="s">
        <v>45</v>
      </c>
      <c r="E268" s="55"/>
      <c r="F268" s="55"/>
      <c r="G268" s="56" t="s">
        <v>46</v>
      </c>
      <c r="H268" s="57">
        <v>1</v>
      </c>
      <c r="I268" s="55">
        <v>6</v>
      </c>
      <c r="J268" s="55">
        <f t="shared" ref="J268:J278" si="26">H268*I268</f>
        <v>6</v>
      </c>
      <c r="K268" s="58">
        <v>17</v>
      </c>
      <c r="L268" s="58">
        <f>J268*K268</f>
        <v>102</v>
      </c>
      <c r="M268" s="44"/>
      <c r="N268" s="55"/>
    </row>
    <row r="269" s="38" customFormat="1" hidden="1" spans="1:14">
      <c r="A269" s="43" t="s">
        <v>13</v>
      </c>
      <c r="B269" s="68">
        <v>45663</v>
      </c>
      <c r="C269" s="54">
        <v>19</v>
      </c>
      <c r="D269" s="55" t="s">
        <v>47</v>
      </c>
      <c r="E269" s="55"/>
      <c r="F269" s="55"/>
      <c r="G269" s="56" t="s">
        <v>48</v>
      </c>
      <c r="H269" s="57">
        <v>1</v>
      </c>
      <c r="I269" s="55">
        <v>26</v>
      </c>
      <c r="J269" s="55">
        <f t="shared" si="26"/>
        <v>26</v>
      </c>
      <c r="K269" s="58">
        <v>17</v>
      </c>
      <c r="L269" s="58">
        <f t="shared" ref="L268:L273" si="27">J269*K269</f>
        <v>442</v>
      </c>
      <c r="M269" s="44"/>
      <c r="N269" s="55"/>
    </row>
    <row r="270" s="38" customFormat="1" hidden="1" spans="1:14">
      <c r="A270" s="43" t="s">
        <v>13</v>
      </c>
      <c r="B270" s="68">
        <v>45663</v>
      </c>
      <c r="C270" s="54">
        <v>19</v>
      </c>
      <c r="D270" s="55" t="s">
        <v>47</v>
      </c>
      <c r="E270" s="55"/>
      <c r="F270" s="55"/>
      <c r="G270" s="56" t="s">
        <v>48</v>
      </c>
      <c r="H270" s="57">
        <v>1</v>
      </c>
      <c r="I270" s="55">
        <v>25</v>
      </c>
      <c r="J270" s="55">
        <f t="shared" si="26"/>
        <v>25</v>
      </c>
      <c r="K270" s="58">
        <v>17</v>
      </c>
      <c r="L270" s="58">
        <f t="shared" si="27"/>
        <v>425</v>
      </c>
      <c r="M270" s="44"/>
      <c r="N270" s="55"/>
    </row>
    <row r="271" s="32" customFormat="1" hidden="1" spans="1:14">
      <c r="A271" s="43" t="s">
        <v>13</v>
      </c>
      <c r="B271" s="68">
        <v>45663</v>
      </c>
      <c r="C271" s="54">
        <v>19</v>
      </c>
      <c r="D271" s="55" t="s">
        <v>49</v>
      </c>
      <c r="E271" s="55"/>
      <c r="F271" s="55"/>
      <c r="G271" s="56" t="s">
        <v>50</v>
      </c>
      <c r="H271" s="57">
        <v>1</v>
      </c>
      <c r="I271" s="55">
        <v>20</v>
      </c>
      <c r="J271" s="55">
        <f t="shared" si="26"/>
        <v>20</v>
      </c>
      <c r="K271" s="58">
        <v>22</v>
      </c>
      <c r="L271" s="58">
        <f t="shared" si="27"/>
        <v>440</v>
      </c>
      <c r="M271" s="44"/>
      <c r="N271" s="55"/>
    </row>
    <row r="272" s="32" customFormat="1" ht="19" hidden="1" customHeight="1" spans="1:14">
      <c r="A272" s="114" t="s">
        <v>13</v>
      </c>
      <c r="B272" s="68">
        <v>45663</v>
      </c>
      <c r="C272" s="54">
        <v>19</v>
      </c>
      <c r="D272" s="55" t="s">
        <v>51</v>
      </c>
      <c r="E272" s="55"/>
      <c r="F272" s="55"/>
      <c r="G272" s="56" t="s">
        <v>52</v>
      </c>
      <c r="H272" s="57">
        <v>1</v>
      </c>
      <c r="I272" s="55">
        <v>25</v>
      </c>
      <c r="J272" s="55">
        <f t="shared" si="26"/>
        <v>25</v>
      </c>
      <c r="K272" s="58">
        <v>17</v>
      </c>
      <c r="L272" s="58">
        <f t="shared" si="27"/>
        <v>425</v>
      </c>
      <c r="M272" s="44"/>
      <c r="N272" s="55"/>
    </row>
    <row r="273" s="38" customFormat="1" hidden="1" spans="1:14">
      <c r="A273" s="43" t="s">
        <v>13</v>
      </c>
      <c r="B273" s="68">
        <v>45663</v>
      </c>
      <c r="C273" s="54">
        <v>19</v>
      </c>
      <c r="D273" s="55" t="s">
        <v>53</v>
      </c>
      <c r="E273" s="55"/>
      <c r="F273" s="55"/>
      <c r="G273" s="56" t="s">
        <v>54</v>
      </c>
      <c r="H273" s="57">
        <v>4</v>
      </c>
      <c r="I273" s="55">
        <v>20</v>
      </c>
      <c r="J273" s="55">
        <f t="shared" si="26"/>
        <v>80</v>
      </c>
      <c r="K273" s="58">
        <v>17</v>
      </c>
      <c r="L273" s="58">
        <f t="shared" si="27"/>
        <v>1360</v>
      </c>
      <c r="M273" s="44"/>
      <c r="N273" s="55">
        <f>SUM(L268:L273)</f>
        <v>3194</v>
      </c>
    </row>
    <row r="274" s="38" customFormat="1" spans="1:14">
      <c r="A274" s="43"/>
      <c r="B274" s="55"/>
      <c r="C274" s="55"/>
      <c r="D274" s="55"/>
      <c r="E274" s="56"/>
      <c r="F274" s="57"/>
      <c r="G274" s="55"/>
      <c r="H274" s="55"/>
      <c r="I274" s="58"/>
      <c r="J274" s="58"/>
      <c r="K274" s="58"/>
      <c r="L274" s="58"/>
      <c r="M274" s="44"/>
      <c r="N274" s="55"/>
    </row>
    <row r="275" s="38" customFormat="1" spans="1:14">
      <c r="A275" s="43"/>
      <c r="B275" s="63"/>
      <c r="C275" s="63"/>
      <c r="D275" s="63"/>
      <c r="E275" s="64"/>
      <c r="F275" s="65"/>
      <c r="G275" s="63"/>
      <c r="H275" s="63"/>
      <c r="I275" s="66"/>
      <c r="J275" s="66"/>
      <c r="K275" s="58"/>
      <c r="L275" s="58"/>
      <c r="M275" s="44"/>
      <c r="N275" s="55"/>
    </row>
    <row r="276" s="38" customFormat="1" spans="1:14">
      <c r="A276" s="43"/>
      <c r="B276" s="63"/>
      <c r="C276" s="63"/>
      <c r="D276" s="63"/>
      <c r="E276" s="64"/>
      <c r="F276" s="65"/>
      <c r="G276" s="63"/>
      <c r="H276" s="63"/>
      <c r="I276" s="66"/>
      <c r="J276" s="66"/>
      <c r="K276" s="58"/>
      <c r="L276" s="58"/>
      <c r="M276" s="44"/>
      <c r="N276" s="55"/>
    </row>
    <row r="277" s="38" customFormat="1" spans="1:14">
      <c r="A277" s="43"/>
      <c r="B277" s="63"/>
      <c r="C277" s="63"/>
      <c r="D277" s="63"/>
      <c r="E277" s="64"/>
      <c r="F277" s="65"/>
      <c r="G277" s="63"/>
      <c r="H277" s="63"/>
      <c r="I277" s="66"/>
      <c r="J277" s="66"/>
      <c r="K277" s="58"/>
      <c r="L277" s="58"/>
      <c r="M277" s="44"/>
      <c r="N277" s="55"/>
    </row>
    <row r="278" s="38" customFormat="1" spans="1:14">
      <c r="A278" s="43"/>
      <c r="B278" s="63"/>
      <c r="C278" s="63"/>
      <c r="D278" s="63"/>
      <c r="E278" s="64"/>
      <c r="F278" s="65"/>
      <c r="G278" s="63"/>
      <c r="H278" s="63"/>
      <c r="I278" s="66"/>
      <c r="J278" s="66"/>
      <c r="K278" s="58"/>
      <c r="L278" s="58"/>
      <c r="M278" s="44"/>
      <c r="N278" s="55"/>
    </row>
    <row r="279" s="38" customFormat="1" spans="1:14">
      <c r="A279" s="43"/>
      <c r="B279" s="63"/>
      <c r="C279" s="63"/>
      <c r="D279" s="63"/>
      <c r="E279" s="64"/>
      <c r="F279" s="65"/>
      <c r="G279" s="63"/>
      <c r="H279" s="63"/>
      <c r="I279" s="66"/>
      <c r="J279" s="66"/>
      <c r="K279" s="58"/>
      <c r="L279" s="58"/>
      <c r="M279" s="44"/>
      <c r="N279" s="55"/>
    </row>
    <row r="280" s="38" customFormat="1" spans="1:14">
      <c r="A280" s="43"/>
      <c r="B280" s="68"/>
      <c r="C280" s="54"/>
      <c r="D280" s="55"/>
      <c r="E280" s="55"/>
      <c r="F280" s="55"/>
      <c r="G280" s="56"/>
      <c r="H280" s="57"/>
      <c r="I280" s="55"/>
      <c r="J280" s="55"/>
      <c r="K280" s="58"/>
      <c r="L280" s="58"/>
      <c r="M280" s="44"/>
      <c r="N280" s="55"/>
    </row>
    <row r="281" s="35" customFormat="1" spans="1:14">
      <c r="A281" s="34"/>
      <c r="B281" s="70"/>
      <c r="C281" s="62"/>
      <c r="D281" s="63"/>
      <c r="E281" s="63"/>
      <c r="F281" s="63"/>
      <c r="G281" s="72"/>
      <c r="H281" s="65"/>
      <c r="I281" s="63"/>
      <c r="J281" s="63"/>
      <c r="K281" s="66"/>
      <c r="L281" s="66"/>
      <c r="M281" s="34"/>
      <c r="N281" s="63"/>
    </row>
    <row r="282" s="32" customFormat="1" spans="1:14">
      <c r="A282" s="91" t="s">
        <v>204</v>
      </c>
      <c r="B282" s="99">
        <v>45423</v>
      </c>
      <c r="C282" s="93" t="s">
        <v>205</v>
      </c>
      <c r="D282" s="94">
        <v>2410</v>
      </c>
      <c r="E282" s="94"/>
      <c r="F282" s="94"/>
      <c r="G282" s="100" t="s">
        <v>206</v>
      </c>
      <c r="H282" s="96">
        <v>1</v>
      </c>
      <c r="I282" s="94">
        <v>10</v>
      </c>
      <c r="J282" s="94">
        <f>H282*I282</f>
        <v>10</v>
      </c>
      <c r="K282" s="97"/>
      <c r="L282" s="97">
        <f>J282*K282</f>
        <v>0</v>
      </c>
      <c r="M282" s="73" t="s">
        <v>207</v>
      </c>
      <c r="N282" s="55"/>
    </row>
    <row r="283" s="40" customFormat="1" spans="1:14">
      <c r="A283" s="115" t="s">
        <v>13</v>
      </c>
      <c r="B283" s="99">
        <v>45500</v>
      </c>
      <c r="D283" s="116" t="s">
        <v>269</v>
      </c>
      <c r="E283" s="117"/>
      <c r="F283" s="117"/>
      <c r="G283" s="40" t="s">
        <v>270</v>
      </c>
      <c r="H283" s="65"/>
      <c r="I283" s="63"/>
      <c r="J283" s="63"/>
      <c r="K283" s="66"/>
      <c r="L283" s="66"/>
      <c r="N283" s="94"/>
    </row>
    <row r="284" s="36" customFormat="1" spans="1:14">
      <c r="A284" s="74" t="s">
        <v>126</v>
      </c>
      <c r="B284" s="75">
        <v>45379</v>
      </c>
      <c r="C284" s="76" t="s">
        <v>271</v>
      </c>
      <c r="D284" s="77" t="s">
        <v>189</v>
      </c>
      <c r="E284" s="77"/>
      <c r="F284" s="77"/>
      <c r="G284" s="104" t="s">
        <v>190</v>
      </c>
      <c r="H284" s="79">
        <v>1</v>
      </c>
      <c r="I284" s="77">
        <v>4</v>
      </c>
      <c r="J284" s="77">
        <f t="shared" ref="J284:J290" si="28">H284*I284</f>
        <v>4</v>
      </c>
      <c r="K284" s="80">
        <v>23</v>
      </c>
      <c r="L284" s="80">
        <f>J284*K284</f>
        <v>92</v>
      </c>
      <c r="M284" s="81" t="s">
        <v>191</v>
      </c>
      <c r="N284" s="77" t="s">
        <v>272</v>
      </c>
    </row>
    <row r="285" s="36" customFormat="1" spans="1:14">
      <c r="A285" s="74" t="s">
        <v>126</v>
      </c>
      <c r="B285" s="75">
        <v>45379</v>
      </c>
      <c r="C285" s="76" t="s">
        <v>271</v>
      </c>
      <c r="D285" s="77" t="s">
        <v>273</v>
      </c>
      <c r="E285" s="77"/>
      <c r="F285" s="77"/>
      <c r="G285" s="104" t="s">
        <v>274</v>
      </c>
      <c r="H285" s="79">
        <v>1</v>
      </c>
      <c r="I285" s="77">
        <v>4</v>
      </c>
      <c r="J285" s="77">
        <f t="shared" si="28"/>
        <v>4</v>
      </c>
      <c r="K285" s="80">
        <v>23</v>
      </c>
      <c r="L285" s="80">
        <f>J285*K285</f>
        <v>92</v>
      </c>
      <c r="M285" s="81" t="s">
        <v>191</v>
      </c>
      <c r="N285" s="77" t="s">
        <v>272</v>
      </c>
    </row>
    <row r="286" s="36" customFormat="1" spans="1:14">
      <c r="A286" s="74" t="s">
        <v>126</v>
      </c>
      <c r="B286" s="75">
        <v>45379</v>
      </c>
      <c r="C286" s="76" t="s">
        <v>271</v>
      </c>
      <c r="D286" s="77" t="s">
        <v>275</v>
      </c>
      <c r="E286" s="77"/>
      <c r="F286" s="77"/>
      <c r="G286" s="104" t="s">
        <v>276</v>
      </c>
      <c r="H286" s="79">
        <v>1</v>
      </c>
      <c r="I286" s="77">
        <v>1</v>
      </c>
      <c r="J286" s="77">
        <f t="shared" si="28"/>
        <v>1</v>
      </c>
      <c r="K286" s="80"/>
      <c r="L286" s="80"/>
      <c r="M286" s="81" t="s">
        <v>191</v>
      </c>
      <c r="N286" s="77" t="s">
        <v>272</v>
      </c>
    </row>
    <row r="287" s="36" customFormat="1" spans="1:14">
      <c r="A287" s="74" t="s">
        <v>126</v>
      </c>
      <c r="B287" s="75">
        <v>45379</v>
      </c>
      <c r="C287" s="76" t="s">
        <v>271</v>
      </c>
      <c r="D287" s="77" t="s">
        <v>277</v>
      </c>
      <c r="E287" s="77"/>
      <c r="F287" s="77"/>
      <c r="G287" s="104" t="s">
        <v>278</v>
      </c>
      <c r="H287" s="79">
        <v>1</v>
      </c>
      <c r="I287" s="77">
        <v>10</v>
      </c>
      <c r="J287" s="77">
        <f t="shared" si="28"/>
        <v>10</v>
      </c>
      <c r="K287" s="80">
        <v>23</v>
      </c>
      <c r="L287" s="80">
        <f>J287*K287</f>
        <v>230</v>
      </c>
      <c r="M287" s="81" t="s">
        <v>191</v>
      </c>
      <c r="N287" s="77">
        <f>SUM(L284:L287)</f>
        <v>414</v>
      </c>
    </row>
    <row r="288" s="33" customFormat="1" spans="1:14">
      <c r="A288" s="60"/>
      <c r="B288" s="70"/>
      <c r="C288" s="62"/>
      <c r="D288" s="63"/>
      <c r="E288" s="63"/>
      <c r="F288" s="63"/>
      <c r="G288" s="64"/>
      <c r="H288" s="65"/>
      <c r="I288" s="63"/>
      <c r="J288" s="63"/>
      <c r="K288" s="66"/>
      <c r="L288" s="66"/>
      <c r="M288" s="34"/>
      <c r="N288" s="63"/>
    </row>
    <row r="289" s="42" customFormat="1" spans="1:14">
      <c r="A289" s="91"/>
      <c r="B289" s="99"/>
      <c r="C289" s="93"/>
      <c r="D289" s="94"/>
      <c r="E289" s="94"/>
      <c r="F289" s="94"/>
      <c r="G289" s="95"/>
      <c r="H289" s="96"/>
      <c r="I289" s="94"/>
      <c r="J289" s="94"/>
      <c r="K289" s="97"/>
      <c r="L289" s="97"/>
      <c r="M289" s="73"/>
      <c r="N289" s="73"/>
    </row>
    <row r="292" s="35" customFormat="1" spans="1:14">
      <c r="A292" s="60" t="s">
        <v>13</v>
      </c>
      <c r="B292" s="70">
        <v>45617</v>
      </c>
      <c r="C292" s="62">
        <v>64</v>
      </c>
      <c r="D292" s="63" t="s">
        <v>42</v>
      </c>
      <c r="E292" s="63"/>
      <c r="F292" s="63"/>
      <c r="G292" s="64" t="s">
        <v>43</v>
      </c>
      <c r="H292" s="65">
        <v>1</v>
      </c>
      <c r="I292" s="63">
        <v>20</v>
      </c>
      <c r="J292" s="63">
        <f>H292*I292</f>
        <v>20</v>
      </c>
      <c r="K292" s="66">
        <v>17</v>
      </c>
      <c r="L292" s="66">
        <f>J292*K292</f>
        <v>340</v>
      </c>
      <c r="M292" s="90" t="s">
        <v>44</v>
      </c>
      <c r="N292" s="63">
        <f>SUM(L291:L292)</f>
        <v>340</v>
      </c>
    </row>
    <row r="293" s="38" customFormat="1" spans="1:14">
      <c r="A293" s="43"/>
      <c r="B293" s="68"/>
      <c r="C293" s="54"/>
      <c r="D293" s="55"/>
      <c r="E293" s="55"/>
      <c r="F293" s="55"/>
      <c r="G293" s="56"/>
      <c r="H293" s="57"/>
      <c r="I293" s="55"/>
      <c r="J293" s="55"/>
      <c r="K293" s="58"/>
      <c r="L293" s="58"/>
      <c r="M293" s="44"/>
      <c r="N293" s="55"/>
    </row>
    <row r="294" s="38" customFormat="1" spans="1:14">
      <c r="A294" s="60"/>
      <c r="B294" s="70"/>
      <c r="C294" s="62"/>
      <c r="D294" s="55"/>
      <c r="E294" s="55"/>
      <c r="F294" s="55"/>
      <c r="G294" s="56"/>
      <c r="H294" s="57"/>
      <c r="I294" s="55"/>
      <c r="J294" s="55"/>
      <c r="K294" s="58"/>
      <c r="L294" s="58"/>
      <c r="M294" s="44"/>
      <c r="N294" s="55"/>
    </row>
    <row r="295" s="38" customFormat="1" spans="1:14">
      <c r="A295" s="60"/>
      <c r="B295" s="70"/>
      <c r="C295" s="62"/>
      <c r="D295" s="63"/>
      <c r="E295" s="63"/>
      <c r="F295" s="63"/>
      <c r="G295" s="64"/>
      <c r="H295" s="65"/>
      <c r="I295" s="63"/>
      <c r="J295" s="63"/>
      <c r="K295" s="66"/>
      <c r="L295" s="66"/>
      <c r="M295" s="44"/>
      <c r="N295" s="55"/>
    </row>
    <row r="296" s="38" customFormat="1" spans="1:14">
      <c r="A296" s="60"/>
      <c r="B296" s="70"/>
      <c r="C296" s="62"/>
      <c r="D296" s="63"/>
      <c r="E296" s="63"/>
      <c r="F296" s="63"/>
      <c r="G296" s="64"/>
      <c r="H296" s="65"/>
      <c r="I296" s="63"/>
      <c r="J296" s="63"/>
      <c r="K296" s="66"/>
      <c r="L296" s="66"/>
      <c r="M296" s="44"/>
      <c r="N296" s="55"/>
    </row>
    <row r="297" s="38" customFormat="1" spans="1:14">
      <c r="A297" s="60"/>
      <c r="B297" s="70"/>
      <c r="C297" s="62"/>
      <c r="D297" s="63"/>
      <c r="E297" s="63"/>
      <c r="F297" s="63"/>
      <c r="G297" s="64"/>
      <c r="H297" s="65"/>
      <c r="I297" s="63"/>
      <c r="J297" s="63"/>
      <c r="K297" s="66"/>
      <c r="L297" s="66"/>
      <c r="M297" s="44"/>
      <c r="N297" s="55"/>
    </row>
    <row r="298" s="38" customFormat="1" spans="1:14">
      <c r="A298" s="60"/>
      <c r="B298" s="70"/>
      <c r="C298" s="62"/>
      <c r="D298" s="63"/>
      <c r="E298" s="63"/>
      <c r="F298" s="63"/>
      <c r="G298" s="64"/>
      <c r="H298" s="65"/>
      <c r="I298" s="63"/>
      <c r="J298" s="63"/>
      <c r="K298" s="66"/>
      <c r="L298" s="66"/>
      <c r="M298" s="44"/>
      <c r="N298" s="55"/>
    </row>
    <row r="299" s="38" customFormat="1" spans="1:14">
      <c r="A299" s="43"/>
      <c r="B299" s="68"/>
      <c r="C299" s="54"/>
      <c r="D299" s="55"/>
      <c r="E299" s="55"/>
      <c r="F299" s="55"/>
      <c r="G299" s="56"/>
      <c r="H299" s="57"/>
      <c r="I299" s="55"/>
      <c r="J299" s="55"/>
      <c r="K299" s="58"/>
      <c r="L299" s="58"/>
      <c r="M299" s="44"/>
      <c r="N299" s="55"/>
    </row>
    <row r="300" s="38" customFormat="1" spans="1:14">
      <c r="A300" s="43"/>
      <c r="B300" s="68"/>
      <c r="C300" s="54"/>
      <c r="D300" s="55"/>
      <c r="E300" s="55"/>
      <c r="F300" s="55"/>
      <c r="G300" s="56"/>
      <c r="H300" s="57"/>
      <c r="I300" s="55"/>
      <c r="J300" s="55"/>
      <c r="K300" s="58"/>
      <c r="L300" s="58"/>
      <c r="M300" s="44"/>
      <c r="N300" s="55"/>
    </row>
    <row r="301" s="38" customFormat="1" spans="1:14">
      <c r="A301" s="43"/>
      <c r="B301" s="68"/>
      <c r="C301" s="54"/>
      <c r="D301" s="55"/>
      <c r="E301" s="55"/>
      <c r="F301" s="55"/>
      <c r="G301" s="56"/>
      <c r="H301" s="57"/>
      <c r="I301" s="55"/>
      <c r="J301" s="55"/>
      <c r="K301" s="58"/>
      <c r="L301" s="58"/>
      <c r="M301" s="44"/>
      <c r="N301" s="55"/>
    </row>
    <row r="302" s="38" customFormat="1" spans="1:14">
      <c r="A302" s="43"/>
      <c r="B302" s="68"/>
      <c r="C302" s="54"/>
      <c r="D302" s="55"/>
      <c r="E302" s="55"/>
      <c r="F302" s="55"/>
      <c r="G302" s="56"/>
      <c r="H302" s="57"/>
      <c r="I302" s="55"/>
      <c r="J302" s="55"/>
      <c r="K302" s="58"/>
      <c r="L302" s="58"/>
      <c r="M302" s="44"/>
      <c r="N302" s="55"/>
    </row>
    <row r="303" s="38" customFormat="1" spans="1:14">
      <c r="A303" s="43"/>
      <c r="B303" s="68"/>
      <c r="C303" s="54"/>
      <c r="D303" s="55"/>
      <c r="E303" s="55"/>
      <c r="F303" s="55"/>
      <c r="G303" s="56"/>
      <c r="H303" s="57"/>
      <c r="I303" s="55"/>
      <c r="J303" s="55"/>
      <c r="K303" s="58"/>
      <c r="L303" s="58"/>
      <c r="M303" s="44"/>
      <c r="N303" s="55"/>
    </row>
    <row r="304" s="38" customFormat="1" spans="1:14">
      <c r="A304" s="43"/>
      <c r="B304" s="68"/>
      <c r="C304" s="54"/>
      <c r="D304" s="55"/>
      <c r="E304" s="55"/>
      <c r="F304" s="55"/>
      <c r="G304" s="56"/>
      <c r="H304" s="57"/>
      <c r="I304" s="55"/>
      <c r="J304" s="55"/>
      <c r="K304" s="58"/>
      <c r="L304" s="58"/>
      <c r="M304" s="44"/>
      <c r="N304" s="55"/>
    </row>
    <row r="305" s="38" customFormat="1" spans="1:14">
      <c r="A305" s="43"/>
      <c r="B305" s="68"/>
      <c r="C305" s="54"/>
      <c r="D305" s="55"/>
      <c r="E305" s="55"/>
      <c r="F305" s="55"/>
      <c r="G305" s="56"/>
      <c r="H305" s="57"/>
      <c r="I305" s="55"/>
      <c r="J305" s="55"/>
      <c r="K305" s="58"/>
      <c r="L305" s="58"/>
      <c r="M305" s="44"/>
      <c r="N305" s="55"/>
    </row>
    <row r="306" s="38" customFormat="1" spans="1:14">
      <c r="A306" s="43"/>
      <c r="B306" s="68"/>
      <c r="C306" s="54"/>
      <c r="D306" s="55"/>
      <c r="E306" s="55"/>
      <c r="F306" s="55"/>
      <c r="G306" s="56"/>
      <c r="H306" s="57"/>
      <c r="I306" s="55"/>
      <c r="J306" s="55"/>
      <c r="K306" s="58"/>
      <c r="L306" s="58"/>
      <c r="M306" s="44"/>
      <c r="N306" s="55"/>
    </row>
    <row r="307" s="38" customFormat="1" spans="1:14">
      <c r="A307" s="43"/>
      <c r="B307" s="68"/>
      <c r="C307" s="54"/>
      <c r="D307" s="55"/>
      <c r="E307" s="55"/>
      <c r="F307" s="55"/>
      <c r="G307" s="56"/>
      <c r="H307" s="57"/>
      <c r="I307" s="55"/>
      <c r="J307" s="55"/>
      <c r="K307" s="58"/>
      <c r="L307" s="58"/>
      <c r="M307" s="44"/>
      <c r="N307" s="55"/>
    </row>
    <row r="308" s="38" customFormat="1" spans="1:14">
      <c r="A308" s="43"/>
      <c r="B308" s="68"/>
      <c r="C308" s="54"/>
      <c r="D308" s="55"/>
      <c r="E308" s="55"/>
      <c r="F308" s="55"/>
      <c r="G308" s="56"/>
      <c r="H308" s="57"/>
      <c r="I308" s="55"/>
      <c r="J308" s="55"/>
      <c r="K308" s="58"/>
      <c r="L308" s="58"/>
      <c r="M308" s="44"/>
      <c r="N308" s="55"/>
    </row>
  </sheetData>
  <autoFilter xmlns:etc="http://www.wps.cn/officeDocument/2017/etCustomData" ref="A2:N273" etc:filterBottomFollowUsedRange="0">
    <filterColumn colId="0">
      <filters>
        <filter val="荣鑫顺"/>
      </filters>
    </filterColumn>
    <extLst/>
  </autoFilter>
  <mergeCells count="305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B274:D274"/>
    <mergeCell ref="B275:D275"/>
    <mergeCell ref="B276:D276"/>
    <mergeCell ref="B277:D277"/>
    <mergeCell ref="B278:D278"/>
    <mergeCell ref="B279:D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I5" sqref="I5"/>
    </sheetView>
  </sheetViews>
  <sheetFormatPr defaultColWidth="9" defaultRowHeight="14.25" outlineLevelCol="5"/>
  <cols>
    <col min="1" max="1" width="18.625" customWidth="1"/>
    <col min="2" max="2" width="24.125" customWidth="1"/>
    <col min="5" max="5" width="13.5" customWidth="1"/>
    <col min="6" max="6" width="15" customWidth="1"/>
    <col min="8" max="8" width="18.625" customWidth="1"/>
    <col min="9" max="9" width="24.125" customWidth="1"/>
    <col min="12" max="12" width="13.5" customWidth="1"/>
    <col min="13" max="13" width="15" customWidth="1"/>
  </cols>
  <sheetData>
    <row r="1" customHeight="1" spans="1:6">
      <c r="A1" s="2" t="s">
        <v>279</v>
      </c>
      <c r="B1" s="2"/>
      <c r="C1" s="2"/>
      <c r="D1" s="2"/>
      <c r="E1" s="3" t="s">
        <v>280</v>
      </c>
      <c r="F1" s="3"/>
    </row>
    <row r="2" s="1" customFormat="1" spans="1:6">
      <c r="A2" s="4" t="s">
        <v>281</v>
      </c>
      <c r="B2" s="4" t="s">
        <v>282</v>
      </c>
      <c r="C2" s="4" t="s">
        <v>283</v>
      </c>
      <c r="D2" s="4"/>
      <c r="E2" s="5" t="s">
        <v>284</v>
      </c>
      <c r="F2" s="5" t="s">
        <v>285</v>
      </c>
    </row>
    <row r="3" s="1" customFormat="1" spans="1:6">
      <c r="A3" s="6" t="s">
        <v>127</v>
      </c>
      <c r="B3" s="6" t="s">
        <v>68</v>
      </c>
      <c r="C3" s="7">
        <v>28</v>
      </c>
      <c r="D3" s="7" t="s">
        <v>286</v>
      </c>
      <c r="E3" s="8">
        <v>9.5</v>
      </c>
      <c r="F3" s="9"/>
    </row>
    <row r="4" s="1" customFormat="1" spans="1:6">
      <c r="A4" s="6" t="s">
        <v>129</v>
      </c>
      <c r="B4" s="6" t="s">
        <v>130</v>
      </c>
      <c r="C4" s="10">
        <v>22</v>
      </c>
      <c r="D4" s="7" t="s">
        <v>286</v>
      </c>
      <c r="E4" s="8">
        <v>11.5</v>
      </c>
      <c r="F4" s="11"/>
    </row>
    <row r="5" s="1" customFormat="1" spans="1:6">
      <c r="A5" s="12" t="s">
        <v>287</v>
      </c>
      <c r="B5" s="12" t="s">
        <v>288</v>
      </c>
      <c r="C5" s="4">
        <v>22</v>
      </c>
      <c r="D5" s="13" t="s">
        <v>286</v>
      </c>
      <c r="E5" s="8"/>
      <c r="F5" s="8">
        <v>15.5</v>
      </c>
    </row>
    <row r="6" s="1" customFormat="1" spans="1:6">
      <c r="A6" s="6"/>
      <c r="B6" s="14" t="s">
        <v>289</v>
      </c>
      <c r="C6" s="10">
        <v>20</v>
      </c>
      <c r="D6" s="7" t="s">
        <v>286</v>
      </c>
      <c r="E6" s="15">
        <v>20</v>
      </c>
      <c r="F6" s="6" t="s">
        <v>290</v>
      </c>
    </row>
    <row r="7" s="1" customFormat="1" spans="1:6">
      <c r="A7" s="16"/>
      <c r="B7" s="17" t="s">
        <v>291</v>
      </c>
      <c r="C7" s="5">
        <v>25</v>
      </c>
      <c r="D7" s="4" t="s">
        <v>286</v>
      </c>
      <c r="E7" s="15">
        <v>20</v>
      </c>
      <c r="F7" s="18"/>
    </row>
    <row r="8" s="1" customFormat="1" spans="1:6">
      <c r="A8" s="16"/>
      <c r="B8" s="17" t="s">
        <v>292</v>
      </c>
      <c r="C8" s="5">
        <v>25</v>
      </c>
      <c r="D8" s="4" t="s">
        <v>286</v>
      </c>
      <c r="E8" s="15">
        <v>20</v>
      </c>
      <c r="F8" s="18"/>
    </row>
    <row r="9" s="1" customFormat="1" spans="1:6">
      <c r="A9" s="16"/>
      <c r="B9" s="17" t="s">
        <v>293</v>
      </c>
      <c r="C9" s="5">
        <v>25</v>
      </c>
      <c r="D9" s="4" t="s">
        <v>286</v>
      </c>
      <c r="E9" s="15">
        <v>23</v>
      </c>
      <c r="F9" s="9" t="s">
        <v>294</v>
      </c>
    </row>
    <row r="10" s="1" customFormat="1" spans="1:6">
      <c r="A10" s="16"/>
      <c r="B10" s="17" t="s">
        <v>295</v>
      </c>
      <c r="C10" s="5">
        <v>20</v>
      </c>
      <c r="D10" s="4" t="s">
        <v>286</v>
      </c>
      <c r="E10" s="15">
        <v>25</v>
      </c>
      <c r="F10" s="9"/>
    </row>
    <row r="11" s="1" customFormat="1" spans="1:6">
      <c r="A11" s="19"/>
      <c r="B11" s="17" t="s">
        <v>296</v>
      </c>
      <c r="C11" s="5">
        <v>4</v>
      </c>
      <c r="D11" s="4" t="s">
        <v>286</v>
      </c>
      <c r="E11" s="15">
        <v>19</v>
      </c>
      <c r="F11" s="11"/>
    </row>
    <row r="12" s="1" customFormat="1" spans="1:6">
      <c r="A12" s="19"/>
      <c r="B12" s="19" t="s">
        <v>297</v>
      </c>
      <c r="C12" s="20"/>
      <c r="D12" s="4" t="s">
        <v>286</v>
      </c>
      <c r="E12" s="15">
        <v>20</v>
      </c>
      <c r="F12" s="11"/>
    </row>
    <row r="13" s="1" customFormat="1" spans="1:6">
      <c r="A13" s="19" t="s">
        <v>298</v>
      </c>
      <c r="B13" s="19" t="s">
        <v>299</v>
      </c>
      <c r="C13" s="21">
        <v>20</v>
      </c>
      <c r="D13" s="4" t="s">
        <v>286</v>
      </c>
      <c r="E13" s="15">
        <v>19</v>
      </c>
      <c r="F13" s="11" t="s">
        <v>300</v>
      </c>
    </row>
    <row r="14" s="1" customFormat="1" spans="1:6">
      <c r="A14" s="19" t="s">
        <v>301</v>
      </c>
      <c r="B14" s="19" t="s">
        <v>302</v>
      </c>
      <c r="C14" s="21">
        <v>25</v>
      </c>
      <c r="D14" s="4" t="s">
        <v>286</v>
      </c>
      <c r="E14" s="15">
        <v>13.5</v>
      </c>
      <c r="F14" s="18"/>
    </row>
    <row r="15" s="1" customFormat="1" spans="1:6">
      <c r="A15" s="16"/>
      <c r="B15" s="12"/>
      <c r="C15" s="4"/>
      <c r="D15" s="4"/>
      <c r="E15" s="15"/>
      <c r="F15" s="18"/>
    </row>
    <row r="17" ht="21" customHeight="1" spans="1:6">
      <c r="B17" s="1" t="s">
        <v>303</v>
      </c>
    </row>
    <row r="18" ht="21" spans="1:6">
      <c r="A18" s="22" t="s">
        <v>304</v>
      </c>
      <c r="B18" s="23" t="s">
        <v>305</v>
      </c>
      <c r="C18" s="23" t="s">
        <v>306</v>
      </c>
      <c r="D18" s="23"/>
      <c r="E18" s="23" t="s">
        <v>307</v>
      </c>
      <c r="F18" s="23" t="s">
        <v>308</v>
      </c>
    </row>
    <row r="19" ht="19.5" spans="1:6">
      <c r="A19" s="24" t="s">
        <v>309</v>
      </c>
      <c r="B19" s="25" t="s">
        <v>310</v>
      </c>
      <c r="C19" s="26">
        <v>28</v>
      </c>
      <c r="D19" s="26" t="s">
        <v>311</v>
      </c>
      <c r="E19" s="27">
        <v>8.3</v>
      </c>
      <c r="F19" s="28">
        <v>9.5</v>
      </c>
    </row>
    <row r="20" ht="19.5" spans="1:6">
      <c r="A20" s="24" t="s">
        <v>312</v>
      </c>
      <c r="B20" s="25" t="s">
        <v>313</v>
      </c>
      <c r="C20" s="26">
        <v>25</v>
      </c>
      <c r="D20" s="26" t="s">
        <v>311</v>
      </c>
      <c r="E20" s="27">
        <v>11</v>
      </c>
      <c r="F20" s="29">
        <v>12.5</v>
      </c>
    </row>
    <row r="21" ht="21" spans="1:6">
      <c r="A21" s="30"/>
      <c r="B21" s="25" t="s">
        <v>314</v>
      </c>
      <c r="C21" s="26">
        <v>25</v>
      </c>
      <c r="D21" s="26" t="s">
        <v>311</v>
      </c>
      <c r="E21" s="27">
        <v>17</v>
      </c>
      <c r="F21" s="29">
        <v>19.5</v>
      </c>
    </row>
    <row r="22" ht="21" spans="1:6">
      <c r="A22" s="30"/>
      <c r="B22" s="25" t="s">
        <v>315</v>
      </c>
      <c r="C22" s="26">
        <v>20</v>
      </c>
      <c r="D22" s="26" t="s">
        <v>311</v>
      </c>
      <c r="E22" s="27">
        <v>17</v>
      </c>
      <c r="F22" s="29">
        <v>19</v>
      </c>
    </row>
    <row r="23" ht="21" spans="1:6">
      <c r="A23" s="30"/>
      <c r="B23" s="25" t="s">
        <v>316</v>
      </c>
      <c r="C23" s="26">
        <v>20</v>
      </c>
      <c r="D23" s="26" t="s">
        <v>311</v>
      </c>
      <c r="E23" s="27">
        <v>19</v>
      </c>
      <c r="F23" s="29">
        <v>22</v>
      </c>
    </row>
  </sheetData>
  <mergeCells count="3">
    <mergeCell ref="A1:D1"/>
    <mergeCell ref="E1:F1"/>
    <mergeCell ref="C18:D1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24徐</vt:lpstr>
      <vt:lpstr>25出货</vt:lpstr>
      <vt:lpstr>出货</vt:lpstr>
      <vt:lpstr>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2022-07-18T03:23:00Z</cp:lastPrinted>
  <dcterms:modified xsi:type="dcterms:W3CDTF">2026-01-20T06:25:18Z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EA715C62F0D04256AE1D18ADE692D8B5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