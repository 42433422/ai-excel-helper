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1"/>
  </bookViews>
  <sheets>
    <sheet name="国圣" sheetId="1" r:id="rId1"/>
    <sheet name="出货记录" sheetId="3" r:id="rId2"/>
    <sheet name="借原材料明细" sheetId="4" r:id="rId3"/>
  </sheets>
  <definedNames>
    <definedName name="_xlnm._FilterDatabase" localSheetId="1" hidden="1">出货记录!#REF!</definedName>
    <definedName name="_xlnm.Print_Area" localSheetId="0">国圣!$A$1:$J$20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<sst xmlns="http://schemas.openxmlformats.org/spreadsheetml/2006/main" count="304" uniqueCount="178">
  <si>
    <t>成都国圣工业有限公司（五星花）送货单</t>
  </si>
  <si>
    <t>购货单位（乙方）：国圣化工     联系人：        日期：2026年01月19日         订单编号：25-010053A</t>
  </si>
  <si>
    <t xml:space="preserve"> 产 品 型 号</t>
  </si>
  <si>
    <t xml:space="preserve"> 产 品 名 称</t>
  </si>
  <si>
    <t>数量/件</t>
  </si>
  <si>
    <t>规格/KG</t>
  </si>
  <si>
    <t>数量/KG</t>
  </si>
  <si>
    <t>单价/元</t>
  </si>
  <si>
    <t>金额/元</t>
  </si>
  <si>
    <t>备  注</t>
  </si>
  <si>
    <t>借3000目钙</t>
  </si>
  <si>
    <t>大 写 人 民 币</t>
  </si>
  <si>
    <t>销售协议</t>
  </si>
  <si>
    <t xml:space="preserve"> 1.甲方所供上列产品均属检验合格产品，乙方如有异议，应在收货七天内书面提出，逾期不提出视为质量合格。
3.送货单一式四联：白色联为存根联，粉红色为客户联，蓝色联为结款联，黄色联为会计联。</t>
  </si>
  <si>
    <t xml:space="preserve"> 2.乙方每次要认真核对产品的型号.名称.数量.规格.重量.单价.金额，经甲乙双方经手人（库管）签字后具有</t>
  </si>
  <si>
    <t xml:space="preserve"> 法律效力，必须按期付清货款（月结三十天），如有争议和纠纷，由甲方所在地方人民法院受理起诉。</t>
  </si>
  <si>
    <t xml:space="preserve"> 3.本送货单一式四联，   白色联为存根联，   粉红色为客户联，    蓝色联为结款联，   黄色联为会计联。</t>
  </si>
  <si>
    <t>销售单位（甲方）：</t>
  </si>
  <si>
    <t>销售负责人：         销售送货人：       销售制单人：        购货单位经手人：</t>
  </si>
  <si>
    <t xml:space="preserve">   </t>
  </si>
  <si>
    <t>截止2022.6.13国圣购原材料、白底漆已减账</t>
  </si>
  <si>
    <t>2022年4月起出货明细</t>
  </si>
  <si>
    <t>油漆厂销售额</t>
  </si>
  <si>
    <t>打单日期</t>
  </si>
  <si>
    <t>购货日期</t>
  </si>
  <si>
    <t>单号</t>
  </si>
  <si>
    <t>编号</t>
  </si>
  <si>
    <t>品名</t>
  </si>
  <si>
    <t>规格</t>
  </si>
  <si>
    <t>单位</t>
  </si>
  <si>
    <t>数量</t>
  </si>
  <si>
    <t>单价</t>
  </si>
  <si>
    <t>金额</t>
  </si>
  <si>
    <t>小计金额</t>
  </si>
  <si>
    <t>备注</t>
  </si>
  <si>
    <t>24号</t>
  </si>
  <si>
    <t>GS621</t>
  </si>
  <si>
    <t>PE白底漆</t>
  </si>
  <si>
    <t>KG/桶</t>
  </si>
  <si>
    <t xml:space="preserve">kg </t>
  </si>
  <si>
    <t>元</t>
  </si>
  <si>
    <r>
      <rPr>
        <sz val="11"/>
        <color rgb="FFFF0000"/>
        <rFont val="宋体"/>
        <charset val="134"/>
      </rPr>
      <t>元</t>
    </r>
    <r>
      <rPr>
        <sz val="9"/>
        <color rgb="FFFF0000"/>
        <rFont val="宋体"/>
        <charset val="134"/>
      </rPr>
      <t>不含包装AA</t>
    </r>
  </si>
  <si>
    <r>
      <rPr>
        <sz val="11"/>
        <color rgb="FFFF0000"/>
        <rFont val="宋体"/>
        <charset val="134"/>
      </rPr>
      <t xml:space="preserve">4月购白底漆款于6月底对账单已减账                       </t>
    </r>
    <r>
      <rPr>
        <sz val="11"/>
        <rFont val="宋体"/>
        <charset val="134"/>
      </rPr>
      <t>水性格丽斯未付款240</t>
    </r>
  </si>
  <si>
    <t>25号</t>
  </si>
  <si>
    <t>水性格力斯</t>
  </si>
  <si>
    <t>元:现金单未付款</t>
  </si>
  <si>
    <t>75号</t>
  </si>
  <si>
    <t>104号</t>
  </si>
  <si>
    <t>GS093</t>
  </si>
  <si>
    <t>43号</t>
  </si>
  <si>
    <t>白水</t>
  </si>
  <si>
    <t>13/1-14/6之前与于6月底对账单已减账</t>
  </si>
  <si>
    <t>DBE</t>
  </si>
  <si>
    <t>5月</t>
  </si>
  <si>
    <t>10号</t>
  </si>
  <si>
    <t>9180银粉</t>
  </si>
  <si>
    <t>6月</t>
  </si>
  <si>
    <t>33号</t>
  </si>
  <si>
    <t>元：两次合计800</t>
  </si>
  <si>
    <t>40号</t>
  </si>
  <si>
    <t>元于7-9月对账单已减账</t>
  </si>
  <si>
    <t>52号</t>
  </si>
  <si>
    <t>购买</t>
  </si>
  <si>
    <t>8460*</t>
  </si>
  <si>
    <t>kg/桶</t>
  </si>
  <si>
    <t>于7-9月对账单已减账</t>
  </si>
  <si>
    <t>国圣</t>
  </si>
  <si>
    <t>1/4硝化棉浆</t>
  </si>
  <si>
    <t>62号</t>
  </si>
  <si>
    <t>1/4粉料</t>
  </si>
  <si>
    <t>3月底杂费已扣除3050</t>
  </si>
  <si>
    <t>1/2粉料</t>
  </si>
  <si>
    <t>83号</t>
  </si>
  <si>
    <t>24出货明细</t>
  </si>
  <si>
    <t>日期</t>
  </si>
  <si>
    <t>产品型号</t>
  </si>
  <si>
    <t>产品名称</t>
  </si>
  <si>
    <t>金额合计</t>
  </si>
  <si>
    <t>李购国圣包装桶</t>
  </si>
  <si>
    <t>国圣于30/4日已开单:13元/个</t>
  </si>
  <si>
    <t>GS9806</t>
  </si>
  <si>
    <t>12/4日购货</t>
  </si>
  <si>
    <t>定制</t>
  </si>
  <si>
    <t>金博奥</t>
  </si>
  <si>
    <r>
      <rPr>
        <sz val="16"/>
        <color theme="9" tint="-0.25"/>
        <rFont val="宋体"/>
        <charset val="134"/>
      </rPr>
      <t>8/5打单：</t>
    </r>
    <r>
      <rPr>
        <sz val="11"/>
        <color theme="9" tint="-0.25"/>
        <rFont val="宋体"/>
        <charset val="134"/>
      </rPr>
      <t>本单已计入5月</t>
    </r>
  </si>
  <si>
    <t>水性油漆</t>
  </si>
  <si>
    <t>2680于4月杂费已减账</t>
  </si>
  <si>
    <t>101号</t>
  </si>
  <si>
    <t>购白磁漆</t>
  </si>
  <si>
    <t>杨总货</t>
  </si>
  <si>
    <t>购PU面漆稀释剂</t>
  </si>
  <si>
    <t>侯雪梅经手（豫龙货）</t>
  </si>
  <si>
    <t>借1451</t>
  </si>
  <si>
    <t>10L方桶</t>
  </si>
  <si>
    <t>元月已减</t>
  </si>
  <si>
    <t>53号</t>
  </si>
  <si>
    <t>借10L方桶</t>
  </si>
  <si>
    <t>70号</t>
  </si>
  <si>
    <t>购无色古</t>
  </si>
  <si>
    <t>不含包装</t>
  </si>
  <si>
    <t>5月已减</t>
  </si>
  <si>
    <t>1号</t>
  </si>
  <si>
    <t>购白大口</t>
  </si>
  <si>
    <t>购买哑光白浆</t>
  </si>
  <si>
    <t>未付款</t>
  </si>
  <si>
    <t>2月：36+174:6月=209未付</t>
  </si>
  <si>
    <t>26号</t>
  </si>
  <si>
    <t>7月3日前</t>
  </si>
  <si>
    <t>购买1817</t>
  </si>
  <si>
    <t>6月已减</t>
  </si>
  <si>
    <t>30号</t>
  </si>
  <si>
    <t>熊师</t>
  </si>
  <si>
    <t>8月杂费已减</t>
  </si>
  <si>
    <t>借树脂6303A</t>
  </si>
  <si>
    <t>600目钙</t>
  </si>
  <si>
    <t>42号</t>
  </si>
  <si>
    <t>11月20</t>
  </si>
  <si>
    <t>90号</t>
  </si>
  <si>
    <t>10月20</t>
  </si>
  <si>
    <t>购1/2浆</t>
  </si>
  <si>
    <t>11月杂费已减贾总货</t>
  </si>
  <si>
    <t>50号</t>
  </si>
  <si>
    <t>3000目钙</t>
  </si>
  <si>
    <t>45号</t>
  </si>
  <si>
    <t>元月几号</t>
  </si>
  <si>
    <t>借3002目钙</t>
  </si>
  <si>
    <t>借树脂965</t>
  </si>
  <si>
    <t>51号</t>
  </si>
  <si>
    <t>未开单</t>
  </si>
  <si>
    <t>林借801+</t>
  </si>
  <si>
    <t>12月借106D于26/12下午李总已还</t>
  </si>
  <si>
    <t>2026.01.19</t>
  </si>
  <si>
    <t>林国清借3000目;2包</t>
  </si>
  <si>
    <t>已开单</t>
  </si>
  <si>
    <t>12月8日前林国清借808:1桶，3000目钙：2包：三哥经手</t>
  </si>
  <si>
    <t>12月19日林国清借3000目钙：8包：蓉经手</t>
  </si>
  <si>
    <t>元月借3000目：4包     三嫂经手</t>
  </si>
  <si>
    <t>2026/1/15借3000目：3包+1包</t>
  </si>
  <si>
    <t>元月 借965树脂：1桶*200</t>
  </si>
  <si>
    <t xml:space="preserve">老板经手 </t>
  </si>
  <si>
    <t>10月18借F5R大红浆:6kg贾总调色</t>
  </si>
  <si>
    <t>10月借国圣防白水：5KG：小火洋PU底稀用</t>
  </si>
  <si>
    <t>10月借323:100#固化剂：20博旺固化剂</t>
  </si>
  <si>
    <t>9-26贺借重钙20包于9/10日已还</t>
  </si>
  <si>
    <t>国圣借1352哑光三聚体</t>
  </si>
  <si>
    <t>老板经手</t>
  </si>
  <si>
    <t>16/3日下午已还改309固</t>
  </si>
  <si>
    <t>3月14已还6/3</t>
  </si>
  <si>
    <t>蓉借国圣5L罐子:10个连盖子</t>
  </si>
  <si>
    <t>3月14已还7/3</t>
  </si>
  <si>
    <t>蓉借国圣0.5L罐子19个:19个无盖</t>
  </si>
  <si>
    <t>3月14已还6/3前</t>
  </si>
  <si>
    <t>贺超借国圣0.5L罐子19个</t>
  </si>
  <si>
    <t>蓉购群青蓝浆：5KG  蕊芯调色</t>
  </si>
  <si>
    <t>于14/3日已打单</t>
  </si>
  <si>
    <t>李借</t>
  </si>
  <si>
    <r>
      <rPr>
        <b/>
        <sz val="12"/>
        <rFont val="宋体"/>
        <charset val="134"/>
      </rPr>
      <t>7月份起总、国圣</t>
    </r>
    <r>
      <rPr>
        <b/>
        <sz val="14"/>
        <color rgb="FFFF0000"/>
        <rFont val="宋体"/>
        <charset val="134"/>
      </rPr>
      <t>借李总、、还</t>
    </r>
    <r>
      <rPr>
        <b/>
        <sz val="12"/>
        <rFont val="宋体"/>
        <charset val="134"/>
      </rPr>
      <t>材料明细</t>
    </r>
  </si>
  <si>
    <t>借出</t>
  </si>
  <si>
    <t>借入</t>
  </si>
  <si>
    <t>件数</t>
  </si>
  <si>
    <t>归还日期</t>
  </si>
  <si>
    <t>截止7月5</t>
  </si>
  <si>
    <t>李总借</t>
  </si>
  <si>
    <t>K600</t>
  </si>
  <si>
    <t>106D</t>
  </si>
  <si>
    <t>802A</t>
  </si>
  <si>
    <t>R369</t>
  </si>
  <si>
    <t>国圣借</t>
  </si>
  <si>
    <t>2200重钙</t>
  </si>
  <si>
    <t>见欠条</t>
  </si>
  <si>
    <t>6月29-7月5</t>
  </si>
  <si>
    <t>2200重钙9+8</t>
  </si>
  <si>
    <t>252F:细重钙</t>
  </si>
  <si>
    <t>需打单</t>
  </si>
  <si>
    <t>50E</t>
  </si>
  <si>
    <t>H100</t>
  </si>
  <si>
    <t>05005：珠光粉</t>
  </si>
  <si>
    <t>蓝水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</si>
</sst>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0.0_);[Red]\(0.0\)"/>
    <numFmt numFmtId="178" formatCode="General&quot;KG/桶&quot;"/>
    <numFmt numFmtId="179" formatCode="General&quot;桶&quot;"/>
    <numFmt numFmtId="180" formatCode="General&quot;号&quot;"/>
    <numFmt numFmtId="181" formatCode="0.00_ "/>
    <numFmt numFmtId="182" formatCode="General&quot;个&quot;"/>
    <numFmt numFmtId="183" formatCode="000000"/>
    <numFmt numFmtId="184" formatCode="[DBNum2][$RMB]General;[Red][DBNum2][$RMB]General"/>
    <numFmt numFmtId="185" formatCode="0_ "/>
    <numFmt numFmtId="186" formatCode="0.0_ "/>
  </numFmts>
  <fonts count="49">
    <font>
      <sz val="12"/>
      <name val="宋体"/>
      <charset val="134"/>
    </font>
    <font>
      <b/>
      <sz val="12"/>
      <name val="宋体"/>
      <charset val="134"/>
    </font>
    <font>
      <sz val="12"/>
      <color rgb="FF00B0F0"/>
      <name val="宋体"/>
      <charset val="134"/>
    </font>
    <font>
      <sz val="12"/>
      <color rgb="FFFF0000"/>
      <name val="宋体"/>
      <charset val="134"/>
    </font>
    <font>
      <sz val="16"/>
      <name val="宋体"/>
      <charset val="134"/>
    </font>
    <font>
      <sz val="16"/>
      <color theme="9" tint="-0.25"/>
      <name val="宋体"/>
      <charset val="134"/>
    </font>
    <font>
      <sz val="16"/>
      <color rgb="FF00B0F0"/>
      <name val="宋体"/>
      <charset val="134"/>
    </font>
    <font>
      <sz val="16"/>
      <color rgb="FF7030A0"/>
      <name val="宋体"/>
      <charset val="134"/>
    </font>
    <font>
      <sz val="16"/>
      <color rgb="FFFF0000"/>
      <name val="宋体"/>
      <charset val="134"/>
    </font>
    <font>
      <sz val="16"/>
      <color rgb="FF00B050"/>
      <name val="宋体"/>
      <charset val="134"/>
    </font>
    <font>
      <b/>
      <sz val="12"/>
      <color rgb="FFFF0000"/>
      <name val="宋体"/>
      <charset val="134"/>
    </font>
    <font>
      <b/>
      <sz val="12"/>
      <color rgb="FF0070C0"/>
      <name val="宋体"/>
      <charset val="134"/>
    </font>
    <font>
      <sz val="11"/>
      <color rgb="FFFF000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8"/>
      <color rgb="FF0070C0"/>
      <name val="宋体"/>
      <charset val="134"/>
    </font>
    <font>
      <sz val="11"/>
      <color theme="9" tint="-0.25"/>
      <name val="宋体"/>
      <charset val="134"/>
    </font>
    <font>
      <sz val="10"/>
      <color rgb="FF7030A0"/>
      <name val="宋体"/>
      <charset val="134"/>
    </font>
    <font>
      <sz val="12"/>
      <color rgb="FF00B050"/>
      <name val="宋体"/>
      <charset val="134"/>
    </font>
    <font>
      <b/>
      <sz val="11"/>
      <color rgb="FFFF0000"/>
      <name val="宋体"/>
      <charset val="134"/>
    </font>
    <font>
      <sz val="24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134"/>
      <scheme val="minor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sz val="12"/>
      <name val="宋体"/>
      <charset val="134"/>
      <scheme val="minor"/>
    </font>
    <font>
      <sz val="11"/>
      <color indexed="17"/>
      <name val="宋体"/>
      <charset val="134"/>
    </font>
    <font>
      <sz val="9"/>
      <color rgb="FFFF0000"/>
      <name val="宋体"/>
      <charset val="134"/>
    </font>
    <font>
      <b/>
      <sz val="14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>
      <alignment vertical="center"/>
    </xf>
    <xf numFmtId="43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2" borderId="1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4" applyNumberFormat="0" applyAlignment="0" applyProtection="0">
      <alignment vertical="center"/>
    </xf>
    <xf numFmtId="0" fontId="32" fillId="4" borderId="15" applyNumberFormat="0" applyAlignment="0" applyProtection="0">
      <alignment vertical="center"/>
    </xf>
    <xf numFmtId="0" fontId="33" fillId="4" borderId="14" applyNumberFormat="0" applyAlignment="0" applyProtection="0">
      <alignment vertical="center"/>
    </xf>
    <xf numFmtId="0" fontId="34" fillId="5" borderId="16" applyNumberFormat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8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42" fillId="8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22" fillId="0" borderId="0"/>
    <xf numFmtId="0" fontId="0" fillId="0" borderId="0">
      <alignment vertical="center"/>
    </xf>
    <xf numFmtId="0" fontId="44" fillId="0" borderId="0"/>
    <xf numFmtId="0" fontId="45" fillId="0" borderId="0">
      <alignment vertical="center"/>
    </xf>
    <xf numFmtId="0" fontId="22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44" fillId="0" borderId="0">
      <alignment vertical="center"/>
    </xf>
    <xf numFmtId="0" fontId="46" fillId="34" borderId="0" applyNumberFormat="0" applyBorder="0" applyAlignment="0" applyProtection="0">
      <alignment vertical="center"/>
    </xf>
  </cellStyleXfs>
  <cellXfs count="16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58" fontId="2" fillId="0" borderId="1" xfId="0" applyNumberFormat="1" applyFont="1" applyBorder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/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58" fontId="3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12" fillId="0" borderId="0" xfId="59" applyFont="1" applyBorder="1" applyAlignment="1">
      <alignment horizontal="center" vertical="center"/>
    </xf>
    <xf numFmtId="179" fontId="12" fillId="0" borderId="0" xfId="54" applyNumberFormat="1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1" fontId="3" fillId="0" borderId="0" xfId="0" applyNumberFormat="1" applyFont="1" applyBorder="1" applyAlignment="1">
      <alignment horizontal="left" vertical="center"/>
    </xf>
    <xf numFmtId="58" fontId="0" fillId="0" borderId="0" xfId="0" applyNumberFormat="1" applyFont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58" fontId="0" fillId="0" borderId="0" xfId="0" applyNumberFormat="1" applyFont="1" applyBorder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0" fontId="13" fillId="0" borderId="0" xfId="59" applyFont="1" applyBorder="1" applyAlignment="1">
      <alignment horizontal="center" vertical="center"/>
    </xf>
    <xf numFmtId="179" fontId="13" fillId="0" borderId="0" xfId="54" applyNumberFormat="1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1" fontId="0" fillId="0" borderId="0" xfId="0" applyNumberFormat="1" applyFont="1" applyBorder="1" applyAlignment="1">
      <alignment horizontal="left" vertical="center"/>
    </xf>
    <xf numFmtId="58" fontId="3" fillId="0" borderId="0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58" fontId="3" fillId="0" borderId="0" xfId="0" applyNumberFormat="1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3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5" fillId="0" borderId="5" xfId="0" applyFont="1" applyBorder="1" applyAlignment="1">
      <alignment horizontal="left"/>
    </xf>
    <xf numFmtId="0" fontId="15" fillId="0" borderId="6" xfId="0" applyFont="1" applyBorder="1" applyAlignment="1">
      <alignment horizontal="left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58" fontId="8" fillId="0" borderId="0" xfId="0" applyNumberFormat="1" applyFont="1">
      <alignment vertical="center"/>
    </xf>
    <xf numFmtId="180" fontId="8" fillId="0" borderId="0" xfId="0" applyNumberFormat="1" applyFont="1" applyBorder="1" applyAlignment="1">
      <alignment horizontal="center" vertical="center"/>
    </xf>
    <xf numFmtId="58" fontId="8" fillId="0" borderId="0" xfId="0" applyNumberFormat="1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81" fontId="8" fillId="0" borderId="0" xfId="0" applyNumberFormat="1" applyFont="1" applyBorder="1" applyAlignment="1">
      <alignment horizontal="center" vertical="center"/>
    </xf>
    <xf numFmtId="58" fontId="5" fillId="0" borderId="0" xfId="0" applyNumberFormat="1" applyFont="1">
      <alignment vertical="center"/>
    </xf>
    <xf numFmtId="180" fontId="5" fillId="0" borderId="0" xfId="0" applyNumberFormat="1" applyFont="1" applyBorder="1" applyAlignment="1">
      <alignment horizontal="center" vertical="center"/>
    </xf>
    <xf numFmtId="58" fontId="5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81" fontId="5" fillId="0" borderId="0" xfId="0" applyNumberFormat="1" applyFont="1" applyBorder="1" applyAlignment="1">
      <alignment horizontal="center" vertical="center"/>
    </xf>
    <xf numFmtId="0" fontId="16" fillId="0" borderId="0" xfId="0" applyFont="1">
      <alignment vertical="center"/>
    </xf>
    <xf numFmtId="5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81" fontId="6" fillId="0" borderId="0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5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1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58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81" fontId="7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58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58" fontId="8" fillId="0" borderId="0" xfId="0" applyNumberFormat="1" applyFont="1" applyAlignment="1">
      <alignment horizontal="left" vertical="center"/>
    </xf>
    <xf numFmtId="58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181" fontId="9" fillId="0" borderId="0" xfId="0" applyNumberFormat="1" applyFont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left" vertical="center"/>
    </xf>
    <xf numFmtId="58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9" fillId="0" borderId="0" xfId="0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  <xf numFmtId="0" fontId="20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8" xfId="0" applyNumberFormat="1" applyFont="1" applyFill="1" applyBorder="1" applyAlignment="1">
      <alignment vertical="center"/>
    </xf>
    <xf numFmtId="0" fontId="4" fillId="0" borderId="8" xfId="0" applyNumberFormat="1" applyFont="1" applyFill="1" applyBorder="1" applyAlignment="1">
      <alignment horizontal="center" vertical="center"/>
    </xf>
    <xf numFmtId="58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4" fillId="0" borderId="9" xfId="0" applyNumberFormat="1" applyFont="1" applyFill="1" applyBorder="1" applyAlignment="1">
      <alignment vertical="center"/>
    </xf>
    <xf numFmtId="0" fontId="0" fillId="0" borderId="9" xfId="0" applyNumberFormat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182" fontId="6" fillId="0" borderId="1" xfId="0" applyNumberFormat="1" applyFont="1" applyBorder="1" applyAlignment="1">
      <alignment horizontal="center" vertical="center"/>
    </xf>
    <xf numFmtId="58" fontId="4" fillId="0" borderId="1" xfId="0" applyNumberFormat="1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83" fontId="4" fillId="0" borderId="1" xfId="0" applyNumberFormat="1" applyFont="1" applyFill="1" applyBorder="1" applyAlignment="1">
      <alignment horizontal="left" vertical="center"/>
    </xf>
    <xf numFmtId="184" fontId="4" fillId="0" borderId="1" xfId="0" applyNumberFormat="1" applyFont="1" applyFill="1" applyBorder="1" applyAlignment="1">
      <alignment horizontal="left" vertical="center"/>
    </xf>
    <xf numFmtId="185" fontId="6" fillId="0" borderId="1" xfId="0" applyNumberFormat="1" applyFont="1" applyBorder="1" applyAlignment="1">
      <alignment horizontal="center" vertical="center"/>
    </xf>
    <xf numFmtId="0" fontId="4" fillId="0" borderId="7" xfId="0" applyNumberFormat="1" applyFont="1" applyFill="1" applyBorder="1" applyAlignment="1">
      <alignment vertical="center"/>
    </xf>
    <xf numFmtId="0" fontId="13" fillId="0" borderId="0" xfId="0" applyFont="1" applyBorder="1" applyAlignment="1">
      <alignment vertical="center"/>
    </xf>
    <xf numFmtId="0" fontId="0" fillId="0" borderId="0" xfId="0" applyBorder="1" applyAlignment="1">
      <alignment horizontal="left" vertical="center"/>
    </xf>
    <xf numFmtId="0" fontId="21" fillId="0" borderId="2" xfId="0" applyFont="1" applyFill="1" applyBorder="1" applyAlignment="1">
      <alignment horizontal="left" vertical="center" textRotation="255"/>
    </xf>
    <xf numFmtId="0" fontId="21" fillId="0" borderId="3" xfId="0" applyFont="1" applyFill="1" applyBorder="1" applyAlignment="1">
      <alignment horizontal="left" vertical="center" wrapText="1" readingOrder="1"/>
    </xf>
    <xf numFmtId="0" fontId="21" fillId="0" borderId="4" xfId="0" applyFont="1" applyFill="1" applyBorder="1" applyAlignment="1">
      <alignment horizontal="left" vertical="center" wrapText="1" readingOrder="1"/>
    </xf>
    <xf numFmtId="0" fontId="21" fillId="0" borderId="10" xfId="0" applyFont="1" applyFill="1" applyBorder="1" applyAlignment="1">
      <alignment horizontal="left" vertical="center" textRotation="255"/>
    </xf>
    <xf numFmtId="0" fontId="21" fillId="0" borderId="0" xfId="0" applyFont="1" applyFill="1" applyBorder="1" applyAlignment="1">
      <alignment horizontal="left" vertical="center" wrapText="1" readingOrder="1"/>
    </xf>
    <xf numFmtId="0" fontId="21" fillId="0" borderId="9" xfId="0" applyFont="1" applyFill="1" applyBorder="1" applyAlignment="1">
      <alignment horizontal="left" vertical="center" wrapText="1" readingOrder="1"/>
    </xf>
    <xf numFmtId="0" fontId="21" fillId="0" borderId="5" xfId="0" applyFont="1" applyFill="1" applyBorder="1" applyAlignment="1">
      <alignment horizontal="left" vertical="center" textRotation="255"/>
    </xf>
    <xf numFmtId="0" fontId="21" fillId="0" borderId="6" xfId="0" applyFont="1" applyFill="1" applyBorder="1" applyAlignment="1">
      <alignment horizontal="left" vertical="center" wrapText="1" readingOrder="1"/>
    </xf>
    <xf numFmtId="0" fontId="21" fillId="0" borderId="7" xfId="0" applyFont="1" applyFill="1" applyBorder="1" applyAlignment="1">
      <alignment horizontal="left" vertical="center" wrapText="1" readingOrder="1"/>
    </xf>
    <xf numFmtId="0" fontId="21" fillId="0" borderId="0" xfId="0" applyFont="1" applyFill="1" applyBorder="1" applyAlignment="1">
      <alignment horizontal="left" vertical="center"/>
    </xf>
    <xf numFmtId="186" fontId="13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0" fillId="0" borderId="1" xfId="0" applyBorder="1" quotePrefix="1">
      <alignment vertical="center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货币 2 2 4 6 2" xfId="49"/>
    <cellStyle name="常规 3 3 4 2 4" xfId="50"/>
    <cellStyle name="适中 2 4 2" xfId="51"/>
    <cellStyle name="差_Sheet1" xfId="52"/>
    <cellStyle name="常规 33 2 2 2" xfId="53"/>
    <cellStyle name="常规 2 10" xfId="54"/>
    <cellStyle name="常规 34 2_Sheet1" xfId="55"/>
    <cellStyle name="适中 2 13" xfId="56"/>
    <cellStyle name="常规 38 2" xfId="57"/>
    <cellStyle name="货币 4 3 2" xfId="58"/>
    <cellStyle name="常规 43" xfId="59"/>
    <cellStyle name="常规 44_Sheet1" xfId="60"/>
    <cellStyle name="好_Sheet1" xfId="61"/>
  </cellStyles>
  <tableStyles count="1" defaultTableStyle="TableStyleMedium9" defaultPivotStyle="PivotStyleLight16">
    <tableStyle name="表样式 1" pivot="0" count="0" xr9:uid="{9C39FB9E-EFAA-4576-BC02-6EB5933FA298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U36"/>
  <sheetViews>
    <sheetView workbookViewId="0">
      <selection activeCell="Q11" sqref="Q11"/>
    </sheetView>
  </sheetViews>
  <sheetFormatPr defaultColWidth="9" defaultRowHeight="14.25"/>
  <cols>
    <col min="1" max="1" width="3.50833333333333" style="17" customWidth="1"/>
    <col min="2" max="2" width="2.25833333333333" style="17" customWidth="1"/>
    <col min="3" max="3" width="13.375" style="17" customWidth="1"/>
    <col min="4" max="4" width="30.375" style="17" customWidth="1"/>
    <col min="5" max="5" width="11.7583333333333" style="17" customWidth="1"/>
    <col min="6" max="6" width="12.0083333333333" style="17" customWidth="1"/>
    <col min="7" max="7" width="12.875" style="17" customWidth="1"/>
    <col min="8" max="8" width="11.625" style="17" customWidth="1"/>
    <col min="9" max="9" width="18.5083333333333" style="17" customWidth="1"/>
    <col min="10" max="10" width="17.875" style="17" customWidth="1"/>
    <col min="11" max="12" width="9" style="17"/>
  </cols>
  <sheetData>
    <row r="1" ht="34" customHeight="1" spans="1:21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130"/>
    </row>
    <row r="2" ht="34" customHeight="1" spans="1:21">
      <c r="A2" s="131" t="s">
        <v>1</v>
      </c>
      <c r="B2" s="131"/>
      <c r="C2" s="131"/>
      <c r="D2" s="131"/>
      <c r="E2" s="131"/>
      <c r="F2" s="131"/>
      <c r="G2" s="131"/>
      <c r="H2" s="131"/>
      <c r="I2" s="131"/>
      <c r="J2" s="131"/>
    </row>
    <row r="3" ht="27" customHeight="1" spans="1:21">
      <c r="A3" s="132" t="s">
        <v>2</v>
      </c>
      <c r="B3" s="132"/>
      <c r="C3" s="132"/>
      <c r="D3" s="133" t="s">
        <v>3</v>
      </c>
      <c r="E3" s="133" t="s">
        <v>4</v>
      </c>
      <c r="F3" s="133" t="s">
        <v>5</v>
      </c>
      <c r="G3" s="133" t="s">
        <v>6</v>
      </c>
      <c r="H3" s="133" t="s">
        <v>7</v>
      </c>
      <c r="I3" s="133" t="s">
        <v>8</v>
      </c>
      <c r="J3" s="133" t="s">
        <v>9</v>
      </c>
    </row>
    <row r="4" ht="24" customHeight="1" spans="1:21">
      <c r="A4" s="134">
        <v>46041</v>
      </c>
      <c r="B4" s="135"/>
      <c r="C4" s="135"/>
      <c r="D4" s="135" t="s">
        <v>10</v>
      </c>
      <c r="E4" s="135">
        <v>3</v>
      </c>
      <c r="F4" s="135">
        <v>25</v>
      </c>
      <c r="G4" s="135">
        <f>E4*F4</f>
        <v>75</v>
      </c>
      <c r="H4" s="135">
        <v>0.8</v>
      </c>
      <c r="I4" s="136">
        <f>G4*H4</f>
        <v>60</v>
      </c>
      <c r="J4" s="137"/>
    </row>
    <row r="5" ht="24" customHeight="1" spans="1:21">
      <c r="A5" s="134"/>
      <c r="B5" s="135"/>
      <c r="C5" s="135"/>
      <c r="D5" s="135"/>
      <c r="E5" s="135"/>
      <c r="F5" s="135"/>
      <c r="G5" s="135"/>
      <c r="H5" s="135"/>
      <c r="I5" s="136"/>
      <c r="J5" s="137"/>
    </row>
    <row r="6" ht="24" customHeight="1" spans="1:21">
      <c r="A6" s="134"/>
      <c r="B6" s="135"/>
      <c r="C6" s="135"/>
      <c r="D6" s="135"/>
      <c r="E6" s="135"/>
      <c r="F6" s="135"/>
      <c r="G6" s="135"/>
      <c r="H6" s="135"/>
      <c r="I6" s="136"/>
      <c r="J6" s="137"/>
    </row>
    <row r="7" ht="24" customHeight="1" spans="1:21">
      <c r="A7" s="134"/>
      <c r="B7" s="135"/>
      <c r="C7" s="135"/>
      <c r="D7" s="135"/>
      <c r="E7" s="135"/>
      <c r="F7" s="135"/>
      <c r="G7" s="135"/>
      <c r="H7" s="135"/>
      <c r="I7" s="136"/>
      <c r="J7" s="138"/>
    </row>
    <row r="8" ht="24" customHeight="1" spans="1:21">
      <c r="A8" s="134"/>
      <c r="B8" s="135"/>
      <c r="C8" s="135"/>
      <c r="D8" s="135"/>
      <c r="E8" s="135"/>
      <c r="F8" s="135"/>
      <c r="G8" s="135"/>
      <c r="H8" s="135"/>
      <c r="I8" s="136"/>
      <c r="J8" s="138"/>
    </row>
    <row r="9" customFormat="1" ht="24" customHeight="1" spans="1:21">
      <c r="A9" s="134"/>
      <c r="B9" s="135"/>
      <c r="C9" s="135"/>
      <c r="D9" s="139"/>
      <c r="E9" s="135"/>
      <c r="F9" s="140"/>
      <c r="G9" s="135"/>
      <c r="H9" s="136"/>
      <c r="I9" s="136"/>
      <c r="J9" s="137"/>
      <c r="K9" s="17"/>
      <c r="L9" s="17"/>
    </row>
    <row r="10" customFormat="1" ht="24" customHeight="1" spans="1:21">
      <c r="A10" s="134"/>
      <c r="B10" s="135"/>
      <c r="C10" s="135"/>
      <c r="D10" s="139"/>
      <c r="E10" s="135"/>
      <c r="F10" s="140"/>
      <c r="G10" s="135"/>
      <c r="H10" s="136"/>
      <c r="I10" s="136"/>
      <c r="J10" s="137"/>
      <c r="K10" s="17"/>
      <c r="L10" s="17"/>
    </row>
    <row r="11" customFormat="1" ht="24" customHeight="1" spans="1:21">
      <c r="A11" s="134"/>
      <c r="B11" s="135"/>
      <c r="C11" s="135"/>
      <c r="D11" s="139"/>
      <c r="E11" s="135"/>
      <c r="F11" s="135"/>
      <c r="G11" s="135"/>
      <c r="H11" s="136"/>
      <c r="I11" s="136"/>
      <c r="J11" s="137"/>
      <c r="K11" s="17"/>
      <c r="L11" s="17"/>
    </row>
    <row r="12" customFormat="1" ht="24" customHeight="1" spans="1:21">
      <c r="A12" s="134"/>
      <c r="B12" s="135"/>
      <c r="C12" s="135"/>
      <c r="D12" s="141"/>
      <c r="E12" s="142"/>
      <c r="F12" s="135"/>
      <c r="G12" s="142"/>
      <c r="H12" s="136"/>
      <c r="I12" s="136"/>
      <c r="J12" s="137"/>
      <c r="K12" s="17"/>
      <c r="L12" s="17"/>
    </row>
    <row r="13" s="18" customFormat="1" ht="24" customHeight="1" spans="1:21">
      <c r="A13" s="143"/>
      <c r="B13" s="143"/>
      <c r="C13" s="143"/>
      <c r="D13" s="144"/>
      <c r="E13" s="144"/>
      <c r="F13" s="144"/>
      <c r="G13" s="145"/>
      <c r="H13" s="146"/>
      <c r="I13" s="146"/>
      <c r="J13" s="137"/>
      <c r="K13" s="50"/>
      <c r="L13"/>
      <c r="R13" s="17"/>
    </row>
    <row r="14" s="18" customFormat="1" ht="24" customHeight="1" spans="1:21">
      <c r="A14" s="147" t="s">
        <v>11</v>
      </c>
      <c r="B14" s="147"/>
      <c r="C14" s="147"/>
      <c r="D14" s="148">
        <f>I14</f>
        <v>60</v>
      </c>
      <c r="E14" s="148"/>
      <c r="F14" s="148"/>
      <c r="G14" s="148"/>
      <c r="H14" s="148"/>
      <c r="I14" s="149">
        <f>SUM(I4:I13)</f>
        <v>60</v>
      </c>
      <c r="J14" s="150"/>
      <c r="K14" s="151"/>
      <c r="L14" s="50"/>
      <c r="M14" s="152"/>
      <c r="N14" s="152"/>
      <c r="R14" s="17"/>
    </row>
    <row r="15" s="18" customFormat="1" ht="20" customHeight="1" spans="1:21">
      <c r="A15" s="153" t="s">
        <v>12</v>
      </c>
      <c r="B15" s="154" t="s">
        <v>13</v>
      </c>
      <c r="C15" s="154"/>
      <c r="D15" s="154"/>
      <c r="E15" s="154"/>
      <c r="F15" s="154"/>
      <c r="G15" s="154"/>
      <c r="H15" s="154"/>
      <c r="I15" s="154"/>
      <c r="J15" s="155"/>
      <c r="K15" s="50"/>
      <c r="L15" s="50"/>
      <c r="M15" s="152"/>
      <c r="N15" s="152"/>
      <c r="O15" s="45"/>
      <c r="P15" s="18"/>
      <c r="Q15" s="52"/>
      <c r="R15" s="17"/>
      <c r="S15" s="52"/>
      <c r="T15" s="52"/>
      <c r="U15" s="52"/>
    </row>
    <row r="16" s="18" customFormat="1" ht="20" customHeight="1" spans="1:21">
      <c r="A16" s="156"/>
      <c r="B16" s="157" t="s">
        <v>14</v>
      </c>
      <c r="C16" s="157"/>
      <c r="D16" s="157"/>
      <c r="E16" s="157"/>
      <c r="F16" s="157"/>
      <c r="G16" s="157"/>
      <c r="H16" s="157"/>
      <c r="I16" s="157"/>
      <c r="J16" s="158"/>
      <c r="K16" s="50"/>
      <c r="L16" s="52"/>
      <c r="M16" s="152"/>
      <c r="N16" s="152"/>
      <c r="O16" s="45"/>
      <c r="P16" s="18"/>
      <c r="Q16" s="52"/>
      <c r="R16" s="17"/>
      <c r="S16" s="52"/>
      <c r="T16" s="52"/>
      <c r="U16" s="52"/>
    </row>
    <row r="17" s="18" customFormat="1" ht="20" customHeight="1" spans="1:21">
      <c r="A17" s="156"/>
      <c r="B17" s="157"/>
      <c r="C17" s="157" t="s">
        <v>15</v>
      </c>
      <c r="D17" s="157"/>
      <c r="E17" s="157"/>
      <c r="F17" s="157"/>
      <c r="G17" s="157"/>
      <c r="H17" s="157"/>
      <c r="I17" s="157"/>
      <c r="J17" s="158"/>
      <c r="K17" s="50"/>
      <c r="L17" s="52"/>
      <c r="M17" s="152"/>
      <c r="N17" s="152"/>
      <c r="O17" s="45"/>
      <c r="P17" s="18"/>
      <c r="Q17" s="52"/>
      <c r="R17" s="17"/>
      <c r="S17" s="52"/>
      <c r="T17" s="52"/>
      <c r="U17" s="52"/>
    </row>
    <row r="18" s="18" customFormat="1" ht="20" customHeight="1" spans="1:21">
      <c r="A18" s="159"/>
      <c r="B18" s="160" t="s">
        <v>16</v>
      </c>
      <c r="C18" s="160"/>
      <c r="D18" s="160"/>
      <c r="E18" s="160"/>
      <c r="F18" s="160"/>
      <c r="G18" s="160"/>
      <c r="H18" s="160"/>
      <c r="I18" s="160"/>
      <c r="J18" s="161"/>
      <c r="K18" s="50"/>
      <c r="L18" s="52"/>
      <c r="M18" s="152"/>
      <c r="N18" s="152"/>
      <c r="O18" s="45"/>
      <c r="P18" s="18"/>
      <c r="Q18" s="52"/>
      <c r="R18" s="17"/>
      <c r="S18" s="52"/>
      <c r="T18" s="52"/>
      <c r="U18" s="52"/>
    </row>
    <row r="19" s="18" customFormat="1" ht="20" customHeight="1" spans="1:21">
      <c r="A19" s="162" t="s">
        <v>17</v>
      </c>
      <c r="B19" s="162"/>
      <c r="C19" s="162"/>
      <c r="D19" s="162"/>
      <c r="E19" s="162"/>
      <c r="F19" s="162"/>
      <c r="G19" s="162"/>
      <c r="H19" s="162"/>
      <c r="I19" s="162"/>
      <c r="J19" s="162"/>
      <c r="K19" s="50"/>
      <c r="L19" s="52"/>
      <c r="R19" s="17"/>
    </row>
    <row r="20" ht="20" customHeight="1" spans="1:21">
      <c r="A20" s="162" t="s">
        <v>18</v>
      </c>
      <c r="B20" s="162"/>
      <c r="C20" s="162"/>
      <c r="D20" s="162"/>
      <c r="E20" s="162"/>
      <c r="F20" s="162"/>
      <c r="G20" s="162"/>
      <c r="H20" s="162"/>
      <c r="I20" s="162"/>
      <c r="J20" s="162"/>
      <c r="K20" s="50"/>
      <c r="L20"/>
      <c r="M20" s="18"/>
      <c r="P20" s="18"/>
      <c r="R20" s="17"/>
    </row>
    <row r="21" ht="23.45" customHeight="1" spans="1:21">
      <c r="A21" s="152"/>
      <c r="C21" s="45"/>
      <c r="D21" s="50"/>
      <c r="E21" s="50"/>
      <c r="F21" s="18"/>
      <c r="G21" s="50"/>
      <c r="H21" s="50"/>
      <c r="I21" s="163"/>
      <c r="J21" s="151"/>
      <c r="K21" s="50"/>
      <c r="L21"/>
      <c r="M21" s="18"/>
      <c r="P21" s="18"/>
      <c r="R21" s="17"/>
    </row>
    <row r="22" ht="20.25" customHeight="1" spans="1:21">
      <c r="A22" s="164" t="s">
        <v>19</v>
      </c>
      <c r="C22"/>
      <c r="D22" s="45"/>
      <c r="E22" s="52"/>
      <c r="F22" s="18"/>
      <c r="G22" s="18"/>
      <c r="H22" s="52"/>
      <c r="I22" s="40"/>
      <c r="J22" s="52"/>
      <c r="K22" s="50"/>
      <c r="L22" s="50"/>
      <c r="P22" s="18"/>
      <c r="R22" s="17"/>
    </row>
    <row r="23" ht="20.25" customHeight="1" spans="1:21">
      <c r="A23" s="164"/>
      <c r="B23" s="151"/>
      <c r="C23" s="151"/>
      <c r="D23" s="151"/>
      <c r="E23" s="151"/>
      <c r="F23" s="151"/>
      <c r="G23" s="151"/>
      <c r="H23" s="151"/>
      <c r="I23" s="151"/>
      <c r="J23" s="151"/>
      <c r="K23" s="52"/>
      <c r="L23" s="50"/>
      <c r="P23" s="18"/>
      <c r="R23" s="17"/>
    </row>
    <row r="24" spans="1:21">
      <c r="A24" s="165"/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7"/>
      <c r="P24" s="18"/>
    </row>
    <row r="25" spans="1:21">
      <c r="A25" s="165"/>
      <c r="B25" s="166"/>
      <c r="C25" s="166"/>
      <c r="D25" s="166"/>
      <c r="E25" s="166"/>
      <c r="F25" s="166"/>
      <c r="G25" s="166"/>
      <c r="H25" s="166"/>
      <c r="I25" s="166"/>
      <c r="J25" s="166"/>
      <c r="K25" s="166"/>
      <c r="L25" s="167"/>
    </row>
    <row r="26" spans="1:21">
      <c r="A26" s="165"/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7"/>
    </row>
    <row r="27" spans="1:21">
      <c r="A27" s="165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7"/>
    </row>
    <row r="28" spans="1:21">
      <c r="A28" s="165"/>
      <c r="B28" s="166"/>
      <c r="C28" s="166"/>
      <c r="D28" s="166"/>
      <c r="E28" s="166"/>
      <c r="F28" s="166"/>
      <c r="G28" s="166"/>
      <c r="H28" s="166"/>
      <c r="I28" s="166"/>
      <c r="J28" s="166"/>
      <c r="K28" s="166"/>
      <c r="L28" s="167"/>
    </row>
    <row r="29" spans="1:21">
      <c r="A29" s="165"/>
      <c r="B29" s="166"/>
      <c r="C29" s="166"/>
      <c r="D29" s="166"/>
      <c r="E29" s="166"/>
      <c r="F29" s="166"/>
      <c r="G29" s="166"/>
      <c r="H29" s="166"/>
      <c r="I29" s="166"/>
      <c r="J29" s="166"/>
      <c r="K29" s="166"/>
      <c r="L29" s="167"/>
    </row>
    <row r="30" spans="1:21">
      <c r="A30" s="165"/>
      <c r="B30" s="166"/>
      <c r="C30" s="166"/>
      <c r="D30" s="166"/>
      <c r="E30" s="166"/>
      <c r="F30" s="166"/>
      <c r="G30" s="166"/>
      <c r="H30" s="166"/>
      <c r="I30" s="166"/>
      <c r="J30" s="166"/>
      <c r="K30" s="166"/>
      <c r="L30" s="167"/>
    </row>
    <row r="31" spans="1:21">
      <c r="A31" s="165"/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7"/>
    </row>
    <row r="32" spans="1:21">
      <c r="L32" s="167"/>
    </row>
    <row r="33" spans="12:12">
      <c r="L33" s="167"/>
    </row>
    <row r="34" spans="12:12">
      <c r="L34" s="167"/>
    </row>
    <row r="35" spans="12:12">
      <c r="L35" s="167"/>
    </row>
    <row r="36" spans="12:12">
      <c r="L36" s="167"/>
    </row>
  </sheetData>
  <mergeCells count="23">
    <mergeCell ref="A1:J1"/>
    <mergeCell ref="A2:J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D14:H14"/>
    <mergeCell ref="B15:J15"/>
    <mergeCell ref="B16:J16"/>
    <mergeCell ref="C17:J17"/>
    <mergeCell ref="B18:J18"/>
    <mergeCell ref="A19:J19"/>
    <mergeCell ref="A20:J20"/>
    <mergeCell ref="B23:I23"/>
    <mergeCell ref="A15:A18"/>
  </mergeCells>
  <printOptions horizontalCentered="1"/>
  <pageMargins left="0.196527777777778" right="0.196527777777778" top="0.196527777777778" bottom="0.393055555555556" header="0.393055555555556" footer="0.393055555555556"/>
  <pageSetup paperSize="9" scale="69" orientation="portrait" horizontalDpi="600" verticalDpi="18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T115"/>
  <sheetViews>
    <sheetView tabSelected="1" topLeftCell="A47" workbookViewId="0">
      <selection activeCell="N60" sqref="N60"/>
    </sheetView>
  </sheetViews>
  <sheetFormatPr defaultColWidth="9" defaultRowHeight="14.25"/>
  <cols>
    <col min="1" max="1" width="12.25" style="17" customWidth="1"/>
    <col min="2" max="2" width="10.375" style="17" customWidth="1"/>
    <col min="3" max="3" width="8" style="17" customWidth="1"/>
    <col min="4" max="4" width="1.375" style="17" customWidth="1"/>
    <col min="5" max="5" width="7.5" style="17" customWidth="1"/>
    <col min="6" max="6" width="21" customWidth="1"/>
    <col min="7" max="7" width="12.5" customWidth="1"/>
    <col min="8" max="8" width="10.375" customWidth="1"/>
    <col min="10" max="10" width="9.875"/>
    <col min="11" max="11" width="11.875" customWidth="1"/>
    <col min="12" max="12" width="10" customWidth="1"/>
    <col min="13" max="13" width="7.5" customWidth="1"/>
    <col min="14" max="14" width="21" customWidth="1"/>
    <col min="15" max="15" width="11.75" customWidth="1"/>
  </cols>
  <sheetData>
    <row r="1" spans="1:20">
      <c r="M1" s="18"/>
      <c r="N1" s="17" t="s">
        <v>20</v>
      </c>
      <c r="O1" s="19"/>
    </row>
    <row r="2" spans="1:20">
      <c r="A2" s="20" t="s">
        <v>21</v>
      </c>
      <c r="B2" s="21"/>
      <c r="C2" s="21"/>
      <c r="D2" s="21"/>
      <c r="E2" s="21"/>
      <c r="F2" s="21"/>
      <c r="G2" s="21" t="s">
        <v>22</v>
      </c>
      <c r="H2" s="21"/>
      <c r="I2" s="22"/>
      <c r="J2" s="23">
        <f>SUM(L5:L30)</f>
        <v>16179.64</v>
      </c>
      <c r="K2" s="23"/>
      <c r="L2" s="23"/>
      <c r="M2" s="23"/>
      <c r="N2" s="20"/>
      <c r="O2" s="22"/>
    </row>
    <row r="3" spans="1:20">
      <c r="A3" s="24"/>
      <c r="B3" s="25"/>
      <c r="C3" s="25"/>
      <c r="D3" s="25"/>
      <c r="E3" s="25"/>
      <c r="F3" s="25"/>
      <c r="G3" s="25"/>
      <c r="H3" s="25"/>
      <c r="I3" s="26"/>
      <c r="J3" s="23"/>
      <c r="K3" s="23"/>
      <c r="L3" s="23"/>
      <c r="M3" s="23"/>
      <c r="N3" s="24"/>
      <c r="O3" s="26"/>
    </row>
    <row r="4" spans="1:20">
      <c r="A4" s="27" t="s">
        <v>23</v>
      </c>
      <c r="B4" s="27" t="s">
        <v>24</v>
      </c>
      <c r="C4" s="27" t="s">
        <v>25</v>
      </c>
      <c r="D4" s="28" t="s">
        <v>26</v>
      </c>
      <c r="E4" s="28" t="s">
        <v>27</v>
      </c>
      <c r="F4" s="28" t="s">
        <v>28</v>
      </c>
      <c r="G4" s="28"/>
      <c r="H4" s="29" t="s">
        <v>29</v>
      </c>
      <c r="I4" s="28" t="s">
        <v>30</v>
      </c>
      <c r="J4" s="30" t="s">
        <v>31</v>
      </c>
      <c r="K4" s="28" t="s">
        <v>29</v>
      </c>
      <c r="L4" s="28" t="s">
        <v>32</v>
      </c>
      <c r="M4" s="28" t="s">
        <v>29</v>
      </c>
      <c r="N4" s="31" t="s">
        <v>33</v>
      </c>
      <c r="O4" s="32" t="s">
        <v>34</v>
      </c>
      <c r="P4" s="16"/>
      <c r="Q4" s="16"/>
      <c r="R4" s="16"/>
      <c r="S4" s="16"/>
      <c r="T4" s="16"/>
    </row>
    <row r="5" s="6" customFormat="1" ht="21" customHeight="1" spans="1:20">
      <c r="A5" s="33">
        <v>44660</v>
      </c>
      <c r="B5" s="33">
        <v>44658</v>
      </c>
      <c r="C5" s="34" t="s">
        <v>35</v>
      </c>
      <c r="D5" s="34" t="s">
        <v>36</v>
      </c>
      <c r="E5" s="34" t="s">
        <v>37</v>
      </c>
      <c r="F5" s="34">
        <v>28</v>
      </c>
      <c r="G5" s="35" t="s">
        <v>38</v>
      </c>
      <c r="H5" s="36" t="s">
        <v>39</v>
      </c>
      <c r="I5" s="37">
        <v>20</v>
      </c>
      <c r="J5" s="38">
        <v>8.48</v>
      </c>
      <c r="K5" s="38" t="s">
        <v>40</v>
      </c>
      <c r="L5" s="39">
        <f>SUM(F5*I5*J5)</f>
        <v>4748.8</v>
      </c>
      <c r="M5" s="40" t="s">
        <v>41</v>
      </c>
      <c r="N5" s="41" t="s">
        <v>42</v>
      </c>
      <c r="O5" s="41"/>
      <c r="Q5" s="42"/>
      <c r="R5" s="43"/>
      <c r="T5" s="42"/>
    </row>
    <row r="6" s="7" customFormat="1" spans="1:20">
      <c r="A6" s="44">
        <v>44660</v>
      </c>
      <c r="B6" s="44">
        <v>44614</v>
      </c>
      <c r="C6" s="45" t="s">
        <v>43</v>
      </c>
      <c r="D6" s="46"/>
      <c r="E6" s="45" t="s">
        <v>44</v>
      </c>
      <c r="F6" s="45">
        <v>4</v>
      </c>
      <c r="G6" s="47" t="s">
        <v>38</v>
      </c>
      <c r="H6" s="48" t="s">
        <v>39</v>
      </c>
      <c r="I6" s="49">
        <v>1</v>
      </c>
      <c r="J6" s="50">
        <v>60</v>
      </c>
      <c r="K6" s="50" t="s">
        <v>40</v>
      </c>
      <c r="L6" s="51">
        <f>SUM(F6*I6*J6)</f>
        <v>240</v>
      </c>
      <c r="M6" s="52" t="s">
        <v>45</v>
      </c>
      <c r="N6" s="53"/>
      <c r="O6" s="53"/>
      <c r="Q6" s="54"/>
      <c r="R6" s="55"/>
      <c r="T6" s="54"/>
    </row>
    <row r="7" s="7" customFormat="1" ht="21" customHeight="1" spans="1:20">
      <c r="A7" s="33">
        <v>44671</v>
      </c>
      <c r="B7" s="33">
        <v>44671</v>
      </c>
      <c r="C7" s="34" t="s">
        <v>46</v>
      </c>
      <c r="D7" s="34" t="s">
        <v>36</v>
      </c>
      <c r="E7" s="34" t="s">
        <v>37</v>
      </c>
      <c r="F7" s="34">
        <v>28</v>
      </c>
      <c r="G7" s="35" t="s">
        <v>38</v>
      </c>
      <c r="H7" s="36" t="s">
        <v>39</v>
      </c>
      <c r="I7" s="37">
        <v>3</v>
      </c>
      <c r="J7" s="38">
        <v>8.48</v>
      </c>
      <c r="K7" s="38" t="s">
        <v>40</v>
      </c>
      <c r="L7" s="39">
        <f>SUM(F7*I7*J7)</f>
        <v>712.32</v>
      </c>
      <c r="M7" s="40" t="s">
        <v>41</v>
      </c>
      <c r="N7" s="53"/>
      <c r="O7" s="53"/>
      <c r="Q7" s="54"/>
      <c r="R7" s="55"/>
      <c r="T7" s="54"/>
    </row>
    <row r="8" s="7" customFormat="1" ht="21" customHeight="1" spans="1:20">
      <c r="A8" s="33">
        <v>44679</v>
      </c>
      <c r="B8" s="33">
        <v>44679</v>
      </c>
      <c r="C8" s="34" t="s">
        <v>47</v>
      </c>
      <c r="D8" s="34" t="s">
        <v>48</v>
      </c>
      <c r="E8" s="34" t="s">
        <v>37</v>
      </c>
      <c r="F8" s="34">
        <v>28</v>
      </c>
      <c r="G8" s="35" t="s">
        <v>38</v>
      </c>
      <c r="H8" s="36" t="s">
        <v>39</v>
      </c>
      <c r="I8" s="37">
        <v>3</v>
      </c>
      <c r="J8" s="38">
        <v>8.78</v>
      </c>
      <c r="K8" s="38" t="s">
        <v>40</v>
      </c>
      <c r="L8" s="39">
        <f>SUM(F8*I8*J8)</f>
        <v>737.52</v>
      </c>
      <c r="M8" s="40" t="s">
        <v>41</v>
      </c>
      <c r="N8" s="53"/>
      <c r="O8" s="53"/>
      <c r="Q8" s="54"/>
      <c r="R8" s="55"/>
      <c r="T8" s="54"/>
    </row>
    <row r="9" s="6" customFormat="1" ht="21" customHeight="1" spans="1:20">
      <c r="A9" s="33">
        <v>44695</v>
      </c>
      <c r="B9" s="33">
        <v>44574</v>
      </c>
      <c r="C9" s="34" t="s">
        <v>49</v>
      </c>
      <c r="D9" s="34"/>
      <c r="E9" s="34" t="s">
        <v>50</v>
      </c>
      <c r="F9" s="34">
        <v>20</v>
      </c>
      <c r="G9" s="35" t="s">
        <v>38</v>
      </c>
      <c r="H9" s="36" t="s">
        <v>39</v>
      </c>
      <c r="I9" s="37">
        <v>8</v>
      </c>
      <c r="J9" s="38">
        <v>12</v>
      </c>
      <c r="K9" s="38" t="s">
        <v>40</v>
      </c>
      <c r="L9" s="39">
        <f t="shared" ref="L9:L10" si="0">SUM(F9*I9*J9)</f>
        <v>1920</v>
      </c>
      <c r="M9" s="40" t="s">
        <v>40</v>
      </c>
      <c r="N9" s="41" t="s">
        <v>51</v>
      </c>
      <c r="O9" s="39"/>
      <c r="Q9" s="42"/>
      <c r="R9" s="43"/>
      <c r="T9" s="42"/>
    </row>
    <row r="10" s="6" customFormat="1" ht="21" customHeight="1" spans="1:20">
      <c r="A10" s="33">
        <v>44695</v>
      </c>
      <c r="B10" s="33">
        <v>44617</v>
      </c>
      <c r="C10" s="34" t="s">
        <v>49</v>
      </c>
      <c r="D10" s="34"/>
      <c r="E10" s="34" t="s">
        <v>52</v>
      </c>
      <c r="F10" s="34">
        <v>180</v>
      </c>
      <c r="G10" s="35" t="s">
        <v>38</v>
      </c>
      <c r="H10" s="36" t="s">
        <v>39</v>
      </c>
      <c r="I10" s="37">
        <v>1</v>
      </c>
      <c r="J10" s="38">
        <v>13.3</v>
      </c>
      <c r="K10" s="38" t="s">
        <v>40</v>
      </c>
      <c r="L10" s="39">
        <f t="shared" si="0"/>
        <v>2394</v>
      </c>
      <c r="M10" s="40" t="s">
        <v>40</v>
      </c>
      <c r="N10" s="41"/>
      <c r="O10" s="39"/>
      <c r="Q10" s="42"/>
      <c r="R10" s="43"/>
      <c r="T10" s="42"/>
    </row>
    <row r="11" s="6" customFormat="1" ht="21" customHeight="1" spans="1:20">
      <c r="A11" s="33">
        <v>44695</v>
      </c>
      <c r="B11" s="33">
        <v>44695</v>
      </c>
      <c r="C11" s="34" t="s">
        <v>49</v>
      </c>
      <c r="D11" s="34"/>
      <c r="E11" s="34">
        <v>8460</v>
      </c>
      <c r="F11" s="34">
        <v>1</v>
      </c>
      <c r="G11" s="35" t="s">
        <v>38</v>
      </c>
      <c r="H11" s="36" t="s">
        <v>39</v>
      </c>
      <c r="I11" s="37">
        <v>1</v>
      </c>
      <c r="J11" s="38">
        <v>150</v>
      </c>
      <c r="K11" s="38" t="s">
        <v>40</v>
      </c>
      <c r="L11" s="39">
        <f t="shared" ref="L11" si="1">SUM(F11*I11*J11)</f>
        <v>150</v>
      </c>
      <c r="M11" s="40" t="s">
        <v>40</v>
      </c>
      <c r="N11" s="41"/>
      <c r="O11" s="39"/>
      <c r="Q11" s="42"/>
      <c r="R11" s="43"/>
      <c r="T11" s="42"/>
    </row>
    <row r="12" s="7" customFormat="1" spans="1:20">
      <c r="A12" s="33">
        <v>44718</v>
      </c>
      <c r="B12" s="33" t="s">
        <v>53</v>
      </c>
      <c r="C12" s="34" t="s">
        <v>54</v>
      </c>
      <c r="D12" s="34"/>
      <c r="E12" s="34" t="s">
        <v>55</v>
      </c>
      <c r="F12" s="34">
        <v>4</v>
      </c>
      <c r="G12" s="35" t="s">
        <v>38</v>
      </c>
      <c r="H12" s="36" t="s">
        <v>39</v>
      </c>
      <c r="I12" s="37">
        <v>1</v>
      </c>
      <c r="J12" s="38">
        <v>80</v>
      </c>
      <c r="K12" s="38" t="s">
        <v>40</v>
      </c>
      <c r="L12" s="39">
        <f t="shared" ref="L12:L16" si="2">SUM(F12*I12*J12)</f>
        <v>320</v>
      </c>
      <c r="M12" s="40" t="s">
        <v>40</v>
      </c>
      <c r="N12" s="41"/>
    </row>
    <row r="13" s="7" customFormat="1" spans="1:20">
      <c r="A13" s="56">
        <v>44725</v>
      </c>
      <c r="B13" s="34" t="s">
        <v>56</v>
      </c>
      <c r="C13" s="34" t="s">
        <v>57</v>
      </c>
      <c r="D13" s="34"/>
      <c r="E13" s="34" t="s">
        <v>55</v>
      </c>
      <c r="F13" s="34">
        <v>6</v>
      </c>
      <c r="G13" s="35" t="s">
        <v>38</v>
      </c>
      <c r="H13" s="36" t="s">
        <v>39</v>
      </c>
      <c r="I13" s="37">
        <v>1</v>
      </c>
      <c r="J13" s="38">
        <v>80</v>
      </c>
      <c r="K13" s="38" t="s">
        <v>40</v>
      </c>
      <c r="L13" s="39">
        <f t="shared" si="2"/>
        <v>480</v>
      </c>
      <c r="M13" s="40" t="s">
        <v>58</v>
      </c>
      <c r="N13" s="41"/>
      <c r="O13" s="57"/>
      <c r="P13" s="57"/>
      <c r="Q13" s="57"/>
      <c r="R13" s="57"/>
      <c r="S13" s="57"/>
    </row>
    <row r="14" s="6" customFormat="1" ht="21" customHeight="1" spans="1:20">
      <c r="A14" s="33">
        <v>44727</v>
      </c>
      <c r="B14" s="33">
        <v>44726</v>
      </c>
      <c r="C14" s="34" t="s">
        <v>59</v>
      </c>
      <c r="D14" s="34"/>
      <c r="E14" s="34">
        <v>8460</v>
      </c>
      <c r="F14" s="34">
        <v>3</v>
      </c>
      <c r="G14" s="35" t="s">
        <v>38</v>
      </c>
      <c r="H14" s="36" t="s">
        <v>39</v>
      </c>
      <c r="I14" s="37">
        <v>1</v>
      </c>
      <c r="J14" s="38">
        <v>150</v>
      </c>
      <c r="K14" s="38" t="s">
        <v>40</v>
      </c>
      <c r="L14" s="39">
        <f t="shared" si="2"/>
        <v>450</v>
      </c>
      <c r="M14" s="40" t="s">
        <v>60</v>
      </c>
      <c r="N14" s="38"/>
      <c r="O14" s="39"/>
      <c r="Q14" s="42"/>
      <c r="R14" s="43"/>
      <c r="T14" s="42"/>
    </row>
    <row r="15" s="8" customFormat="1" spans="1:20">
      <c r="A15" s="6"/>
      <c r="B15" s="58">
        <v>44826</v>
      </c>
      <c r="C15" s="59" t="s">
        <v>61</v>
      </c>
      <c r="D15" s="60" t="s">
        <v>62</v>
      </c>
      <c r="E15" s="6" t="s">
        <v>63</v>
      </c>
      <c r="F15" s="61">
        <v>3</v>
      </c>
      <c r="G15" s="38" t="s">
        <v>64</v>
      </c>
      <c r="H15" s="38" t="s">
        <v>39</v>
      </c>
      <c r="I15" s="62">
        <v>1</v>
      </c>
      <c r="J15" s="62">
        <v>150</v>
      </c>
      <c r="K15" s="38" t="s">
        <v>40</v>
      </c>
      <c r="L15" s="39">
        <f t="shared" si="2"/>
        <v>450</v>
      </c>
      <c r="M15" s="62" t="s">
        <v>65</v>
      </c>
      <c r="N15" s="62"/>
      <c r="O15" s="8" t="s">
        <v>66</v>
      </c>
    </row>
    <row r="16" s="8" customFormat="1" spans="1:20">
      <c r="A16" s="6"/>
      <c r="B16" s="58">
        <v>44826</v>
      </c>
      <c r="C16" s="59" t="s">
        <v>61</v>
      </c>
      <c r="D16" s="60" t="s">
        <v>62</v>
      </c>
      <c r="E16" s="6" t="s">
        <v>67</v>
      </c>
      <c r="F16" s="61">
        <v>34</v>
      </c>
      <c r="G16" s="38" t="s">
        <v>64</v>
      </c>
      <c r="H16" s="38" t="s">
        <v>39</v>
      </c>
      <c r="I16" s="62">
        <v>1</v>
      </c>
      <c r="J16" s="62">
        <v>15.5</v>
      </c>
      <c r="K16" s="38" t="s">
        <v>40</v>
      </c>
      <c r="L16" s="39">
        <f t="shared" si="2"/>
        <v>527</v>
      </c>
      <c r="M16" s="62"/>
      <c r="N16" s="62"/>
      <c r="O16" s="8" t="s">
        <v>66</v>
      </c>
    </row>
    <row r="20" s="6" customFormat="1" spans="1:20">
      <c r="A20" s="58">
        <v>45000</v>
      </c>
      <c r="B20" s="58">
        <v>45000</v>
      </c>
      <c r="C20" s="59" t="s">
        <v>68</v>
      </c>
      <c r="D20" s="60" t="s">
        <v>62</v>
      </c>
      <c r="E20" s="6" t="s">
        <v>69</v>
      </c>
      <c r="F20" s="61">
        <v>25</v>
      </c>
      <c r="G20" s="38" t="s">
        <v>64</v>
      </c>
      <c r="H20" s="38" t="s">
        <v>39</v>
      </c>
      <c r="I20" s="62">
        <v>2</v>
      </c>
      <c r="J20" s="62">
        <v>26</v>
      </c>
      <c r="K20" s="38" t="s">
        <v>40</v>
      </c>
      <c r="L20" s="39">
        <f>SUM(F20*I20*J20)</f>
        <v>1300</v>
      </c>
      <c r="M20" s="40" t="s">
        <v>40</v>
      </c>
      <c r="N20" s="62" t="s">
        <v>70</v>
      </c>
      <c r="O20" s="6" t="s">
        <v>66</v>
      </c>
    </row>
    <row r="21" s="6" customFormat="1" spans="1:20">
      <c r="A21" s="58">
        <v>45000</v>
      </c>
      <c r="B21" s="58">
        <v>45000</v>
      </c>
      <c r="C21" s="59" t="s">
        <v>68</v>
      </c>
      <c r="D21" s="60" t="s">
        <v>62</v>
      </c>
      <c r="E21" s="6" t="s">
        <v>71</v>
      </c>
      <c r="F21" s="62">
        <v>25</v>
      </c>
      <c r="G21" s="38" t="s">
        <v>64</v>
      </c>
      <c r="H21" s="38" t="s">
        <v>39</v>
      </c>
      <c r="I21" s="62">
        <v>2</v>
      </c>
      <c r="J21" s="62">
        <v>26</v>
      </c>
      <c r="K21" s="38" t="s">
        <v>40</v>
      </c>
      <c r="L21" s="39">
        <f>SUM(F21*I21*J21)</f>
        <v>1300</v>
      </c>
      <c r="M21" s="40" t="s">
        <v>40</v>
      </c>
      <c r="N21" s="62" t="s">
        <v>70</v>
      </c>
      <c r="O21" s="6" t="s">
        <v>66</v>
      </c>
    </row>
    <row r="22" s="6" customFormat="1" spans="1:20">
      <c r="A22" s="33">
        <v>45005</v>
      </c>
      <c r="B22" s="33">
        <v>45005</v>
      </c>
      <c r="C22" s="62" t="s">
        <v>72</v>
      </c>
      <c r="D22" s="62" t="s">
        <v>62</v>
      </c>
      <c r="E22" s="62">
        <v>8460</v>
      </c>
      <c r="F22" s="62">
        <v>3</v>
      </c>
      <c r="G22" s="38" t="s">
        <v>64</v>
      </c>
      <c r="H22" s="38" t="s">
        <v>39</v>
      </c>
      <c r="I22" s="62">
        <v>1</v>
      </c>
      <c r="J22" s="62">
        <v>150</v>
      </c>
      <c r="K22" s="38" t="s">
        <v>40</v>
      </c>
      <c r="L22" s="39">
        <f>SUM(F22*I22*J22)</f>
        <v>450</v>
      </c>
      <c r="M22" s="40" t="s">
        <v>40</v>
      </c>
      <c r="N22" s="62" t="s">
        <v>70</v>
      </c>
    </row>
    <row r="23" s="9" customFormat="1" spans="1:20">
      <c r="A23" s="63" t="s">
        <v>73</v>
      </c>
      <c r="B23" s="64"/>
      <c r="C23" s="64"/>
      <c r="D23" s="64"/>
      <c r="E23" s="64"/>
      <c r="F23" s="64"/>
      <c r="G23" s="65" t="s">
        <v>22</v>
      </c>
      <c r="H23" s="65"/>
      <c r="I23" s="66"/>
      <c r="J23" s="67">
        <f>SUM(L20:L114)</f>
        <v>9889.5</v>
      </c>
      <c r="K23" s="67"/>
      <c r="L23" s="67"/>
      <c r="M23" s="67"/>
      <c r="N23" s="68"/>
      <c r="O23" s="69"/>
    </row>
    <row r="24" s="9" customFormat="1" spans="1:20">
      <c r="A24" s="70"/>
      <c r="B24" s="71"/>
      <c r="C24" s="71"/>
      <c r="D24" s="71"/>
      <c r="E24" s="71"/>
      <c r="F24" s="71"/>
      <c r="G24" s="72"/>
      <c r="H24" s="72"/>
      <c r="I24" s="73"/>
      <c r="J24" s="67"/>
      <c r="K24" s="67"/>
      <c r="L24" s="67"/>
      <c r="M24" s="67"/>
      <c r="N24" s="74"/>
      <c r="O24" s="75"/>
    </row>
    <row r="25" spans="1:20">
      <c r="A25" s="27" t="s">
        <v>74</v>
      </c>
      <c r="B25" s="27" t="s">
        <v>25</v>
      </c>
      <c r="C25" s="27" t="s">
        <v>75</v>
      </c>
      <c r="D25" s="28"/>
      <c r="E25" s="28"/>
      <c r="F25" s="28" t="s">
        <v>76</v>
      </c>
      <c r="G25" s="28"/>
      <c r="H25" s="29" t="s">
        <v>5</v>
      </c>
      <c r="I25" s="28" t="s">
        <v>6</v>
      </c>
      <c r="J25" s="30" t="s">
        <v>7</v>
      </c>
      <c r="K25" s="28" t="s">
        <v>8</v>
      </c>
      <c r="L25" s="28" t="s">
        <v>34</v>
      </c>
      <c r="M25" s="28" t="s">
        <v>77</v>
      </c>
      <c r="N25" s="31"/>
      <c r="O25" s="32"/>
      <c r="P25" s="16"/>
      <c r="Q25" s="16"/>
      <c r="R25" s="16"/>
      <c r="S25" s="16"/>
      <c r="T25" s="16"/>
    </row>
    <row r="26" s="10" customFormat="1" ht="20.25" spans="1:20">
      <c r="A26" s="76">
        <v>45394</v>
      </c>
      <c r="B26" s="77"/>
      <c r="C26" s="78"/>
      <c r="D26" s="78"/>
      <c r="E26" s="78"/>
      <c r="F26" s="14" t="s">
        <v>78</v>
      </c>
      <c r="G26" s="14">
        <v>10</v>
      </c>
      <c r="H26" s="14">
        <v>1</v>
      </c>
      <c r="I26" s="79">
        <f t="shared" ref="I26:I54" si="3">G26*H26</f>
        <v>10</v>
      </c>
      <c r="J26" s="80">
        <v>13</v>
      </c>
      <c r="K26" s="80"/>
      <c r="L26" s="14" t="s">
        <v>79</v>
      </c>
      <c r="M26" s="14"/>
      <c r="N26" s="14"/>
    </row>
    <row r="27" s="11" customFormat="1" ht="20.25" spans="1:20">
      <c r="A27" s="81">
        <v>45394</v>
      </c>
      <c r="B27" s="82">
        <v>7</v>
      </c>
      <c r="C27" s="83" t="s">
        <v>80</v>
      </c>
      <c r="D27" s="83"/>
      <c r="E27" s="83"/>
      <c r="F27" s="11" t="s">
        <v>37</v>
      </c>
      <c r="G27" s="11">
        <v>10</v>
      </c>
      <c r="H27" s="11">
        <v>25</v>
      </c>
      <c r="I27" s="84">
        <f t="shared" si="3"/>
        <v>250</v>
      </c>
      <c r="J27" s="85">
        <v>10</v>
      </c>
      <c r="K27" s="85">
        <f t="shared" ref="K27:K54" si="4">I27*J27</f>
        <v>2500</v>
      </c>
      <c r="L27" s="86" t="s">
        <v>81</v>
      </c>
      <c r="M27" s="11" t="s">
        <v>82</v>
      </c>
      <c r="N27" s="11" t="s">
        <v>83</v>
      </c>
      <c r="O27" s="11" t="s">
        <v>84</v>
      </c>
    </row>
    <row r="28" s="11" customFormat="1" ht="20.25" spans="1:20">
      <c r="A28" s="81">
        <v>45394</v>
      </c>
      <c r="B28" s="82">
        <v>7</v>
      </c>
      <c r="C28" s="83"/>
      <c r="D28" s="83"/>
      <c r="E28" s="83"/>
      <c r="F28" s="11" t="s">
        <v>85</v>
      </c>
      <c r="G28" s="11">
        <v>1</v>
      </c>
      <c r="H28" s="11">
        <v>4</v>
      </c>
      <c r="I28" s="84">
        <f t="shared" si="3"/>
        <v>4</v>
      </c>
      <c r="J28" s="85">
        <v>45</v>
      </c>
      <c r="K28" s="85">
        <f t="shared" si="4"/>
        <v>180</v>
      </c>
      <c r="L28" s="86" t="s">
        <v>81</v>
      </c>
      <c r="M28" s="11">
        <v>2680</v>
      </c>
      <c r="N28" s="11" t="s">
        <v>86</v>
      </c>
    </row>
    <row r="29" s="12" customFormat="1" ht="20.25" spans="1:20">
      <c r="A29" s="87">
        <v>45595</v>
      </c>
      <c r="B29" s="87" t="s">
        <v>87</v>
      </c>
      <c r="C29" s="87">
        <v>45562</v>
      </c>
      <c r="D29" s="88"/>
      <c r="E29" s="88"/>
      <c r="F29" s="88" t="s">
        <v>88</v>
      </c>
      <c r="G29" s="89">
        <v>1</v>
      </c>
      <c r="H29" s="89">
        <v>20</v>
      </c>
      <c r="I29" s="89">
        <f t="shared" si="3"/>
        <v>20</v>
      </c>
      <c r="J29" s="88">
        <v>12.5</v>
      </c>
      <c r="K29" s="90">
        <f t="shared" si="4"/>
        <v>250</v>
      </c>
      <c r="L29" s="91" t="s">
        <v>89</v>
      </c>
      <c r="M29" s="92"/>
      <c r="N29" s="88"/>
    </row>
    <row r="30" s="12" customFormat="1" ht="20.25" spans="1:20">
      <c r="A30" s="87">
        <v>45595</v>
      </c>
      <c r="B30" s="87"/>
      <c r="C30" s="87">
        <v>45595</v>
      </c>
      <c r="D30" s="88"/>
      <c r="E30" s="88"/>
      <c r="F30" s="88" t="s">
        <v>88</v>
      </c>
      <c r="G30" s="89">
        <v>1</v>
      </c>
      <c r="H30" s="89">
        <v>10</v>
      </c>
      <c r="I30" s="89">
        <f t="shared" si="3"/>
        <v>10</v>
      </c>
      <c r="J30" s="88">
        <v>12.5</v>
      </c>
      <c r="K30" s="90">
        <f t="shared" si="4"/>
        <v>125</v>
      </c>
      <c r="L30" s="91" t="s">
        <v>89</v>
      </c>
      <c r="M30" s="92"/>
      <c r="N30" s="88"/>
    </row>
    <row r="31" s="10" customFormat="1" ht="20.25" spans="1:20">
      <c r="A31" s="93">
        <v>45670</v>
      </c>
      <c r="B31" s="93" t="s">
        <v>49</v>
      </c>
      <c r="C31" s="93">
        <v>45670</v>
      </c>
      <c r="D31" s="94"/>
      <c r="E31" s="94"/>
      <c r="F31" s="94" t="s">
        <v>90</v>
      </c>
      <c r="G31" s="95">
        <v>1</v>
      </c>
      <c r="H31" s="95">
        <v>18</v>
      </c>
      <c r="I31" s="95">
        <f t="shared" si="3"/>
        <v>18</v>
      </c>
      <c r="J31" s="94">
        <v>7</v>
      </c>
      <c r="K31" s="96">
        <f t="shared" si="4"/>
        <v>126</v>
      </c>
      <c r="L31" s="97" t="s">
        <v>91</v>
      </c>
      <c r="M31" s="98"/>
      <c r="N31" s="94"/>
    </row>
    <row r="32" s="10" customFormat="1" ht="20.25" spans="1:20">
      <c r="A32" s="93">
        <v>45670</v>
      </c>
      <c r="B32" s="93" t="s">
        <v>49</v>
      </c>
      <c r="C32" s="94"/>
      <c r="D32" s="94"/>
      <c r="E32" s="94"/>
      <c r="F32" s="94" t="s">
        <v>92</v>
      </c>
      <c r="G32" s="95">
        <v>1</v>
      </c>
      <c r="H32" s="95">
        <v>60</v>
      </c>
      <c r="I32" s="95">
        <f t="shared" si="3"/>
        <v>60</v>
      </c>
      <c r="J32" s="94">
        <v>11</v>
      </c>
      <c r="K32" s="96">
        <f t="shared" si="4"/>
        <v>660</v>
      </c>
      <c r="L32" s="97"/>
      <c r="M32" s="98"/>
      <c r="N32" s="94"/>
    </row>
    <row r="33" s="10" customFormat="1" ht="20.25" spans="1:15">
      <c r="A33" s="93">
        <v>45670</v>
      </c>
      <c r="B33" s="93" t="s">
        <v>49</v>
      </c>
      <c r="C33" s="94"/>
      <c r="D33" s="94"/>
      <c r="E33" s="94"/>
      <c r="F33" s="94" t="s">
        <v>93</v>
      </c>
      <c r="G33" s="95">
        <v>1</v>
      </c>
      <c r="H33" s="95">
        <v>4</v>
      </c>
      <c r="I33" s="95">
        <f t="shared" si="3"/>
        <v>4</v>
      </c>
      <c r="J33" s="94">
        <v>9</v>
      </c>
      <c r="K33" s="96">
        <f t="shared" si="4"/>
        <v>36</v>
      </c>
      <c r="L33" s="97">
        <f>SUM(K31:K33)</f>
        <v>822</v>
      </c>
      <c r="M33" s="98" t="s">
        <v>94</v>
      </c>
      <c r="N33" s="94"/>
    </row>
    <row r="34" s="12" customFormat="1" ht="20.25" spans="1:15">
      <c r="A34" s="87">
        <v>45716</v>
      </c>
      <c r="B34" s="87" t="s">
        <v>95</v>
      </c>
      <c r="C34" s="87">
        <v>45702</v>
      </c>
      <c r="D34" s="88"/>
      <c r="E34" s="88"/>
      <c r="F34" s="88" t="s">
        <v>96</v>
      </c>
      <c r="G34" s="89">
        <v>4</v>
      </c>
      <c r="H34" s="89">
        <v>1</v>
      </c>
      <c r="I34" s="89">
        <f t="shared" si="3"/>
        <v>4</v>
      </c>
      <c r="J34" s="88">
        <v>9</v>
      </c>
      <c r="K34" s="90">
        <f t="shared" si="4"/>
        <v>36</v>
      </c>
      <c r="L34" s="91"/>
      <c r="M34" s="92"/>
      <c r="N34" s="88"/>
    </row>
    <row r="35" s="10" customFormat="1" ht="20.25" spans="1:15">
      <c r="A35" s="93">
        <v>45805</v>
      </c>
      <c r="B35" s="93" t="s">
        <v>97</v>
      </c>
      <c r="C35" s="93">
        <v>45805</v>
      </c>
      <c r="D35" s="94"/>
      <c r="E35" s="94"/>
      <c r="F35" s="94" t="s">
        <v>98</v>
      </c>
      <c r="G35" s="95">
        <v>1</v>
      </c>
      <c r="H35" s="95">
        <v>3</v>
      </c>
      <c r="I35" s="95">
        <f t="shared" si="3"/>
        <v>3</v>
      </c>
      <c r="J35" s="94">
        <v>29</v>
      </c>
      <c r="K35" s="96">
        <f t="shared" si="4"/>
        <v>87</v>
      </c>
      <c r="L35" s="97" t="s">
        <v>99</v>
      </c>
      <c r="M35" s="98" t="s">
        <v>100</v>
      </c>
      <c r="N35" s="94"/>
    </row>
    <row r="36" s="13" customFormat="1" ht="20.25" spans="1:15">
      <c r="A36" s="99">
        <v>45810</v>
      </c>
      <c r="B36" s="99" t="s">
        <v>101</v>
      </c>
      <c r="C36" s="99">
        <v>45805</v>
      </c>
      <c r="D36" s="100"/>
      <c r="E36" s="100"/>
      <c r="F36" s="100" t="s">
        <v>102</v>
      </c>
      <c r="G36" s="101">
        <v>1</v>
      </c>
      <c r="H36" s="101">
        <v>1</v>
      </c>
      <c r="I36" s="101">
        <f t="shared" si="3"/>
        <v>1</v>
      </c>
      <c r="J36" s="100">
        <v>11.5</v>
      </c>
      <c r="K36" s="102">
        <f t="shared" si="4"/>
        <v>11.5</v>
      </c>
      <c r="L36" s="103"/>
      <c r="M36" s="104"/>
      <c r="N36" s="100"/>
    </row>
    <row r="37" s="13" customFormat="1" ht="20.25" spans="1:15">
      <c r="A37" s="99">
        <v>45810</v>
      </c>
      <c r="B37" s="99" t="s">
        <v>101</v>
      </c>
      <c r="C37" s="99">
        <v>45807</v>
      </c>
      <c r="D37" s="100"/>
      <c r="E37" s="100"/>
      <c r="F37" s="100" t="s">
        <v>103</v>
      </c>
      <c r="G37" s="101">
        <v>1</v>
      </c>
      <c r="H37" s="101">
        <v>12</v>
      </c>
      <c r="I37" s="101">
        <f t="shared" si="3"/>
        <v>12</v>
      </c>
      <c r="J37" s="100">
        <v>13.5</v>
      </c>
      <c r="K37" s="102">
        <f t="shared" si="4"/>
        <v>162</v>
      </c>
      <c r="L37" s="103">
        <f>SUM(K36:K37)</f>
        <v>173.5</v>
      </c>
      <c r="M37" s="104" t="s">
        <v>104</v>
      </c>
      <c r="N37" s="100"/>
      <c r="O37" s="105" t="s">
        <v>105</v>
      </c>
    </row>
    <row r="38" s="12" customFormat="1" ht="20.25" spans="1:15">
      <c r="A38" s="87">
        <v>45843</v>
      </c>
      <c r="B38" s="87" t="s">
        <v>106</v>
      </c>
      <c r="C38" s="87" t="s">
        <v>107</v>
      </c>
      <c r="D38" s="88"/>
      <c r="E38" s="88"/>
      <c r="F38" s="88" t="s">
        <v>108</v>
      </c>
      <c r="G38" s="89">
        <v>1</v>
      </c>
      <c r="H38" s="89">
        <v>2</v>
      </c>
      <c r="I38" s="89">
        <f t="shared" si="3"/>
        <v>2</v>
      </c>
      <c r="J38" s="88">
        <v>28</v>
      </c>
      <c r="K38" s="90">
        <f t="shared" si="4"/>
        <v>56</v>
      </c>
      <c r="L38" s="91"/>
      <c r="M38" s="92"/>
      <c r="N38" s="88"/>
    </row>
    <row r="39" s="12" customFormat="1" ht="20.25" spans="1:15">
      <c r="A39" s="87">
        <v>45843</v>
      </c>
      <c r="B39" s="87" t="s">
        <v>106</v>
      </c>
      <c r="C39" s="87">
        <v>45841</v>
      </c>
      <c r="D39" s="88"/>
      <c r="E39" s="88"/>
      <c r="F39" s="88" t="s">
        <v>108</v>
      </c>
      <c r="G39" s="89">
        <v>1</v>
      </c>
      <c r="H39" s="89">
        <v>5</v>
      </c>
      <c r="I39" s="89">
        <f t="shared" si="3"/>
        <v>5</v>
      </c>
      <c r="J39" s="88">
        <v>28</v>
      </c>
      <c r="K39" s="90">
        <f t="shared" si="4"/>
        <v>140</v>
      </c>
      <c r="L39" s="91"/>
      <c r="M39" s="92"/>
      <c r="N39" s="88"/>
    </row>
    <row r="40" s="12" customFormat="1" ht="20.25" spans="1:15">
      <c r="A40" s="87">
        <v>45843</v>
      </c>
      <c r="B40" s="87" t="s">
        <v>106</v>
      </c>
      <c r="C40" s="87">
        <v>45843</v>
      </c>
      <c r="D40" s="88"/>
      <c r="E40" s="88"/>
      <c r="F40" s="88" t="s">
        <v>108</v>
      </c>
      <c r="G40" s="89">
        <v>1</v>
      </c>
      <c r="H40" s="89">
        <v>5</v>
      </c>
      <c r="I40" s="89">
        <f t="shared" si="3"/>
        <v>5</v>
      </c>
      <c r="J40" s="88">
        <v>28</v>
      </c>
      <c r="K40" s="90">
        <f t="shared" si="4"/>
        <v>140</v>
      </c>
      <c r="L40" s="91">
        <f>SUM(K38:K40)</f>
        <v>336</v>
      </c>
      <c r="M40" s="92" t="s">
        <v>109</v>
      </c>
      <c r="N40" s="88"/>
    </row>
    <row r="41" s="14" customFormat="1" ht="20.25" spans="1:15">
      <c r="A41" s="78">
        <v>45883</v>
      </c>
      <c r="B41" s="78" t="s">
        <v>110</v>
      </c>
      <c r="C41" s="78">
        <v>45880</v>
      </c>
      <c r="D41" s="106"/>
      <c r="E41" s="106"/>
      <c r="F41" s="106" t="s">
        <v>103</v>
      </c>
      <c r="G41" s="79">
        <v>1</v>
      </c>
      <c r="H41" s="79">
        <v>7</v>
      </c>
      <c r="I41" s="79">
        <f t="shared" si="3"/>
        <v>7</v>
      </c>
      <c r="J41" s="106">
        <v>13.5</v>
      </c>
      <c r="K41" s="80">
        <f t="shared" si="4"/>
        <v>94.5</v>
      </c>
      <c r="L41" s="107" t="s">
        <v>111</v>
      </c>
      <c r="M41" s="108" t="s">
        <v>112</v>
      </c>
      <c r="N41" s="106"/>
    </row>
    <row r="42" s="12" customFormat="1" ht="20.25" spans="1:15">
      <c r="A42" s="93">
        <v>45939</v>
      </c>
      <c r="B42" s="93" t="s">
        <v>54</v>
      </c>
      <c r="C42" s="93">
        <v>45769</v>
      </c>
      <c r="D42" s="94"/>
      <c r="E42" s="94"/>
      <c r="F42" s="94" t="s">
        <v>113</v>
      </c>
      <c r="G42" s="95">
        <v>1</v>
      </c>
      <c r="H42" s="95">
        <v>144</v>
      </c>
      <c r="I42" s="95">
        <f t="shared" si="3"/>
        <v>144</v>
      </c>
      <c r="J42" s="94">
        <v>12</v>
      </c>
      <c r="K42" s="96">
        <f t="shared" si="4"/>
        <v>1728</v>
      </c>
      <c r="L42" s="91"/>
      <c r="M42" s="92"/>
      <c r="N42" s="88"/>
    </row>
    <row r="43" s="12" customFormat="1" ht="20.25" spans="1:15">
      <c r="A43" s="93">
        <v>45939</v>
      </c>
      <c r="B43" s="93" t="s">
        <v>54</v>
      </c>
      <c r="C43" s="93">
        <v>45939</v>
      </c>
      <c r="D43" s="94"/>
      <c r="E43" s="94"/>
      <c r="F43" s="94" t="s">
        <v>114</v>
      </c>
      <c r="G43" s="95">
        <v>120</v>
      </c>
      <c r="H43" s="95">
        <v>25</v>
      </c>
      <c r="I43" s="95">
        <f t="shared" si="3"/>
        <v>3000</v>
      </c>
      <c r="J43" s="94">
        <v>0.36</v>
      </c>
      <c r="K43" s="96">
        <f t="shared" si="4"/>
        <v>1080</v>
      </c>
      <c r="L43" s="91">
        <f>SUM(K42:K43)</f>
        <v>2808</v>
      </c>
      <c r="M43" s="92"/>
      <c r="N43" s="88"/>
    </row>
    <row r="44" s="12" customFormat="1" ht="20.25" spans="1:15">
      <c r="A44" s="87">
        <v>45947</v>
      </c>
      <c r="B44" s="87" t="s">
        <v>115</v>
      </c>
      <c r="C44" s="87">
        <v>45947</v>
      </c>
      <c r="D44" s="88"/>
      <c r="E44" s="88"/>
      <c r="F44" s="88" t="s">
        <v>103</v>
      </c>
      <c r="G44" s="89">
        <v>1</v>
      </c>
      <c r="H44" s="89">
        <v>6.5</v>
      </c>
      <c r="I44" s="89">
        <f t="shared" si="3"/>
        <v>6.5</v>
      </c>
      <c r="J44" s="88">
        <v>13.5</v>
      </c>
      <c r="K44" s="90">
        <f t="shared" si="4"/>
        <v>87.75</v>
      </c>
      <c r="L44" s="91"/>
      <c r="M44" s="92"/>
      <c r="N44" s="88"/>
    </row>
    <row r="45" s="10" customFormat="1" ht="20.25" spans="1:15">
      <c r="A45" s="93" t="s">
        <v>116</v>
      </c>
      <c r="B45" s="93" t="s">
        <v>117</v>
      </c>
      <c r="C45" s="93" t="s">
        <v>118</v>
      </c>
      <c r="D45" s="94"/>
      <c r="E45" s="94"/>
      <c r="F45" s="94" t="s">
        <v>119</v>
      </c>
      <c r="G45" s="95">
        <v>1</v>
      </c>
      <c r="H45" s="95">
        <v>45</v>
      </c>
      <c r="I45" s="95">
        <f t="shared" si="3"/>
        <v>45</v>
      </c>
      <c r="J45" s="94">
        <v>16.8</v>
      </c>
      <c r="K45" s="96">
        <f t="shared" si="4"/>
        <v>756</v>
      </c>
      <c r="L45" s="109" t="s">
        <v>120</v>
      </c>
      <c r="M45" s="98"/>
      <c r="N45" s="94"/>
    </row>
    <row r="46" s="12" customFormat="1" ht="20.25" spans="1:15">
      <c r="A46" s="87">
        <v>46011</v>
      </c>
      <c r="B46" s="87" t="s">
        <v>121</v>
      </c>
      <c r="C46" s="87">
        <v>46010</v>
      </c>
      <c r="D46" s="88"/>
      <c r="E46" s="88"/>
      <c r="F46" s="88" t="s">
        <v>122</v>
      </c>
      <c r="G46" s="89">
        <v>10</v>
      </c>
      <c r="H46" s="89">
        <v>25</v>
      </c>
      <c r="I46" s="89">
        <f t="shared" si="3"/>
        <v>250</v>
      </c>
      <c r="J46" s="88">
        <v>0.8</v>
      </c>
      <c r="K46" s="90">
        <f t="shared" si="4"/>
        <v>200</v>
      </c>
      <c r="L46" s="91"/>
      <c r="M46" s="92"/>
      <c r="N46" s="88"/>
    </row>
    <row r="47" s="10" customFormat="1" ht="20.25" spans="1:15">
      <c r="A47" s="93">
        <v>46032</v>
      </c>
      <c r="B47" s="93" t="s">
        <v>106</v>
      </c>
      <c r="C47" s="93">
        <v>46032</v>
      </c>
      <c r="D47" s="94"/>
      <c r="E47" s="94"/>
      <c r="F47" s="94" t="s">
        <v>119</v>
      </c>
      <c r="G47" s="95">
        <v>1</v>
      </c>
      <c r="H47" s="95">
        <v>144</v>
      </c>
      <c r="I47" s="95">
        <f t="shared" si="3"/>
        <v>144</v>
      </c>
      <c r="J47" s="94">
        <v>16.8</v>
      </c>
      <c r="K47" s="96">
        <f t="shared" si="4"/>
        <v>2419.2</v>
      </c>
      <c r="L47" s="109" t="s">
        <v>120</v>
      </c>
      <c r="M47" s="98"/>
      <c r="N47" s="94"/>
    </row>
    <row r="48" s="10" customFormat="1" ht="20.25" spans="1:15">
      <c r="A48" s="93">
        <v>46032</v>
      </c>
      <c r="B48" s="93" t="s">
        <v>106</v>
      </c>
      <c r="C48" s="93">
        <v>46032</v>
      </c>
      <c r="D48" s="94"/>
      <c r="E48" s="94"/>
      <c r="F48" s="94" t="s">
        <v>108</v>
      </c>
      <c r="G48" s="95">
        <v>1</v>
      </c>
      <c r="H48" s="95">
        <v>8</v>
      </c>
      <c r="I48" s="95">
        <f t="shared" si="3"/>
        <v>8</v>
      </c>
      <c r="J48" s="94">
        <v>28</v>
      </c>
      <c r="K48" s="96">
        <f t="shared" si="4"/>
        <v>224</v>
      </c>
      <c r="L48" s="97"/>
      <c r="M48" s="98"/>
      <c r="N48" s="94"/>
    </row>
    <row r="49" s="12" customFormat="1" ht="20.25" spans="1:18">
      <c r="A49" s="87">
        <v>46038</v>
      </c>
      <c r="B49" s="87" t="s">
        <v>123</v>
      </c>
      <c r="C49" s="87">
        <v>46364</v>
      </c>
      <c r="D49" s="88"/>
      <c r="E49" s="88"/>
      <c r="F49" s="88" t="s">
        <v>10</v>
      </c>
      <c r="G49" s="89">
        <v>2</v>
      </c>
      <c r="H49" s="89">
        <v>25</v>
      </c>
      <c r="I49" s="89">
        <f t="shared" si="3"/>
        <v>50</v>
      </c>
      <c r="J49" s="88">
        <v>0.8</v>
      </c>
      <c r="K49" s="90">
        <f t="shared" si="4"/>
        <v>40</v>
      </c>
      <c r="L49" s="91"/>
      <c r="M49" s="92"/>
      <c r="N49" s="88"/>
    </row>
    <row r="50" s="12" customFormat="1" ht="20.25" spans="1:18">
      <c r="A50" s="87">
        <v>46038</v>
      </c>
      <c r="B50" s="87" t="s">
        <v>123</v>
      </c>
      <c r="C50" s="87">
        <v>46375</v>
      </c>
      <c r="D50" s="88"/>
      <c r="E50" s="88"/>
      <c r="F50" s="88" t="s">
        <v>10</v>
      </c>
      <c r="G50" s="89">
        <v>8</v>
      </c>
      <c r="H50" s="89">
        <v>25</v>
      </c>
      <c r="I50" s="89">
        <f t="shared" si="3"/>
        <v>200</v>
      </c>
      <c r="J50" s="88">
        <v>0.8</v>
      </c>
      <c r="K50" s="90">
        <f t="shared" si="4"/>
        <v>160</v>
      </c>
      <c r="L50" s="91"/>
      <c r="M50" s="92"/>
      <c r="N50" s="88"/>
    </row>
    <row r="51" s="12" customFormat="1" ht="20.25" spans="1:18">
      <c r="A51" s="87">
        <v>46038</v>
      </c>
      <c r="B51" s="87" t="s">
        <v>123</v>
      </c>
      <c r="C51" s="87" t="s">
        <v>124</v>
      </c>
      <c r="D51" s="88"/>
      <c r="E51" s="88"/>
      <c r="F51" s="88" t="s">
        <v>10</v>
      </c>
      <c r="G51" s="89">
        <v>4</v>
      </c>
      <c r="H51" s="89">
        <v>25</v>
      </c>
      <c r="I51" s="89">
        <f t="shared" si="3"/>
        <v>100</v>
      </c>
      <c r="J51" s="88">
        <v>0.8</v>
      </c>
      <c r="K51" s="90">
        <f t="shared" si="4"/>
        <v>80</v>
      </c>
      <c r="L51" s="91"/>
      <c r="M51" s="92"/>
      <c r="N51" s="88"/>
    </row>
    <row r="52" s="12" customFormat="1" ht="20.25" spans="1:18">
      <c r="A52" s="87">
        <v>46038</v>
      </c>
      <c r="B52" s="87" t="s">
        <v>123</v>
      </c>
      <c r="C52" s="87">
        <v>46037</v>
      </c>
      <c r="D52" s="88"/>
      <c r="E52" s="88"/>
      <c r="F52" s="88" t="s">
        <v>125</v>
      </c>
      <c r="G52" s="89">
        <v>3</v>
      </c>
      <c r="H52" s="89">
        <v>25</v>
      </c>
      <c r="I52" s="89">
        <f t="shared" si="3"/>
        <v>75</v>
      </c>
      <c r="J52" s="88">
        <v>0.8</v>
      </c>
      <c r="K52" s="90">
        <f t="shared" si="4"/>
        <v>60</v>
      </c>
      <c r="L52" s="91"/>
      <c r="M52" s="92"/>
      <c r="N52" s="88"/>
    </row>
    <row r="53" s="12" customFormat="1" ht="20.25" spans="1:18">
      <c r="A53" s="87">
        <v>46038</v>
      </c>
      <c r="B53" s="87" t="s">
        <v>123</v>
      </c>
      <c r="C53" s="87"/>
      <c r="D53" s="88"/>
      <c r="E53" s="88"/>
      <c r="F53" s="88" t="s">
        <v>126</v>
      </c>
      <c r="G53" s="89">
        <v>1</v>
      </c>
      <c r="H53" s="89">
        <v>200</v>
      </c>
      <c r="I53" s="89">
        <f t="shared" si="3"/>
        <v>200</v>
      </c>
      <c r="J53" s="88">
        <v>11.8</v>
      </c>
      <c r="K53" s="90">
        <f t="shared" si="4"/>
        <v>2360</v>
      </c>
      <c r="L53" s="91">
        <f>SUM(K49:K53)</f>
        <v>2700</v>
      </c>
      <c r="M53" s="92"/>
      <c r="N53" s="88"/>
    </row>
    <row r="54" s="10" customFormat="1" ht="20.25" spans="1:18">
      <c r="A54" s="93">
        <v>46041</v>
      </c>
      <c r="B54" s="93" t="s">
        <v>127</v>
      </c>
      <c r="C54" s="93">
        <v>46041</v>
      </c>
      <c r="D54" s="94"/>
      <c r="E54" s="94"/>
      <c r="F54" s="94" t="s">
        <v>10</v>
      </c>
      <c r="G54" s="95">
        <v>3</v>
      </c>
      <c r="H54" s="95">
        <v>25</v>
      </c>
      <c r="I54" s="95">
        <f t="shared" si="3"/>
        <v>75</v>
      </c>
      <c r="J54" s="94">
        <v>0.8</v>
      </c>
      <c r="K54" s="96">
        <f t="shared" si="4"/>
        <v>60</v>
      </c>
      <c r="L54" s="97"/>
      <c r="M54" s="98"/>
      <c r="N54" s="94"/>
    </row>
    <row r="55" s="12" customFormat="1" ht="20.25" spans="1:18">
      <c r="A55" s="78">
        <v>46042</v>
      </c>
      <c r="B55" s="78"/>
      <c r="C55" s="78" t="s">
        <v>128</v>
      </c>
      <c r="D55" s="106"/>
      <c r="E55" s="106"/>
      <c r="F55" s="106" t="s">
        <v>129</v>
      </c>
      <c r="G55" s="79">
        <v>1</v>
      </c>
      <c r="H55" s="79">
        <v>35</v>
      </c>
      <c r="I55" s="79">
        <f>G55*H55</f>
        <v>35</v>
      </c>
      <c r="J55" s="88"/>
      <c r="K55" s="90"/>
      <c r="L55" s="91"/>
      <c r="M55" s="92"/>
      <c r="N55" s="88"/>
    </row>
    <row r="56" s="12" customFormat="1" ht="20.25" spans="1:18">
      <c r="A56" s="87"/>
      <c r="B56" s="87"/>
      <c r="C56" s="87"/>
      <c r="D56" s="88"/>
      <c r="E56" s="88"/>
      <c r="F56" s="88"/>
      <c r="G56" s="89"/>
      <c r="H56" s="89"/>
      <c r="I56" s="89"/>
      <c r="J56" s="88"/>
      <c r="K56" s="90"/>
      <c r="L56" s="91"/>
      <c r="M56" s="92"/>
      <c r="N56" s="88"/>
    </row>
    <row r="57" s="12" customFormat="1" ht="20.25" spans="1:18">
      <c r="A57" s="87"/>
      <c r="B57" s="87"/>
      <c r="C57" s="87"/>
      <c r="D57" s="88"/>
      <c r="E57" s="88"/>
      <c r="F57" s="88"/>
      <c r="G57" s="89"/>
      <c r="H57" s="89"/>
      <c r="I57" s="89"/>
      <c r="J57" s="88"/>
      <c r="K57" s="90"/>
      <c r="L57" s="91"/>
      <c r="M57" s="92"/>
      <c r="N57" s="88"/>
    </row>
    <row r="58" s="12" customFormat="1" ht="20.25" spans="1:18">
      <c r="A58" s="87"/>
      <c r="B58" s="87"/>
      <c r="C58" s="87"/>
      <c r="D58" s="88"/>
      <c r="E58" s="88"/>
      <c r="F58" s="88"/>
      <c r="G58" s="89"/>
      <c r="H58" s="89"/>
      <c r="I58" s="89"/>
      <c r="J58" s="88"/>
      <c r="K58" s="90"/>
      <c r="L58" s="91"/>
      <c r="M58" s="92"/>
      <c r="N58" s="88"/>
    </row>
    <row r="59" s="12" customFormat="1" ht="20.25" spans="1:18">
      <c r="A59" s="87"/>
      <c r="B59" s="87"/>
      <c r="C59" s="87"/>
      <c r="D59" s="88"/>
      <c r="E59" s="88"/>
      <c r="F59" s="88"/>
      <c r="G59" s="89"/>
      <c r="H59" s="89"/>
      <c r="I59" s="89"/>
      <c r="J59" s="88"/>
      <c r="K59" s="90"/>
      <c r="L59" s="91"/>
      <c r="M59" s="92"/>
      <c r="N59" s="88"/>
    </row>
    <row r="60" s="12" customFormat="1" ht="20.25" spans="1:18">
      <c r="A60" s="87"/>
      <c r="B60" s="87"/>
      <c r="G60" s="89"/>
      <c r="H60" s="89"/>
      <c r="I60" s="89"/>
      <c r="J60" s="88"/>
      <c r="K60" s="90"/>
      <c r="L60" s="91"/>
      <c r="M60" s="92"/>
      <c r="N60" s="88"/>
      <c r="R60" s="88">
        <v>0.8</v>
      </c>
    </row>
    <row r="61" s="12" customFormat="1" ht="20.25" spans="1:18">
      <c r="A61" s="87"/>
      <c r="B61" s="87"/>
      <c r="C61" s="87"/>
      <c r="D61" s="88"/>
      <c r="H61" s="89"/>
      <c r="I61" s="89"/>
      <c r="J61" s="88"/>
      <c r="K61" s="90"/>
      <c r="L61" s="91"/>
      <c r="M61" s="92"/>
      <c r="N61" s="88"/>
    </row>
    <row r="62" s="12" customFormat="1" ht="20.25" spans="1:18">
      <c r="A62" s="87"/>
      <c r="B62" s="87"/>
      <c r="C62" s="87"/>
      <c r="D62" s="88"/>
      <c r="E62" s="88"/>
      <c r="F62" s="88"/>
      <c r="G62" s="89"/>
      <c r="H62" s="89"/>
      <c r="I62" s="89"/>
      <c r="J62" s="88"/>
      <c r="K62" s="90"/>
      <c r="L62" s="91"/>
      <c r="M62" s="92"/>
      <c r="N62" s="88"/>
    </row>
    <row r="63" s="12" customFormat="1" ht="20.25" spans="1:18">
      <c r="A63" s="87"/>
      <c r="B63" s="87"/>
      <c r="C63" s="87"/>
      <c r="D63" s="88"/>
      <c r="E63" s="88"/>
      <c r="F63" s="88"/>
      <c r="G63" s="89"/>
      <c r="H63" s="89"/>
      <c r="I63" s="89"/>
      <c r="J63" s="88"/>
      <c r="K63" s="90"/>
      <c r="L63" s="91"/>
      <c r="M63" s="92"/>
      <c r="N63" s="88"/>
    </row>
    <row r="64" s="12" customFormat="1" ht="20.25" spans="1:18">
      <c r="A64" s="87"/>
      <c r="B64" s="87"/>
      <c r="C64" s="87"/>
      <c r="D64" s="88"/>
      <c r="E64" s="88"/>
      <c r="F64" s="88"/>
      <c r="G64" s="89"/>
      <c r="H64" s="89"/>
      <c r="I64" s="89"/>
      <c r="J64" s="88"/>
      <c r="K64" s="90"/>
      <c r="L64" s="91"/>
      <c r="M64" s="92"/>
      <c r="N64" s="88"/>
    </row>
    <row r="65" s="12" customFormat="1" ht="20.25" spans="1:14">
      <c r="A65" s="87"/>
      <c r="B65" s="87"/>
      <c r="C65" s="87"/>
      <c r="D65" s="88"/>
      <c r="E65" s="88"/>
      <c r="F65" s="88"/>
      <c r="G65" s="89"/>
      <c r="H65" s="89"/>
      <c r="I65" s="89"/>
      <c r="J65" s="88"/>
      <c r="K65" s="90"/>
      <c r="L65" s="91"/>
      <c r="M65" s="92"/>
      <c r="N65" s="88"/>
    </row>
    <row r="66" s="12" customFormat="1" ht="20.25" spans="1:14">
      <c r="A66" s="87"/>
      <c r="B66" s="87"/>
      <c r="C66" s="87"/>
      <c r="D66" s="88"/>
      <c r="E66" s="88"/>
      <c r="F66" s="88"/>
      <c r="G66" s="89"/>
      <c r="H66" s="89"/>
      <c r="I66" s="89"/>
      <c r="J66" s="88"/>
      <c r="K66" s="90"/>
      <c r="L66" s="91"/>
      <c r="M66" s="92"/>
      <c r="N66" s="88"/>
    </row>
    <row r="67" s="12" customFormat="1" ht="20.25" spans="1:14">
      <c r="A67" s="87"/>
      <c r="B67" s="87"/>
      <c r="C67" s="88"/>
      <c r="D67" s="88" t="s">
        <v>130</v>
      </c>
      <c r="E67" s="89"/>
      <c r="F67" s="88"/>
      <c r="G67" s="89"/>
      <c r="H67" s="89"/>
      <c r="I67" s="89"/>
      <c r="J67" s="88"/>
      <c r="K67" s="90"/>
      <c r="L67" s="91"/>
      <c r="M67" s="92"/>
      <c r="N67" s="88"/>
    </row>
    <row r="68" s="12" customFormat="1" ht="20.25" spans="1:14">
      <c r="A68" s="87"/>
      <c r="B68" s="87"/>
      <c r="C68" s="78" t="s">
        <v>131</v>
      </c>
      <c r="D68" s="106"/>
      <c r="E68" s="106"/>
      <c r="F68" s="106" t="s">
        <v>132</v>
      </c>
      <c r="G68" s="79"/>
      <c r="H68" s="79"/>
      <c r="I68" s="79"/>
      <c r="J68" s="88" t="s">
        <v>133</v>
      </c>
      <c r="K68" s="90"/>
      <c r="L68" s="91"/>
      <c r="M68" s="92"/>
      <c r="N68" s="88"/>
    </row>
    <row r="69" s="12" customFormat="1" ht="20.25" spans="1:14">
      <c r="A69" s="87"/>
      <c r="B69" s="87"/>
      <c r="C69" s="110" t="s">
        <v>134</v>
      </c>
      <c r="D69" s="110"/>
      <c r="E69" s="110"/>
      <c r="F69" s="111"/>
      <c r="G69" s="112"/>
      <c r="H69" s="79"/>
      <c r="I69" s="79"/>
      <c r="J69" s="88"/>
      <c r="K69" s="90"/>
      <c r="L69" s="91"/>
      <c r="M69" s="92"/>
      <c r="N69" s="88"/>
    </row>
    <row r="70" s="12" customFormat="1" ht="20.25" spans="1:14">
      <c r="A70" s="87"/>
      <c r="B70" s="87"/>
      <c r="C70" s="110" t="s">
        <v>135</v>
      </c>
      <c r="D70" s="110"/>
      <c r="E70" s="110"/>
      <c r="F70" s="111"/>
      <c r="G70" s="112"/>
      <c r="H70" s="79"/>
      <c r="I70" s="79"/>
      <c r="J70" s="88"/>
      <c r="K70" s="90"/>
      <c r="L70" s="91"/>
      <c r="M70" s="92"/>
      <c r="N70" s="88"/>
    </row>
    <row r="71" s="12" customFormat="1" ht="20.25" spans="1:14">
      <c r="A71" s="87"/>
      <c r="B71" s="87"/>
      <c r="C71" s="110" t="s">
        <v>136</v>
      </c>
      <c r="D71" s="110"/>
      <c r="E71" s="110"/>
      <c r="F71" s="111"/>
      <c r="G71" s="79"/>
      <c r="H71" s="79"/>
      <c r="I71" s="79"/>
      <c r="J71" s="88"/>
      <c r="K71" s="90"/>
      <c r="L71" s="91"/>
      <c r="M71" s="92"/>
      <c r="N71" s="88"/>
    </row>
    <row r="72" s="12" customFormat="1" ht="20.25" spans="1:14">
      <c r="A72" s="87"/>
      <c r="B72" s="87"/>
      <c r="C72" s="110" t="s">
        <v>137</v>
      </c>
      <c r="D72" s="110"/>
      <c r="E72" s="110"/>
      <c r="F72" s="111"/>
      <c r="G72" s="79"/>
      <c r="H72" s="79"/>
      <c r="I72" s="79"/>
      <c r="J72" s="88"/>
      <c r="K72" s="90"/>
      <c r="L72" s="91"/>
      <c r="M72" s="92"/>
      <c r="N72" s="88"/>
    </row>
    <row r="73" s="12" customFormat="1" ht="20.25" spans="1:14">
      <c r="A73" s="87"/>
      <c r="B73" s="87"/>
      <c r="C73" s="78" t="s">
        <v>138</v>
      </c>
      <c r="D73" s="78"/>
      <c r="E73" s="78"/>
      <c r="F73" s="78"/>
      <c r="G73" s="79" t="s">
        <v>139</v>
      </c>
      <c r="H73" s="79"/>
      <c r="I73" s="79"/>
      <c r="J73" s="88"/>
      <c r="K73" s="90"/>
      <c r="L73" s="91"/>
      <c r="M73" s="92"/>
      <c r="N73" s="88"/>
    </row>
    <row r="74" s="12" customFormat="1" ht="20.25" spans="1:14">
      <c r="A74" s="87"/>
      <c r="B74" s="87"/>
      <c r="C74" s="87"/>
      <c r="D74" s="88"/>
      <c r="E74" s="88"/>
      <c r="F74" s="88"/>
      <c r="G74" s="89"/>
      <c r="H74" s="89"/>
      <c r="I74" s="89"/>
      <c r="J74" s="88"/>
      <c r="K74" s="90"/>
      <c r="L74" s="91"/>
      <c r="M74" s="92"/>
      <c r="N74" s="88"/>
    </row>
    <row r="75" s="12" customFormat="1" ht="20.25" spans="1:14">
      <c r="A75" s="87"/>
      <c r="B75" s="87"/>
      <c r="C75" s="99"/>
      <c r="D75" s="100"/>
      <c r="E75" s="100"/>
      <c r="F75" s="113" t="s">
        <v>140</v>
      </c>
      <c r="G75" s="101"/>
      <c r="H75" s="101"/>
      <c r="I75" s="101"/>
      <c r="J75" s="100"/>
      <c r="K75" s="102"/>
      <c r="L75" s="103"/>
      <c r="M75" s="104"/>
      <c r="N75" s="88"/>
    </row>
    <row r="76" s="12" customFormat="1" ht="20.25" spans="1:14">
      <c r="A76" s="87"/>
      <c r="B76" s="87"/>
      <c r="C76" s="99"/>
      <c r="D76" s="100"/>
      <c r="E76" s="100"/>
      <c r="F76" s="113" t="s">
        <v>141</v>
      </c>
      <c r="G76" s="101"/>
      <c r="H76" s="101"/>
      <c r="I76" s="101"/>
      <c r="J76" s="100"/>
      <c r="K76" s="102"/>
      <c r="L76" s="103"/>
      <c r="M76" s="104"/>
      <c r="N76" s="88"/>
    </row>
    <row r="77" s="12" customFormat="1" ht="20.25" spans="1:14">
      <c r="A77" s="87"/>
      <c r="B77" s="87"/>
      <c r="C77" s="99"/>
      <c r="D77" s="100"/>
      <c r="E77" s="100"/>
      <c r="F77" s="113" t="s">
        <v>142</v>
      </c>
      <c r="G77" s="101"/>
      <c r="H77" s="101"/>
      <c r="I77" s="101"/>
      <c r="J77" s="100"/>
      <c r="K77" s="102"/>
      <c r="L77" s="103"/>
      <c r="M77" s="104"/>
      <c r="N77" s="88"/>
    </row>
    <row r="78" s="12" customFormat="1" ht="20.25" spans="1:14">
      <c r="A78" s="87"/>
      <c r="B78" s="87"/>
      <c r="C78" s="99"/>
      <c r="D78" s="100"/>
      <c r="E78" s="100"/>
      <c r="F78" s="114" t="s">
        <v>143</v>
      </c>
      <c r="G78" s="101"/>
      <c r="H78" s="101"/>
      <c r="I78" s="101"/>
      <c r="J78" s="100"/>
      <c r="K78" s="102"/>
      <c r="L78" s="103"/>
      <c r="M78" s="104"/>
      <c r="N78" s="88"/>
    </row>
    <row r="79" s="12" customFormat="1" ht="20.25" spans="1:14">
      <c r="A79" s="87"/>
      <c r="B79" s="87"/>
      <c r="C79" s="99"/>
      <c r="D79" s="100"/>
      <c r="E79" s="100"/>
      <c r="F79" s="100"/>
      <c r="G79" s="101"/>
      <c r="H79" s="101"/>
      <c r="I79" s="101"/>
      <c r="J79" s="100"/>
      <c r="K79" s="102"/>
      <c r="L79" s="103"/>
      <c r="M79" s="104"/>
      <c r="N79" s="88"/>
    </row>
    <row r="80" s="12" customFormat="1" ht="20.25" spans="1:14">
      <c r="A80" s="87"/>
      <c r="B80" s="87"/>
      <c r="C80" s="99"/>
      <c r="D80" s="100"/>
      <c r="E80" s="100"/>
      <c r="F80" s="100"/>
      <c r="G80" s="101"/>
      <c r="H80" s="101"/>
      <c r="I80" s="101"/>
      <c r="J80" s="100"/>
      <c r="K80" s="102"/>
      <c r="L80" s="103"/>
      <c r="M80" s="104"/>
      <c r="N80" s="88"/>
    </row>
    <row r="81" s="12" customFormat="1" ht="20.25" spans="1:14">
      <c r="A81" s="87"/>
      <c r="B81" s="87"/>
      <c r="C81" s="99"/>
      <c r="D81" s="100"/>
      <c r="E81" s="100"/>
      <c r="F81" s="100"/>
      <c r="G81" s="101"/>
      <c r="H81" s="101"/>
      <c r="I81" s="101"/>
      <c r="J81" s="100"/>
      <c r="K81" s="102"/>
      <c r="L81" s="103"/>
      <c r="M81" s="104"/>
      <c r="N81" s="88"/>
    </row>
    <row r="82" s="12" customFormat="1" ht="20.25" spans="1:14">
      <c r="A82" s="87"/>
      <c r="B82" s="87"/>
      <c r="C82" s="99"/>
      <c r="D82" s="100"/>
      <c r="E82" s="100"/>
      <c r="F82" s="100"/>
      <c r="G82" s="101"/>
      <c r="H82" s="101"/>
      <c r="I82" s="101"/>
      <c r="J82" s="100"/>
      <c r="K82" s="102"/>
      <c r="L82" s="103"/>
      <c r="M82" s="104"/>
      <c r="N82" s="88"/>
    </row>
    <row r="83" s="12" customFormat="1" ht="20.25" spans="1:14">
      <c r="A83" s="87"/>
      <c r="B83" s="87"/>
      <c r="C83" s="99"/>
      <c r="D83" s="100"/>
      <c r="E83" s="100"/>
      <c r="F83" s="100"/>
      <c r="G83" s="101"/>
      <c r="H83" s="101"/>
      <c r="I83" s="101"/>
      <c r="J83" s="100"/>
      <c r="K83" s="102"/>
      <c r="L83" s="103"/>
      <c r="M83" s="104"/>
      <c r="N83" s="88"/>
    </row>
    <row r="84" s="12" customFormat="1" ht="20.25" spans="1:14">
      <c r="A84" s="87"/>
      <c r="B84" s="87"/>
      <c r="C84" s="99"/>
      <c r="D84" s="100"/>
      <c r="E84" s="100"/>
      <c r="F84" s="100"/>
      <c r="G84" s="101"/>
      <c r="H84" s="101"/>
      <c r="I84" s="101"/>
      <c r="J84" s="100"/>
      <c r="K84" s="102"/>
      <c r="L84" s="103"/>
      <c r="M84" s="104"/>
      <c r="N84" s="88"/>
    </row>
    <row r="85" s="12" customFormat="1" ht="20.25" spans="1:14">
      <c r="A85" s="87"/>
      <c r="B85" s="87"/>
      <c r="C85" s="87"/>
      <c r="D85" s="88"/>
      <c r="E85" s="88"/>
      <c r="F85" s="115"/>
      <c r="G85" s="89"/>
      <c r="H85" s="89"/>
      <c r="I85" s="89"/>
      <c r="J85" s="88"/>
      <c r="K85" s="102"/>
      <c r="L85" s="103"/>
      <c r="M85" s="104"/>
      <c r="N85" s="88"/>
    </row>
    <row r="86" s="12" customFormat="1" ht="20.25" spans="1:14">
      <c r="A86" s="87"/>
      <c r="B86" s="87"/>
      <c r="C86" s="99"/>
      <c r="D86" s="100"/>
      <c r="E86" s="100"/>
      <c r="F86" s="115"/>
      <c r="G86" s="89"/>
      <c r="H86" s="89"/>
      <c r="I86" s="101"/>
      <c r="J86" s="100"/>
      <c r="K86" s="102"/>
      <c r="L86" s="103"/>
      <c r="M86" s="104"/>
      <c r="N86" s="88"/>
    </row>
    <row r="87" s="14" customFormat="1" ht="20.25" spans="1:14">
      <c r="A87" s="78"/>
      <c r="B87" s="78"/>
      <c r="C87" s="99"/>
      <c r="D87" s="100"/>
      <c r="E87" s="100"/>
      <c r="F87" s="114"/>
      <c r="G87" s="101"/>
      <c r="H87" s="101"/>
      <c r="I87" s="101"/>
      <c r="J87" s="114"/>
      <c r="K87" s="102"/>
      <c r="L87" s="103"/>
      <c r="M87" s="104"/>
      <c r="N87" s="106"/>
    </row>
    <row r="88" s="14" customFormat="1" ht="20.25" spans="1:14">
      <c r="A88" s="78"/>
      <c r="B88" s="78"/>
      <c r="C88" s="78"/>
      <c r="D88" s="106"/>
      <c r="E88" s="106"/>
      <c r="F88" s="113"/>
      <c r="G88" s="79"/>
      <c r="H88" s="79"/>
      <c r="I88" s="101"/>
      <c r="J88" s="100"/>
      <c r="K88" s="102"/>
      <c r="L88" s="103"/>
      <c r="M88" s="104"/>
      <c r="N88" s="106"/>
    </row>
    <row r="89" s="14" customFormat="1" ht="20.25" spans="1:14">
      <c r="A89" s="78"/>
      <c r="B89" s="78"/>
      <c r="C89" s="116"/>
      <c r="D89" s="113"/>
      <c r="E89" s="113"/>
      <c r="F89" s="113"/>
      <c r="G89" s="79"/>
      <c r="H89" s="79"/>
      <c r="I89" s="101"/>
      <c r="J89" s="100"/>
      <c r="K89" s="102"/>
      <c r="L89" s="103"/>
      <c r="M89" s="104"/>
      <c r="N89" s="106"/>
    </row>
    <row r="90" s="14" customFormat="1" ht="20.25" spans="1:14">
      <c r="A90" s="78"/>
      <c r="B90" s="78"/>
      <c r="C90" s="99"/>
      <c r="D90" s="100"/>
      <c r="E90" s="100"/>
      <c r="H90" s="101"/>
      <c r="I90" s="101"/>
      <c r="J90" s="100"/>
      <c r="K90" s="102"/>
      <c r="L90" s="103"/>
      <c r="M90" s="104"/>
      <c r="N90" s="106"/>
    </row>
    <row r="91" s="14" customFormat="1" ht="20.25" spans="1:14">
      <c r="A91" s="78"/>
      <c r="B91" s="78"/>
      <c r="C91" s="99"/>
      <c r="D91" s="100"/>
      <c r="E91" s="100"/>
      <c r="F91" s="114"/>
      <c r="G91" s="101"/>
      <c r="H91" s="101"/>
      <c r="I91" s="101"/>
      <c r="J91" s="100"/>
      <c r="K91" s="102"/>
      <c r="L91" s="103"/>
      <c r="M91" s="104"/>
      <c r="N91" s="106"/>
    </row>
    <row r="92" s="14" customFormat="1" ht="20.25" spans="1:14">
      <c r="A92" s="78"/>
      <c r="B92" s="78"/>
      <c r="C92" s="93"/>
      <c r="D92" s="94"/>
      <c r="E92" s="94"/>
      <c r="F92" s="94"/>
      <c r="G92" s="95"/>
      <c r="H92" s="95"/>
      <c r="I92" s="95"/>
      <c r="J92" s="94"/>
      <c r="K92" s="96"/>
      <c r="L92" s="97"/>
      <c r="M92" s="108"/>
      <c r="N92" s="106"/>
    </row>
    <row r="93" s="14" customFormat="1" ht="20.25" spans="1:14">
      <c r="A93" s="78"/>
      <c r="B93" s="78"/>
      <c r="C93" s="93"/>
      <c r="D93" s="94"/>
      <c r="E93" s="94"/>
      <c r="F93" s="94"/>
      <c r="G93" s="95"/>
      <c r="H93" s="95"/>
      <c r="I93" s="95"/>
      <c r="J93" s="94"/>
      <c r="K93" s="96"/>
      <c r="L93" s="97"/>
      <c r="M93" s="108"/>
      <c r="N93" s="106"/>
    </row>
    <row r="94" s="10" customFormat="1" ht="20.25" spans="1:14">
      <c r="A94" s="93"/>
      <c r="B94" s="93"/>
      <c r="C94" s="93"/>
      <c r="D94" s="94"/>
      <c r="E94" s="94"/>
      <c r="F94" s="94"/>
      <c r="G94" s="95"/>
      <c r="H94" s="95"/>
      <c r="I94" s="95"/>
      <c r="J94" s="94"/>
      <c r="K94" s="96"/>
      <c r="L94" s="97"/>
      <c r="M94" s="98"/>
      <c r="N94" s="94"/>
    </row>
    <row r="95" s="10" customFormat="1" ht="20.25" spans="1:14">
      <c r="A95" s="93"/>
      <c r="B95" s="93"/>
      <c r="C95" s="93"/>
      <c r="D95" s="94"/>
      <c r="E95" s="94"/>
      <c r="F95" s="94"/>
      <c r="G95" s="95"/>
      <c r="H95" s="95"/>
      <c r="I95" s="95"/>
      <c r="J95" s="94"/>
      <c r="K95" s="96"/>
      <c r="L95" s="97"/>
      <c r="M95" s="98"/>
      <c r="N95" s="94"/>
    </row>
    <row r="96" s="10" customFormat="1" ht="20.25" spans="1:14">
      <c r="A96" s="93"/>
      <c r="B96" s="93"/>
      <c r="C96" s="93"/>
      <c r="D96" s="94"/>
      <c r="E96" s="94"/>
      <c r="F96" s="94"/>
      <c r="G96" s="95"/>
      <c r="H96" s="95"/>
      <c r="I96" s="95"/>
      <c r="J96" s="94"/>
      <c r="K96" s="96"/>
      <c r="L96" s="97"/>
      <c r="M96" s="98"/>
      <c r="N96" s="94"/>
    </row>
    <row r="97" s="10" customFormat="1" ht="20.25" spans="1:14">
      <c r="A97" s="93"/>
      <c r="B97" s="93"/>
      <c r="C97" s="93"/>
      <c r="D97" s="94"/>
      <c r="E97" s="94"/>
      <c r="F97" s="94"/>
      <c r="G97" s="95"/>
      <c r="H97" s="95"/>
      <c r="I97" s="95"/>
      <c r="J97" s="94"/>
      <c r="K97" s="96"/>
      <c r="L97" s="97"/>
      <c r="M97" s="98"/>
      <c r="N97" s="94"/>
    </row>
    <row r="98" s="10" customFormat="1" ht="20.25" spans="1:14">
      <c r="A98" s="93"/>
      <c r="B98" s="93"/>
      <c r="C98" s="93"/>
      <c r="D98" s="94"/>
      <c r="E98" s="94"/>
      <c r="F98" s="94"/>
      <c r="G98" s="95"/>
      <c r="H98" s="95"/>
      <c r="I98" s="95"/>
      <c r="J98" s="94"/>
      <c r="K98" s="96"/>
      <c r="L98" s="97"/>
      <c r="M98" s="98"/>
      <c r="N98" s="94"/>
    </row>
    <row r="99" s="10" customFormat="1" ht="20.25" spans="1:14">
      <c r="A99" s="93"/>
      <c r="B99" s="93"/>
      <c r="C99" s="93"/>
      <c r="D99" s="94"/>
      <c r="E99" s="94"/>
      <c r="F99" s="94"/>
      <c r="G99" s="95"/>
      <c r="H99" s="95"/>
      <c r="I99" s="95"/>
      <c r="J99" s="94"/>
      <c r="K99" s="96"/>
      <c r="L99" s="97"/>
      <c r="M99" s="98"/>
      <c r="N99" s="94"/>
    </row>
    <row r="100" s="10" customFormat="1" ht="20.25" spans="1:14">
      <c r="A100" s="93"/>
      <c r="B100" s="93"/>
      <c r="C100" s="93"/>
      <c r="D100" s="94"/>
      <c r="E100" s="94"/>
      <c r="F100" s="94"/>
      <c r="G100" s="95"/>
      <c r="H100" s="95"/>
      <c r="I100" s="95"/>
      <c r="J100" s="94"/>
      <c r="K100" s="96"/>
      <c r="L100" s="97"/>
      <c r="M100" s="98"/>
      <c r="N100" s="94"/>
    </row>
    <row r="101" s="10" customFormat="1" ht="20.25" spans="1:14">
      <c r="A101" s="93"/>
      <c r="B101" s="93"/>
      <c r="C101" s="93"/>
      <c r="D101" s="94"/>
      <c r="E101" s="94"/>
      <c r="F101" s="94"/>
      <c r="G101" s="95"/>
      <c r="H101" s="95"/>
      <c r="I101" s="95"/>
      <c r="J101" s="94"/>
      <c r="K101" s="96"/>
      <c r="L101" s="97"/>
      <c r="M101" s="98"/>
      <c r="N101" s="94"/>
    </row>
    <row r="102" s="15" customFormat="1" ht="20.25" spans="1:14">
      <c r="A102" s="117">
        <v>45712</v>
      </c>
      <c r="B102" s="117"/>
      <c r="C102" s="117">
        <v>45712</v>
      </c>
      <c r="D102" s="118"/>
      <c r="E102" s="118"/>
      <c r="F102" s="119" t="s">
        <v>144</v>
      </c>
      <c r="G102" s="120">
        <v>1</v>
      </c>
      <c r="H102" s="120">
        <v>35</v>
      </c>
      <c r="I102" s="120">
        <f>G102*H102</f>
        <v>35</v>
      </c>
      <c r="J102" s="118"/>
      <c r="K102" s="121">
        <f>I102*J102</f>
        <v>0</v>
      </c>
      <c r="L102" s="122" t="s">
        <v>145</v>
      </c>
      <c r="M102" s="123" t="s">
        <v>146</v>
      </c>
      <c r="N102" s="118"/>
    </row>
    <row r="103" s="16" customFormat="1" spans="1:14">
      <c r="A103" s="124"/>
      <c r="B103" s="124"/>
      <c r="C103" s="125" t="s">
        <v>147</v>
      </c>
      <c r="D103" s="125"/>
      <c r="E103" s="125"/>
      <c r="F103" s="126" t="s">
        <v>148</v>
      </c>
      <c r="G103" s="126"/>
      <c r="H103" s="127"/>
      <c r="I103" s="125"/>
      <c r="J103" s="125"/>
      <c r="K103" s="127"/>
      <c r="L103" s="128"/>
      <c r="M103" s="129"/>
      <c r="N103" s="125"/>
    </row>
    <row r="104" s="6" customFormat="1" spans="1:14">
      <c r="A104" s="33"/>
      <c r="B104" s="33"/>
      <c r="C104" s="125" t="s">
        <v>149</v>
      </c>
      <c r="D104" s="125"/>
      <c r="E104" s="125"/>
      <c r="F104" s="126" t="s">
        <v>150</v>
      </c>
      <c r="G104" s="126"/>
      <c r="H104" s="38"/>
      <c r="I104" s="62"/>
      <c r="J104" s="62"/>
      <c r="K104" s="38"/>
      <c r="L104" s="39"/>
      <c r="M104" s="40"/>
      <c r="N104" s="62"/>
    </row>
    <row r="105" s="6" customFormat="1" spans="1:14">
      <c r="A105" s="33"/>
      <c r="B105" s="33"/>
      <c r="C105" s="125" t="s">
        <v>151</v>
      </c>
      <c r="D105" s="125"/>
      <c r="E105" s="125"/>
      <c r="F105" s="126" t="s">
        <v>152</v>
      </c>
      <c r="G105" s="126"/>
      <c r="H105" s="38"/>
      <c r="I105" s="62"/>
      <c r="J105" s="62"/>
      <c r="K105" s="38"/>
      <c r="L105" s="39"/>
      <c r="M105" s="40"/>
      <c r="N105" s="62"/>
    </row>
    <row r="106" s="6" customFormat="1" spans="1:14">
      <c r="A106" s="33"/>
      <c r="B106" s="33"/>
      <c r="C106" s="33">
        <v>45729</v>
      </c>
      <c r="D106" s="62"/>
      <c r="E106" s="62"/>
      <c r="F106" s="126" t="s">
        <v>153</v>
      </c>
      <c r="G106" s="40"/>
      <c r="H106" s="38" t="s">
        <v>154</v>
      </c>
      <c r="I106" s="62"/>
      <c r="J106" s="62"/>
      <c r="K106" s="38"/>
      <c r="L106" s="39"/>
      <c r="M106" s="40"/>
      <c r="N106" s="62"/>
    </row>
    <row r="107" s="6" customFormat="1" spans="1:14">
      <c r="A107" s="33"/>
      <c r="B107" s="33"/>
      <c r="C107" s="62" t="s">
        <v>155</v>
      </c>
      <c r="D107" s="62"/>
      <c r="E107" s="62"/>
      <c r="F107" s="62"/>
      <c r="G107" s="38"/>
      <c r="H107" s="38"/>
      <c r="I107" s="62"/>
      <c r="J107" s="62"/>
      <c r="K107" s="38"/>
      <c r="L107" s="39"/>
      <c r="M107" s="40"/>
      <c r="N107" s="62"/>
    </row>
    <row r="108" s="6" customFormat="1" spans="1:14">
      <c r="A108" s="33"/>
      <c r="B108" s="33"/>
      <c r="C108" s="62"/>
      <c r="D108" s="62"/>
      <c r="E108" s="62"/>
      <c r="F108" s="62"/>
      <c r="G108" s="38"/>
      <c r="H108" s="38"/>
      <c r="I108" s="62"/>
      <c r="J108" s="62"/>
      <c r="K108" s="38"/>
      <c r="L108" s="39"/>
      <c r="M108" s="40"/>
      <c r="N108" s="62"/>
    </row>
    <row r="109" s="6" customFormat="1" spans="1:14">
      <c r="A109" s="33"/>
      <c r="B109" s="33"/>
      <c r="C109" s="62"/>
      <c r="D109" s="62"/>
      <c r="E109" s="62"/>
      <c r="F109" s="62"/>
      <c r="G109" s="38"/>
      <c r="H109" s="38"/>
      <c r="I109" s="62"/>
      <c r="J109" s="62"/>
      <c r="K109" s="38"/>
      <c r="L109" s="39"/>
      <c r="M109" s="40"/>
      <c r="N109" s="62"/>
    </row>
    <row r="110" s="6" customFormat="1" spans="1:14">
      <c r="A110" s="33"/>
      <c r="B110" s="33"/>
      <c r="C110" s="62"/>
      <c r="D110" s="62"/>
      <c r="E110" s="62"/>
      <c r="F110" s="62"/>
      <c r="G110" s="38"/>
      <c r="H110" s="38"/>
      <c r="I110" s="62"/>
      <c r="J110" s="62"/>
      <c r="K110" s="38"/>
      <c r="L110" s="39"/>
      <c r="M110" s="40"/>
      <c r="N110" s="62"/>
    </row>
    <row r="111" s="6" customFormat="1" spans="1:14">
      <c r="A111" s="33"/>
      <c r="B111" s="33"/>
      <c r="C111" s="62"/>
      <c r="D111" s="62"/>
      <c r="E111" s="62"/>
      <c r="F111" s="62"/>
      <c r="G111" s="38"/>
      <c r="H111" s="38"/>
      <c r="I111" s="62"/>
      <c r="J111" s="62"/>
      <c r="K111" s="38"/>
      <c r="L111" s="39"/>
      <c r="M111" s="40"/>
      <c r="N111" s="62"/>
    </row>
    <row r="112" s="6" customFormat="1" spans="1:14">
      <c r="A112" s="33"/>
      <c r="B112" s="33"/>
      <c r="C112" s="62"/>
      <c r="D112" s="62"/>
      <c r="E112" s="62"/>
      <c r="F112" s="62"/>
      <c r="G112" s="38"/>
      <c r="H112" s="38"/>
      <c r="I112" s="62"/>
      <c r="J112" s="62"/>
      <c r="K112" s="38"/>
      <c r="L112" s="39"/>
      <c r="M112" s="40"/>
      <c r="N112" s="62"/>
    </row>
    <row r="113" s="6" customFormat="1" spans="1:14">
      <c r="A113" s="33"/>
      <c r="B113" s="33"/>
      <c r="C113" s="62"/>
      <c r="D113" s="62"/>
      <c r="E113" s="62"/>
      <c r="F113" s="62"/>
      <c r="G113" s="38"/>
      <c r="H113" s="38"/>
      <c r="I113" s="62"/>
      <c r="J113" s="62"/>
      <c r="K113" s="38"/>
      <c r="L113" s="39"/>
      <c r="M113" s="40"/>
      <c r="N113" s="62"/>
    </row>
    <row r="114" s="6" customFormat="1" spans="1:14">
      <c r="A114" s="33"/>
      <c r="B114" s="33"/>
      <c r="C114" s="62"/>
      <c r="D114" s="62"/>
      <c r="E114" s="62"/>
      <c r="F114" s="62"/>
      <c r="G114" s="38"/>
      <c r="H114" s="38"/>
      <c r="I114" s="62"/>
      <c r="J114" s="62"/>
      <c r="K114" s="38"/>
      <c r="L114" s="39"/>
      <c r="M114" s="40"/>
      <c r="N114" s="62"/>
    </row>
    <row r="115" s="6" customFormat="1" spans="1:14">
      <c r="A115" s="33"/>
      <c r="B115" s="33"/>
      <c r="C115" s="62"/>
      <c r="D115" s="62"/>
      <c r="E115" s="62"/>
      <c r="F115" s="62"/>
      <c r="G115" s="38"/>
      <c r="H115" s="38"/>
      <c r="I115" s="62"/>
      <c r="J115" s="62"/>
      <c r="K115" s="38"/>
      <c r="L115" s="39"/>
      <c r="M115" s="40"/>
      <c r="N115" s="62"/>
    </row>
  </sheetData>
  <mergeCells count="95">
    <mergeCell ref="F4:G4"/>
    <mergeCell ref="O13:S13"/>
    <mergeCell ref="F25:G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8:E68"/>
    <mergeCell ref="C73:F73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102:E102"/>
    <mergeCell ref="C103:E103"/>
    <mergeCell ref="F103:G103"/>
    <mergeCell ref="C104:E104"/>
    <mergeCell ref="F104:G104"/>
    <mergeCell ref="C105:E105"/>
    <mergeCell ref="F105:G105"/>
    <mergeCell ref="C106:E106"/>
    <mergeCell ref="C107:E107"/>
    <mergeCell ref="C108:E108"/>
    <mergeCell ref="C109:E109"/>
    <mergeCell ref="C110:E110"/>
    <mergeCell ref="C111:E111"/>
    <mergeCell ref="C112:E112"/>
    <mergeCell ref="C113:E113"/>
    <mergeCell ref="C114:E114"/>
    <mergeCell ref="C115:E115"/>
    <mergeCell ref="J68:J73"/>
    <mergeCell ref="N9:N13"/>
    <mergeCell ref="N2:O3"/>
    <mergeCell ref="G2:I3"/>
    <mergeCell ref="A2:F3"/>
    <mergeCell ref="J2:M3"/>
    <mergeCell ref="M15:N16"/>
    <mergeCell ref="N5:O8"/>
    <mergeCell ref="A23:F24"/>
    <mergeCell ref="G23:I24"/>
    <mergeCell ref="J23:M24"/>
    <mergeCell ref="N23:O24"/>
  </mergeCells>
  <pageMargins left="0.75" right="0.75" top="1" bottom="1" header="0.5" footer="0.5"/>
  <pageSetup paperSize="9" orientation="portrait" horizontalDpi="180" verticalDpi="18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workbookViewId="0">
      <selection activeCell="N20" sqref="N20"/>
    </sheetView>
  </sheetViews>
  <sheetFormatPr defaultColWidth="9" defaultRowHeight="14.25"/>
  <cols>
    <col min="1" max="1" width="14.625" customWidth="1"/>
    <col min="4" max="4" width="14.875" customWidth="1"/>
    <col min="8" max="8" width="12.625" customWidth="1"/>
  </cols>
  <sheetData>
    <row r="1" ht="18" customHeight="1" spans="1:9">
      <c r="A1" s="1" t="s">
        <v>156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74</v>
      </c>
      <c r="B2" s="2" t="s">
        <v>157</v>
      </c>
      <c r="C2" s="2" t="s">
        <v>158</v>
      </c>
      <c r="D2" s="2" t="s">
        <v>27</v>
      </c>
      <c r="E2" s="2" t="s">
        <v>159</v>
      </c>
      <c r="F2" s="2" t="s">
        <v>5</v>
      </c>
      <c r="G2" s="2" t="s">
        <v>6</v>
      </c>
      <c r="H2" s="2" t="s">
        <v>160</v>
      </c>
      <c r="I2" s="2" t="s">
        <v>34</v>
      </c>
    </row>
    <row r="3" spans="1:9">
      <c r="A3" s="2" t="s">
        <v>161</v>
      </c>
      <c r="B3" s="2"/>
      <c r="C3" s="2" t="s">
        <v>162</v>
      </c>
      <c r="D3" s="2" t="s">
        <v>163</v>
      </c>
      <c r="E3" s="2">
        <v>3</v>
      </c>
      <c r="F3" s="2">
        <v>25</v>
      </c>
      <c r="G3" s="2">
        <f t="shared" ref="G3:G16" si="0">E3*F3</f>
        <v>75</v>
      </c>
      <c r="H3" s="3">
        <v>45845</v>
      </c>
      <c r="I3" s="2"/>
    </row>
    <row r="4" spans="1:9">
      <c r="A4" s="2" t="s">
        <v>161</v>
      </c>
      <c r="B4" s="2"/>
      <c r="C4" s="2" t="s">
        <v>162</v>
      </c>
      <c r="D4" s="2" t="s">
        <v>164</v>
      </c>
      <c r="E4" s="2">
        <v>2</v>
      </c>
      <c r="F4" s="2">
        <v>25</v>
      </c>
      <c r="G4" s="2">
        <f t="shared" si="0"/>
        <v>50</v>
      </c>
      <c r="H4" s="3">
        <v>45845</v>
      </c>
      <c r="I4" s="2"/>
    </row>
    <row r="5" spans="1:9">
      <c r="A5" s="2" t="s">
        <v>161</v>
      </c>
      <c r="B5" s="2"/>
      <c r="C5" s="2" t="s">
        <v>162</v>
      </c>
      <c r="D5" s="2" t="s">
        <v>165</v>
      </c>
      <c r="E5" s="2">
        <v>1</v>
      </c>
      <c r="F5" s="2">
        <v>180</v>
      </c>
      <c r="G5" s="2">
        <f t="shared" si="0"/>
        <v>180</v>
      </c>
      <c r="H5" s="3">
        <v>45845</v>
      </c>
      <c r="I5" s="2"/>
    </row>
    <row r="6" spans="1:9">
      <c r="A6" s="2" t="s">
        <v>161</v>
      </c>
      <c r="B6" s="2"/>
      <c r="C6" s="2" t="s">
        <v>162</v>
      </c>
      <c r="D6" s="2" t="s">
        <v>166</v>
      </c>
      <c r="E6" s="2">
        <v>24</v>
      </c>
      <c r="F6" s="2">
        <v>25</v>
      </c>
      <c r="G6" s="2">
        <f t="shared" si="0"/>
        <v>600</v>
      </c>
      <c r="H6" s="3">
        <v>45845</v>
      </c>
      <c r="I6" s="2"/>
    </row>
    <row r="7" spans="1:9">
      <c r="A7" s="4">
        <v>45836</v>
      </c>
      <c r="B7" s="5" t="s">
        <v>167</v>
      </c>
      <c r="C7" s="5"/>
      <c r="D7" s="5" t="s">
        <v>168</v>
      </c>
      <c r="E7" s="5">
        <v>66</v>
      </c>
      <c r="F7" s="5">
        <v>25</v>
      </c>
      <c r="G7" s="5">
        <f t="shared" si="0"/>
        <v>1650</v>
      </c>
      <c r="H7" s="4"/>
      <c r="I7" s="5" t="s">
        <v>169</v>
      </c>
    </row>
    <row r="8" spans="1:9">
      <c r="A8" s="5" t="s">
        <v>170</v>
      </c>
      <c r="B8" s="5"/>
      <c r="C8" s="5"/>
      <c r="D8" s="5" t="s">
        <v>171</v>
      </c>
      <c r="E8" s="5">
        <v>17</v>
      </c>
      <c r="F8" s="5">
        <v>25</v>
      </c>
      <c r="G8" s="5">
        <f t="shared" si="0"/>
        <v>425</v>
      </c>
      <c r="H8" s="5"/>
      <c r="I8" s="5"/>
    </row>
    <row r="9" spans="1:9">
      <c r="A9" s="5" t="s">
        <v>161</v>
      </c>
      <c r="B9" s="5"/>
      <c r="C9" s="5"/>
      <c r="D9" s="5"/>
      <c r="E9" s="5"/>
      <c r="F9" s="5"/>
      <c r="G9" s="5">
        <f t="shared" si="0"/>
        <v>0</v>
      </c>
      <c r="H9" s="5"/>
      <c r="I9" s="5"/>
    </row>
    <row r="10" spans="1:9">
      <c r="A10" s="5" t="s">
        <v>161</v>
      </c>
      <c r="B10" s="5"/>
      <c r="C10" s="5"/>
      <c r="D10" s="5"/>
      <c r="E10" s="5"/>
      <c r="F10" s="5"/>
      <c r="G10" s="5">
        <f t="shared" si="0"/>
        <v>0</v>
      </c>
      <c r="H10" s="5"/>
      <c r="I10" s="5"/>
    </row>
    <row r="11" spans="1:9">
      <c r="A11" s="2"/>
      <c r="B11" s="2"/>
      <c r="C11" s="2" t="s">
        <v>162</v>
      </c>
      <c r="D11" s="2" t="s">
        <v>172</v>
      </c>
      <c r="E11" s="2">
        <v>1</v>
      </c>
      <c r="F11" s="2">
        <v>25</v>
      </c>
      <c r="G11" s="2">
        <f t="shared" si="0"/>
        <v>25</v>
      </c>
      <c r="H11" s="2"/>
      <c r="I11" s="2" t="s">
        <v>173</v>
      </c>
    </row>
    <row r="12" spans="1:9">
      <c r="A12" s="3">
        <v>45843</v>
      </c>
      <c r="B12" s="2"/>
      <c r="C12" s="2" t="s">
        <v>162</v>
      </c>
      <c r="D12" s="2" t="s">
        <v>174</v>
      </c>
      <c r="E12" s="2">
        <v>1</v>
      </c>
      <c r="F12" s="2">
        <v>3</v>
      </c>
      <c r="G12" s="2">
        <f t="shared" si="0"/>
        <v>3</v>
      </c>
      <c r="H12" s="2"/>
      <c r="I12" s="2" t="s">
        <v>173</v>
      </c>
    </row>
    <row r="13" spans="1:9">
      <c r="A13" s="3">
        <v>45843</v>
      </c>
      <c r="B13" s="2"/>
      <c r="C13" s="2" t="s">
        <v>162</v>
      </c>
      <c r="D13" s="2" t="s">
        <v>175</v>
      </c>
      <c r="E13" s="2">
        <v>1</v>
      </c>
      <c r="F13" s="2">
        <v>6</v>
      </c>
      <c r="G13" s="2">
        <f t="shared" si="0"/>
        <v>6</v>
      </c>
      <c r="H13" s="2"/>
      <c r="I13" s="2" t="s">
        <v>173</v>
      </c>
    </row>
    <row r="14" spans="1:9">
      <c r="A14" s="3">
        <v>45843</v>
      </c>
      <c r="B14" s="2"/>
      <c r="C14" s="2" t="s">
        <v>162</v>
      </c>
      <c r="D14" s="168" t="s">
        <v>176</v>
      </c>
      <c r="E14" s="2">
        <v>1</v>
      </c>
      <c r="F14" s="2">
        <v>1</v>
      </c>
      <c r="G14" s="2">
        <f t="shared" si="0"/>
        <v>1</v>
      </c>
      <c r="H14" s="2"/>
      <c r="I14" s="2" t="s">
        <v>173</v>
      </c>
    </row>
    <row r="15" spans="1:9">
      <c r="A15" s="2"/>
      <c r="B15" s="2"/>
      <c r="C15" s="2"/>
      <c r="D15" s="2"/>
      <c r="E15" s="2"/>
      <c r="F15" s="2"/>
      <c r="G15" s="2">
        <f t="shared" si="0"/>
        <v>0</v>
      </c>
      <c r="H15" s="2"/>
      <c r="I15" s="2"/>
    </row>
    <row r="16" spans="1:9">
      <c r="A16" s="3">
        <v>45866</v>
      </c>
      <c r="B16" s="2"/>
      <c r="C16" s="2" t="s">
        <v>167</v>
      </c>
      <c r="D16" s="2" t="s">
        <v>177</v>
      </c>
      <c r="E16" s="2">
        <v>3</v>
      </c>
      <c r="F16" s="2">
        <v>5</v>
      </c>
      <c r="G16" s="2">
        <f t="shared" si="0"/>
        <v>15</v>
      </c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国圣</vt:lpstr>
      <vt:lpstr>出货记录</vt:lpstr>
      <vt:lpstr>借原材料明细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Aa1499383833！</cp:lastModifiedBy>
  <dcterms:created xsi:type="dcterms:W3CDTF">2013-02-26T11:10:00Z</dcterms:created>
  <cp:lastPrinted>2022-06-15T06:45:00Z</cp:lastPrinted>
  <dcterms:modified xsi:type="dcterms:W3CDTF">2026-01-21T00:17:50Z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9788DDAE78714D44BB57FBD7F3736844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