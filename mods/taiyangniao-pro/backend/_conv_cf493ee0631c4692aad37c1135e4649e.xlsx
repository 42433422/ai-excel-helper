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Peng\Desktop\AI测试表格\"/>
    </mc:Choice>
  </mc:AlternateContent>
  <xr:revisionPtr revIDLastSave="0" documentId="13_ncr:1_{9D5A9A09-27B6-43AE-9FDF-5F5D080F80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明细" sheetId="1" r:id="rId1"/>
  </sheets>
  <definedNames>
    <definedName name="_xlnm._FilterDatabase" localSheetId="0" hidden="1">明细!$A$2:$C$909</definedName>
    <definedName name="Z_432A2194_A4A1_48E1_864E_34964390E576_.wvu.FilterData" localSheetId="0" hidden="1">明细!$A$3:$C$909</definedName>
    <definedName name="Z_468377A7_BCAB_45D8_980A_104309D7AD60_.wvu.FilterData" localSheetId="0" hidden="1">明细!$A$3:$C$909</definedName>
    <definedName name="Z_5BF6545E_05E5_47A3_ABA0_7F5982E520D8_.wvu.FilterData" localSheetId="0" hidden="1">明细!$A$3:$C$909</definedName>
    <definedName name="Z_761C9F42_19B6_4FCA_A109_4467FE1ABAD1_.wvu.FilterData" localSheetId="0" hidden="1">明细!$A$3:$C$909</definedName>
    <definedName name="Z_AB643371_9CCD_4D93_ACD3_F9912CACCE19_.wvu.FilterData" localSheetId="0" hidden="1">明细!$A$3:$C$909</definedName>
    <definedName name="Z_CB76269E_01DA_4B1B_B2BA_B82680FBA424_.wvu.FilterData" localSheetId="0" hidden="1">明细!$A$3:$C$909</definedName>
    <definedName name="Z_E63A2368_37E3_4CEF_88CB_E2011FCDA255_.wvu.FilterData" localSheetId="0" hidden="1">明细!$A$3:$C$909</definedName>
    <definedName name="Z_F7BBB67E_DE76_43BD_BD4C_EAF382638623_.wvu.FilterData" localSheetId="0" hidden="1">明细!$A$3:$C$909</definedName>
  </definedNames>
  <calcPr calcId="191029"/>
  <customWorkbookViews>
    <customWorkbookView name="品质部：李明烛 - 个人视图" guid="{AB643371-9CCD-4D93-ACD3-F9912CACCE19}" personalView="1" maximized="1" xWindow="-8" yWindow="-8" windowWidth="1936" windowHeight="1056" activeSheetId="1" showComments="commIndAndComment"/>
    <customWorkbookView name="陈世佳 - 个人视图" guid="{5BF6545E-05E5-47A3-ABA0-7F5982E520D8}" personalView="1" maximized="1" xWindow="-8" yWindow="-8" windowWidth="1936" windowHeight="1056" activeSheetId="1"/>
    <customWorkbookView name="工艺部胡超 - 个人视图" guid="{468377A7-BCAB-45D8-980A-104309D7AD60}" personalView="1" maximized="1" xWindow="-8" yWindow="-8" windowWidth="1616" windowHeight="876" activeSheetId="1"/>
    <customWorkbookView name="数据中心 - 个人视图" guid="{761C9F42-19B6-4FCA-A109-4467FE1ABAD1}" personalView="1" maximized="1" xWindow="-8" yWindow="-8" windowWidth="1382" windowHeight="754" activeSheetId="1"/>
    <customWorkbookView name="Pumbaa - 个人视图" guid="{CB76269E-01DA-4B1B-B2BA-B82680FBA424}" personalView="1" maximized="1" xWindow="-8" yWindow="-8" windowWidth="1936" windowHeight="1056" activeSheetId="1"/>
    <customWorkbookView name="Administrator - 个人视图" guid="{E63A2368-37E3-4CEF-88CB-E2011FCDA255}" personalView="1" maximized="1" xWindow="-8" yWindow="-8" windowWidth="1382" windowHeight="78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46" i="1" l="1"/>
  <c r="BS46" i="1"/>
  <c r="BT46" i="1"/>
  <c r="BU46" i="1"/>
  <c r="BV46" i="1"/>
  <c r="BW46" i="1"/>
  <c r="BX46" i="1"/>
  <c r="BY46" i="1"/>
  <c r="BZ46" i="1"/>
  <c r="CA46" i="1"/>
  <c r="CB46" i="1"/>
  <c r="CC46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BR5" i="1"/>
  <c r="BS5" i="1"/>
  <c r="BT5" i="1"/>
  <c r="BU5" i="1"/>
  <c r="BV5" i="1"/>
  <c r="BW5" i="1"/>
  <c r="BX5" i="1"/>
  <c r="BY5" i="1"/>
  <c r="BZ5" i="1"/>
  <c r="CA5" i="1"/>
  <c r="CB5" i="1"/>
  <c r="CC5" i="1"/>
  <c r="BR6" i="1"/>
  <c r="BS6" i="1"/>
  <c r="BT6" i="1"/>
  <c r="BU6" i="1"/>
  <c r="BV6" i="1"/>
  <c r="BW6" i="1"/>
  <c r="BX6" i="1"/>
  <c r="BY6" i="1"/>
  <c r="BZ6" i="1"/>
  <c r="CA6" i="1"/>
  <c r="CB6" i="1"/>
  <c r="CC6" i="1"/>
  <c r="BR7" i="1"/>
  <c r="BS7" i="1"/>
  <c r="BT7" i="1"/>
  <c r="BU7" i="1"/>
  <c r="BV7" i="1"/>
  <c r="BW7" i="1"/>
  <c r="BX7" i="1"/>
  <c r="BY7" i="1"/>
  <c r="BZ7" i="1"/>
  <c r="CA7" i="1"/>
  <c r="CB7" i="1"/>
  <c r="CC7" i="1"/>
  <c r="BR8" i="1"/>
  <c r="BS8" i="1"/>
  <c r="BT8" i="1"/>
  <c r="BU8" i="1"/>
  <c r="BV8" i="1"/>
  <c r="BW8" i="1"/>
  <c r="BX8" i="1"/>
  <c r="BY8" i="1"/>
  <c r="BZ8" i="1"/>
  <c r="CA8" i="1"/>
  <c r="CB8" i="1"/>
  <c r="CC8" i="1"/>
  <c r="BR9" i="1"/>
  <c r="BS9" i="1"/>
  <c r="BT9" i="1"/>
  <c r="BU9" i="1"/>
  <c r="BV9" i="1"/>
  <c r="BW9" i="1"/>
  <c r="BX9" i="1"/>
  <c r="BY9" i="1"/>
  <c r="BZ9" i="1"/>
  <c r="CA9" i="1"/>
  <c r="CB9" i="1"/>
  <c r="CC9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6" i="1" l="1"/>
  <c r="CE46" i="1" s="1"/>
  <c r="CD47" i="1"/>
  <c r="CG47" i="1" s="1"/>
  <c r="CD48" i="1"/>
  <c r="CG48" i="1" s="1"/>
  <c r="CD49" i="1"/>
  <c r="CE49" i="1" s="1"/>
  <c r="CD50" i="1"/>
  <c r="CE50" i="1" s="1"/>
  <c r="CD51" i="1"/>
  <c r="CE51" i="1"/>
  <c r="CF51" i="1"/>
  <c r="CG51" i="1"/>
  <c r="CD52" i="1"/>
  <c r="CF52" i="1" s="1"/>
  <c r="CE52" i="1"/>
  <c r="CD53" i="1"/>
  <c r="CF53" i="1" s="1"/>
  <c r="CG53" i="1"/>
  <c r="CD54" i="1"/>
  <c r="CE54" i="1" s="1"/>
  <c r="CD55" i="1"/>
  <c r="CE55" i="1" s="1"/>
  <c r="CG55" i="1"/>
  <c r="CD56" i="1"/>
  <c r="CE56" i="1" s="1"/>
  <c r="CG56" i="1"/>
  <c r="CD57" i="1"/>
  <c r="CF57" i="1" s="1"/>
  <c r="CD58" i="1"/>
  <c r="CE58" i="1" s="1"/>
  <c r="CF58" i="1"/>
  <c r="CG58" i="1"/>
  <c r="CD59" i="1"/>
  <c r="CE59" i="1" s="1"/>
  <c r="CF59" i="1"/>
  <c r="CD60" i="1"/>
  <c r="CF60" i="1" s="1"/>
  <c r="CD61" i="1"/>
  <c r="CE61" i="1" s="1"/>
  <c r="CD62" i="1"/>
  <c r="CE62" i="1" s="1"/>
  <c r="CD63" i="1"/>
  <c r="CE63" i="1" s="1"/>
  <c r="CG61" i="1" l="1"/>
  <c r="CF61" i="1"/>
  <c r="CE53" i="1"/>
  <c r="CG52" i="1"/>
  <c r="CE60" i="1"/>
  <c r="CG59" i="1"/>
  <c r="CF50" i="1"/>
  <c r="CG49" i="1"/>
  <c r="CG60" i="1"/>
  <c r="CF49" i="1"/>
  <c r="CG50" i="1"/>
  <c r="CG57" i="1"/>
  <c r="CE57" i="1"/>
  <c r="CF47" i="1"/>
  <c r="CE47" i="1"/>
  <c r="CF56" i="1"/>
  <c r="CF48" i="1"/>
  <c r="CG62" i="1"/>
  <c r="CG54" i="1"/>
  <c r="CG46" i="1"/>
  <c r="CE48" i="1"/>
  <c r="CF62" i="1"/>
  <c r="CF54" i="1"/>
  <c r="CF46" i="1"/>
  <c r="CG63" i="1"/>
  <c r="CF63" i="1"/>
  <c r="CF55" i="1"/>
  <c r="CG165" i="1" l="1"/>
  <c r="CF165" i="1"/>
  <c r="CE165" i="1"/>
  <c r="CG164" i="1"/>
  <c r="CF164" i="1"/>
  <c r="CE164" i="1"/>
  <c r="CG163" i="1"/>
  <c r="CF163" i="1"/>
  <c r="CE163" i="1"/>
  <c r="CG162" i="1"/>
  <c r="CF162" i="1"/>
  <c r="CE162" i="1"/>
  <c r="CG161" i="1"/>
  <c r="CF161" i="1"/>
  <c r="CE161" i="1"/>
  <c r="CG160" i="1"/>
  <c r="CF160" i="1"/>
  <c r="CE160" i="1"/>
  <c r="CG159" i="1"/>
  <c r="CF159" i="1"/>
  <c r="CE159" i="1"/>
  <c r="CG158" i="1"/>
  <c r="CF158" i="1"/>
  <c r="CE158" i="1"/>
  <c r="CG157" i="1"/>
  <c r="CF157" i="1"/>
  <c r="CE157" i="1"/>
  <c r="CG156" i="1"/>
  <c r="CF156" i="1"/>
  <c r="CE156" i="1"/>
  <c r="CG155" i="1"/>
  <c r="CF155" i="1"/>
  <c r="CE155" i="1"/>
  <c r="CG154" i="1"/>
  <c r="CF154" i="1"/>
  <c r="CE154" i="1"/>
  <c r="CG153" i="1"/>
  <c r="CF153" i="1"/>
  <c r="CE153" i="1"/>
  <c r="CG152" i="1"/>
  <c r="CF152" i="1"/>
  <c r="CE152" i="1"/>
  <c r="CG151" i="1"/>
  <c r="CF151" i="1"/>
  <c r="CE151" i="1"/>
  <c r="CD150" i="1"/>
  <c r="CG150" i="1" s="1"/>
  <c r="CD149" i="1"/>
  <c r="CG149" i="1" s="1"/>
  <c r="CD148" i="1"/>
  <c r="CG148" i="1" s="1"/>
  <c r="CD147" i="1"/>
  <c r="CG147" i="1" s="1"/>
  <c r="CD146" i="1"/>
  <c r="CE146" i="1" s="1"/>
  <c r="CD145" i="1"/>
  <c r="CG145" i="1" s="1"/>
  <c r="CD144" i="1"/>
  <c r="CE144" i="1" s="1"/>
  <c r="CE143" i="1"/>
  <c r="CD143" i="1"/>
  <c r="CG143" i="1" s="1"/>
  <c r="CD142" i="1"/>
  <c r="CE142" i="1" s="1"/>
  <c r="CD141" i="1"/>
  <c r="CG141" i="1" s="1"/>
  <c r="CD140" i="1"/>
  <c r="CE140" i="1" s="1"/>
  <c r="CD139" i="1"/>
  <c r="CG139" i="1" s="1"/>
  <c r="CD138" i="1"/>
  <c r="CE138" i="1" s="1"/>
  <c r="CF137" i="1"/>
  <c r="CD137" i="1"/>
  <c r="CG137" i="1" s="1"/>
  <c r="CD136" i="1"/>
  <c r="CE136" i="1" s="1"/>
  <c r="CD135" i="1"/>
  <c r="CG135" i="1" s="1"/>
  <c r="CG134" i="1"/>
  <c r="CD134" i="1"/>
  <c r="CE134" i="1" s="1"/>
  <c r="CD133" i="1"/>
  <c r="CG133" i="1" s="1"/>
  <c r="CD132" i="1"/>
  <c r="CE132" i="1" s="1"/>
  <c r="CD131" i="1"/>
  <c r="CG131" i="1" s="1"/>
  <c r="CD130" i="1"/>
  <c r="CE130" i="1" s="1"/>
  <c r="CD129" i="1"/>
  <c r="CG129" i="1" s="1"/>
  <c r="CD128" i="1"/>
  <c r="CE128" i="1" s="1"/>
  <c r="CD127" i="1"/>
  <c r="CG127" i="1" s="1"/>
  <c r="CF126" i="1"/>
  <c r="CD126" i="1"/>
  <c r="CE126" i="1" s="1"/>
  <c r="CF125" i="1"/>
  <c r="CD125" i="1"/>
  <c r="CG125" i="1" s="1"/>
  <c r="CD124" i="1"/>
  <c r="CG124" i="1" s="1"/>
  <c r="CD123" i="1"/>
  <c r="CG123" i="1" s="1"/>
  <c r="CD122" i="1"/>
  <c r="CG122" i="1" s="1"/>
  <c r="CD121" i="1"/>
  <c r="CE121" i="1" s="1"/>
  <c r="CD120" i="1"/>
  <c r="CG120" i="1" s="1"/>
  <c r="CD119" i="1"/>
  <c r="CE119" i="1" s="1"/>
  <c r="CD118" i="1"/>
  <c r="CG118" i="1" s="1"/>
  <c r="CF117" i="1"/>
  <c r="CD117" i="1"/>
  <c r="CE117" i="1" s="1"/>
  <c r="CD116" i="1"/>
  <c r="CG116" i="1" s="1"/>
  <c r="CF115" i="1"/>
  <c r="CD115" i="1"/>
  <c r="CE115" i="1" s="1"/>
  <c r="CD114" i="1"/>
  <c r="CG114" i="1" s="1"/>
  <c r="CD113" i="1"/>
  <c r="CE113" i="1" s="1"/>
  <c r="CD112" i="1"/>
  <c r="CG112" i="1" s="1"/>
  <c r="CD111" i="1"/>
  <c r="CE111" i="1" s="1"/>
  <c r="CD110" i="1"/>
  <c r="CG110" i="1" s="1"/>
  <c r="CD109" i="1"/>
  <c r="CG109" i="1" s="1"/>
  <c r="CF108" i="1"/>
  <c r="CD108" i="1"/>
  <c r="CG108" i="1" s="1"/>
  <c r="CD107" i="1"/>
  <c r="CG107" i="1" s="1"/>
  <c r="CD106" i="1"/>
  <c r="CG106" i="1" s="1"/>
  <c r="CD105" i="1"/>
  <c r="CG105" i="1" s="1"/>
  <c r="CD104" i="1"/>
  <c r="CF104" i="1" s="1"/>
  <c r="CD103" i="1"/>
  <c r="CG103" i="1" s="1"/>
  <c r="CD102" i="1"/>
  <c r="CG102" i="1" s="1"/>
  <c r="CD101" i="1"/>
  <c r="CE101" i="1" s="1"/>
  <c r="CD100" i="1"/>
  <c r="CF100" i="1" s="1"/>
  <c r="CD99" i="1"/>
  <c r="CG99" i="1" s="1"/>
  <c r="CD98" i="1"/>
  <c r="CG98" i="1" s="1"/>
  <c r="CD97" i="1"/>
  <c r="CG97" i="1" s="1"/>
  <c r="CD96" i="1"/>
  <c r="CE96" i="1" s="1"/>
  <c r="CD95" i="1"/>
  <c r="CF95" i="1" s="1"/>
  <c r="CD94" i="1"/>
  <c r="CE94" i="1" s="1"/>
  <c r="CD93" i="1"/>
  <c r="CF93" i="1" s="1"/>
  <c r="CD92" i="1"/>
  <c r="CE92" i="1" s="1"/>
  <c r="CD91" i="1"/>
  <c r="CF91" i="1" s="1"/>
  <c r="CD90" i="1"/>
  <c r="CG90" i="1" s="1"/>
  <c r="CD89" i="1"/>
  <c r="CG89" i="1" s="1"/>
  <c r="CD88" i="1"/>
  <c r="CG88" i="1" s="1"/>
  <c r="CD87" i="1"/>
  <c r="CE87" i="1" s="1"/>
  <c r="CD86" i="1"/>
  <c r="CG86" i="1" s="1"/>
  <c r="CD85" i="1"/>
  <c r="CE85" i="1" s="1"/>
  <c r="CD84" i="1"/>
  <c r="CG84" i="1" s="1"/>
  <c r="CD83" i="1"/>
  <c r="CE83" i="1" s="1"/>
  <c r="CD82" i="1"/>
  <c r="CG82" i="1" s="1"/>
  <c r="CD81" i="1"/>
  <c r="CE81" i="1" s="1"/>
  <c r="CD80" i="1"/>
  <c r="CG80" i="1" s="1"/>
  <c r="CD79" i="1"/>
  <c r="CE79" i="1" s="1"/>
  <c r="CD78" i="1"/>
  <c r="CG78" i="1" s="1"/>
  <c r="CD77" i="1"/>
  <c r="CG77" i="1" s="1"/>
  <c r="CD76" i="1"/>
  <c r="CF76" i="1" s="1"/>
  <c r="CD75" i="1"/>
  <c r="CG75" i="1" s="1"/>
  <c r="CD74" i="1"/>
  <c r="CG74" i="1" s="1"/>
  <c r="CD73" i="1"/>
  <c r="CG73" i="1" s="1"/>
  <c r="CD72" i="1"/>
  <c r="CF72" i="1" s="1"/>
  <c r="CD71" i="1"/>
  <c r="CF71" i="1" s="1"/>
  <c r="CD70" i="1"/>
  <c r="CG70" i="1" s="1"/>
  <c r="CG69" i="1"/>
  <c r="CE69" i="1"/>
  <c r="CD69" i="1"/>
  <c r="CF69" i="1" s="1"/>
  <c r="CD68" i="1"/>
  <c r="CG68" i="1" s="1"/>
  <c r="CD67" i="1"/>
  <c r="CF67" i="1" s="1"/>
  <c r="CD66" i="1"/>
  <c r="CG66" i="1" s="1"/>
  <c r="CD65" i="1"/>
  <c r="CG65" i="1" s="1"/>
  <c r="CD64" i="1"/>
  <c r="CG64" i="1" s="1"/>
  <c r="CD45" i="1"/>
  <c r="CG45" i="1" s="1"/>
  <c r="CF44" i="1"/>
  <c r="CE44" i="1"/>
  <c r="CD44" i="1"/>
  <c r="CG44" i="1" s="1"/>
  <c r="CD43" i="1"/>
  <c r="CE43" i="1" s="1"/>
  <c r="CD42" i="1"/>
  <c r="CD41" i="1"/>
  <c r="CE41" i="1" s="1"/>
  <c r="CD40" i="1"/>
  <c r="CE40" i="1" s="1"/>
  <c r="CD39" i="1"/>
  <c r="CG39" i="1" s="1"/>
  <c r="CD38" i="1"/>
  <c r="CE38" i="1" s="1"/>
  <c r="CD37" i="1"/>
  <c r="CG37" i="1" s="1"/>
  <c r="CD36" i="1"/>
  <c r="CE36" i="1" s="1"/>
  <c r="CD35" i="1"/>
  <c r="CG35" i="1" s="1"/>
  <c r="CD34" i="1"/>
  <c r="CE34" i="1" s="1"/>
  <c r="CD33" i="1"/>
  <c r="CG33" i="1" s="1"/>
  <c r="CD32" i="1"/>
  <c r="CE32" i="1" s="1"/>
  <c r="CD31" i="1"/>
  <c r="CG31" i="1" s="1"/>
  <c r="CD30" i="1"/>
  <c r="CE30" i="1" s="1"/>
  <c r="CD29" i="1"/>
  <c r="CG29" i="1" s="1"/>
  <c r="CD28" i="1"/>
  <c r="CF28" i="1" s="1"/>
  <c r="CD27" i="1"/>
  <c r="CG27" i="1" s="1"/>
  <c r="CD26" i="1"/>
  <c r="CE26" i="1" s="1"/>
  <c r="CD25" i="1"/>
  <c r="CG25" i="1" s="1"/>
  <c r="CD24" i="1"/>
  <c r="CE24" i="1" s="1"/>
  <c r="CD23" i="1"/>
  <c r="CG23" i="1" s="1"/>
  <c r="CD22" i="1"/>
  <c r="CF22" i="1" s="1"/>
  <c r="CD21" i="1"/>
  <c r="CE21" i="1" s="1"/>
  <c r="CD20" i="1"/>
  <c r="CF20" i="1" s="1"/>
  <c r="CD19" i="1"/>
  <c r="CG19" i="1" s="1"/>
  <c r="CD18" i="1"/>
  <c r="CF18" i="1" s="1"/>
  <c r="CD17" i="1"/>
  <c r="CF17" i="1" s="1"/>
  <c r="CD16" i="1"/>
  <c r="CG16" i="1" s="1"/>
  <c r="CD15" i="1"/>
  <c r="CG15" i="1" s="1"/>
  <c r="CD14" i="1"/>
  <c r="CE14" i="1" s="1"/>
  <c r="CD13" i="1"/>
  <c r="CG13" i="1" s="1"/>
  <c r="CD12" i="1"/>
  <c r="CF12" i="1" s="1"/>
  <c r="CD11" i="1"/>
  <c r="CG11" i="1" s="1"/>
  <c r="CD10" i="1"/>
  <c r="CF10" i="1" s="1"/>
  <c r="CD9" i="1"/>
  <c r="CG9" i="1" s="1"/>
  <c r="CD8" i="1"/>
  <c r="CF8" i="1" s="1"/>
  <c r="CD7" i="1"/>
  <c r="CG7" i="1" s="1"/>
  <c r="CD6" i="1"/>
  <c r="CF6" i="1" s="1"/>
  <c r="CD5" i="1"/>
  <c r="CG5" i="1" s="1"/>
  <c r="CD4" i="1"/>
  <c r="CF4" i="1" s="1"/>
  <c r="CC4" i="1"/>
  <c r="CB4" i="1"/>
  <c r="CA4" i="1"/>
  <c r="BZ4" i="1"/>
  <c r="BY4" i="1"/>
  <c r="BX4" i="1"/>
  <c r="BW4" i="1"/>
  <c r="BV4" i="1"/>
  <c r="BU4" i="1"/>
  <c r="BT4" i="1"/>
  <c r="BS4" i="1"/>
  <c r="BR4" i="1"/>
  <c r="BM2" i="1"/>
  <c r="BK2" i="1"/>
  <c r="BI2" i="1"/>
  <c r="BG2" i="1"/>
  <c r="BE2" i="1"/>
  <c r="BC2" i="1"/>
  <c r="BA2" i="1"/>
  <c r="AY2" i="1"/>
  <c r="AW2" i="1"/>
  <c r="AU2" i="1"/>
  <c r="AS2" i="1"/>
  <c r="AQ2" i="1"/>
  <c r="AO2" i="1"/>
  <c r="AM2" i="1"/>
  <c r="AK2" i="1"/>
  <c r="AI2" i="1"/>
  <c r="AG2" i="1"/>
  <c r="AE2" i="1"/>
  <c r="AC2" i="1"/>
  <c r="AA2" i="1"/>
  <c r="Y2" i="1"/>
  <c r="W2" i="1"/>
  <c r="U2" i="1"/>
  <c r="S2" i="1"/>
  <c r="Q2" i="1"/>
  <c r="O2" i="1"/>
  <c r="M2" i="1"/>
  <c r="K2" i="1"/>
  <c r="I2" i="1"/>
  <c r="G2" i="1"/>
  <c r="E2" i="1"/>
  <c r="CE82" i="1" l="1"/>
  <c r="CE64" i="1"/>
  <c r="CF64" i="1"/>
  <c r="CF36" i="1"/>
  <c r="CF38" i="1"/>
  <c r="CG36" i="1"/>
  <c r="CG38" i="1"/>
  <c r="CE35" i="1"/>
  <c r="CE37" i="1"/>
  <c r="CE39" i="1"/>
  <c r="CF35" i="1"/>
  <c r="CF37" i="1"/>
  <c r="CF39" i="1"/>
  <c r="CF5" i="1"/>
  <c r="CE28" i="1"/>
  <c r="CG22" i="1"/>
  <c r="CG24" i="1"/>
  <c r="CG26" i="1"/>
  <c r="CG28" i="1"/>
  <c r="CG30" i="1"/>
  <c r="CG32" i="1"/>
  <c r="CE80" i="1"/>
  <c r="CE22" i="1"/>
  <c r="CE67" i="1"/>
  <c r="CF24" i="1"/>
  <c r="CF26" i="1"/>
  <c r="CF30" i="1"/>
  <c r="CG34" i="1"/>
  <c r="CG67" i="1"/>
  <c r="CF32" i="1"/>
  <c r="CE9" i="1"/>
  <c r="CE7" i="1"/>
  <c r="CE11" i="1"/>
  <c r="CF124" i="1"/>
  <c r="CF143" i="1"/>
  <c r="CF34" i="1"/>
  <c r="CE45" i="1"/>
  <c r="CE72" i="1"/>
  <c r="CG14" i="1"/>
  <c r="CF15" i="1"/>
  <c r="CF16" i="1"/>
  <c r="CG43" i="1"/>
  <c r="CE4" i="1"/>
  <c r="CE6" i="1"/>
  <c r="CE8" i="1"/>
  <c r="CE10" i="1"/>
  <c r="CE12" i="1"/>
  <c r="CG72" i="1"/>
  <c r="CF41" i="1"/>
  <c r="CG4" i="1"/>
  <c r="CG6" i="1"/>
  <c r="CG8" i="1"/>
  <c r="CG10" i="1"/>
  <c r="CG12" i="1"/>
  <c r="CG41" i="1"/>
  <c r="CE110" i="1"/>
  <c r="CE129" i="1"/>
  <c r="CG17" i="1"/>
  <c r="CF7" i="1"/>
  <c r="CF43" i="1"/>
  <c r="CF45" i="1"/>
  <c r="CE74" i="1"/>
  <c r="CG18" i="1"/>
  <c r="CF110" i="1"/>
  <c r="CE17" i="1"/>
  <c r="CE16" i="1"/>
  <c r="CF14" i="1"/>
  <c r="CF74" i="1"/>
  <c r="CG76" i="1"/>
  <c r="CE23" i="1"/>
  <c r="CE25" i="1"/>
  <c r="CE27" i="1"/>
  <c r="CE29" i="1"/>
  <c r="CE31" i="1"/>
  <c r="CE33" i="1"/>
  <c r="CE15" i="1"/>
  <c r="CF23" i="1"/>
  <c r="CF25" i="1"/>
  <c r="CF27" i="1"/>
  <c r="CF29" i="1"/>
  <c r="CF31" i="1"/>
  <c r="CF33" i="1"/>
  <c r="CE108" i="1"/>
  <c r="CF146" i="1"/>
  <c r="CF9" i="1"/>
  <c r="CE78" i="1"/>
  <c r="CE76" i="1"/>
  <c r="CE5" i="1"/>
  <c r="CE18" i="1"/>
  <c r="CE127" i="1"/>
  <c r="CE139" i="1"/>
  <c r="CE84" i="1"/>
  <c r="CE73" i="1"/>
  <c r="CE75" i="1"/>
  <c r="CE71" i="1"/>
  <c r="CF73" i="1"/>
  <c r="CF75" i="1"/>
  <c r="CG71" i="1"/>
  <c r="CF11" i="1"/>
  <c r="CG42" i="1"/>
  <c r="CE42" i="1"/>
  <c r="CF42" i="1"/>
  <c r="CE99" i="1"/>
  <c r="CE103" i="1"/>
  <c r="CG101" i="1"/>
  <c r="CE102" i="1"/>
  <c r="CF98" i="1"/>
  <c r="CE98" i="1"/>
  <c r="CE104" i="1"/>
  <c r="CF101" i="1"/>
  <c r="CG104" i="1"/>
  <c r="CF99" i="1"/>
  <c r="CF103" i="1"/>
  <c r="CG100" i="1"/>
  <c r="CE97" i="1"/>
  <c r="CF97" i="1"/>
  <c r="CE100" i="1"/>
  <c r="CE107" i="1"/>
  <c r="CE109" i="1"/>
  <c r="CF111" i="1"/>
  <c r="CF102" i="1"/>
  <c r="CF107" i="1"/>
  <c r="CF109" i="1"/>
  <c r="CG111" i="1"/>
  <c r="CG91" i="1"/>
  <c r="CG93" i="1"/>
  <c r="CG95" i="1"/>
  <c r="CF79" i="1"/>
  <c r="CF81" i="1"/>
  <c r="CF83" i="1"/>
  <c r="CF85" i="1"/>
  <c r="CF87" i="1"/>
  <c r="CG79" i="1"/>
  <c r="CG81" i="1"/>
  <c r="CG83" i="1"/>
  <c r="CG85" i="1"/>
  <c r="CG87" i="1"/>
  <c r="CE90" i="1"/>
  <c r="CF90" i="1"/>
  <c r="CF92" i="1"/>
  <c r="CF94" i="1"/>
  <c r="CF96" i="1"/>
  <c r="CG92" i="1"/>
  <c r="CG94" i="1"/>
  <c r="CG96" i="1"/>
  <c r="CE86" i="1"/>
  <c r="CE88" i="1"/>
  <c r="CF78" i="1"/>
  <c r="CF80" i="1"/>
  <c r="CF82" i="1"/>
  <c r="CF84" i="1"/>
  <c r="CF86" i="1"/>
  <c r="CF88" i="1"/>
  <c r="CE91" i="1"/>
  <c r="CE93" i="1"/>
  <c r="CE95" i="1"/>
  <c r="CE66" i="1"/>
  <c r="CE68" i="1"/>
  <c r="CE70" i="1"/>
  <c r="CF66" i="1"/>
  <c r="CF68" i="1"/>
  <c r="CF70" i="1"/>
  <c r="CG20" i="1"/>
  <c r="CE20" i="1"/>
  <c r="CE77" i="1"/>
  <c r="CF77" i="1"/>
  <c r="CE65" i="1"/>
  <c r="CF65" i="1"/>
  <c r="CE112" i="1"/>
  <c r="CF112" i="1"/>
  <c r="CF121" i="1"/>
  <c r="CG121" i="1"/>
  <c r="CG119" i="1"/>
  <c r="CF119" i="1"/>
  <c r="CG117" i="1"/>
  <c r="CG115" i="1"/>
  <c r="CF113" i="1"/>
  <c r="CG113" i="1"/>
  <c r="CE114" i="1"/>
  <c r="CE116" i="1"/>
  <c r="CE118" i="1"/>
  <c r="CE120" i="1"/>
  <c r="CE122" i="1"/>
  <c r="CF114" i="1"/>
  <c r="CF116" i="1"/>
  <c r="CF118" i="1"/>
  <c r="CF120" i="1"/>
  <c r="CF122" i="1"/>
  <c r="CE123" i="1"/>
  <c r="CF127" i="1"/>
  <c r="CF130" i="1"/>
  <c r="CG130" i="1"/>
  <c r="CE137" i="1"/>
  <c r="CE135" i="1"/>
  <c r="CF135" i="1"/>
  <c r="CE133" i="1"/>
  <c r="CF133" i="1"/>
  <c r="CF140" i="1"/>
  <c r="CE147" i="1"/>
  <c r="CG138" i="1"/>
  <c r="CE145" i="1"/>
  <c r="CE131" i="1"/>
  <c r="CF131" i="1"/>
  <c r="CG146" i="1"/>
  <c r="CF129" i="1"/>
  <c r="CF144" i="1"/>
  <c r="CG144" i="1"/>
  <c r="CF142" i="1"/>
  <c r="CE125" i="1"/>
  <c r="CG142" i="1"/>
  <c r="CF123" i="1"/>
  <c r="CG140" i="1"/>
  <c r="CF138" i="1"/>
  <c r="CF136" i="1"/>
  <c r="CE149" i="1"/>
  <c r="CG136" i="1"/>
  <c r="CF134" i="1"/>
  <c r="CF132" i="1"/>
  <c r="CG132" i="1"/>
  <c r="CF128" i="1"/>
  <c r="CF145" i="1"/>
  <c r="CG128" i="1"/>
  <c r="CE124" i="1"/>
  <c r="CG126" i="1"/>
  <c r="CE141" i="1"/>
  <c r="CF141" i="1"/>
  <c r="CF139" i="1"/>
  <c r="CE150" i="1"/>
  <c r="CF150" i="1"/>
  <c r="CE148" i="1"/>
  <c r="CF148" i="1"/>
  <c r="CF147" i="1"/>
  <c r="CF149" i="1"/>
  <c r="CE105" i="1"/>
  <c r="CF105" i="1"/>
  <c r="CE89" i="1"/>
  <c r="CF89" i="1"/>
  <c r="CF21" i="1"/>
  <c r="CG21" i="1"/>
  <c r="CE106" i="1"/>
  <c r="CF106" i="1"/>
  <c r="CF40" i="1"/>
  <c r="CG40" i="1"/>
  <c r="CE19" i="1"/>
  <c r="CF19" i="1"/>
  <c r="CF13" i="1"/>
  <c r="CE13" i="1"/>
</calcChain>
</file>

<file path=xl/sharedStrings.xml><?xml version="1.0" encoding="utf-8"?>
<sst xmlns="http://schemas.openxmlformats.org/spreadsheetml/2006/main" count="8268" uniqueCount="175">
  <si>
    <r>
      <rPr>
        <b/>
        <sz val="12"/>
        <color rgb="FFFF0000"/>
        <rFont val="宋体"/>
        <family val="3"/>
        <charset val="134"/>
        <scheme val="minor"/>
      </rPr>
      <t>注：</t>
    </r>
    <r>
      <rPr>
        <b/>
        <sz val="10"/>
        <color rgb="FFFF0000"/>
        <rFont val="宋体"/>
        <family val="3"/>
        <charset val="134"/>
        <scheme val="minor"/>
      </rPr>
      <t>填写其他部门帮忙的时间，需要手动填写总小时时间，写到统计表里面每个部门主管后面指定的单元格里面；</t>
    </r>
    <r>
      <rPr>
        <b/>
        <sz val="10"/>
        <color rgb="FF0000FF"/>
        <rFont val="宋体"/>
        <family val="3"/>
        <charset val="134"/>
        <scheme val="minor"/>
      </rPr>
      <t>补签次数也需要手工填写。</t>
    </r>
  </si>
  <si>
    <t>年</t>
  </si>
  <si>
    <t>月</t>
  </si>
  <si>
    <t>颜色说明 →</t>
  </si>
  <si>
    <t>管理员</t>
  </si>
  <si>
    <t>组长</t>
  </si>
  <si>
    <t>公司职员</t>
  </si>
  <si>
    <t>离职人员</t>
  </si>
  <si>
    <t>部门</t>
  </si>
  <si>
    <t>性质</t>
  </si>
  <si>
    <t>姓名</t>
  </si>
  <si>
    <t>星期</t>
  </si>
  <si>
    <t>序号</t>
  </si>
  <si>
    <t>图示</t>
  </si>
  <si>
    <t>√</t>
  </si>
  <si>
    <t>☆</t>
  </si>
  <si>
    <t>★</t>
  </si>
  <si>
    <t>〇</t>
  </si>
  <si>
    <t>¤</t>
  </si>
  <si>
    <t>╳</t>
  </si>
  <si>
    <t>✚</t>
  </si>
  <si>
    <t>▲</t>
  </si>
  <si>
    <t>□</t>
  </si>
  <si>
    <t>〓</t>
  </si>
  <si>
    <t>☆〓</t>
  </si>
  <si>
    <t>★〓</t>
  </si>
  <si>
    <t>夜班加班补助统计</t>
  </si>
  <si>
    <t>时间</t>
  </si>
  <si>
    <t>正常上班</t>
  </si>
  <si>
    <t>平常加班</t>
  </si>
  <si>
    <t>星期天加班</t>
  </si>
  <si>
    <t>请假</t>
  </si>
  <si>
    <t>放行</t>
  </si>
  <si>
    <t>旷工</t>
  </si>
  <si>
    <t>工伤</t>
  </si>
  <si>
    <t>迟到</t>
  </si>
  <si>
    <t>早退</t>
  </si>
  <si>
    <t>管理员异常加班</t>
  </si>
  <si>
    <t>平常加班帮忙</t>
  </si>
  <si>
    <t>星期天加班帮忙</t>
  </si>
  <si>
    <t>普夜5元（4小时）</t>
  </si>
  <si>
    <t>中夜10元（8小时）</t>
  </si>
  <si>
    <t>深夜20元（12小时）</t>
  </si>
  <si>
    <t>计时</t>
  </si>
  <si>
    <t>胡超</t>
  </si>
  <si>
    <t>上午</t>
  </si>
  <si>
    <t>樊琪麒</t>
  </si>
  <si>
    <t>下午</t>
  </si>
  <si>
    <t>邱梅</t>
  </si>
  <si>
    <t>晚上</t>
  </si>
  <si>
    <t>毛先峰</t>
  </si>
  <si>
    <t>张石勇</t>
  </si>
  <si>
    <t>谭加秀</t>
  </si>
  <si>
    <t>杨月英</t>
  </si>
  <si>
    <t>曹勇军</t>
  </si>
  <si>
    <t>陶永福</t>
  </si>
  <si>
    <t>杨四明</t>
  </si>
  <si>
    <t>杨宁</t>
  </si>
  <si>
    <t>桂艳芳</t>
  </si>
  <si>
    <t>全孝华</t>
  </si>
  <si>
    <t>杨杰</t>
  </si>
  <si>
    <t>谢喜云</t>
  </si>
  <si>
    <t>曹保书</t>
  </si>
  <si>
    <t>陈梅</t>
  </si>
  <si>
    <t>张学六</t>
  </si>
  <si>
    <t>陈玉容</t>
  </si>
  <si>
    <t>桂秀花</t>
  </si>
  <si>
    <t>张林</t>
  </si>
  <si>
    <t>李成</t>
  </si>
  <si>
    <t>涂海清</t>
  </si>
  <si>
    <t>杨进彬</t>
  </si>
  <si>
    <t>桂辉定</t>
  </si>
  <si>
    <t>龙金寸</t>
  </si>
  <si>
    <t>杨菊珍</t>
  </si>
  <si>
    <t>谢环英</t>
  </si>
  <si>
    <t>谢超英</t>
  </si>
  <si>
    <t>龙金妹</t>
  </si>
  <si>
    <t>丁章帅</t>
  </si>
  <si>
    <t>梁金锐</t>
  </si>
  <si>
    <t>周席民</t>
  </si>
  <si>
    <t>李敏</t>
  </si>
  <si>
    <t>组装部</t>
  </si>
  <si>
    <r>
      <rPr>
        <b/>
        <sz val="11"/>
        <color rgb="FF0000FF"/>
        <rFont val="宋体"/>
        <family val="3"/>
        <charset val="134"/>
        <scheme val="minor"/>
      </rPr>
      <t>计时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rgb="FFFF0000"/>
        <rFont val="宋体"/>
        <family val="3"/>
        <charset val="134"/>
        <scheme val="minor"/>
      </rPr>
      <t>18:30
记加班</t>
    </r>
  </si>
  <si>
    <t>包装部</t>
  </si>
  <si>
    <t>油漆部</t>
  </si>
  <si>
    <t>开料部</t>
  </si>
  <si>
    <t>组装部</t>
    <phoneticPr fontId="22" type="noConversion"/>
  </si>
  <si>
    <t>开料部</t>
    <phoneticPr fontId="22" type="noConversion"/>
  </si>
  <si>
    <t>油漆部</t>
    <phoneticPr fontId="22" type="noConversion"/>
  </si>
  <si>
    <t>木工部</t>
    <phoneticPr fontId="22" type="noConversion"/>
  </si>
  <si>
    <t>王波</t>
    <phoneticPr fontId="22" type="noConversion"/>
  </si>
  <si>
    <t>物料组</t>
    <phoneticPr fontId="22" type="noConversion"/>
  </si>
  <si>
    <t>徐昌菊</t>
  </si>
  <si>
    <t>李茂兰</t>
    <phoneticPr fontId="22" type="noConversion"/>
  </si>
  <si>
    <t>李成</t>
    <phoneticPr fontId="22" type="noConversion"/>
  </si>
  <si>
    <t>曹保书</t>
    <phoneticPr fontId="22" type="noConversion"/>
  </si>
  <si>
    <t>梁金锐</t>
    <phoneticPr fontId="22" type="noConversion"/>
  </si>
  <si>
    <t>周席民</t>
    <phoneticPr fontId="22" type="noConversion"/>
  </si>
  <si>
    <t>赵丁潘</t>
    <phoneticPr fontId="22" type="noConversion"/>
  </si>
  <si>
    <t>毛先峰</t>
    <phoneticPr fontId="22" type="noConversion"/>
  </si>
  <si>
    <t>陶永福</t>
    <phoneticPr fontId="22" type="noConversion"/>
  </si>
  <si>
    <t>刘家林</t>
    <phoneticPr fontId="22" type="noConversion"/>
  </si>
  <si>
    <t>杨宁</t>
    <phoneticPr fontId="22" type="noConversion"/>
  </si>
  <si>
    <t>张林</t>
    <phoneticPr fontId="22" type="noConversion"/>
  </si>
  <si>
    <t>张石勇</t>
    <phoneticPr fontId="22" type="noConversion"/>
  </si>
  <si>
    <t>杨杰</t>
    <phoneticPr fontId="22" type="noConversion"/>
  </si>
  <si>
    <t>全孝华</t>
    <phoneticPr fontId="22" type="noConversion"/>
  </si>
  <si>
    <t>计时</t>
    <phoneticPr fontId="22" type="noConversion"/>
  </si>
  <si>
    <t>龙金妹</t>
    <phoneticPr fontId="22" type="noConversion"/>
  </si>
  <si>
    <t>桂艳芳</t>
    <phoneticPr fontId="22" type="noConversion"/>
  </si>
  <si>
    <t>谢喜云</t>
    <phoneticPr fontId="22" type="noConversion"/>
  </si>
  <si>
    <t>杨进彬</t>
    <phoneticPr fontId="22" type="noConversion"/>
  </si>
  <si>
    <t>桂辉定</t>
    <phoneticPr fontId="22" type="noConversion"/>
  </si>
  <si>
    <t>谢超英</t>
    <phoneticPr fontId="22" type="noConversion"/>
  </si>
  <si>
    <t>丁章帅</t>
    <phoneticPr fontId="22" type="noConversion"/>
  </si>
  <si>
    <t>桂秀花</t>
    <phoneticPr fontId="22" type="noConversion"/>
  </si>
  <si>
    <t>陈银山</t>
    <phoneticPr fontId="22" type="noConversion"/>
  </si>
  <si>
    <t>彭韶华</t>
    <phoneticPr fontId="22" type="noConversion"/>
  </si>
  <si>
    <t>田大鹏</t>
    <phoneticPr fontId="22" type="noConversion"/>
  </si>
  <si>
    <t>吴晓波</t>
    <phoneticPr fontId="22" type="noConversion"/>
  </si>
  <si>
    <t>张官树</t>
    <phoneticPr fontId="22" type="noConversion"/>
  </si>
  <si>
    <t>龙家富</t>
    <phoneticPr fontId="22" type="noConversion"/>
  </si>
  <si>
    <t>张昌盛</t>
    <phoneticPr fontId="22" type="noConversion"/>
  </si>
  <si>
    <t>杨琴</t>
    <phoneticPr fontId="22" type="noConversion"/>
  </si>
  <si>
    <t>蒋素琼</t>
  </si>
  <si>
    <t>周惠英</t>
  </si>
  <si>
    <t>诺顺芳</t>
  </si>
  <si>
    <t>奎凤英</t>
  </si>
  <si>
    <t>谭周香</t>
  </si>
  <si>
    <t>卢朝琴</t>
  </si>
  <si>
    <t>余润花</t>
  </si>
  <si>
    <t>王晓连</t>
  </si>
  <si>
    <t>贲贤</t>
  </si>
  <si>
    <t>陈浩</t>
    <phoneticPr fontId="22" type="noConversion"/>
  </si>
  <si>
    <t>计时
UV打印</t>
    <phoneticPr fontId="22" type="noConversion"/>
  </si>
  <si>
    <t>杨合栓</t>
    <phoneticPr fontId="22" type="noConversion"/>
  </si>
  <si>
    <t>韦国旗</t>
    <phoneticPr fontId="22" type="noConversion"/>
  </si>
  <si>
    <t>卢阳平</t>
    <phoneticPr fontId="22" type="noConversion"/>
  </si>
  <si>
    <t>仲先林</t>
    <phoneticPr fontId="22" type="noConversion"/>
  </si>
  <si>
    <t>粟勇</t>
  </si>
  <si>
    <t>四川杨勇</t>
  </si>
  <si>
    <t>湖北杨勇</t>
  </si>
  <si>
    <t>欧政才</t>
  </si>
  <si>
    <t>涂大坤</t>
  </si>
  <si>
    <t>吴生富</t>
  </si>
  <si>
    <t>杨辉</t>
  </si>
  <si>
    <t>张清泉</t>
  </si>
  <si>
    <t>客户包装部</t>
  </si>
  <si>
    <t>席金鹏</t>
  </si>
  <si>
    <t>敬伟</t>
  </si>
  <si>
    <t>李建新</t>
  </si>
  <si>
    <t>徐昌萍</t>
  </si>
  <si>
    <t>王波</t>
  </si>
  <si>
    <t>计划生产部</t>
    <phoneticPr fontId="22" type="noConversion"/>
  </si>
  <si>
    <t>综合部</t>
    <phoneticPr fontId="22" type="noConversion"/>
  </si>
  <si>
    <t>彭韶峰</t>
    <phoneticPr fontId="22" type="noConversion"/>
  </si>
  <si>
    <t>李伟毅</t>
    <phoneticPr fontId="22" type="noConversion"/>
  </si>
  <si>
    <t>王云明</t>
    <phoneticPr fontId="22" type="noConversion"/>
  </si>
  <si>
    <t>陈永泽</t>
    <phoneticPr fontId="22" type="noConversion"/>
  </si>
  <si>
    <t>杨琴</t>
  </si>
  <si>
    <t>张昌盛</t>
  </si>
  <si>
    <t>仲先林</t>
  </si>
  <si>
    <t>韦国旗</t>
  </si>
  <si>
    <t>陈浩</t>
  </si>
  <si>
    <t>卢阳平</t>
  </si>
  <si>
    <t>赵丁潘</t>
  </si>
  <si>
    <t>龙家富</t>
  </si>
  <si>
    <t>张官树</t>
  </si>
  <si>
    <t>吴晓波</t>
  </si>
  <si>
    <t>后勤部</t>
    <phoneticPr fontId="22" type="noConversion"/>
  </si>
  <si>
    <t>许进凤</t>
    <phoneticPr fontId="22" type="noConversion"/>
  </si>
  <si>
    <t>李文禄</t>
    <phoneticPr fontId="22" type="noConversion"/>
  </si>
  <si>
    <r>
      <rPr>
        <b/>
        <sz val="11"/>
        <color rgb="FF0000FF"/>
        <rFont val="宋体"/>
        <family val="3"/>
        <charset val="134"/>
        <scheme val="minor"/>
      </rPr>
      <t>计时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rgb="FFFF0000"/>
        <rFont val="宋体"/>
        <family val="3"/>
        <charset val="134"/>
        <scheme val="minor"/>
      </rPr>
      <t>09:00
上班</t>
    </r>
    <phoneticPr fontId="22" type="noConversion"/>
  </si>
  <si>
    <t>厂部</t>
    <phoneticPr fontId="22" type="noConversion"/>
  </si>
  <si>
    <t>黄川平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</si>
</sst>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1][$-804]General"/>
  </numFmts>
  <fonts count="2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1"/>
      <color rgb="FF0000FF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rgb="FF0000FF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3">
    <xf numFmtId="176" fontId="0" fillId="0" borderId="0">
      <alignment vertical="center"/>
    </xf>
    <xf numFmtId="0" fontId="21" fillId="0" borderId="0">
      <alignment vertical="center"/>
    </xf>
    <xf numFmtId="176" fontId="20" fillId="0" borderId="0">
      <alignment vertical="center"/>
    </xf>
  </cellStyleXfs>
  <cellXfs count="100">
    <xf numFmtId="176" fontId="0" fillId="0" borderId="0" xfId="0">
      <alignment vertical="center"/>
    </xf>
    <xf numFmtId="176" fontId="0" fillId="0" borderId="0" xfId="0" applyAlignment="1" applyProtection="1">
      <alignment horizontal="center" vertical="center"/>
      <protection hidden="1"/>
    </xf>
    <xf numFmtId="176" fontId="8" fillId="0" borderId="0" xfId="0" applyFont="1" applyAlignment="1" applyProtection="1">
      <alignment horizontal="center" vertical="center"/>
      <protection hidden="1"/>
    </xf>
    <xf numFmtId="176" fontId="7" fillId="0" borderId="0" xfId="0" applyFont="1" applyAlignment="1" applyProtection="1">
      <alignment horizontal="center" vertical="center"/>
      <protection hidden="1"/>
    </xf>
    <xf numFmtId="176" fontId="7" fillId="0" borderId="15" xfId="0" applyFont="1" applyBorder="1" applyAlignment="1" applyProtection="1">
      <alignment horizontal="center" vertical="center"/>
      <protection hidden="1"/>
    </xf>
    <xf numFmtId="176" fontId="7" fillId="0" borderId="6" xfId="0" applyFont="1" applyBorder="1" applyAlignment="1" applyProtection="1">
      <alignment horizontal="center" vertical="center"/>
      <protection hidden="1"/>
    </xf>
    <xf numFmtId="0" fontId="1" fillId="0" borderId="16" xfId="0" applyNumberFormat="1" applyFont="1" applyBorder="1" applyAlignment="1" applyProtection="1">
      <alignment horizontal="center" vertical="center" wrapText="1"/>
      <protection hidden="1"/>
    </xf>
    <xf numFmtId="0" fontId="1" fillId="0" borderId="17" xfId="0" applyNumberFormat="1" applyFont="1" applyBorder="1" applyAlignment="1" applyProtection="1">
      <alignment horizontal="center" vertical="center" wrapText="1"/>
      <protection hidden="1"/>
    </xf>
    <xf numFmtId="0" fontId="1" fillId="0" borderId="18" xfId="0" applyNumberFormat="1" applyFont="1" applyBorder="1" applyAlignment="1" applyProtection="1">
      <alignment horizontal="center" vertical="center" wrapText="1"/>
      <protection hidden="1"/>
    </xf>
    <xf numFmtId="0" fontId="1" fillId="0" borderId="19" xfId="0" applyNumberFormat="1" applyFont="1" applyBorder="1" applyAlignment="1" applyProtection="1">
      <alignment horizontal="center" vertical="center" wrapText="1"/>
      <protection hidden="1"/>
    </xf>
    <xf numFmtId="0" fontId="1" fillId="0" borderId="20" xfId="0" applyNumberFormat="1" applyFont="1" applyBorder="1" applyAlignment="1" applyProtection="1">
      <alignment horizontal="center" vertical="center" wrapText="1"/>
      <protection hidden="1"/>
    </xf>
    <xf numFmtId="0" fontId="11" fillId="0" borderId="16" xfId="0" applyNumberFormat="1" applyFont="1" applyBorder="1" applyAlignment="1" applyProtection="1">
      <alignment horizontal="center" vertical="center" wrapText="1"/>
      <protection hidden="1"/>
    </xf>
    <xf numFmtId="0" fontId="11" fillId="0" borderId="17" xfId="0" applyNumberFormat="1" applyFont="1" applyBorder="1" applyAlignment="1" applyProtection="1">
      <alignment horizontal="center" vertical="center" wrapText="1"/>
      <protection hidden="1"/>
    </xf>
    <xf numFmtId="0" fontId="11" fillId="0" borderId="18" xfId="0" applyNumberFormat="1" applyFont="1" applyBorder="1" applyAlignment="1" applyProtection="1">
      <alignment horizontal="center" vertical="center" wrapText="1"/>
      <protection hidden="1"/>
    </xf>
    <xf numFmtId="0" fontId="11" fillId="0" borderId="19" xfId="0" applyNumberFormat="1" applyFont="1" applyBorder="1" applyAlignment="1" applyProtection="1">
      <alignment horizontal="center" vertical="center" wrapText="1"/>
      <protection hidden="1"/>
    </xf>
    <xf numFmtId="0" fontId="11" fillId="0" borderId="20" xfId="0" applyNumberFormat="1" applyFont="1" applyBorder="1" applyAlignment="1" applyProtection="1">
      <alignment horizontal="center" vertical="center" wrapText="1"/>
      <protection hidden="1"/>
    </xf>
    <xf numFmtId="176" fontId="0" fillId="0" borderId="0" xfId="0" applyProtection="1">
      <alignment vertical="center"/>
      <protection hidden="1"/>
    </xf>
    <xf numFmtId="176" fontId="13" fillId="4" borderId="0" xfId="0" applyFont="1" applyFill="1" applyAlignment="1" applyProtection="1">
      <alignment horizontal="center" vertical="center"/>
      <protection hidden="1"/>
    </xf>
    <xf numFmtId="176" fontId="13" fillId="7" borderId="0" xfId="0" applyFont="1" applyFill="1" applyAlignment="1" applyProtection="1">
      <alignment horizontal="center" vertical="center"/>
      <protection hidden="1"/>
    </xf>
    <xf numFmtId="176" fontId="13" fillId="8" borderId="0" xfId="0" applyFont="1" applyFill="1" applyAlignment="1" applyProtection="1">
      <alignment horizontal="center" vertical="center"/>
      <protection hidden="1"/>
    </xf>
    <xf numFmtId="176" fontId="0" fillId="0" borderId="5" xfId="0" applyBorder="1" applyAlignment="1" applyProtection="1">
      <alignment horizontal="center" vertical="center"/>
      <protection hidden="1"/>
    </xf>
    <xf numFmtId="176" fontId="14" fillId="3" borderId="2" xfId="0" applyFont="1" applyFill="1" applyBorder="1" applyAlignment="1" applyProtection="1">
      <alignment horizontal="center" vertical="center"/>
      <protection hidden="1"/>
    </xf>
    <xf numFmtId="176" fontId="15" fillId="9" borderId="2" xfId="0" applyFont="1" applyFill="1" applyBorder="1" applyAlignment="1" applyProtection="1">
      <alignment horizontal="center" vertical="center"/>
      <protection hidden="1"/>
    </xf>
    <xf numFmtId="176" fontId="7" fillId="9" borderId="2" xfId="0" applyFont="1" applyFill="1" applyBorder="1" applyAlignment="1" applyProtection="1">
      <alignment horizontal="center" vertical="center"/>
      <protection hidden="1"/>
    </xf>
    <xf numFmtId="176" fontId="14" fillId="3" borderId="6" xfId="0" applyFont="1" applyFill="1" applyBorder="1" applyAlignment="1" applyProtection="1">
      <alignment horizontal="center" vertical="center"/>
      <protection hidden="1"/>
    </xf>
    <xf numFmtId="176" fontId="16" fillId="3" borderId="6" xfId="0" applyFont="1" applyFill="1" applyBorder="1" applyAlignment="1" applyProtection="1">
      <alignment horizontal="center" vertical="center"/>
      <protection hidden="1"/>
    </xf>
    <xf numFmtId="0" fontId="1" fillId="0" borderId="23" xfId="0" applyNumberFormat="1" applyFont="1" applyBorder="1" applyAlignment="1" applyProtection="1">
      <alignment horizontal="center" vertical="center" wrapText="1"/>
      <protection hidden="1"/>
    </xf>
    <xf numFmtId="0" fontId="7" fillId="5" borderId="2" xfId="0" applyNumberFormat="1" applyFont="1" applyFill="1" applyBorder="1" applyAlignment="1" applyProtection="1">
      <alignment horizontal="center" vertical="center" wrapText="1"/>
      <protection hidden="1"/>
    </xf>
    <xf numFmtId="0" fontId="15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17" fillId="5" borderId="2" xfId="0" applyNumberFormat="1" applyFont="1" applyFill="1" applyBorder="1" applyAlignment="1" applyProtection="1">
      <alignment horizontal="center" vertical="center"/>
      <protection hidden="1"/>
    </xf>
    <xf numFmtId="0" fontId="1" fillId="0" borderId="24" xfId="0" applyNumberFormat="1" applyFont="1" applyBorder="1" applyAlignment="1" applyProtection="1">
      <alignment horizontal="center" vertical="center" wrapText="1"/>
      <protection hidden="1"/>
    </xf>
    <xf numFmtId="0" fontId="1" fillId="0" borderId="25" xfId="0" applyNumberFormat="1" applyFont="1" applyBorder="1" applyAlignment="1" applyProtection="1">
      <alignment horizontal="center" vertical="center" wrapText="1"/>
      <protection hidden="1"/>
    </xf>
    <xf numFmtId="0" fontId="1" fillId="0" borderId="26" xfId="0" applyNumberFormat="1" applyFont="1" applyBorder="1" applyAlignment="1" applyProtection="1">
      <alignment horizontal="center" vertical="center" wrapText="1"/>
      <protection hidden="1"/>
    </xf>
    <xf numFmtId="0" fontId="1" fillId="0" borderId="27" xfId="0" applyNumberFormat="1" applyFont="1" applyBorder="1" applyAlignment="1" applyProtection="1">
      <alignment horizontal="center" vertical="center" wrapText="1"/>
      <protection hidden="1"/>
    </xf>
    <xf numFmtId="0" fontId="11" fillId="0" borderId="23" xfId="0" applyNumberFormat="1" applyFont="1" applyBorder="1" applyAlignment="1" applyProtection="1">
      <alignment horizontal="center" vertical="center" wrapText="1"/>
      <protection hidden="1"/>
    </xf>
    <xf numFmtId="0" fontId="11" fillId="0" borderId="24" xfId="0" applyNumberFormat="1" applyFont="1" applyBorder="1" applyAlignment="1" applyProtection="1">
      <alignment horizontal="center" vertical="center" wrapText="1"/>
      <protection hidden="1"/>
    </xf>
    <xf numFmtId="0" fontId="11" fillId="0" borderId="25" xfId="0" applyNumberFormat="1" applyFont="1" applyBorder="1" applyAlignment="1" applyProtection="1">
      <alignment horizontal="center" vertical="center" wrapText="1"/>
      <protection hidden="1"/>
    </xf>
    <xf numFmtId="0" fontId="11" fillId="0" borderId="26" xfId="0" applyNumberFormat="1" applyFont="1" applyBorder="1" applyAlignment="1" applyProtection="1">
      <alignment horizontal="center" vertical="center" wrapText="1"/>
      <protection hidden="1"/>
    </xf>
    <xf numFmtId="0" fontId="11" fillId="0" borderId="27" xfId="0" applyNumberFormat="1" applyFont="1" applyBorder="1" applyAlignment="1" applyProtection="1">
      <alignment horizontal="center" vertical="center" wrapText="1"/>
      <protection hidden="1"/>
    </xf>
    <xf numFmtId="176" fontId="13" fillId="3" borderId="0" xfId="0" applyFont="1" applyFill="1" applyAlignment="1" applyProtection="1">
      <alignment horizontal="center" vertical="center"/>
      <protection hidden="1"/>
    </xf>
    <xf numFmtId="176" fontId="15" fillId="9" borderId="10" xfId="0" applyFont="1" applyFill="1" applyBorder="1" applyAlignment="1" applyProtection="1">
      <alignment horizontal="center" vertical="center"/>
      <protection hidden="1"/>
    </xf>
    <xf numFmtId="176" fontId="16" fillId="3" borderId="29" xfId="0" applyFont="1" applyFill="1" applyBorder="1" applyAlignment="1" applyProtection="1">
      <alignment horizontal="center" vertical="center"/>
      <protection hidden="1"/>
    </xf>
    <xf numFmtId="176" fontId="19" fillId="10" borderId="28" xfId="0" applyFont="1" applyFill="1" applyBorder="1" applyAlignment="1" applyProtection="1">
      <alignment horizontal="center" vertical="center" wrapText="1"/>
      <protection hidden="1"/>
    </xf>
    <xf numFmtId="0" fontId="17" fillId="5" borderId="10" xfId="0" applyNumberFormat="1" applyFont="1" applyFill="1" applyBorder="1" applyAlignment="1" applyProtection="1">
      <alignment horizontal="center" vertical="center"/>
      <protection hidden="1"/>
    </xf>
    <xf numFmtId="0" fontId="19" fillId="10" borderId="28" xfId="0" applyNumberFormat="1" applyFont="1" applyFill="1" applyBorder="1" applyAlignment="1" applyProtection="1">
      <alignment horizontal="center" vertical="center"/>
      <protection hidden="1"/>
    </xf>
    <xf numFmtId="176" fontId="7" fillId="0" borderId="0" xfId="0" applyFont="1" applyAlignment="1" applyProtection="1">
      <alignment horizontal="center" vertical="center" wrapText="1"/>
      <protection hidden="1"/>
    </xf>
    <xf numFmtId="176" fontId="17" fillId="0" borderId="0" xfId="0" applyFont="1" applyAlignment="1" applyProtection="1">
      <alignment horizontal="center" vertical="center"/>
      <protection hidden="1"/>
    </xf>
    <xf numFmtId="176" fontId="19" fillId="10" borderId="28" xfId="0" applyFont="1" applyFill="1" applyBorder="1" applyAlignment="1" applyProtection="1">
      <alignment horizontal="center" vertical="center"/>
      <protection hidden="1"/>
    </xf>
    <xf numFmtId="176" fontId="7" fillId="0" borderId="12" xfId="0" applyFont="1" applyBorder="1" applyAlignment="1">
      <alignment horizontal="center" vertical="center" wrapText="1"/>
    </xf>
    <xf numFmtId="176" fontId="7" fillId="0" borderId="11" xfId="0" applyFont="1" applyBorder="1" applyAlignment="1">
      <alignment horizontal="center" vertical="center" wrapText="1"/>
    </xf>
    <xf numFmtId="176" fontId="7" fillId="0" borderId="8" xfId="0" applyFont="1" applyBorder="1" applyAlignment="1">
      <alignment horizontal="center" vertical="center" wrapText="1"/>
    </xf>
    <xf numFmtId="176" fontId="7" fillId="0" borderId="12" xfId="0" applyFont="1" applyBorder="1" applyAlignment="1" applyProtection="1">
      <alignment horizontal="center" vertical="center"/>
      <protection hidden="1"/>
    </xf>
    <xf numFmtId="176" fontId="7" fillId="0" borderId="9" xfId="0" applyFont="1" applyBorder="1" applyAlignment="1" applyProtection="1">
      <alignment horizontal="center" vertical="center"/>
      <protection hidden="1"/>
    </xf>
    <xf numFmtId="176" fontId="7" fillId="0" borderId="6" xfId="0" applyFont="1" applyBorder="1" applyAlignment="1" applyProtection="1">
      <alignment horizontal="center" vertical="center"/>
      <protection hidden="1"/>
    </xf>
    <xf numFmtId="176" fontId="7" fillId="0" borderId="8" xfId="0" applyFont="1" applyBorder="1" applyAlignment="1" applyProtection="1">
      <alignment horizontal="center" vertical="center"/>
      <protection hidden="1"/>
    </xf>
    <xf numFmtId="176" fontId="7" fillId="0" borderId="16" xfId="0" applyFont="1" applyBorder="1" applyAlignment="1" applyProtection="1">
      <alignment horizontal="center" vertical="center"/>
      <protection hidden="1"/>
    </xf>
    <xf numFmtId="176" fontId="7" fillId="0" borderId="17" xfId="0" applyFont="1" applyBorder="1" applyAlignment="1" applyProtection="1">
      <alignment horizontal="center" vertical="center"/>
      <protection hidden="1"/>
    </xf>
    <xf numFmtId="176" fontId="7" fillId="0" borderId="18" xfId="0" applyFont="1" applyBorder="1" applyAlignment="1" applyProtection="1">
      <alignment horizontal="center" vertical="center"/>
      <protection hidden="1"/>
    </xf>
    <xf numFmtId="176" fontId="7" fillId="0" borderId="19" xfId="0" applyFont="1" applyBorder="1" applyAlignment="1" applyProtection="1">
      <alignment horizontal="center" vertical="center"/>
      <protection hidden="1"/>
    </xf>
    <xf numFmtId="176" fontId="7" fillId="0" borderId="20" xfId="0" applyFont="1" applyBorder="1" applyAlignment="1" applyProtection="1">
      <alignment horizontal="center" vertical="center"/>
      <protection hidden="1"/>
    </xf>
    <xf numFmtId="176" fontId="14" fillId="3" borderId="2" xfId="0" applyFont="1" applyFill="1" applyBorder="1" applyAlignment="1" applyProtection="1">
      <alignment horizontal="center" vertical="center"/>
      <protection hidden="1"/>
    </xf>
    <xf numFmtId="176" fontId="14" fillId="3" borderId="6" xfId="0" applyFont="1" applyFill="1" applyBorder="1" applyAlignment="1" applyProtection="1">
      <alignment horizontal="center" vertical="center"/>
      <protection hidden="1"/>
    </xf>
    <xf numFmtId="176" fontId="7" fillId="0" borderId="16" xfId="0" applyFont="1" applyBorder="1" applyAlignment="1" applyProtection="1">
      <alignment horizontal="center" vertical="center" wrapText="1"/>
      <protection hidden="1"/>
    </xf>
    <xf numFmtId="176" fontId="7" fillId="0" borderId="32" xfId="0" applyFont="1" applyBorder="1" applyAlignment="1" applyProtection="1">
      <alignment horizontal="center" vertical="center" wrapText="1"/>
      <protection hidden="1"/>
    </xf>
    <xf numFmtId="176" fontId="7" fillId="0" borderId="20" xfId="0" applyFont="1" applyBorder="1" applyAlignment="1" applyProtection="1">
      <alignment horizontal="center" vertical="center" wrapText="1"/>
      <protection hidden="1"/>
    </xf>
    <xf numFmtId="176" fontId="7" fillId="11" borderId="12" xfId="0" applyFont="1" applyFill="1" applyBorder="1" applyAlignment="1">
      <alignment horizontal="center" vertical="center" wrapText="1"/>
    </xf>
    <xf numFmtId="176" fontId="7" fillId="11" borderId="11" xfId="0" applyFont="1" applyFill="1" applyBorder="1" applyAlignment="1">
      <alignment horizontal="center" vertical="center" wrapText="1"/>
    </xf>
    <xf numFmtId="176" fontId="7" fillId="11" borderId="8" xfId="0" applyFont="1" applyFill="1" applyBorder="1" applyAlignment="1">
      <alignment horizontal="center" vertical="center" wrapText="1"/>
    </xf>
    <xf numFmtId="176" fontId="7" fillId="3" borderId="12" xfId="0" applyFont="1" applyFill="1" applyBorder="1" applyAlignment="1">
      <alignment horizontal="center" vertical="center" wrapText="1"/>
    </xf>
    <xf numFmtId="176" fontId="7" fillId="3" borderId="11" xfId="0" applyFont="1" applyFill="1" applyBorder="1" applyAlignment="1">
      <alignment horizontal="center" vertical="center" wrapText="1"/>
    </xf>
    <xf numFmtId="176" fontId="7" fillId="3" borderId="8" xfId="0" applyFont="1" applyFill="1" applyBorder="1" applyAlignment="1">
      <alignment horizontal="center" vertical="center" wrapText="1"/>
    </xf>
    <xf numFmtId="176" fontId="7" fillId="0" borderId="11" xfId="0" applyFont="1" applyBorder="1" applyAlignment="1" applyProtection="1">
      <alignment horizontal="center" vertical="center"/>
      <protection hidden="1"/>
    </xf>
    <xf numFmtId="176" fontId="5" fillId="0" borderId="12" xfId="0" applyFont="1" applyBorder="1" applyAlignment="1">
      <alignment horizontal="center" vertical="center" wrapText="1"/>
    </xf>
    <xf numFmtId="176" fontId="5" fillId="0" borderId="11" xfId="0" applyFont="1" applyBorder="1" applyAlignment="1">
      <alignment horizontal="center" vertical="center" wrapText="1"/>
    </xf>
    <xf numFmtId="176" fontId="5" fillId="0" borderId="8" xfId="0" applyFont="1" applyBorder="1" applyAlignment="1">
      <alignment horizontal="center" vertical="center" wrapText="1"/>
    </xf>
    <xf numFmtId="176" fontId="7" fillId="2" borderId="12" xfId="0" applyFont="1" applyFill="1" applyBorder="1" applyAlignment="1">
      <alignment horizontal="center" vertical="center" wrapText="1"/>
    </xf>
    <xf numFmtId="176" fontId="7" fillId="2" borderId="11" xfId="0" applyFont="1" applyFill="1" applyBorder="1" applyAlignment="1">
      <alignment horizontal="center" vertical="center" wrapText="1"/>
    </xf>
    <xf numFmtId="176" fontId="7" fillId="2" borderId="8" xfId="0" applyFont="1" applyFill="1" applyBorder="1" applyAlignment="1">
      <alignment horizontal="center" vertical="center" wrapText="1"/>
    </xf>
    <xf numFmtId="176" fontId="7" fillId="0" borderId="30" xfId="0" applyFont="1" applyBorder="1" applyAlignment="1" applyProtection="1">
      <alignment horizontal="center" vertical="center" wrapText="1"/>
      <protection hidden="1"/>
    </xf>
    <xf numFmtId="176" fontId="7" fillId="0" borderId="31" xfId="0" applyFont="1" applyBorder="1" applyAlignment="1" applyProtection="1">
      <alignment horizontal="center" vertical="center" wrapText="1"/>
      <protection hidden="1"/>
    </xf>
    <xf numFmtId="176" fontId="7" fillId="0" borderId="33" xfId="0" applyFont="1" applyBorder="1" applyAlignment="1" applyProtection="1">
      <alignment horizontal="center" vertical="center" wrapText="1"/>
      <protection hidden="1"/>
    </xf>
    <xf numFmtId="176" fontId="7" fillId="0" borderId="4" xfId="0" applyFont="1" applyBorder="1" applyAlignment="1" applyProtection="1">
      <alignment horizontal="center" vertical="center" wrapText="1"/>
      <protection hidden="1"/>
    </xf>
    <xf numFmtId="176" fontId="7" fillId="0" borderId="5" xfId="0" applyFont="1" applyBorder="1" applyAlignment="1" applyProtection="1">
      <alignment horizontal="center" vertical="center" wrapText="1"/>
      <protection hidden="1"/>
    </xf>
    <xf numFmtId="176" fontId="7" fillId="0" borderId="7" xfId="0" applyFont="1" applyBorder="1" applyAlignment="1" applyProtection="1">
      <alignment horizontal="center" vertical="center" wrapText="1"/>
      <protection hidden="1"/>
    </xf>
    <xf numFmtId="176" fontId="7" fillId="0" borderId="4" xfId="0" applyFont="1" applyBorder="1" applyAlignment="1">
      <alignment horizontal="center" vertical="center" wrapText="1"/>
    </xf>
    <xf numFmtId="176" fontId="7" fillId="0" borderId="5" xfId="0" applyFont="1" applyBorder="1" applyAlignment="1">
      <alignment horizontal="center" vertical="center" wrapText="1"/>
    </xf>
    <xf numFmtId="176" fontId="7" fillId="0" borderId="7" xfId="0" applyFont="1" applyBorder="1" applyAlignment="1">
      <alignment horizontal="center" vertical="center" wrapText="1"/>
    </xf>
    <xf numFmtId="0" fontId="4" fillId="0" borderId="6" xfId="0" applyNumberFormat="1" applyFont="1" applyBorder="1" applyAlignment="1" applyProtection="1">
      <alignment horizontal="center" vertical="center"/>
      <protection hidden="1"/>
    </xf>
    <xf numFmtId="176" fontId="10" fillId="0" borderId="15" xfId="0" applyFont="1" applyBorder="1" applyAlignment="1" applyProtection="1">
      <alignment horizontal="center" vertical="center"/>
      <protection hidden="1"/>
    </xf>
    <xf numFmtId="0" fontId="4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NumberFormat="1" applyFont="1" applyBorder="1" applyAlignment="1" applyProtection="1">
      <alignment horizontal="center" vertical="center"/>
      <protection hidden="1"/>
    </xf>
    <xf numFmtId="176" fontId="7" fillId="0" borderId="4" xfId="0" applyFont="1" applyBorder="1" applyAlignment="1" applyProtection="1">
      <alignment horizontal="center" vertical="center"/>
      <protection hidden="1"/>
    </xf>
    <xf numFmtId="176" fontId="7" fillId="0" borderId="5" xfId="0" applyFont="1" applyBorder="1" applyAlignment="1" applyProtection="1">
      <alignment horizontal="center" vertical="center"/>
      <protection hidden="1"/>
    </xf>
    <xf numFmtId="176" fontId="10" fillId="0" borderId="22" xfId="0" applyFont="1" applyBorder="1" applyAlignment="1" applyProtection="1">
      <alignment horizontal="center" vertical="center"/>
      <protection hidden="1"/>
    </xf>
    <xf numFmtId="0" fontId="2" fillId="6" borderId="0" xfId="0" applyNumberFormat="1" applyFont="1" applyFill="1" applyAlignment="1" applyProtection="1">
      <alignment horizontal="center" vertical="center"/>
      <protection hidden="1"/>
    </xf>
    <xf numFmtId="176" fontId="18" fillId="10" borderId="28" xfId="0" applyFont="1" applyFill="1" applyBorder="1" applyAlignment="1" applyProtection="1">
      <alignment horizontal="center" vertical="center" wrapText="1"/>
      <protection hidden="1"/>
    </xf>
    <xf numFmtId="0" fontId="4" fillId="0" borderId="14" xfId="0" applyNumberFormat="1" applyFont="1" applyBorder="1" applyAlignment="1" applyProtection="1">
      <alignment horizontal="center" vertical="center"/>
      <protection hidden="1"/>
    </xf>
    <xf numFmtId="176" fontId="2" fillId="0" borderId="0" xfId="0" applyFont="1" applyAlignment="1" applyProtection="1">
      <alignment horizontal="center" vertical="center"/>
      <protection hidden="1"/>
    </xf>
    <xf numFmtId="176" fontId="12" fillId="0" borderId="1" xfId="0" applyFont="1" applyBorder="1" applyAlignment="1" applyProtection="1">
      <alignment horizontal="center" vertical="center"/>
      <protection hidden="1"/>
    </xf>
    <xf numFmtId="176" fontId="9" fillId="0" borderId="3" xfId="0" applyFont="1" applyBorder="1" applyAlignment="1" applyProtection="1">
      <alignment horizontal="left" vertical="center" wrapText="1"/>
      <protection hidden="1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00FF"/>
      </font>
    </dxf>
  </dxfs>
  <tableStyles count="0" defaultTableStyle="TableStyleMedium2" defaultPivotStyle="PivotStyleLight16"/>
  <colors>
    <mruColors>
      <color rgb="FF0000FF"/>
      <color rgb="FF66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19050</xdr:colOff>
      <xdr:row>0</xdr:row>
      <xdr:rowOff>38100</xdr:rowOff>
    </xdr:from>
    <xdr:to>
      <xdr:col>55</xdr:col>
      <xdr:colOff>66674</xdr:colOff>
      <xdr:row>0</xdr:row>
      <xdr:rowOff>426465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6795" r="433" b="10681"/>
        <a:stretch>
          <a:fillRect/>
        </a:stretch>
      </xdr:blipFill>
      <xdr:spPr>
        <a:xfrm>
          <a:off x="9258300" y="38100"/>
          <a:ext cx="11019790" cy="38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909"/>
  <sheetViews>
    <sheetView showZeros="0" tabSelected="1" workbookViewId="0">
      <pane xSplit="4" ySplit="3" topLeftCell="E34" activePane="bottomRight" state="frozen"/>
      <selection pane="topRight"/>
      <selection pane="bottomLeft"/>
      <selection pane="bottomRight" activeCell="W15" sqref="W15"/>
    </sheetView>
  </sheetViews>
  <sheetFormatPr defaultColWidth="8.125" defaultRowHeight="17.25" customHeight="1" x14ac:dyDescent="0.15"/>
  <cols>
    <col min="1" max="3" width="7.875" style="1" customWidth="1"/>
    <col min="4" max="4" width="10.375" style="1" customWidth="1"/>
    <col min="5" max="35" width="4.5" style="2" customWidth="1"/>
    <col min="36" max="66" width="4.5" style="1" customWidth="1"/>
    <col min="67" max="67" width="3" style="1" customWidth="1"/>
    <col min="68" max="68" width="9.75" style="1" customWidth="1"/>
    <col min="69" max="69" width="10.875" style="1" customWidth="1"/>
    <col min="70" max="80" width="12.625" style="1" customWidth="1"/>
    <col min="81" max="81" width="13.375" style="1" customWidth="1"/>
    <col min="82" max="82" width="11.875" style="3" customWidth="1"/>
    <col min="83" max="85" width="20" style="3" customWidth="1"/>
    <col min="86" max="16384" width="8.125" style="1"/>
  </cols>
  <sheetData>
    <row r="1" spans="1:85" ht="36.75" customHeight="1" x14ac:dyDescent="0.15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M1" s="94">
        <v>2026</v>
      </c>
      <c r="N1" s="94"/>
      <c r="O1" s="94"/>
      <c r="P1" s="94"/>
      <c r="Q1" s="97" t="s">
        <v>1</v>
      </c>
      <c r="R1" s="97"/>
      <c r="S1" s="94">
        <v>3</v>
      </c>
      <c r="T1" s="94"/>
      <c r="U1" s="94"/>
      <c r="V1" s="97" t="s">
        <v>2</v>
      </c>
      <c r="W1" s="97"/>
      <c r="X1" s="16"/>
      <c r="AA1" s="16"/>
      <c r="BP1" s="98" t="s">
        <v>3</v>
      </c>
      <c r="BQ1" s="98"/>
      <c r="BR1" s="17" t="s">
        <v>4</v>
      </c>
      <c r="BS1" s="18" t="s">
        <v>5</v>
      </c>
      <c r="BT1" s="19" t="s">
        <v>6</v>
      </c>
      <c r="BU1" s="39" t="s">
        <v>7</v>
      </c>
    </row>
    <row r="2" spans="1:85" ht="17.25" customHeight="1" x14ac:dyDescent="0.15">
      <c r="A2" s="91" t="s">
        <v>8</v>
      </c>
      <c r="B2" s="51" t="s">
        <v>9</v>
      </c>
      <c r="C2" s="51" t="s">
        <v>10</v>
      </c>
      <c r="D2" s="4" t="s">
        <v>11</v>
      </c>
      <c r="E2" s="88" t="str">
        <f>IF(WEEKDAY(DATE($M$1,$S$1,E3),2)=7,"日",WEEKDAY(DATE($M$1,$S$1,E3),2))</f>
        <v>日</v>
      </c>
      <c r="F2" s="88"/>
      <c r="G2" s="88">
        <f>IF(WEEKDAY(DATE($M$1,$S$1,G3),2)=7,"日",WEEKDAY(DATE($M$1,$S$1,G3),2))</f>
        <v>1</v>
      </c>
      <c r="H2" s="88"/>
      <c r="I2" s="88">
        <f>IF(WEEKDAY(DATE($M$1,$S$1,I3),2)=7,"日",WEEKDAY(DATE($M$1,$S$1,I3),2))</f>
        <v>2</v>
      </c>
      <c r="J2" s="88"/>
      <c r="K2" s="88">
        <f>IF(WEEKDAY(DATE($M$1,$S$1,K3),2)=7,"日",WEEKDAY(DATE($M$1,$S$1,K3),2))</f>
        <v>3</v>
      </c>
      <c r="L2" s="88"/>
      <c r="M2" s="88">
        <f>IF(WEEKDAY(DATE($M$1,$S$1,M3),2)=7,"日",WEEKDAY(DATE($M$1,$S$1,M3),2))</f>
        <v>4</v>
      </c>
      <c r="N2" s="88"/>
      <c r="O2" s="88">
        <f>IF(WEEKDAY(DATE($M$1,$S$1,O3),2)=7,"日",WEEKDAY(DATE($M$1,$S$1,O3),2))</f>
        <v>5</v>
      </c>
      <c r="P2" s="88"/>
      <c r="Q2" s="88">
        <f>IF(WEEKDAY(DATE($M$1,$S$1,Q3),2)=7,"日",WEEKDAY(DATE($M$1,$S$1,Q3),2))</f>
        <v>6</v>
      </c>
      <c r="R2" s="88"/>
      <c r="S2" s="88" t="str">
        <f>IF(WEEKDAY(DATE($M$1,$S$1,S3),2)=7,"日",WEEKDAY(DATE($M$1,$S$1,S3),2))</f>
        <v>日</v>
      </c>
      <c r="T2" s="88"/>
      <c r="U2" s="88">
        <f>IF(WEEKDAY(DATE($M$1,$S$1,U3),2)=7,"日",WEEKDAY(DATE($M$1,$S$1,U3),2))</f>
        <v>1</v>
      </c>
      <c r="V2" s="88"/>
      <c r="W2" s="88">
        <f>IF(WEEKDAY(DATE($M$1,$S$1,W3),2)=7,"日",WEEKDAY(DATE($M$1,$S$1,W3),2))</f>
        <v>2</v>
      </c>
      <c r="X2" s="88"/>
      <c r="Y2" s="88">
        <f>IF(WEEKDAY(DATE($M$1,$S$1,Y3),2)=7,"日",WEEKDAY(DATE($M$1,$S$1,Y3),2))</f>
        <v>3</v>
      </c>
      <c r="Z2" s="88"/>
      <c r="AA2" s="88">
        <f>IF(WEEKDAY(DATE($M$1,$S$1,AA3),2)=7,"日",WEEKDAY(DATE($M$1,$S$1,AA3),2))</f>
        <v>4</v>
      </c>
      <c r="AB2" s="88"/>
      <c r="AC2" s="88">
        <f>IF(WEEKDAY(DATE($M$1,$S$1,AC3),2)=7,"日",WEEKDAY(DATE($M$1,$S$1,AC3),2))</f>
        <v>5</v>
      </c>
      <c r="AD2" s="88"/>
      <c r="AE2" s="88">
        <f>IF(WEEKDAY(DATE($M$1,$S$1,AE3),2)=7,"日",WEEKDAY(DATE($M$1,$S$1,AE3),2))</f>
        <v>6</v>
      </c>
      <c r="AF2" s="88"/>
      <c r="AG2" s="88" t="str">
        <f>IF(WEEKDAY(DATE($M$1,$S$1,AG3),2)=7,"日",WEEKDAY(DATE($M$1,$S$1,AG3),2))</f>
        <v>日</v>
      </c>
      <c r="AH2" s="88"/>
      <c r="AI2" s="88">
        <f>IF(WEEKDAY(DATE($M$1,$S$1,AI3),2)=7,"日",WEEKDAY(DATE($M$1,$S$1,AI3),2))</f>
        <v>1</v>
      </c>
      <c r="AJ2" s="88"/>
      <c r="AK2" s="88">
        <f>IF(WEEKDAY(DATE($M$1,$S$1,AK3),2)=7,"日",WEEKDAY(DATE($M$1,$S$1,AK3),2))</f>
        <v>2</v>
      </c>
      <c r="AL2" s="88"/>
      <c r="AM2" s="88">
        <f>IF(WEEKDAY(DATE($M$1,$S$1,AM3),2)=7,"日",WEEKDAY(DATE($M$1,$S$1,AM3),2))</f>
        <v>3</v>
      </c>
      <c r="AN2" s="88"/>
      <c r="AO2" s="88">
        <f>IF(WEEKDAY(DATE($M$1,$S$1,AO3),2)=7,"日",WEEKDAY(DATE($M$1,$S$1,AO3),2))</f>
        <v>4</v>
      </c>
      <c r="AP2" s="88"/>
      <c r="AQ2" s="88">
        <f>IF(WEEKDAY(DATE($M$1,$S$1,AQ3),2)=7,"日",WEEKDAY(DATE($M$1,$S$1,AQ3),2))</f>
        <v>5</v>
      </c>
      <c r="AR2" s="88"/>
      <c r="AS2" s="88">
        <f>IF(WEEKDAY(DATE($M$1,$S$1,AS3),2)=7,"日",WEEKDAY(DATE($M$1,$S$1,AS3),2))</f>
        <v>6</v>
      </c>
      <c r="AT2" s="88"/>
      <c r="AU2" s="88" t="str">
        <f>IF(WEEKDAY(DATE($M$1,$S$1,AU3),2)=7,"日",WEEKDAY(DATE($M$1,$S$1,AU3),2))</f>
        <v>日</v>
      </c>
      <c r="AV2" s="88"/>
      <c r="AW2" s="88">
        <f>IF(WEEKDAY(DATE($M$1,$S$1,AW3),2)=7,"日",WEEKDAY(DATE($M$1,$S$1,AW3),2))</f>
        <v>1</v>
      </c>
      <c r="AX2" s="88"/>
      <c r="AY2" s="88">
        <f>IF(WEEKDAY(DATE($M$1,$S$1,AY3),2)=7,"日",WEEKDAY(DATE($M$1,$S$1,AY3),2))</f>
        <v>2</v>
      </c>
      <c r="AZ2" s="88"/>
      <c r="BA2" s="88">
        <f>IF(WEEKDAY(DATE($M$1,$S$1,BA3),2)=7,"日",WEEKDAY(DATE($M$1,$S$1,BA3),2))</f>
        <v>3</v>
      </c>
      <c r="BB2" s="88"/>
      <c r="BC2" s="88">
        <f>IF(WEEKDAY(DATE($M$1,$S$1,BC3),2)=7,"日",WEEKDAY(DATE($M$1,$S$1,BC3),2))</f>
        <v>4</v>
      </c>
      <c r="BD2" s="88"/>
      <c r="BE2" s="88">
        <f>IF(WEEKDAY(DATE($M$1,$S$1,BE3),2)=7,"日",WEEKDAY(DATE($M$1,$S$1,BE3),2))</f>
        <v>5</v>
      </c>
      <c r="BF2" s="88"/>
      <c r="BG2" s="88">
        <f>IF(WEEKDAY(DATE($M$1,$S$1,BG3),2)=7,"日",WEEKDAY(DATE($M$1,$S$1,BG3),2))</f>
        <v>6</v>
      </c>
      <c r="BH2" s="88"/>
      <c r="BI2" s="88" t="str">
        <f t="shared" ref="BI2" si="0">IF(WEEKDAY(DATE($M$1,$S$1,BI3),2)=7,"日",WEEKDAY(DATE($M$1,$S$1,BI3),2))</f>
        <v>日</v>
      </c>
      <c r="BJ2" s="88"/>
      <c r="BK2" s="88">
        <f t="shared" ref="BK2" si="1">IF(WEEKDAY(DATE($M$1,$S$1,BK3),2)=7,"日",WEEKDAY(DATE($M$1,$S$1,BK3),2))</f>
        <v>1</v>
      </c>
      <c r="BL2" s="88"/>
      <c r="BM2" s="88">
        <f t="shared" ref="BM2" si="2">IF(WEEKDAY(DATE($M$1,$S$1,BM3),2)=7,"日",WEEKDAY(DATE($M$1,$S$1,BM3),2))</f>
        <v>2</v>
      </c>
      <c r="BN2" s="93"/>
      <c r="BO2" s="20"/>
      <c r="BP2" s="60" t="s">
        <v>12</v>
      </c>
      <c r="BQ2" s="21" t="s">
        <v>13</v>
      </c>
      <c r="BR2" s="22" t="s">
        <v>14</v>
      </c>
      <c r="BS2" s="23" t="s">
        <v>15</v>
      </c>
      <c r="BT2" s="22" t="s">
        <v>16</v>
      </c>
      <c r="BU2" s="22" t="s">
        <v>17</v>
      </c>
      <c r="BV2" s="22" t="s">
        <v>18</v>
      </c>
      <c r="BW2" s="22" t="s">
        <v>19</v>
      </c>
      <c r="BX2" s="22" t="s">
        <v>20</v>
      </c>
      <c r="BY2" s="22" t="s">
        <v>21</v>
      </c>
      <c r="BZ2" s="22" t="s">
        <v>22</v>
      </c>
      <c r="CA2" s="22" t="s">
        <v>23</v>
      </c>
      <c r="CB2" s="22" t="s">
        <v>24</v>
      </c>
      <c r="CC2" s="40" t="s">
        <v>25</v>
      </c>
      <c r="CD2" s="95" t="s">
        <v>26</v>
      </c>
      <c r="CE2" s="95"/>
      <c r="CF2" s="95"/>
      <c r="CG2" s="95"/>
    </row>
    <row r="3" spans="1:85" ht="17.25" customHeight="1" x14ac:dyDescent="0.15">
      <c r="A3" s="92"/>
      <c r="B3" s="71"/>
      <c r="C3" s="71"/>
      <c r="D3" s="5" t="s">
        <v>27</v>
      </c>
      <c r="E3" s="87">
        <v>1</v>
      </c>
      <c r="F3" s="87"/>
      <c r="G3" s="87">
        <v>2</v>
      </c>
      <c r="H3" s="87"/>
      <c r="I3" s="87">
        <v>3</v>
      </c>
      <c r="J3" s="87"/>
      <c r="K3" s="87">
        <v>4</v>
      </c>
      <c r="L3" s="87"/>
      <c r="M3" s="87">
        <v>5</v>
      </c>
      <c r="N3" s="87"/>
      <c r="O3" s="87">
        <v>6</v>
      </c>
      <c r="P3" s="87"/>
      <c r="Q3" s="87">
        <v>7</v>
      </c>
      <c r="R3" s="87"/>
      <c r="S3" s="87">
        <v>8</v>
      </c>
      <c r="T3" s="87"/>
      <c r="U3" s="87">
        <v>9</v>
      </c>
      <c r="V3" s="87"/>
      <c r="W3" s="87">
        <v>10</v>
      </c>
      <c r="X3" s="87"/>
      <c r="Y3" s="89">
        <v>11</v>
      </c>
      <c r="Z3" s="96"/>
      <c r="AA3" s="87">
        <v>12</v>
      </c>
      <c r="AB3" s="87"/>
      <c r="AC3" s="87">
        <v>13</v>
      </c>
      <c r="AD3" s="87"/>
      <c r="AE3" s="87">
        <v>14</v>
      </c>
      <c r="AF3" s="87"/>
      <c r="AG3" s="87">
        <v>15</v>
      </c>
      <c r="AH3" s="87"/>
      <c r="AI3" s="87">
        <v>16</v>
      </c>
      <c r="AJ3" s="87"/>
      <c r="AK3" s="87">
        <v>17</v>
      </c>
      <c r="AL3" s="87"/>
      <c r="AM3" s="87">
        <v>18</v>
      </c>
      <c r="AN3" s="87"/>
      <c r="AO3" s="87">
        <v>19</v>
      </c>
      <c r="AP3" s="87"/>
      <c r="AQ3" s="87">
        <v>20</v>
      </c>
      <c r="AR3" s="87"/>
      <c r="AS3" s="87">
        <v>21</v>
      </c>
      <c r="AT3" s="87"/>
      <c r="AU3" s="87">
        <v>22</v>
      </c>
      <c r="AV3" s="87"/>
      <c r="AW3" s="87">
        <v>23</v>
      </c>
      <c r="AX3" s="87"/>
      <c r="AY3" s="87">
        <v>24</v>
      </c>
      <c r="AZ3" s="87"/>
      <c r="BA3" s="87">
        <v>25</v>
      </c>
      <c r="BB3" s="87"/>
      <c r="BC3" s="87">
        <v>26</v>
      </c>
      <c r="BD3" s="87"/>
      <c r="BE3" s="87">
        <v>27</v>
      </c>
      <c r="BF3" s="87"/>
      <c r="BG3" s="87">
        <v>28</v>
      </c>
      <c r="BH3" s="87"/>
      <c r="BI3" s="87">
        <v>29</v>
      </c>
      <c r="BJ3" s="87"/>
      <c r="BK3" s="87">
        <v>30</v>
      </c>
      <c r="BL3" s="87"/>
      <c r="BM3" s="89">
        <v>31</v>
      </c>
      <c r="BN3" s="90"/>
      <c r="BO3" s="20"/>
      <c r="BP3" s="61"/>
      <c r="BQ3" s="24" t="s">
        <v>10</v>
      </c>
      <c r="BR3" s="25" t="s">
        <v>28</v>
      </c>
      <c r="BS3" s="25" t="s">
        <v>29</v>
      </c>
      <c r="BT3" s="25" t="s">
        <v>30</v>
      </c>
      <c r="BU3" s="25" t="s">
        <v>31</v>
      </c>
      <c r="BV3" s="25" t="s">
        <v>32</v>
      </c>
      <c r="BW3" s="25" t="s">
        <v>33</v>
      </c>
      <c r="BX3" s="25" t="s">
        <v>34</v>
      </c>
      <c r="BY3" s="25" t="s">
        <v>35</v>
      </c>
      <c r="BZ3" s="25" t="s">
        <v>36</v>
      </c>
      <c r="CA3" s="25" t="s">
        <v>37</v>
      </c>
      <c r="CB3" s="25" t="s">
        <v>38</v>
      </c>
      <c r="CC3" s="41" t="s">
        <v>39</v>
      </c>
      <c r="CD3" s="42" t="s">
        <v>10</v>
      </c>
      <c r="CE3" s="42" t="s">
        <v>40</v>
      </c>
      <c r="CF3" s="42" t="s">
        <v>41</v>
      </c>
      <c r="CG3" s="42" t="s">
        <v>42</v>
      </c>
    </row>
    <row r="4" spans="1:85" ht="17.25" customHeight="1" x14ac:dyDescent="0.15">
      <c r="A4" s="84" t="s">
        <v>153</v>
      </c>
      <c r="B4" s="48" t="s">
        <v>43</v>
      </c>
      <c r="C4" s="48" t="s">
        <v>44</v>
      </c>
      <c r="D4" s="55" t="s">
        <v>45</v>
      </c>
      <c r="E4" s="6"/>
      <c r="F4" s="6"/>
      <c r="G4" s="6" t="s">
        <v>14</v>
      </c>
      <c r="H4" s="6">
        <v>2</v>
      </c>
      <c r="I4" s="6" t="s">
        <v>14</v>
      </c>
      <c r="J4" s="6">
        <v>2</v>
      </c>
      <c r="K4" s="6" t="s">
        <v>14</v>
      </c>
      <c r="L4" s="6">
        <v>2</v>
      </c>
      <c r="M4" s="6" t="s">
        <v>14</v>
      </c>
      <c r="N4" s="6">
        <v>2</v>
      </c>
      <c r="O4" s="6" t="s">
        <v>14</v>
      </c>
      <c r="P4" s="6">
        <v>2</v>
      </c>
      <c r="Q4" s="6" t="s">
        <v>14</v>
      </c>
      <c r="R4" s="6">
        <v>2</v>
      </c>
      <c r="S4" s="6"/>
      <c r="T4" s="6"/>
      <c r="U4" s="6" t="s">
        <v>14</v>
      </c>
      <c r="V4" s="6">
        <v>2</v>
      </c>
      <c r="W4" s="6" t="s">
        <v>14</v>
      </c>
      <c r="X4" s="6">
        <v>2</v>
      </c>
      <c r="Y4" s="6" t="s">
        <v>14</v>
      </c>
      <c r="Z4" s="6">
        <v>2</v>
      </c>
      <c r="AA4" s="6" t="s">
        <v>14</v>
      </c>
      <c r="AB4" s="6">
        <v>2</v>
      </c>
      <c r="AC4" s="6" t="s">
        <v>14</v>
      </c>
      <c r="AD4" s="6">
        <v>2</v>
      </c>
      <c r="AE4" s="6" t="s">
        <v>14</v>
      </c>
      <c r="AF4" s="6">
        <v>2</v>
      </c>
      <c r="AG4" s="6"/>
      <c r="AH4" s="6"/>
      <c r="AI4" s="6" t="s">
        <v>14</v>
      </c>
      <c r="AJ4" s="6">
        <v>2</v>
      </c>
      <c r="AK4" s="6" t="s">
        <v>14</v>
      </c>
      <c r="AL4" s="6">
        <v>2</v>
      </c>
      <c r="AM4" s="6" t="s">
        <v>14</v>
      </c>
      <c r="AN4" s="6">
        <v>2</v>
      </c>
      <c r="AO4" s="6" t="s">
        <v>14</v>
      </c>
      <c r="AP4" s="6">
        <v>2</v>
      </c>
      <c r="AQ4" s="6" t="s">
        <v>14</v>
      </c>
      <c r="AR4" s="6">
        <v>2</v>
      </c>
      <c r="AS4" s="6" t="s">
        <v>14</v>
      </c>
      <c r="AT4" s="6">
        <v>2</v>
      </c>
      <c r="AU4" s="6"/>
      <c r="AV4" s="6"/>
      <c r="AW4" s="6" t="s">
        <v>14</v>
      </c>
      <c r="AX4" s="6">
        <v>2</v>
      </c>
      <c r="AY4" s="6" t="s">
        <v>14</v>
      </c>
      <c r="AZ4" s="6">
        <v>2</v>
      </c>
      <c r="BA4" s="6" t="s">
        <v>14</v>
      </c>
      <c r="BB4" s="6">
        <v>2</v>
      </c>
      <c r="BC4" s="6" t="s">
        <v>14</v>
      </c>
      <c r="BD4" s="6">
        <v>2</v>
      </c>
      <c r="BE4" s="6" t="s">
        <v>14</v>
      </c>
      <c r="BF4" s="6">
        <v>2</v>
      </c>
      <c r="BG4" s="6" t="s">
        <v>14</v>
      </c>
      <c r="BH4" s="6">
        <v>2</v>
      </c>
      <c r="BI4" s="6"/>
      <c r="BJ4" s="6"/>
      <c r="BK4" s="6" t="s">
        <v>14</v>
      </c>
      <c r="BL4" s="6">
        <v>2</v>
      </c>
      <c r="BM4" s="6" t="s">
        <v>14</v>
      </c>
      <c r="BN4" s="26">
        <v>2</v>
      </c>
      <c r="BP4" s="27">
        <v>1</v>
      </c>
      <c r="BQ4" s="28" t="s">
        <v>44</v>
      </c>
      <c r="BR4" s="29">
        <f ca="1">SUMIF(OFFSET($E$4:$BM$9,ROWS($1:1)*6-6,),BR$2,OFFSET($F$4:$BN$9,ROWS($1:1)*6-6,))</f>
        <v>208</v>
      </c>
      <c r="BS4" s="29">
        <f ca="1">SUMIF(OFFSET($E$4:$BM$9,ROWS($1:1)*6-6,),BS$2,OFFSET($F$4:$BN$9,ROWS($1:1)*6-6,))</f>
        <v>0</v>
      </c>
      <c r="BT4" s="29">
        <f ca="1">SUMIF(OFFSET($E$4:$BM$9,ROWS($1:1)*6-6,),BT$2,OFFSET($F$4:$BN$9,ROWS($1:1)*6-6,))</f>
        <v>0</v>
      </c>
      <c r="BU4" s="29">
        <f ca="1">SUMIF(OFFSET($E$4:$BM$9,ROWS($1:1)*6-6,),BU$2,OFFSET($F$4:$BN$9,ROWS($1:1)*6-6,))</f>
        <v>0</v>
      </c>
      <c r="BV4" s="29">
        <f ca="1">SUMIF(OFFSET($E$4:$BM$9,ROWS($1:1)*6-6,),BV$2,OFFSET($F$4:$BN$9,ROWS($1:1)*6-6,))</f>
        <v>0</v>
      </c>
      <c r="BW4" s="29">
        <f ca="1">SUMIF(OFFSET($E$4:$BM$9,ROWS($1:1)*6-6,),BW$2,OFFSET($F$4:$BN$9,ROWS($1:1)*6-6,))</f>
        <v>0</v>
      </c>
      <c r="BX4" s="29">
        <f ca="1">SUMIF(OFFSET($E$4:$BM$9,ROWS($1:1)*6-6,),BX$2,OFFSET($F$4:$BN$9,ROWS($1:1)*6-6,))</f>
        <v>0</v>
      </c>
      <c r="BY4" s="29">
        <f ca="1">SUMIF(OFFSET($E$4:$BM$9,ROWS($1:1)*6-6,),BY$2,OFFSET($F$4:$BN$9,ROWS($1:1)*6-6,))</f>
        <v>0</v>
      </c>
      <c r="BZ4" s="29">
        <f ca="1">SUMIF(OFFSET($E$4:$BM$9,ROWS($1:1)*6-6,),BZ$2,OFFSET($F$4:$BN$9,ROWS($1:1)*6-6,))</f>
        <v>0</v>
      </c>
      <c r="CA4" s="29">
        <f ca="1">SUMIF(OFFSET($E$4:$BM$9,ROWS($1:1)*6-6,),CA$2,OFFSET($F$4:$BN$9,ROWS($1:1)*6-6,))</f>
        <v>0</v>
      </c>
      <c r="CB4" s="29">
        <f ca="1">SUMIF(OFFSET($E$4:$BM$9,ROWS($1:1)*6-6,),CB$2,OFFSET($F$4:$BN$9,ROWS($1:1)*6-6,))</f>
        <v>0</v>
      </c>
      <c r="CC4" s="43">
        <f ca="1">SUMIF(OFFSET($E$4:$BM$9,ROWS($1:1)*6-6,),CC$2,OFFSET($F$4:$BN$9,ROWS($1:1)*6-6,))</f>
        <v>0</v>
      </c>
      <c r="CD4" s="44" t="str">
        <f>BQ4</f>
        <v>胡超</v>
      </c>
      <c r="CE4" s="44">
        <f ca="1">INDEX(FREQUENCY(MMULT({1,1},SUBTOTAL(9,OFFSET($E$1,MATCH($CD4,$C:$C,)+{3;4},INT(COLUMN($A:$AE)*2)-1))),{3.9,7.9,11.9}),COLUMN(B1))</f>
        <v>0</v>
      </c>
      <c r="CF4" s="44">
        <f ca="1">INDEX(FREQUENCY(MMULT({1,1},SUBTOTAL(9,OFFSET($E$1,MATCH($CD4,$C:$C,)+{3;4},INT(COLUMN($A:$AE)*2)-1))),{3.9,7.9,11.9}),COLUMN(C1))</f>
        <v>0</v>
      </c>
      <c r="CG4" s="44">
        <f ca="1">INDEX(FREQUENCY(MMULT({1,1},SUBTOTAL(9,OFFSET($E$1,MATCH($CD4,$C:$C,)+{3;4},INT(COLUMN($A:$AE)*2)-1))),{3.9,7.9,11.9}),COLUMN(D1))</f>
        <v>0</v>
      </c>
    </row>
    <row r="5" spans="1:85" ht="17.25" customHeight="1" x14ac:dyDescent="0.15">
      <c r="A5" s="85"/>
      <c r="B5" s="49"/>
      <c r="C5" s="49"/>
      <c r="D5" s="56"/>
      <c r="E5" s="7"/>
      <c r="F5" s="7"/>
      <c r="G5" s="7" t="s">
        <v>14</v>
      </c>
      <c r="H5" s="7">
        <v>2</v>
      </c>
      <c r="I5" s="7" t="s">
        <v>14</v>
      </c>
      <c r="J5" s="7">
        <v>2</v>
      </c>
      <c r="K5" s="7" t="s">
        <v>14</v>
      </c>
      <c r="L5" s="7">
        <v>2</v>
      </c>
      <c r="M5" s="7" t="s">
        <v>14</v>
      </c>
      <c r="N5" s="7">
        <v>2</v>
      </c>
      <c r="O5" s="7" t="s">
        <v>14</v>
      </c>
      <c r="P5" s="7">
        <v>2</v>
      </c>
      <c r="Q5" s="7" t="s">
        <v>14</v>
      </c>
      <c r="R5" s="7">
        <v>2</v>
      </c>
      <c r="S5" s="7"/>
      <c r="T5" s="7"/>
      <c r="U5" s="7" t="s">
        <v>14</v>
      </c>
      <c r="V5" s="7">
        <v>2</v>
      </c>
      <c r="W5" s="7" t="s">
        <v>14</v>
      </c>
      <c r="X5" s="7">
        <v>2</v>
      </c>
      <c r="Y5" s="7" t="s">
        <v>14</v>
      </c>
      <c r="Z5" s="7">
        <v>2</v>
      </c>
      <c r="AA5" s="7" t="s">
        <v>14</v>
      </c>
      <c r="AB5" s="7">
        <v>2</v>
      </c>
      <c r="AC5" s="7" t="s">
        <v>14</v>
      </c>
      <c r="AD5" s="7">
        <v>2</v>
      </c>
      <c r="AE5" s="7" t="s">
        <v>14</v>
      </c>
      <c r="AF5" s="7">
        <v>2</v>
      </c>
      <c r="AG5" s="7"/>
      <c r="AH5" s="7"/>
      <c r="AI5" s="7" t="s">
        <v>14</v>
      </c>
      <c r="AJ5" s="7">
        <v>2</v>
      </c>
      <c r="AK5" s="7" t="s">
        <v>14</v>
      </c>
      <c r="AL5" s="7">
        <v>2</v>
      </c>
      <c r="AM5" s="7" t="s">
        <v>14</v>
      </c>
      <c r="AN5" s="7">
        <v>2</v>
      </c>
      <c r="AO5" s="7" t="s">
        <v>14</v>
      </c>
      <c r="AP5" s="7">
        <v>2</v>
      </c>
      <c r="AQ5" s="7" t="s">
        <v>14</v>
      </c>
      <c r="AR5" s="7">
        <v>2</v>
      </c>
      <c r="AS5" s="7" t="s">
        <v>14</v>
      </c>
      <c r="AT5" s="7">
        <v>2</v>
      </c>
      <c r="AU5" s="7"/>
      <c r="AV5" s="7"/>
      <c r="AW5" s="7" t="s">
        <v>14</v>
      </c>
      <c r="AX5" s="7">
        <v>2</v>
      </c>
      <c r="AY5" s="7" t="s">
        <v>14</v>
      </c>
      <c r="AZ5" s="7">
        <v>2</v>
      </c>
      <c r="BA5" s="7" t="s">
        <v>14</v>
      </c>
      <c r="BB5" s="7">
        <v>2</v>
      </c>
      <c r="BC5" s="7" t="s">
        <v>14</v>
      </c>
      <c r="BD5" s="7">
        <v>2</v>
      </c>
      <c r="BE5" s="7" t="s">
        <v>14</v>
      </c>
      <c r="BF5" s="7">
        <v>2</v>
      </c>
      <c r="BG5" s="7" t="s">
        <v>14</v>
      </c>
      <c r="BH5" s="7">
        <v>2</v>
      </c>
      <c r="BI5" s="7"/>
      <c r="BJ5" s="7"/>
      <c r="BK5" s="7" t="s">
        <v>14</v>
      </c>
      <c r="BL5" s="7">
        <v>2</v>
      </c>
      <c r="BM5" s="7" t="s">
        <v>14</v>
      </c>
      <c r="BN5" s="30">
        <v>2</v>
      </c>
      <c r="BP5" s="27">
        <v>2</v>
      </c>
      <c r="BQ5" s="27" t="s">
        <v>46</v>
      </c>
      <c r="BR5" s="29">
        <f ca="1">SUMIF(OFFSET($E$4:$BM$9,ROWS($1:2)*6-6,),BR$2,OFFSET($F$4:$BN$9,ROWS($1:2)*6-6,))</f>
        <v>160</v>
      </c>
      <c r="BS5" s="29">
        <f ca="1">SUMIF(OFFSET($E$4:$BM$9,ROWS($1:2)*6-6,),BS$2,OFFSET($F$4:$BN$9,ROWS($1:2)*6-6,))</f>
        <v>36.5</v>
      </c>
      <c r="BT5" s="29">
        <f ca="1">SUMIF(OFFSET($E$4:$BM$9,ROWS($1:2)*6-6,),BT$2,OFFSET($F$4:$BN$9,ROWS($1:2)*6-6,))</f>
        <v>0</v>
      </c>
      <c r="BU5" s="29">
        <f ca="1">SUMIF(OFFSET($E$4:$BM$9,ROWS($1:2)*6-6,),BU$2,OFFSET($F$4:$BN$9,ROWS($1:2)*6-6,))</f>
        <v>0</v>
      </c>
      <c r="BV5" s="29">
        <f ca="1">SUMIF(OFFSET($E$4:$BM$9,ROWS($1:2)*6-6,),BV$2,OFFSET($F$4:$BN$9,ROWS($1:2)*6-6,))</f>
        <v>0</v>
      </c>
      <c r="BW5" s="29">
        <f ca="1">SUMIF(OFFSET($E$4:$BM$9,ROWS($1:2)*6-6,),BW$2,OFFSET($F$4:$BN$9,ROWS($1:2)*6-6,))</f>
        <v>0</v>
      </c>
      <c r="BX5" s="29">
        <f ca="1">SUMIF(OFFSET($E$4:$BM$9,ROWS($1:2)*6-6,),BX$2,OFFSET($F$4:$BN$9,ROWS($1:2)*6-6,))</f>
        <v>0</v>
      </c>
      <c r="BY5" s="29">
        <f ca="1">SUMIF(OFFSET($E$4:$BM$9,ROWS($1:2)*6-6,),BY$2,OFFSET($F$4:$BN$9,ROWS($1:2)*6-6,))</f>
        <v>0</v>
      </c>
      <c r="BZ5" s="29">
        <f ca="1">SUMIF(OFFSET($E$4:$BM$9,ROWS($1:2)*6-6,),BZ$2,OFFSET($F$4:$BN$9,ROWS($1:2)*6-6,))</f>
        <v>0</v>
      </c>
      <c r="CA5" s="29">
        <f ca="1">SUMIF(OFFSET($E$4:$BM$9,ROWS($1:2)*6-6,),CA$2,OFFSET($F$4:$BN$9,ROWS($1:2)*6-6,))</f>
        <v>0</v>
      </c>
      <c r="CB5" s="29">
        <f ca="1">SUMIF(OFFSET($E$4:$BM$9,ROWS($1:2)*6-6,),CB$2,OFFSET($F$4:$BN$9,ROWS($1:2)*6-6,))</f>
        <v>0</v>
      </c>
      <c r="CC5" s="43">
        <f ca="1">SUMIF(OFFSET($E$4:$BM$9,ROWS($1:2)*6-6,),CC$2,OFFSET($F$4:$BN$9,ROWS($1:2)*6-6,))</f>
        <v>0</v>
      </c>
      <c r="CD5" s="44" t="str">
        <f t="shared" ref="CD5:CD86" si="3">BQ5</f>
        <v>樊琪麒</v>
      </c>
      <c r="CE5" s="44">
        <f ca="1">INDEX(FREQUENCY(MMULT({1,1},SUBTOTAL(9,OFFSET($E$1,MATCH($CD5,$C:$C,)+{3;4},INT(COLUMN($A:$AE)*2)-1))),{3.9,7.9,11.9}),COLUMN(B2))</f>
        <v>1</v>
      </c>
      <c r="CF5" s="44">
        <f ca="1">INDEX(FREQUENCY(MMULT({1,1},SUBTOTAL(9,OFFSET($E$1,MATCH($CD5,$C:$C,)+{3;4},INT(COLUMN($A:$AE)*2)-1))),{3.9,7.9,11.9}),COLUMN(C2))</f>
        <v>0</v>
      </c>
      <c r="CG5" s="44">
        <f ca="1">INDEX(FREQUENCY(MMULT({1,1},SUBTOTAL(9,OFFSET($E$1,MATCH($CD5,$C:$C,)+{3;4},INT(COLUMN($A:$AE)*2)-1))),{3.9,7.9,11.9}),COLUMN(D2))</f>
        <v>0</v>
      </c>
    </row>
    <row r="6" spans="1:85" ht="17.25" customHeight="1" x14ac:dyDescent="0.15">
      <c r="A6" s="85"/>
      <c r="B6" s="49"/>
      <c r="C6" s="49"/>
      <c r="D6" s="57" t="s">
        <v>47</v>
      </c>
      <c r="E6" s="8"/>
      <c r="F6" s="8"/>
      <c r="G6" s="8" t="s">
        <v>14</v>
      </c>
      <c r="H6" s="8">
        <v>2</v>
      </c>
      <c r="I6" s="8" t="s">
        <v>14</v>
      </c>
      <c r="J6" s="8">
        <v>2</v>
      </c>
      <c r="K6" s="8" t="s">
        <v>14</v>
      </c>
      <c r="L6" s="8">
        <v>2</v>
      </c>
      <c r="M6" s="8" t="s">
        <v>14</v>
      </c>
      <c r="N6" s="8">
        <v>2</v>
      </c>
      <c r="O6" s="8" t="s">
        <v>14</v>
      </c>
      <c r="P6" s="8">
        <v>2</v>
      </c>
      <c r="Q6" s="8" t="s">
        <v>14</v>
      </c>
      <c r="R6" s="8">
        <v>2</v>
      </c>
      <c r="S6" s="8"/>
      <c r="T6" s="8"/>
      <c r="U6" s="8" t="s">
        <v>14</v>
      </c>
      <c r="V6" s="8">
        <v>2</v>
      </c>
      <c r="W6" s="8" t="s">
        <v>14</v>
      </c>
      <c r="X6" s="8">
        <v>2</v>
      </c>
      <c r="Y6" s="8" t="s">
        <v>14</v>
      </c>
      <c r="Z6" s="8">
        <v>2</v>
      </c>
      <c r="AA6" s="8" t="s">
        <v>14</v>
      </c>
      <c r="AB6" s="8">
        <v>2</v>
      </c>
      <c r="AC6" s="8" t="s">
        <v>14</v>
      </c>
      <c r="AD6" s="8">
        <v>2</v>
      </c>
      <c r="AE6" s="8" t="s">
        <v>14</v>
      </c>
      <c r="AF6" s="8">
        <v>2</v>
      </c>
      <c r="AG6" s="8"/>
      <c r="AH6" s="8"/>
      <c r="AI6" s="8" t="s">
        <v>14</v>
      </c>
      <c r="AJ6" s="8">
        <v>2</v>
      </c>
      <c r="AK6" s="8" t="s">
        <v>14</v>
      </c>
      <c r="AL6" s="8">
        <v>2</v>
      </c>
      <c r="AM6" s="8" t="s">
        <v>14</v>
      </c>
      <c r="AN6" s="8">
        <v>2</v>
      </c>
      <c r="AO6" s="8" t="s">
        <v>14</v>
      </c>
      <c r="AP6" s="8">
        <v>2</v>
      </c>
      <c r="AQ6" s="8" t="s">
        <v>14</v>
      </c>
      <c r="AR6" s="8">
        <v>2</v>
      </c>
      <c r="AS6" s="8" t="s">
        <v>14</v>
      </c>
      <c r="AT6" s="8">
        <v>2</v>
      </c>
      <c r="AU6" s="8"/>
      <c r="AV6" s="8"/>
      <c r="AW6" s="8" t="s">
        <v>14</v>
      </c>
      <c r="AX6" s="8">
        <v>2</v>
      </c>
      <c r="AY6" s="8" t="s">
        <v>14</v>
      </c>
      <c r="AZ6" s="8">
        <v>2</v>
      </c>
      <c r="BA6" s="8" t="s">
        <v>14</v>
      </c>
      <c r="BB6" s="8">
        <v>2</v>
      </c>
      <c r="BC6" s="8" t="s">
        <v>14</v>
      </c>
      <c r="BD6" s="8">
        <v>2</v>
      </c>
      <c r="BE6" s="8" t="s">
        <v>14</v>
      </c>
      <c r="BF6" s="8">
        <v>2</v>
      </c>
      <c r="BG6" s="8" t="s">
        <v>14</v>
      </c>
      <c r="BH6" s="8">
        <v>2</v>
      </c>
      <c r="BI6" s="8"/>
      <c r="BJ6" s="8"/>
      <c r="BK6" s="8" t="s">
        <v>14</v>
      </c>
      <c r="BL6" s="8">
        <v>2</v>
      </c>
      <c r="BM6" s="8" t="s">
        <v>14</v>
      </c>
      <c r="BN6" s="31">
        <v>2</v>
      </c>
      <c r="BP6" s="27">
        <v>3</v>
      </c>
      <c r="BQ6" s="27" t="s">
        <v>116</v>
      </c>
      <c r="BR6" s="29">
        <f ca="1">SUMIF(OFFSET($E$4:$BM$9,ROWS($1:3)*6-6,),BR$2,OFFSET($F$4:$BN$9,ROWS($1:3)*6-6,))</f>
        <v>208</v>
      </c>
      <c r="BS6" s="29">
        <f ca="1">SUMIF(OFFSET($E$4:$BM$9,ROWS($1:3)*6-6,),BS$2,OFFSET($F$4:$BN$9,ROWS($1:3)*6-6,))</f>
        <v>0</v>
      </c>
      <c r="BT6" s="29">
        <f ca="1">SUMIF(OFFSET($E$4:$BM$9,ROWS($1:3)*6-6,),BT$2,OFFSET($F$4:$BN$9,ROWS($1:3)*6-6,))</f>
        <v>0</v>
      </c>
      <c r="BU6" s="29">
        <f ca="1">SUMIF(OFFSET($E$4:$BM$9,ROWS($1:3)*6-6,),BU$2,OFFSET($F$4:$BN$9,ROWS($1:3)*6-6,))</f>
        <v>0</v>
      </c>
      <c r="BV6" s="29">
        <f ca="1">SUMIF(OFFSET($E$4:$BM$9,ROWS($1:3)*6-6,),BV$2,OFFSET($F$4:$BN$9,ROWS($1:3)*6-6,))</f>
        <v>0</v>
      </c>
      <c r="BW6" s="29">
        <f ca="1">SUMIF(OFFSET($E$4:$BM$9,ROWS($1:3)*6-6,),BW$2,OFFSET($F$4:$BN$9,ROWS($1:3)*6-6,))</f>
        <v>0</v>
      </c>
      <c r="BX6" s="29">
        <f ca="1">SUMIF(OFFSET($E$4:$BM$9,ROWS($1:3)*6-6,),BX$2,OFFSET($F$4:$BN$9,ROWS($1:3)*6-6,))</f>
        <v>0</v>
      </c>
      <c r="BY6" s="29">
        <f ca="1">SUMIF(OFFSET($E$4:$BM$9,ROWS($1:3)*6-6,),BY$2,OFFSET($F$4:$BN$9,ROWS($1:3)*6-6,))</f>
        <v>0</v>
      </c>
      <c r="BZ6" s="29">
        <f ca="1">SUMIF(OFFSET($E$4:$BM$9,ROWS($1:3)*6-6,),BZ$2,OFFSET($F$4:$BN$9,ROWS($1:3)*6-6,))</f>
        <v>0</v>
      </c>
      <c r="CA6" s="29">
        <f ca="1">SUMIF(OFFSET($E$4:$BM$9,ROWS($1:3)*6-6,),CA$2,OFFSET($F$4:$BN$9,ROWS($1:3)*6-6,))</f>
        <v>0</v>
      </c>
      <c r="CB6" s="29">
        <f ca="1">SUMIF(OFFSET($E$4:$BM$9,ROWS($1:3)*6-6,),CB$2,OFFSET($F$4:$BN$9,ROWS($1:3)*6-6,))</f>
        <v>0</v>
      </c>
      <c r="CC6" s="43">
        <f ca="1">SUMIF(OFFSET($E$4:$BM$9,ROWS($1:3)*6-6,),CC$2,OFFSET($F$4:$BN$9,ROWS($1:3)*6-6,))</f>
        <v>0</v>
      </c>
      <c r="CD6" s="44" t="str">
        <f t="shared" si="3"/>
        <v>陈银山</v>
      </c>
      <c r="CE6" s="44">
        <f ca="1">INDEX(FREQUENCY(MMULT({1,1},SUBTOTAL(9,OFFSET($E$1,MATCH($CD6,$C:$C,)+{3;4},INT(COLUMN($A:$AE)*2)-1))),{3.9,7.9,11.9}),COLUMN(B3))</f>
        <v>0</v>
      </c>
      <c r="CF6" s="44">
        <f ca="1">INDEX(FREQUENCY(MMULT({1,1},SUBTOTAL(9,OFFSET($E$1,MATCH($CD6,$C:$C,)+{3;4},INT(COLUMN($A:$AE)*2)-1))),{3.9,7.9,11.9}),COLUMN(C3))</f>
        <v>0</v>
      </c>
      <c r="CG6" s="44">
        <f ca="1">INDEX(FREQUENCY(MMULT({1,1},SUBTOTAL(9,OFFSET($E$1,MATCH($CD6,$C:$C,)+{3;4},INT(COLUMN($A:$AE)*2)-1))),{3.9,7.9,11.9}),COLUMN(D3))</f>
        <v>0</v>
      </c>
    </row>
    <row r="7" spans="1:85" ht="17.25" customHeight="1" x14ac:dyDescent="0.15">
      <c r="A7" s="85"/>
      <c r="B7" s="49"/>
      <c r="C7" s="49"/>
      <c r="D7" s="56"/>
      <c r="E7" s="7"/>
      <c r="F7" s="7"/>
      <c r="G7" s="7" t="s">
        <v>14</v>
      </c>
      <c r="H7" s="7">
        <v>2</v>
      </c>
      <c r="I7" s="7" t="s">
        <v>14</v>
      </c>
      <c r="J7" s="7">
        <v>2</v>
      </c>
      <c r="K7" s="7" t="s">
        <v>14</v>
      </c>
      <c r="L7" s="7">
        <v>2</v>
      </c>
      <c r="M7" s="7" t="s">
        <v>14</v>
      </c>
      <c r="N7" s="7">
        <v>2</v>
      </c>
      <c r="O7" s="7" t="s">
        <v>14</v>
      </c>
      <c r="P7" s="7">
        <v>2</v>
      </c>
      <c r="Q7" s="7" t="s">
        <v>14</v>
      </c>
      <c r="R7" s="7">
        <v>2</v>
      </c>
      <c r="S7" s="7"/>
      <c r="T7" s="7"/>
      <c r="U7" s="7" t="s">
        <v>14</v>
      </c>
      <c r="V7" s="7">
        <v>2</v>
      </c>
      <c r="W7" s="7" t="s">
        <v>14</v>
      </c>
      <c r="X7" s="7">
        <v>2</v>
      </c>
      <c r="Y7" s="7" t="s">
        <v>14</v>
      </c>
      <c r="Z7" s="7">
        <v>2</v>
      </c>
      <c r="AA7" s="7" t="s">
        <v>14</v>
      </c>
      <c r="AB7" s="7">
        <v>2</v>
      </c>
      <c r="AC7" s="7" t="s">
        <v>14</v>
      </c>
      <c r="AD7" s="7">
        <v>2</v>
      </c>
      <c r="AE7" s="7" t="s">
        <v>14</v>
      </c>
      <c r="AF7" s="7">
        <v>2</v>
      </c>
      <c r="AG7" s="7"/>
      <c r="AH7" s="7"/>
      <c r="AI7" s="7" t="s">
        <v>14</v>
      </c>
      <c r="AJ7" s="7">
        <v>2</v>
      </c>
      <c r="AK7" s="7" t="s">
        <v>14</v>
      </c>
      <c r="AL7" s="7">
        <v>2</v>
      </c>
      <c r="AM7" s="7" t="s">
        <v>14</v>
      </c>
      <c r="AN7" s="7">
        <v>2</v>
      </c>
      <c r="AO7" s="7" t="s">
        <v>14</v>
      </c>
      <c r="AP7" s="7">
        <v>2</v>
      </c>
      <c r="AQ7" s="7" t="s">
        <v>14</v>
      </c>
      <c r="AR7" s="7">
        <v>2</v>
      </c>
      <c r="AS7" s="7" t="s">
        <v>14</v>
      </c>
      <c r="AT7" s="7">
        <v>2</v>
      </c>
      <c r="AU7" s="7"/>
      <c r="AV7" s="7"/>
      <c r="AW7" s="7" t="s">
        <v>14</v>
      </c>
      <c r="AX7" s="7">
        <v>2</v>
      </c>
      <c r="AY7" s="7" t="s">
        <v>14</v>
      </c>
      <c r="AZ7" s="7">
        <v>2</v>
      </c>
      <c r="BA7" s="7" t="s">
        <v>14</v>
      </c>
      <c r="BB7" s="7">
        <v>2</v>
      </c>
      <c r="BC7" s="7" t="s">
        <v>14</v>
      </c>
      <c r="BD7" s="7">
        <v>2</v>
      </c>
      <c r="BE7" s="7" t="s">
        <v>14</v>
      </c>
      <c r="BF7" s="7">
        <v>2</v>
      </c>
      <c r="BG7" s="7" t="s">
        <v>14</v>
      </c>
      <c r="BH7" s="7">
        <v>2</v>
      </c>
      <c r="BI7" s="7"/>
      <c r="BJ7" s="7"/>
      <c r="BK7" s="7" t="s">
        <v>14</v>
      </c>
      <c r="BL7" s="7">
        <v>2</v>
      </c>
      <c r="BM7" s="7" t="s">
        <v>14</v>
      </c>
      <c r="BN7" s="30">
        <v>2</v>
      </c>
      <c r="BP7" s="27">
        <v>4</v>
      </c>
      <c r="BQ7" s="27" t="s">
        <v>117</v>
      </c>
      <c r="BR7" s="29">
        <f ca="1">SUMIF(OFFSET($E$4:$BM$9,ROWS($1:4)*6-6,),BR$2,OFFSET($F$4:$BN$9,ROWS($1:4)*6-6,))</f>
        <v>88</v>
      </c>
      <c r="BS7" s="29">
        <f ca="1">SUMIF(OFFSET($E$4:$BM$9,ROWS($1:4)*6-6,),BS$2,OFFSET($F$4:$BN$9,ROWS($1:4)*6-6,))</f>
        <v>17.5</v>
      </c>
      <c r="BT7" s="29">
        <f ca="1">SUMIF(OFFSET($E$4:$BM$9,ROWS($1:4)*6-6,),BT$2,OFFSET($F$4:$BN$9,ROWS($1:4)*6-6,))</f>
        <v>0</v>
      </c>
      <c r="BU7" s="29">
        <f ca="1">SUMIF(OFFSET($E$4:$BM$9,ROWS($1:4)*6-6,),BU$2,OFFSET($F$4:$BN$9,ROWS($1:4)*6-6,))</f>
        <v>0</v>
      </c>
      <c r="BV7" s="29">
        <f ca="1">SUMIF(OFFSET($E$4:$BM$9,ROWS($1:4)*6-6,),BV$2,OFFSET($F$4:$BN$9,ROWS($1:4)*6-6,))</f>
        <v>16</v>
      </c>
      <c r="BW7" s="29">
        <f ca="1">SUMIF(OFFSET($E$4:$BM$9,ROWS($1:4)*6-6,),BW$2,OFFSET($F$4:$BN$9,ROWS($1:4)*6-6,))</f>
        <v>0</v>
      </c>
      <c r="BX7" s="29">
        <f ca="1">SUMIF(OFFSET($E$4:$BM$9,ROWS($1:4)*6-6,),BX$2,OFFSET($F$4:$BN$9,ROWS($1:4)*6-6,))</f>
        <v>0</v>
      </c>
      <c r="BY7" s="29">
        <f ca="1">SUMIF(OFFSET($E$4:$BM$9,ROWS($1:4)*6-6,),BY$2,OFFSET($F$4:$BN$9,ROWS($1:4)*6-6,))</f>
        <v>0</v>
      </c>
      <c r="BZ7" s="29">
        <f ca="1">SUMIF(OFFSET($E$4:$BM$9,ROWS($1:4)*6-6,),BZ$2,OFFSET($F$4:$BN$9,ROWS($1:4)*6-6,))</f>
        <v>0</v>
      </c>
      <c r="CA7" s="29">
        <f ca="1">SUMIF(OFFSET($E$4:$BM$9,ROWS($1:4)*6-6,),CA$2,OFFSET($F$4:$BN$9,ROWS($1:4)*6-6,))</f>
        <v>0</v>
      </c>
      <c r="CB7" s="29">
        <f ca="1">SUMIF(OFFSET($E$4:$BM$9,ROWS($1:4)*6-6,),CB$2,OFFSET($F$4:$BN$9,ROWS($1:4)*6-6,))</f>
        <v>0</v>
      </c>
      <c r="CC7" s="43">
        <f ca="1">SUMIF(OFFSET($E$4:$BM$9,ROWS($1:4)*6-6,),CC$2,OFFSET($F$4:$BN$9,ROWS($1:4)*6-6,))</f>
        <v>0</v>
      </c>
      <c r="CD7" s="44" t="str">
        <f t="shared" si="3"/>
        <v>彭韶华</v>
      </c>
      <c r="CE7" s="44">
        <f ca="1">INDEX(FREQUENCY(MMULT({1,1},SUBTOTAL(9,OFFSET($E$1,MATCH($CD7,$C:$C,)+{3;4},INT(COLUMN($A:$AE)*2)-1))),{3.9,7.9,11.9}),COLUMN(B4))</f>
        <v>2</v>
      </c>
      <c r="CF7" s="44">
        <f ca="1">INDEX(FREQUENCY(MMULT({1,1},SUBTOTAL(9,OFFSET($E$1,MATCH($CD7,$C:$C,)+{3;4},INT(COLUMN($A:$AE)*2)-1))),{3.9,7.9,11.9}),COLUMN(C4))</f>
        <v>0</v>
      </c>
      <c r="CG7" s="44">
        <f ca="1">INDEX(FREQUENCY(MMULT({1,1},SUBTOTAL(9,OFFSET($E$1,MATCH($CD7,$C:$C,)+{3;4},INT(COLUMN($A:$AE)*2)-1))),{3.9,7.9,11.9}),COLUMN(D4))</f>
        <v>0</v>
      </c>
    </row>
    <row r="8" spans="1:85" ht="17.25" customHeight="1" x14ac:dyDescent="0.15">
      <c r="A8" s="85"/>
      <c r="B8" s="49"/>
      <c r="C8" s="49"/>
      <c r="D8" s="58" t="s">
        <v>49</v>
      </c>
      <c r="E8" s="9"/>
      <c r="F8" s="9"/>
      <c r="G8" s="9" t="s">
        <v>15</v>
      </c>
      <c r="H8" s="9"/>
      <c r="I8" s="9" t="s">
        <v>15</v>
      </c>
      <c r="J8" s="9"/>
      <c r="K8" s="9" t="s">
        <v>15</v>
      </c>
      <c r="L8" s="9"/>
      <c r="M8" s="9" t="s">
        <v>15</v>
      </c>
      <c r="N8" s="9"/>
      <c r="O8" s="9" t="s">
        <v>15</v>
      </c>
      <c r="P8" s="9"/>
      <c r="Q8" s="9" t="s">
        <v>15</v>
      </c>
      <c r="R8" s="9"/>
      <c r="S8" s="9"/>
      <c r="T8" s="9"/>
      <c r="U8" s="9" t="s">
        <v>15</v>
      </c>
      <c r="V8" s="9"/>
      <c r="W8" s="9" t="s">
        <v>15</v>
      </c>
      <c r="X8" s="9"/>
      <c r="Y8" s="9" t="s">
        <v>15</v>
      </c>
      <c r="Z8" s="9"/>
      <c r="AA8" s="9" t="s">
        <v>15</v>
      </c>
      <c r="AB8" s="9"/>
      <c r="AC8" s="9" t="s">
        <v>15</v>
      </c>
      <c r="AD8" s="9"/>
      <c r="AE8" s="9" t="s">
        <v>15</v>
      </c>
      <c r="AF8" s="9"/>
      <c r="AG8" s="9"/>
      <c r="AH8" s="9"/>
      <c r="AI8" s="9" t="s">
        <v>15</v>
      </c>
      <c r="AJ8" s="9"/>
      <c r="AK8" s="9" t="s">
        <v>15</v>
      </c>
      <c r="AL8" s="9"/>
      <c r="AM8" s="9" t="s">
        <v>15</v>
      </c>
      <c r="AN8" s="9"/>
      <c r="AO8" s="9" t="s">
        <v>15</v>
      </c>
      <c r="AP8" s="9"/>
      <c r="AQ8" s="9" t="s">
        <v>15</v>
      </c>
      <c r="AR8" s="9"/>
      <c r="AS8" s="9" t="s">
        <v>15</v>
      </c>
      <c r="AT8" s="9"/>
      <c r="AU8" s="9"/>
      <c r="AV8" s="9"/>
      <c r="AW8" s="9" t="s">
        <v>15</v>
      </c>
      <c r="AX8" s="9"/>
      <c r="AY8" s="9" t="s">
        <v>15</v>
      </c>
      <c r="AZ8" s="9"/>
      <c r="BA8" s="9" t="s">
        <v>15</v>
      </c>
      <c r="BB8" s="9"/>
      <c r="BC8" s="9" t="s">
        <v>15</v>
      </c>
      <c r="BD8" s="9"/>
      <c r="BE8" s="9" t="s">
        <v>15</v>
      </c>
      <c r="BF8" s="9"/>
      <c r="BG8" s="9" t="s">
        <v>15</v>
      </c>
      <c r="BH8" s="9"/>
      <c r="BI8" s="9"/>
      <c r="BJ8" s="9"/>
      <c r="BK8" s="9" t="s">
        <v>15</v>
      </c>
      <c r="BL8" s="9"/>
      <c r="BM8" s="9" t="s">
        <v>15</v>
      </c>
      <c r="BN8" s="32"/>
      <c r="BP8" s="27">
        <v>5</v>
      </c>
      <c r="BQ8" s="27" t="s">
        <v>118</v>
      </c>
      <c r="BR8" s="29">
        <f ca="1">SUMIF(OFFSET($E$4:$BM$9,ROWS($1:5)*6-6,),BR$2,OFFSET($F$4:$BN$9,ROWS($1:5)*6-6,))</f>
        <v>152</v>
      </c>
      <c r="BS8" s="29">
        <f ca="1">SUMIF(OFFSET($E$4:$BM$9,ROWS($1:5)*6-6,),BS$2,OFFSET($F$4:$BN$9,ROWS($1:5)*6-6,))</f>
        <v>28</v>
      </c>
      <c r="BT8" s="29">
        <f ca="1">SUMIF(OFFSET($E$4:$BM$9,ROWS($1:5)*6-6,),BT$2,OFFSET($F$4:$BN$9,ROWS($1:5)*6-6,))</f>
        <v>16</v>
      </c>
      <c r="BU8" s="29">
        <f ca="1">SUMIF(OFFSET($E$4:$BM$9,ROWS($1:5)*6-6,),BU$2,OFFSET($F$4:$BN$9,ROWS($1:5)*6-6,))</f>
        <v>0</v>
      </c>
      <c r="BV8" s="29">
        <f ca="1">SUMIF(OFFSET($E$4:$BM$9,ROWS($1:5)*6-6,),BV$2,OFFSET($F$4:$BN$9,ROWS($1:5)*6-6,))</f>
        <v>8</v>
      </c>
      <c r="BW8" s="29">
        <f ca="1">SUMIF(OFFSET($E$4:$BM$9,ROWS($1:5)*6-6,),BW$2,OFFSET($F$4:$BN$9,ROWS($1:5)*6-6,))</f>
        <v>0</v>
      </c>
      <c r="BX8" s="29">
        <f ca="1">SUMIF(OFFSET($E$4:$BM$9,ROWS($1:5)*6-6,),BX$2,OFFSET($F$4:$BN$9,ROWS($1:5)*6-6,))</f>
        <v>0</v>
      </c>
      <c r="BY8" s="29">
        <f ca="1">SUMIF(OFFSET($E$4:$BM$9,ROWS($1:5)*6-6,),BY$2,OFFSET($F$4:$BN$9,ROWS($1:5)*6-6,))</f>
        <v>0</v>
      </c>
      <c r="BZ8" s="29">
        <f ca="1">SUMIF(OFFSET($E$4:$BM$9,ROWS($1:5)*6-6,),BZ$2,OFFSET($F$4:$BN$9,ROWS($1:5)*6-6,))</f>
        <v>0</v>
      </c>
      <c r="CA8" s="29">
        <f ca="1">SUMIF(OFFSET($E$4:$BM$9,ROWS($1:5)*6-6,),CA$2,OFFSET($F$4:$BN$9,ROWS($1:5)*6-6,))</f>
        <v>0</v>
      </c>
      <c r="CB8" s="29">
        <f ca="1">SUMIF(OFFSET($E$4:$BM$9,ROWS($1:5)*6-6,),CB$2,OFFSET($F$4:$BN$9,ROWS($1:5)*6-6,))</f>
        <v>0</v>
      </c>
      <c r="CC8" s="43">
        <f ca="1">SUMIF(OFFSET($E$4:$BM$9,ROWS($1:5)*6-6,),CC$2,OFFSET($F$4:$BN$9,ROWS($1:5)*6-6,))</f>
        <v>0</v>
      </c>
      <c r="CD8" s="44" t="str">
        <f t="shared" si="3"/>
        <v>田大鹏</v>
      </c>
      <c r="CE8" s="44">
        <f ca="1">INDEX(FREQUENCY(MMULT({1,1},SUBTOTAL(9,OFFSET($E$1,MATCH($CD8,$C:$C,)+{3;4},INT(COLUMN($A:$AE)*2)-1))),{3.9,7.9,11.9}),COLUMN(B5))</f>
        <v>0</v>
      </c>
      <c r="CF8" s="44">
        <f ca="1">INDEX(FREQUENCY(MMULT({1,1},SUBTOTAL(9,OFFSET($E$1,MATCH($CD8,$C:$C,)+{3;4},INT(COLUMN($A:$AE)*2)-1))),{3.9,7.9,11.9}),COLUMN(C5))</f>
        <v>0</v>
      </c>
      <c r="CG8" s="44">
        <f ca="1">INDEX(FREQUENCY(MMULT({1,1},SUBTOTAL(9,OFFSET($E$1,MATCH($CD8,$C:$C,)+{3;4},INT(COLUMN($A:$AE)*2)-1))),{3.9,7.9,11.9}),COLUMN(D5))</f>
        <v>0</v>
      </c>
    </row>
    <row r="9" spans="1:85" ht="17.25" customHeight="1" thickBot="1" x14ac:dyDescent="0.2">
      <c r="A9" s="86"/>
      <c r="B9" s="50"/>
      <c r="C9" s="50"/>
      <c r="D9" s="5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33"/>
      <c r="BP9" s="27">
        <v>6</v>
      </c>
      <c r="BQ9" s="27" t="s">
        <v>93</v>
      </c>
      <c r="BR9" s="29">
        <f ca="1">SUMIF(OFFSET($E$4:$BM$9,ROWS($1:6)*6-6,),BR$2,OFFSET($F$4:$BN$9,ROWS($1:6)*6-6,))</f>
        <v>136</v>
      </c>
      <c r="BS9" s="29">
        <f ca="1">SUMIF(OFFSET($E$4:$BM$9,ROWS($1:6)*6-6,),BS$2,OFFSET($F$4:$BN$9,ROWS($1:6)*6-6,))</f>
        <v>66</v>
      </c>
      <c r="BT9" s="29">
        <f ca="1">SUMIF(OFFSET($E$4:$BM$9,ROWS($1:6)*6-6,),BT$2,OFFSET($F$4:$BN$9,ROWS($1:6)*6-6,))</f>
        <v>15</v>
      </c>
      <c r="BU9" s="29">
        <f ca="1">SUMIF(OFFSET($E$4:$BM$9,ROWS($1:6)*6-6,),BU$2,OFFSET($F$4:$BN$9,ROWS($1:6)*6-6,))</f>
        <v>0</v>
      </c>
      <c r="BV9" s="29">
        <f ca="1">SUMIF(OFFSET($E$4:$BM$9,ROWS($1:6)*6-6,),BV$2,OFFSET($F$4:$BN$9,ROWS($1:6)*6-6,))</f>
        <v>24</v>
      </c>
      <c r="BW9" s="29">
        <f ca="1">SUMIF(OFFSET($E$4:$BM$9,ROWS($1:6)*6-6,),BW$2,OFFSET($F$4:$BN$9,ROWS($1:6)*6-6,))</f>
        <v>0</v>
      </c>
      <c r="BX9" s="29">
        <f ca="1">SUMIF(OFFSET($E$4:$BM$9,ROWS($1:6)*6-6,),BX$2,OFFSET($F$4:$BN$9,ROWS($1:6)*6-6,))</f>
        <v>0</v>
      </c>
      <c r="BY9" s="29">
        <f ca="1">SUMIF(OFFSET($E$4:$BM$9,ROWS($1:6)*6-6,),BY$2,OFFSET($F$4:$BN$9,ROWS($1:6)*6-6,))</f>
        <v>0</v>
      </c>
      <c r="BZ9" s="29">
        <f ca="1">SUMIF(OFFSET($E$4:$BM$9,ROWS($1:6)*6-6,),BZ$2,OFFSET($F$4:$BN$9,ROWS($1:6)*6-6,))</f>
        <v>0</v>
      </c>
      <c r="CA9" s="29">
        <f ca="1">SUMIF(OFFSET($E$4:$BM$9,ROWS($1:6)*6-6,),CA$2,OFFSET($F$4:$BN$9,ROWS($1:6)*6-6,))</f>
        <v>0</v>
      </c>
      <c r="CB9" s="29">
        <f ca="1">SUMIF(OFFSET($E$4:$BM$9,ROWS($1:6)*6-6,),CB$2,OFFSET($F$4:$BN$9,ROWS($1:6)*6-6,))</f>
        <v>0</v>
      </c>
      <c r="CC9" s="43">
        <f ca="1">SUMIF(OFFSET($E$4:$BM$9,ROWS($1:6)*6-6,),CC$2,OFFSET($F$4:$BN$9,ROWS($1:6)*6-6,))</f>
        <v>0</v>
      </c>
      <c r="CD9" s="44" t="str">
        <f t="shared" si="3"/>
        <v>李茂兰</v>
      </c>
      <c r="CE9" s="44">
        <f ca="1">INDEX(FREQUENCY(MMULT({1,1},SUBTOTAL(9,OFFSET($E$1,MATCH($CD9,$C:$C,)+{3;4},INT(COLUMN($A:$AE)*2)-1))),{3.9,7.9,11.9}),COLUMN(B6))</f>
        <v>9</v>
      </c>
      <c r="CF9" s="44">
        <f ca="1">INDEX(FREQUENCY(MMULT({1,1},SUBTOTAL(9,OFFSET($E$1,MATCH($CD9,$C:$C,)+{3;4},INT(COLUMN($A:$AE)*2)-1))),{3.9,7.9,11.9}),COLUMN(C6))</f>
        <v>0</v>
      </c>
      <c r="CG9" s="44">
        <f ca="1">INDEX(FREQUENCY(MMULT({1,1},SUBTOTAL(9,OFFSET($E$1,MATCH($CD9,$C:$C,)+{3;4},INT(COLUMN($A:$AE)*2)-1))),{3.9,7.9,11.9}),COLUMN(D6))</f>
        <v>0</v>
      </c>
    </row>
    <row r="10" spans="1:85" ht="17.25" customHeight="1" x14ac:dyDescent="0.15">
      <c r="A10" s="84" t="s">
        <v>153</v>
      </c>
      <c r="B10" s="48" t="s">
        <v>43</v>
      </c>
      <c r="C10" s="48" t="s">
        <v>46</v>
      </c>
      <c r="D10" s="55" t="s">
        <v>45</v>
      </c>
      <c r="E10" s="11"/>
      <c r="F10" s="11"/>
      <c r="G10" s="11" t="s">
        <v>15</v>
      </c>
      <c r="H10" s="11">
        <v>1</v>
      </c>
      <c r="I10" s="11" t="s">
        <v>15</v>
      </c>
      <c r="J10" s="11">
        <v>1</v>
      </c>
      <c r="K10" s="11" t="s">
        <v>15</v>
      </c>
      <c r="L10" s="11">
        <v>1</v>
      </c>
      <c r="M10" s="11" t="s">
        <v>15</v>
      </c>
      <c r="N10" s="11">
        <v>1</v>
      </c>
      <c r="O10" s="11" t="s">
        <v>15</v>
      </c>
      <c r="P10" s="11">
        <v>1</v>
      </c>
      <c r="Q10" s="11" t="s">
        <v>15</v>
      </c>
      <c r="R10" s="11">
        <v>1</v>
      </c>
      <c r="S10" s="11"/>
      <c r="T10" s="11"/>
      <c r="U10" s="11" t="s">
        <v>14</v>
      </c>
      <c r="V10" s="11">
        <v>2</v>
      </c>
      <c r="W10" s="11" t="s">
        <v>14</v>
      </c>
      <c r="X10" s="11">
        <v>2</v>
      </c>
      <c r="Y10" s="11" t="s">
        <v>14</v>
      </c>
      <c r="Z10" s="11">
        <v>2</v>
      </c>
      <c r="AA10" s="11" t="s">
        <v>14</v>
      </c>
      <c r="AB10" s="11">
        <v>2</v>
      </c>
      <c r="AC10" s="11" t="s">
        <v>14</v>
      </c>
      <c r="AD10" s="11">
        <v>2</v>
      </c>
      <c r="AE10" s="11" t="s">
        <v>14</v>
      </c>
      <c r="AF10" s="11">
        <v>2</v>
      </c>
      <c r="AG10" s="11"/>
      <c r="AH10" s="11"/>
      <c r="AI10" s="11" t="s">
        <v>14</v>
      </c>
      <c r="AJ10" s="11">
        <v>2</v>
      </c>
      <c r="AK10" s="11" t="s">
        <v>14</v>
      </c>
      <c r="AL10" s="11">
        <v>2</v>
      </c>
      <c r="AM10" s="11" t="s">
        <v>14</v>
      </c>
      <c r="AN10" s="11">
        <v>2</v>
      </c>
      <c r="AO10" s="11" t="s">
        <v>14</v>
      </c>
      <c r="AP10" s="11">
        <v>2</v>
      </c>
      <c r="AQ10" s="11" t="s">
        <v>14</v>
      </c>
      <c r="AR10" s="11">
        <v>2</v>
      </c>
      <c r="AS10" s="11" t="s">
        <v>14</v>
      </c>
      <c r="AT10" s="11">
        <v>2</v>
      </c>
      <c r="AU10" s="11"/>
      <c r="AV10" s="11"/>
      <c r="AW10" s="11" t="s">
        <v>14</v>
      </c>
      <c r="AX10" s="11">
        <v>2</v>
      </c>
      <c r="AY10" s="11" t="s">
        <v>14</v>
      </c>
      <c r="AZ10" s="11">
        <v>2</v>
      </c>
      <c r="BA10" s="11" t="s">
        <v>14</v>
      </c>
      <c r="BB10" s="11">
        <v>2</v>
      </c>
      <c r="BC10" s="11" t="s">
        <v>14</v>
      </c>
      <c r="BD10" s="11">
        <v>2</v>
      </c>
      <c r="BE10" s="11" t="s">
        <v>14</v>
      </c>
      <c r="BF10" s="11">
        <v>2</v>
      </c>
      <c r="BG10" s="11" t="s">
        <v>14</v>
      </c>
      <c r="BH10" s="11">
        <v>2</v>
      </c>
      <c r="BI10" s="11"/>
      <c r="BJ10" s="11"/>
      <c r="BK10" s="11" t="s">
        <v>14</v>
      </c>
      <c r="BL10" s="11">
        <v>2</v>
      </c>
      <c r="BM10" s="11" t="s">
        <v>14</v>
      </c>
      <c r="BN10" s="34">
        <v>2</v>
      </c>
      <c r="BP10" s="27">
        <v>7</v>
      </c>
      <c r="BQ10" s="27" t="s">
        <v>156</v>
      </c>
      <c r="BR10" s="29">
        <f ca="1">SUMIF(OFFSET($E$4:$BM$9,ROWS($1:7)*6-6,),BR$2,OFFSET($F$4:$BN$9,ROWS($1:7)*6-6,))</f>
        <v>145</v>
      </c>
      <c r="BS10" s="29">
        <f ca="1">SUMIF(OFFSET($E$4:$BM$9,ROWS($1:7)*6-6,),BS$2,OFFSET($F$4:$BN$9,ROWS($1:7)*6-6,))</f>
        <v>61.5</v>
      </c>
      <c r="BT10" s="29">
        <f ca="1">SUMIF(OFFSET($E$4:$BM$9,ROWS($1:7)*6-6,),BT$2,OFFSET($F$4:$BN$9,ROWS($1:7)*6-6,))</f>
        <v>7</v>
      </c>
      <c r="BU10" s="29">
        <f ca="1">SUMIF(OFFSET($E$4:$BM$9,ROWS($1:7)*6-6,),BU$2,OFFSET($F$4:$BN$9,ROWS($1:7)*6-6,))</f>
        <v>0</v>
      </c>
      <c r="BV10" s="29">
        <f ca="1">SUMIF(OFFSET($E$4:$BM$9,ROWS($1:7)*6-6,),BV$2,OFFSET($F$4:$BN$9,ROWS($1:7)*6-6,))</f>
        <v>0</v>
      </c>
      <c r="BW10" s="29">
        <f ca="1">SUMIF(OFFSET($E$4:$BM$9,ROWS($1:7)*6-6,),BW$2,OFFSET($F$4:$BN$9,ROWS($1:7)*6-6,))</f>
        <v>0</v>
      </c>
      <c r="BX10" s="29">
        <f ca="1">SUMIF(OFFSET($E$4:$BM$9,ROWS($1:7)*6-6,),BX$2,OFFSET($F$4:$BN$9,ROWS($1:7)*6-6,))</f>
        <v>0</v>
      </c>
      <c r="BY10" s="29">
        <f ca="1">SUMIF(OFFSET($E$4:$BM$9,ROWS($1:7)*6-6,),BY$2,OFFSET($F$4:$BN$9,ROWS($1:7)*6-6,))</f>
        <v>0</v>
      </c>
      <c r="BZ10" s="29">
        <f ca="1">SUMIF(OFFSET($E$4:$BM$9,ROWS($1:7)*6-6,),BZ$2,OFFSET($F$4:$BN$9,ROWS($1:7)*6-6,))</f>
        <v>0</v>
      </c>
      <c r="CA10" s="29">
        <f ca="1">SUMIF(OFFSET($E$4:$BM$9,ROWS($1:7)*6-6,),CA$2,OFFSET($F$4:$BN$9,ROWS($1:7)*6-6,))</f>
        <v>0</v>
      </c>
      <c r="CB10" s="29">
        <f ca="1">SUMIF(OFFSET($E$4:$BM$9,ROWS($1:7)*6-6,),CB$2,OFFSET($F$4:$BN$9,ROWS($1:7)*6-6,))</f>
        <v>0</v>
      </c>
      <c r="CC10" s="43">
        <f ca="1">SUMIF(OFFSET($E$4:$BM$9,ROWS($1:7)*6-6,),CC$2,OFFSET($F$4:$BN$9,ROWS($1:7)*6-6,))</f>
        <v>0</v>
      </c>
      <c r="CD10" s="44" t="str">
        <f t="shared" si="3"/>
        <v>李伟毅</v>
      </c>
      <c r="CE10" s="44">
        <f ca="1">INDEX(FREQUENCY(MMULT({1,1},SUBTOTAL(9,OFFSET($E$1,MATCH($CD10,$C:$C,)+{3;4},INT(COLUMN($A:$AE)*2)-1))),{3.9,7.9,11.9}),COLUMN(B7))</f>
        <v>0</v>
      </c>
      <c r="CF10" s="44">
        <f ca="1">INDEX(FREQUENCY(MMULT({1,1},SUBTOTAL(9,OFFSET($E$1,MATCH($CD10,$C:$C,)+{3;4},INT(COLUMN($A:$AE)*2)-1))),{3.9,7.9,11.9}),COLUMN(C7))</f>
        <v>0</v>
      </c>
      <c r="CG10" s="44">
        <f ca="1">INDEX(FREQUENCY(MMULT({1,1},SUBTOTAL(9,OFFSET($E$1,MATCH($CD10,$C:$C,)+{3;4},INT(COLUMN($A:$AE)*2)-1))),{3.9,7.9,11.9}),COLUMN(D7))</f>
        <v>0</v>
      </c>
    </row>
    <row r="11" spans="1:85" ht="17.25" customHeight="1" x14ac:dyDescent="0.15">
      <c r="A11" s="85"/>
      <c r="B11" s="49"/>
      <c r="C11" s="49"/>
      <c r="D11" s="56"/>
      <c r="E11" s="12"/>
      <c r="F11" s="12"/>
      <c r="G11" s="12" t="s">
        <v>15</v>
      </c>
      <c r="H11" s="12">
        <v>2</v>
      </c>
      <c r="I11" s="12" t="s">
        <v>15</v>
      </c>
      <c r="J11" s="12">
        <v>2</v>
      </c>
      <c r="K11" s="12" t="s">
        <v>15</v>
      </c>
      <c r="L11" s="12">
        <v>2</v>
      </c>
      <c r="M11" s="12" t="s">
        <v>15</v>
      </c>
      <c r="N11" s="12">
        <v>2</v>
      </c>
      <c r="O11" s="12" t="s">
        <v>15</v>
      </c>
      <c r="P11" s="12">
        <v>2</v>
      </c>
      <c r="Q11" s="12" t="s">
        <v>15</v>
      </c>
      <c r="R11" s="12">
        <v>2</v>
      </c>
      <c r="S11" s="12"/>
      <c r="T11" s="12"/>
      <c r="U11" s="12" t="s">
        <v>14</v>
      </c>
      <c r="V11" s="12">
        <v>2</v>
      </c>
      <c r="W11" s="12" t="s">
        <v>14</v>
      </c>
      <c r="X11" s="12">
        <v>2</v>
      </c>
      <c r="Y11" s="12" t="s">
        <v>14</v>
      </c>
      <c r="Z11" s="12">
        <v>2</v>
      </c>
      <c r="AA11" s="12" t="s">
        <v>14</v>
      </c>
      <c r="AB11" s="12">
        <v>2</v>
      </c>
      <c r="AC11" s="12" t="s">
        <v>14</v>
      </c>
      <c r="AD11" s="12">
        <v>2</v>
      </c>
      <c r="AE11" s="12" t="s">
        <v>14</v>
      </c>
      <c r="AF11" s="12">
        <v>2</v>
      </c>
      <c r="AG11" s="12"/>
      <c r="AH11" s="12"/>
      <c r="AI11" s="12" t="s">
        <v>14</v>
      </c>
      <c r="AJ11" s="12">
        <v>2</v>
      </c>
      <c r="AK11" s="12" t="s">
        <v>14</v>
      </c>
      <c r="AL11" s="12">
        <v>2</v>
      </c>
      <c r="AM11" s="12" t="s">
        <v>14</v>
      </c>
      <c r="AN11" s="12">
        <v>2</v>
      </c>
      <c r="AO11" s="12" t="s">
        <v>14</v>
      </c>
      <c r="AP11" s="12">
        <v>2</v>
      </c>
      <c r="AQ11" s="12" t="s">
        <v>14</v>
      </c>
      <c r="AR11" s="12">
        <v>2</v>
      </c>
      <c r="AS11" s="12" t="s">
        <v>14</v>
      </c>
      <c r="AT11" s="12">
        <v>2</v>
      </c>
      <c r="AU11" s="12"/>
      <c r="AV11" s="12"/>
      <c r="AW11" s="12" t="s">
        <v>14</v>
      </c>
      <c r="AX11" s="12">
        <v>2</v>
      </c>
      <c r="AY11" s="12" t="s">
        <v>14</v>
      </c>
      <c r="AZ11" s="12">
        <v>2</v>
      </c>
      <c r="BA11" s="12" t="s">
        <v>14</v>
      </c>
      <c r="BB11" s="12">
        <v>2</v>
      </c>
      <c r="BC11" s="12" t="s">
        <v>14</v>
      </c>
      <c r="BD11" s="12">
        <v>2</v>
      </c>
      <c r="BE11" s="12" t="s">
        <v>14</v>
      </c>
      <c r="BF11" s="12">
        <v>2</v>
      </c>
      <c r="BG11" s="12" t="s">
        <v>14</v>
      </c>
      <c r="BH11" s="12">
        <v>2</v>
      </c>
      <c r="BI11" s="12"/>
      <c r="BJ11" s="12"/>
      <c r="BK11" s="12" t="s">
        <v>14</v>
      </c>
      <c r="BL11" s="12">
        <v>2</v>
      </c>
      <c r="BM11" s="12" t="s">
        <v>14</v>
      </c>
      <c r="BN11" s="35">
        <v>2</v>
      </c>
      <c r="BP11" s="27">
        <v>8</v>
      </c>
      <c r="BQ11" s="27" t="s">
        <v>157</v>
      </c>
      <c r="BR11" s="29">
        <f ca="1">SUMIF(OFFSET($E$4:$BM$9,ROWS($1:8)*6-6,),BR$2,OFFSET($F$4:$BN$9,ROWS($1:8)*6-6,))</f>
        <v>160</v>
      </c>
      <c r="BS11" s="29">
        <f ca="1">SUMIF(OFFSET($E$4:$BM$9,ROWS($1:8)*6-6,),BS$2,OFFSET($F$4:$BN$9,ROWS($1:8)*6-6,))</f>
        <v>67</v>
      </c>
      <c r="BT11" s="29">
        <f ca="1">SUMIF(OFFSET($E$4:$BM$9,ROWS($1:8)*6-6,),BT$2,OFFSET($F$4:$BN$9,ROWS($1:8)*6-6,))</f>
        <v>23.5</v>
      </c>
      <c r="BU11" s="29">
        <f ca="1">SUMIF(OFFSET($E$4:$BM$9,ROWS($1:8)*6-6,),BU$2,OFFSET($F$4:$BN$9,ROWS($1:8)*6-6,))</f>
        <v>0</v>
      </c>
      <c r="BV11" s="29">
        <f ca="1">SUMIF(OFFSET($E$4:$BM$9,ROWS($1:8)*6-6,),BV$2,OFFSET($F$4:$BN$9,ROWS($1:8)*6-6,))</f>
        <v>0</v>
      </c>
      <c r="BW11" s="29">
        <f ca="1">SUMIF(OFFSET($E$4:$BM$9,ROWS($1:8)*6-6,),BW$2,OFFSET($F$4:$BN$9,ROWS($1:8)*6-6,))</f>
        <v>0</v>
      </c>
      <c r="BX11" s="29">
        <f ca="1">SUMIF(OFFSET($E$4:$BM$9,ROWS($1:8)*6-6,),BX$2,OFFSET($F$4:$BN$9,ROWS($1:8)*6-6,))</f>
        <v>0</v>
      </c>
      <c r="BY11" s="29">
        <f ca="1">SUMIF(OFFSET($E$4:$BM$9,ROWS($1:8)*6-6,),BY$2,OFFSET($F$4:$BN$9,ROWS($1:8)*6-6,))</f>
        <v>0</v>
      </c>
      <c r="BZ11" s="29">
        <f ca="1">SUMIF(OFFSET($E$4:$BM$9,ROWS($1:8)*6-6,),BZ$2,OFFSET($F$4:$BN$9,ROWS($1:8)*6-6,))</f>
        <v>0</v>
      </c>
      <c r="CA11" s="29">
        <f ca="1">SUMIF(OFFSET($E$4:$BM$9,ROWS($1:8)*6-6,),CA$2,OFFSET($F$4:$BN$9,ROWS($1:8)*6-6,))</f>
        <v>0</v>
      </c>
      <c r="CB11" s="29">
        <f ca="1">SUMIF(OFFSET($E$4:$BM$9,ROWS($1:8)*6-6,),CB$2,OFFSET($F$4:$BN$9,ROWS($1:8)*6-6,))</f>
        <v>0</v>
      </c>
      <c r="CC11" s="43">
        <f ca="1">SUMIF(OFFSET($E$4:$BM$9,ROWS($1:8)*6-6,),CC$2,OFFSET($F$4:$BN$9,ROWS($1:8)*6-6,))</f>
        <v>0</v>
      </c>
      <c r="CD11" s="44" t="str">
        <f t="shared" si="3"/>
        <v>王云明</v>
      </c>
      <c r="CE11" s="44">
        <f ca="1">INDEX(FREQUENCY(MMULT({1,1},SUBTOTAL(9,OFFSET($E$1,MATCH($CD11,$C:$C,)+{3;4},INT(COLUMN($A:$AE)*2)-1))),{3.9,7.9,11.9}),COLUMN(B8))</f>
        <v>2</v>
      </c>
      <c r="CF11" s="44">
        <f ca="1">INDEX(FREQUENCY(MMULT({1,1},SUBTOTAL(9,OFFSET($E$1,MATCH($CD11,$C:$C,)+{3;4},INT(COLUMN($A:$AE)*2)-1))),{3.9,7.9,11.9}),COLUMN(C8))</f>
        <v>0</v>
      </c>
      <c r="CG11" s="44">
        <f ca="1">INDEX(FREQUENCY(MMULT({1,1},SUBTOTAL(9,OFFSET($E$1,MATCH($CD11,$C:$C,)+{3;4},INT(COLUMN($A:$AE)*2)-1))),{3.9,7.9,11.9}),COLUMN(D8))</f>
        <v>0</v>
      </c>
    </row>
    <row r="12" spans="1:85" ht="17.25" customHeight="1" x14ac:dyDescent="0.15">
      <c r="A12" s="85"/>
      <c r="B12" s="49"/>
      <c r="C12" s="49"/>
      <c r="D12" s="57" t="s">
        <v>47</v>
      </c>
      <c r="E12" s="13"/>
      <c r="F12" s="13"/>
      <c r="G12" s="13"/>
      <c r="H12" s="13"/>
      <c r="I12" s="13"/>
      <c r="J12" s="13"/>
      <c r="K12" s="13" t="s">
        <v>15</v>
      </c>
      <c r="L12" s="13">
        <v>1.5</v>
      </c>
      <c r="M12" s="13" t="s">
        <v>15</v>
      </c>
      <c r="N12" s="13">
        <v>2</v>
      </c>
      <c r="O12" s="13" t="s">
        <v>15</v>
      </c>
      <c r="P12" s="13">
        <v>2</v>
      </c>
      <c r="Q12" s="13" t="s">
        <v>15</v>
      </c>
      <c r="R12" s="13">
        <v>2</v>
      </c>
      <c r="S12" s="13"/>
      <c r="T12" s="13"/>
      <c r="U12" s="13" t="s">
        <v>14</v>
      </c>
      <c r="V12" s="13">
        <v>2</v>
      </c>
      <c r="W12" s="13" t="s">
        <v>14</v>
      </c>
      <c r="X12" s="13">
        <v>2</v>
      </c>
      <c r="Y12" s="13" t="s">
        <v>14</v>
      </c>
      <c r="Z12" s="13">
        <v>2</v>
      </c>
      <c r="AA12" s="13" t="s">
        <v>14</v>
      </c>
      <c r="AB12" s="13">
        <v>2</v>
      </c>
      <c r="AC12" s="13" t="s">
        <v>14</v>
      </c>
      <c r="AD12" s="13">
        <v>2</v>
      </c>
      <c r="AE12" s="13" t="s">
        <v>14</v>
      </c>
      <c r="AF12" s="13">
        <v>2</v>
      </c>
      <c r="AG12" s="13"/>
      <c r="AH12" s="13"/>
      <c r="AI12" s="13" t="s">
        <v>14</v>
      </c>
      <c r="AJ12" s="13">
        <v>2</v>
      </c>
      <c r="AK12" s="13" t="s">
        <v>14</v>
      </c>
      <c r="AL12" s="13">
        <v>2</v>
      </c>
      <c r="AM12" s="13" t="s">
        <v>14</v>
      </c>
      <c r="AN12" s="13">
        <v>2</v>
      </c>
      <c r="AO12" s="13" t="s">
        <v>14</v>
      </c>
      <c r="AP12" s="13">
        <v>2</v>
      </c>
      <c r="AQ12" s="13" t="s">
        <v>14</v>
      </c>
      <c r="AR12" s="13">
        <v>2</v>
      </c>
      <c r="AS12" s="13" t="s">
        <v>14</v>
      </c>
      <c r="AT12" s="13">
        <v>2</v>
      </c>
      <c r="AU12" s="13"/>
      <c r="AV12" s="13"/>
      <c r="AW12" s="13" t="s">
        <v>14</v>
      </c>
      <c r="AX12" s="13">
        <v>2</v>
      </c>
      <c r="AY12" s="13" t="s">
        <v>14</v>
      </c>
      <c r="AZ12" s="13">
        <v>2</v>
      </c>
      <c r="BA12" s="13" t="s">
        <v>14</v>
      </c>
      <c r="BB12" s="13">
        <v>2</v>
      </c>
      <c r="BC12" s="13" t="s">
        <v>14</v>
      </c>
      <c r="BD12" s="13">
        <v>2</v>
      </c>
      <c r="BE12" s="13" t="s">
        <v>14</v>
      </c>
      <c r="BF12" s="13">
        <v>2</v>
      </c>
      <c r="BG12" s="13" t="s">
        <v>14</v>
      </c>
      <c r="BH12" s="13">
        <v>2</v>
      </c>
      <c r="BI12" s="13"/>
      <c r="BJ12" s="13"/>
      <c r="BK12" s="13" t="s">
        <v>14</v>
      </c>
      <c r="BL12" s="13">
        <v>2</v>
      </c>
      <c r="BM12" s="13" t="s">
        <v>14</v>
      </c>
      <c r="BN12" s="36">
        <v>2</v>
      </c>
      <c r="BP12" s="27">
        <v>9</v>
      </c>
      <c r="BQ12" s="27" t="s">
        <v>158</v>
      </c>
      <c r="BR12" s="29">
        <f ca="1">SUMIF(OFFSET($E$4:$BM$9,ROWS($1:9)*6-6,),BR$2,OFFSET($F$4:$BN$9,ROWS($1:9)*6-6,))</f>
        <v>160</v>
      </c>
      <c r="BS12" s="29">
        <f ca="1">SUMIF(OFFSET($E$4:$BM$9,ROWS($1:9)*6-6,),BS$2,OFFSET($F$4:$BN$9,ROWS($1:9)*6-6,))</f>
        <v>0</v>
      </c>
      <c r="BT12" s="29">
        <f ca="1">SUMIF(OFFSET($E$4:$BM$9,ROWS($1:9)*6-6,),BT$2,OFFSET($F$4:$BN$9,ROWS($1:9)*6-6,))</f>
        <v>0</v>
      </c>
      <c r="BU12" s="29">
        <f ca="1">SUMIF(OFFSET($E$4:$BM$9,ROWS($1:9)*6-6,),BU$2,OFFSET($F$4:$BN$9,ROWS($1:9)*6-6,))</f>
        <v>0</v>
      </c>
      <c r="BV12" s="29">
        <f ca="1">SUMIF(OFFSET($E$4:$BM$9,ROWS($1:9)*6-6,),BV$2,OFFSET($F$4:$BN$9,ROWS($1:9)*6-6,))</f>
        <v>0</v>
      </c>
      <c r="BW12" s="29">
        <f ca="1">SUMIF(OFFSET($E$4:$BM$9,ROWS($1:9)*6-6,),BW$2,OFFSET($F$4:$BN$9,ROWS($1:9)*6-6,))</f>
        <v>0</v>
      </c>
      <c r="BX12" s="29">
        <f ca="1">SUMIF(OFFSET($E$4:$BM$9,ROWS($1:9)*6-6,),BX$2,OFFSET($F$4:$BN$9,ROWS($1:9)*6-6,))</f>
        <v>0</v>
      </c>
      <c r="BY12" s="29">
        <f ca="1">SUMIF(OFFSET($E$4:$BM$9,ROWS($1:9)*6-6,),BY$2,OFFSET($F$4:$BN$9,ROWS($1:9)*6-6,))</f>
        <v>0</v>
      </c>
      <c r="BZ12" s="29">
        <f ca="1">SUMIF(OFFSET($E$4:$BM$9,ROWS($1:9)*6-6,),BZ$2,OFFSET($F$4:$BN$9,ROWS($1:9)*6-6,))</f>
        <v>0</v>
      </c>
      <c r="CA12" s="29">
        <f ca="1">SUMIF(OFFSET($E$4:$BM$9,ROWS($1:9)*6-6,),CA$2,OFFSET($F$4:$BN$9,ROWS($1:9)*6-6,))</f>
        <v>0</v>
      </c>
      <c r="CB12" s="29">
        <f ca="1">SUMIF(OFFSET($E$4:$BM$9,ROWS($1:9)*6-6,),CB$2,OFFSET($F$4:$BN$9,ROWS($1:9)*6-6,))</f>
        <v>0</v>
      </c>
      <c r="CC12" s="43">
        <f ca="1">SUMIF(OFFSET($E$4:$BM$9,ROWS($1:9)*6-6,),CC$2,OFFSET($F$4:$BN$9,ROWS($1:9)*6-6,))</f>
        <v>0</v>
      </c>
      <c r="CD12" s="44" t="str">
        <f t="shared" si="3"/>
        <v>陈永泽</v>
      </c>
      <c r="CE12" s="44">
        <f ca="1">INDEX(FREQUENCY(MMULT({1,1},SUBTOTAL(9,OFFSET($E$1,MATCH($CD12,$C:$C,)+{3;4},INT(COLUMN($A:$AE)*2)-1))),{3.9,7.9,11.9}),COLUMN(B9))</f>
        <v>0</v>
      </c>
      <c r="CF12" s="44">
        <f ca="1">INDEX(FREQUENCY(MMULT({1,1},SUBTOTAL(9,OFFSET($E$1,MATCH($CD12,$C:$C,)+{3;4},INT(COLUMN($A:$AE)*2)-1))),{3.9,7.9,11.9}),COLUMN(C9))</f>
        <v>0</v>
      </c>
      <c r="CG12" s="44">
        <f ca="1">INDEX(FREQUENCY(MMULT({1,1},SUBTOTAL(9,OFFSET($E$1,MATCH($CD12,$C:$C,)+{3;4},INT(COLUMN($A:$AE)*2)-1))),{3.9,7.9,11.9}),COLUMN(D9))</f>
        <v>0</v>
      </c>
    </row>
    <row r="13" spans="1:85" ht="17.25" customHeight="1" x14ac:dyDescent="0.15">
      <c r="A13" s="85"/>
      <c r="B13" s="49"/>
      <c r="C13" s="49"/>
      <c r="D13" s="56"/>
      <c r="E13" s="12"/>
      <c r="F13" s="12"/>
      <c r="G13" s="12"/>
      <c r="H13" s="12"/>
      <c r="I13" s="12"/>
      <c r="J13" s="12"/>
      <c r="K13" s="12"/>
      <c r="L13" s="12"/>
      <c r="M13" s="12" t="s">
        <v>15</v>
      </c>
      <c r="N13" s="12">
        <v>2</v>
      </c>
      <c r="O13" s="12" t="s">
        <v>15</v>
      </c>
      <c r="P13" s="12">
        <v>2</v>
      </c>
      <c r="Q13" s="12" t="s">
        <v>15</v>
      </c>
      <c r="R13" s="12">
        <v>2</v>
      </c>
      <c r="S13" s="12"/>
      <c r="T13" s="12"/>
      <c r="U13" s="12" t="s">
        <v>14</v>
      </c>
      <c r="V13" s="12">
        <v>2</v>
      </c>
      <c r="W13" s="12" t="s">
        <v>14</v>
      </c>
      <c r="X13" s="12">
        <v>2</v>
      </c>
      <c r="Y13" s="12" t="s">
        <v>14</v>
      </c>
      <c r="Z13" s="12">
        <v>2</v>
      </c>
      <c r="AA13" s="12" t="s">
        <v>14</v>
      </c>
      <c r="AB13" s="12">
        <v>2</v>
      </c>
      <c r="AC13" s="12" t="s">
        <v>14</v>
      </c>
      <c r="AD13" s="12">
        <v>2</v>
      </c>
      <c r="AE13" s="12" t="s">
        <v>14</v>
      </c>
      <c r="AF13" s="12">
        <v>2</v>
      </c>
      <c r="AG13" s="12"/>
      <c r="AH13" s="12"/>
      <c r="AI13" s="12" t="s">
        <v>14</v>
      </c>
      <c r="AJ13" s="12">
        <v>2</v>
      </c>
      <c r="AK13" s="12" t="s">
        <v>14</v>
      </c>
      <c r="AL13" s="12">
        <v>2</v>
      </c>
      <c r="AM13" s="12" t="s">
        <v>14</v>
      </c>
      <c r="AN13" s="12">
        <v>2</v>
      </c>
      <c r="AO13" s="12" t="s">
        <v>14</v>
      </c>
      <c r="AP13" s="12">
        <v>2</v>
      </c>
      <c r="AQ13" s="12" t="s">
        <v>14</v>
      </c>
      <c r="AR13" s="12">
        <v>2</v>
      </c>
      <c r="AS13" s="12" t="s">
        <v>14</v>
      </c>
      <c r="AT13" s="12">
        <v>2</v>
      </c>
      <c r="AU13" s="12"/>
      <c r="AV13" s="12"/>
      <c r="AW13" s="12" t="s">
        <v>14</v>
      </c>
      <c r="AX13" s="12">
        <v>2</v>
      </c>
      <c r="AY13" s="12" t="s">
        <v>14</v>
      </c>
      <c r="AZ13" s="12">
        <v>2</v>
      </c>
      <c r="BA13" s="12" t="s">
        <v>14</v>
      </c>
      <c r="BB13" s="12">
        <v>2</v>
      </c>
      <c r="BC13" s="12" t="s">
        <v>14</v>
      </c>
      <c r="BD13" s="12">
        <v>2</v>
      </c>
      <c r="BE13" s="12" t="s">
        <v>14</v>
      </c>
      <c r="BF13" s="12">
        <v>2</v>
      </c>
      <c r="BG13" s="12" t="s">
        <v>14</v>
      </c>
      <c r="BH13" s="12">
        <v>2</v>
      </c>
      <c r="BI13" s="12"/>
      <c r="BJ13" s="12"/>
      <c r="BK13" s="12" t="s">
        <v>14</v>
      </c>
      <c r="BL13" s="12">
        <v>2</v>
      </c>
      <c r="BM13" s="12" t="s">
        <v>14</v>
      </c>
      <c r="BN13" s="35">
        <v>2</v>
      </c>
      <c r="BP13" s="27">
        <v>10</v>
      </c>
      <c r="BQ13" s="27" t="s">
        <v>155</v>
      </c>
      <c r="BR13" s="29">
        <f ca="1">SUMIF(OFFSET($E$4:$BM$9,ROWS($1:10)*6-6,),BR$2,OFFSET($F$4:$BN$9,ROWS($1:10)*6-6,))</f>
        <v>192</v>
      </c>
      <c r="BS13" s="29">
        <f ca="1">SUMIF(OFFSET($E$4:$BM$9,ROWS($1:10)*6-6,),BS$2,OFFSET($F$4:$BN$9,ROWS($1:10)*6-6,))</f>
        <v>0</v>
      </c>
      <c r="BT13" s="29">
        <f ca="1">SUMIF(OFFSET($E$4:$BM$9,ROWS($1:10)*6-6,),BT$2,OFFSET($F$4:$BN$9,ROWS($1:10)*6-6,))</f>
        <v>0</v>
      </c>
      <c r="BU13" s="29">
        <f ca="1">SUMIF(OFFSET($E$4:$BM$9,ROWS($1:10)*6-6,),BU$2,OFFSET($F$4:$BN$9,ROWS($1:10)*6-6,))</f>
        <v>0</v>
      </c>
      <c r="BV13" s="29">
        <f ca="1">SUMIF(OFFSET($E$4:$BM$9,ROWS($1:10)*6-6,),BV$2,OFFSET($F$4:$BN$9,ROWS($1:10)*6-6,))</f>
        <v>0</v>
      </c>
      <c r="BW13" s="29">
        <f ca="1">SUMIF(OFFSET($E$4:$BM$9,ROWS($1:10)*6-6,),BW$2,OFFSET($F$4:$BN$9,ROWS($1:10)*6-6,))</f>
        <v>0</v>
      </c>
      <c r="BX13" s="29">
        <f ca="1">SUMIF(OFFSET($E$4:$BM$9,ROWS($1:10)*6-6,),BX$2,OFFSET($F$4:$BN$9,ROWS($1:10)*6-6,))</f>
        <v>0</v>
      </c>
      <c r="BY13" s="29">
        <f ca="1">SUMIF(OFFSET($E$4:$BM$9,ROWS($1:10)*6-6,),BY$2,OFFSET($F$4:$BN$9,ROWS($1:10)*6-6,))</f>
        <v>0</v>
      </c>
      <c r="BZ13" s="29">
        <f ca="1">SUMIF(OFFSET($E$4:$BM$9,ROWS($1:10)*6-6,),BZ$2,OFFSET($F$4:$BN$9,ROWS($1:10)*6-6,))</f>
        <v>0</v>
      </c>
      <c r="CA13" s="29">
        <f ca="1">SUMIF(OFFSET($E$4:$BM$9,ROWS($1:10)*6-6,),CA$2,OFFSET($F$4:$BN$9,ROWS($1:10)*6-6,))</f>
        <v>0</v>
      </c>
      <c r="CB13" s="29">
        <f ca="1">SUMIF(OFFSET($E$4:$BM$9,ROWS($1:10)*6-6,),CB$2,OFFSET($F$4:$BN$9,ROWS($1:10)*6-6,))</f>
        <v>0</v>
      </c>
      <c r="CC13" s="43">
        <f ca="1">SUMIF(OFFSET($E$4:$BM$9,ROWS($1:10)*6-6,),CC$2,OFFSET($F$4:$BN$9,ROWS($1:10)*6-6,))</f>
        <v>0</v>
      </c>
      <c r="CD13" s="44" t="str">
        <f t="shared" si="3"/>
        <v>彭韶峰</v>
      </c>
      <c r="CE13" s="44">
        <f ca="1">INDEX(FREQUENCY(MMULT({1,1},SUBTOTAL(9,OFFSET($E$1,MATCH($CD13,$C:$C,)+{3;4},INT(COLUMN($A:$AE)*2)-1))),{3.9,7.9,11.9}),COLUMN(B10))</f>
        <v>0</v>
      </c>
      <c r="CF13" s="44">
        <f ca="1">INDEX(FREQUENCY(MMULT({1,1},SUBTOTAL(9,OFFSET($E$1,MATCH($CD13,$C:$C,)+{3;4},INT(COLUMN($A:$AE)*2)-1))),{3.9,7.9,11.9}),COLUMN(C10))</f>
        <v>0</v>
      </c>
      <c r="CG13" s="44">
        <f ca="1">INDEX(FREQUENCY(MMULT({1,1},SUBTOTAL(9,OFFSET($E$1,MATCH($CD13,$C:$C,)+{3;4},INT(COLUMN($A:$AE)*2)-1))),{3.9,7.9,11.9}),COLUMN(D10))</f>
        <v>0</v>
      </c>
    </row>
    <row r="14" spans="1:85" ht="17.25" customHeight="1" x14ac:dyDescent="0.15">
      <c r="A14" s="85"/>
      <c r="B14" s="49"/>
      <c r="C14" s="49"/>
      <c r="D14" s="58" t="s">
        <v>49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 t="s">
        <v>15</v>
      </c>
      <c r="V14" s="14"/>
      <c r="W14" s="14" t="s">
        <v>15</v>
      </c>
      <c r="X14" s="14">
        <v>4</v>
      </c>
      <c r="Y14" s="14" t="s">
        <v>15</v>
      </c>
      <c r="Z14" s="14"/>
      <c r="AA14" s="14" t="s">
        <v>15</v>
      </c>
      <c r="AB14" s="14"/>
      <c r="AC14" s="14" t="s">
        <v>15</v>
      </c>
      <c r="AD14" s="14"/>
      <c r="AE14" s="14" t="s">
        <v>15</v>
      </c>
      <c r="AF14" s="14"/>
      <c r="AG14" s="14"/>
      <c r="AH14" s="14"/>
      <c r="AI14" s="14" t="s">
        <v>15</v>
      </c>
      <c r="AJ14" s="14"/>
      <c r="AK14" s="14" t="s">
        <v>15</v>
      </c>
      <c r="AL14" s="14"/>
      <c r="AM14" s="14" t="s">
        <v>15</v>
      </c>
      <c r="AN14" s="14"/>
      <c r="AO14" s="14" t="s">
        <v>15</v>
      </c>
      <c r="AP14" s="14"/>
      <c r="AQ14" s="14" t="s">
        <v>15</v>
      </c>
      <c r="AR14" s="14"/>
      <c r="AS14" s="14" t="s">
        <v>15</v>
      </c>
      <c r="AT14" s="14"/>
      <c r="AU14" s="14"/>
      <c r="AV14" s="14"/>
      <c r="AW14" s="14" t="s">
        <v>15</v>
      </c>
      <c r="AX14" s="14"/>
      <c r="AY14" s="14" t="s">
        <v>15</v>
      </c>
      <c r="AZ14" s="14"/>
      <c r="BA14" s="14" t="s">
        <v>15</v>
      </c>
      <c r="BB14" s="14"/>
      <c r="BC14" s="14" t="s">
        <v>15</v>
      </c>
      <c r="BD14" s="14"/>
      <c r="BE14" s="14" t="s">
        <v>15</v>
      </c>
      <c r="BF14" s="14">
        <v>1</v>
      </c>
      <c r="BG14" s="14" t="s">
        <v>15</v>
      </c>
      <c r="BH14" s="14"/>
      <c r="BI14" s="14"/>
      <c r="BJ14" s="14"/>
      <c r="BK14" s="14" t="s">
        <v>15</v>
      </c>
      <c r="BL14" s="14"/>
      <c r="BM14" s="14" t="s">
        <v>15</v>
      </c>
      <c r="BN14" s="37"/>
      <c r="BP14" s="27">
        <v>11</v>
      </c>
      <c r="BQ14" s="27" t="s">
        <v>68</v>
      </c>
      <c r="BR14" s="29">
        <f ca="1">SUMIF(OFFSET($E$4:$BM$9,ROWS($1:11)*6-6,),BR$2,OFFSET($F$4:$BN$9,ROWS($1:11)*6-6,))</f>
        <v>160</v>
      </c>
      <c r="BS14" s="29">
        <f ca="1">SUMIF(OFFSET($E$4:$BM$9,ROWS($1:11)*6-6,),BS$2,OFFSET($F$4:$BN$9,ROWS($1:11)*6-6,))</f>
        <v>52.5</v>
      </c>
      <c r="BT14" s="29">
        <f ca="1">SUMIF(OFFSET($E$4:$BM$9,ROWS($1:11)*6-6,),BT$2,OFFSET($F$4:$BN$9,ROWS($1:11)*6-6,))</f>
        <v>8</v>
      </c>
      <c r="BU14" s="29">
        <f ca="1">SUMIF(OFFSET($E$4:$BM$9,ROWS($1:11)*6-6,),BU$2,OFFSET($F$4:$BN$9,ROWS($1:11)*6-6,))</f>
        <v>0</v>
      </c>
      <c r="BV14" s="29">
        <f ca="1">SUMIF(OFFSET($E$4:$BM$9,ROWS($1:11)*6-6,),BV$2,OFFSET($F$4:$BN$9,ROWS($1:11)*6-6,))</f>
        <v>0</v>
      </c>
      <c r="BW14" s="29">
        <f ca="1">SUMIF(OFFSET($E$4:$BM$9,ROWS($1:11)*6-6,),BW$2,OFFSET($F$4:$BN$9,ROWS($1:11)*6-6,))</f>
        <v>0</v>
      </c>
      <c r="BX14" s="29">
        <f ca="1">SUMIF(OFFSET($E$4:$BM$9,ROWS($1:11)*6-6,),BX$2,OFFSET($F$4:$BN$9,ROWS($1:11)*6-6,))</f>
        <v>0</v>
      </c>
      <c r="BY14" s="29">
        <f ca="1">SUMIF(OFFSET($E$4:$BM$9,ROWS($1:11)*6-6,),BY$2,OFFSET($F$4:$BN$9,ROWS($1:11)*6-6,))</f>
        <v>0</v>
      </c>
      <c r="BZ14" s="29">
        <f ca="1">SUMIF(OFFSET($E$4:$BM$9,ROWS($1:11)*6-6,),BZ$2,OFFSET($F$4:$BN$9,ROWS($1:11)*6-6,))</f>
        <v>0</v>
      </c>
      <c r="CA14" s="29">
        <f ca="1">SUMIF(OFFSET($E$4:$BM$9,ROWS($1:11)*6-6,),CA$2,OFFSET($F$4:$BN$9,ROWS($1:11)*6-6,))</f>
        <v>0</v>
      </c>
      <c r="CB14" s="29">
        <f ca="1">SUMIF(OFFSET($E$4:$BM$9,ROWS($1:11)*6-6,),CB$2,OFFSET($F$4:$BN$9,ROWS($1:11)*6-6,))</f>
        <v>0</v>
      </c>
      <c r="CC14" s="43">
        <f ca="1">SUMIF(OFFSET($E$4:$BM$9,ROWS($1:11)*6-6,),CC$2,OFFSET($F$4:$BN$9,ROWS($1:11)*6-6,))</f>
        <v>0</v>
      </c>
      <c r="CD14" s="44" t="str">
        <f t="shared" si="3"/>
        <v>李成</v>
      </c>
      <c r="CE14" s="44">
        <f ca="1">INDEX(FREQUENCY(MMULT({1,1},SUBTOTAL(9,OFFSET($E$1,MATCH($CD14,$C:$C,)+{3;4},INT(COLUMN($A:$AE)*2)-1))),{3.9,7.9,11.9}),COLUMN(B11))</f>
        <v>3</v>
      </c>
      <c r="CF14" s="44">
        <f ca="1">INDEX(FREQUENCY(MMULT({1,1},SUBTOTAL(9,OFFSET($E$1,MATCH($CD14,$C:$C,)+{3;4},INT(COLUMN($A:$AE)*2)-1))),{3.9,7.9,11.9}),COLUMN(C11))</f>
        <v>0</v>
      </c>
      <c r="CG14" s="44">
        <f ca="1">INDEX(FREQUENCY(MMULT({1,1},SUBTOTAL(9,OFFSET($E$1,MATCH($CD14,$C:$C,)+{3;4},INT(COLUMN($A:$AE)*2)-1))),{3.9,7.9,11.9}),COLUMN(D11))</f>
        <v>0</v>
      </c>
    </row>
    <row r="15" spans="1:85" ht="17.25" customHeight="1" thickBot="1" x14ac:dyDescent="0.2">
      <c r="A15" s="86"/>
      <c r="B15" s="50"/>
      <c r="C15" s="50"/>
      <c r="D15" s="59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38"/>
      <c r="BP15" s="27">
        <v>12</v>
      </c>
      <c r="BQ15" s="27" t="s">
        <v>168</v>
      </c>
      <c r="BR15" s="29">
        <f ca="1">SUMIF(OFFSET($E$4:$BM$9,ROWS($1:12)*6-6,),BR$2,OFFSET($F$4:$BN$9,ROWS($1:12)*6-6,))</f>
        <v>160</v>
      </c>
      <c r="BS15" s="29">
        <f ca="1">SUMIF(OFFSET($E$4:$BM$9,ROWS($1:12)*6-6,),BS$2,OFFSET($F$4:$BN$9,ROWS($1:12)*6-6,))</f>
        <v>39</v>
      </c>
      <c r="BT15" s="29">
        <f ca="1">SUMIF(OFFSET($E$4:$BM$9,ROWS($1:12)*6-6,),BT$2,OFFSET($F$4:$BN$9,ROWS($1:12)*6-6,))</f>
        <v>8</v>
      </c>
      <c r="BU15" s="29">
        <f ca="1">SUMIF(OFFSET($E$4:$BM$9,ROWS($1:12)*6-6,),BU$2,OFFSET($F$4:$BN$9,ROWS($1:12)*6-6,))</f>
        <v>0</v>
      </c>
      <c r="BV15" s="29">
        <f ca="1">SUMIF(OFFSET($E$4:$BM$9,ROWS($1:12)*6-6,),BV$2,OFFSET($F$4:$BN$9,ROWS($1:12)*6-6,))</f>
        <v>0</v>
      </c>
      <c r="BW15" s="29">
        <f ca="1">SUMIF(OFFSET($E$4:$BM$9,ROWS($1:12)*6-6,),BW$2,OFFSET($F$4:$BN$9,ROWS($1:12)*6-6,))</f>
        <v>0</v>
      </c>
      <c r="BX15" s="29">
        <f ca="1">SUMIF(OFFSET($E$4:$BM$9,ROWS($1:12)*6-6,),BX$2,OFFSET($F$4:$BN$9,ROWS($1:12)*6-6,))</f>
        <v>0</v>
      </c>
      <c r="BY15" s="29">
        <f ca="1">SUMIF(OFFSET($E$4:$BM$9,ROWS($1:12)*6-6,),BY$2,OFFSET($F$4:$BN$9,ROWS($1:12)*6-6,))</f>
        <v>0</v>
      </c>
      <c r="BZ15" s="29">
        <f ca="1">SUMIF(OFFSET($E$4:$BM$9,ROWS($1:12)*6-6,),BZ$2,OFFSET($F$4:$BN$9,ROWS($1:12)*6-6,))</f>
        <v>0</v>
      </c>
      <c r="CA15" s="29">
        <f ca="1">SUMIF(OFFSET($E$4:$BM$9,ROWS($1:12)*6-6,),CA$2,OFFSET($F$4:$BN$9,ROWS($1:12)*6-6,))</f>
        <v>0</v>
      </c>
      <c r="CB15" s="29">
        <f ca="1">SUMIF(OFFSET($E$4:$BM$9,ROWS($1:12)*6-6,),CB$2,OFFSET($F$4:$BN$9,ROWS($1:12)*6-6,))</f>
        <v>0</v>
      </c>
      <c r="CC15" s="43">
        <f ca="1">SUMIF(OFFSET($E$4:$BM$9,ROWS($1:12)*6-6,),CC$2,OFFSET($F$4:$BN$9,ROWS($1:12)*6-6,))</f>
        <v>0</v>
      </c>
      <c r="CD15" s="44" t="str">
        <f t="shared" si="3"/>
        <v>吴晓波</v>
      </c>
      <c r="CE15" s="44">
        <f ca="1">INDEX(FREQUENCY(MMULT({1,1},SUBTOTAL(9,OFFSET($E$1,MATCH($CD15,$C:$C,)+{3;4},INT(COLUMN($A:$AE)*2)-1))),{3.9,7.9,11.9}),COLUMN(B12))</f>
        <v>0</v>
      </c>
      <c r="CF15" s="44">
        <f ca="1">INDEX(FREQUENCY(MMULT({1,1},SUBTOTAL(9,OFFSET($E$1,MATCH($CD15,$C:$C,)+{3;4},INT(COLUMN($A:$AE)*2)-1))),{3.9,7.9,11.9}),COLUMN(C12))</f>
        <v>0</v>
      </c>
      <c r="CG15" s="44">
        <f ca="1">INDEX(FREQUENCY(MMULT({1,1},SUBTOTAL(9,OFFSET($E$1,MATCH($CD15,$C:$C,)+{3;4},INT(COLUMN($A:$AE)*2)-1))),{3.9,7.9,11.9}),COLUMN(D12))</f>
        <v>0</v>
      </c>
    </row>
    <row r="16" spans="1:85" ht="17.25" customHeight="1" x14ac:dyDescent="0.15">
      <c r="A16" s="84" t="s">
        <v>153</v>
      </c>
      <c r="B16" s="48" t="s">
        <v>107</v>
      </c>
      <c r="C16" s="48" t="s">
        <v>116</v>
      </c>
      <c r="D16" s="55" t="s">
        <v>45</v>
      </c>
      <c r="E16" s="11"/>
      <c r="F16" s="11"/>
      <c r="G16" s="11" t="s">
        <v>14</v>
      </c>
      <c r="H16" s="11">
        <v>2</v>
      </c>
      <c r="I16" s="11" t="s">
        <v>14</v>
      </c>
      <c r="J16" s="11">
        <v>2</v>
      </c>
      <c r="K16" s="11" t="s">
        <v>14</v>
      </c>
      <c r="L16" s="11">
        <v>2</v>
      </c>
      <c r="M16" s="11" t="s">
        <v>14</v>
      </c>
      <c r="N16" s="11">
        <v>2</v>
      </c>
      <c r="O16" s="11" t="s">
        <v>14</v>
      </c>
      <c r="P16" s="11">
        <v>2</v>
      </c>
      <c r="Q16" s="11" t="s">
        <v>14</v>
      </c>
      <c r="R16" s="11">
        <v>2</v>
      </c>
      <c r="S16" s="11"/>
      <c r="T16" s="11"/>
      <c r="U16" s="11" t="s">
        <v>14</v>
      </c>
      <c r="V16" s="11">
        <v>2</v>
      </c>
      <c r="W16" s="11" t="s">
        <v>14</v>
      </c>
      <c r="X16" s="11">
        <v>2</v>
      </c>
      <c r="Y16" s="11" t="s">
        <v>14</v>
      </c>
      <c r="Z16" s="11">
        <v>2</v>
      </c>
      <c r="AA16" s="11" t="s">
        <v>14</v>
      </c>
      <c r="AB16" s="11">
        <v>2</v>
      </c>
      <c r="AC16" s="11" t="s">
        <v>14</v>
      </c>
      <c r="AD16" s="11">
        <v>2</v>
      </c>
      <c r="AE16" s="11" t="s">
        <v>14</v>
      </c>
      <c r="AF16" s="11">
        <v>2</v>
      </c>
      <c r="AG16" s="11"/>
      <c r="AH16" s="11"/>
      <c r="AI16" s="11" t="s">
        <v>14</v>
      </c>
      <c r="AJ16" s="11">
        <v>2</v>
      </c>
      <c r="AK16" s="11" t="s">
        <v>14</v>
      </c>
      <c r="AL16" s="11">
        <v>2</v>
      </c>
      <c r="AM16" s="11" t="s">
        <v>14</v>
      </c>
      <c r="AN16" s="11">
        <v>2</v>
      </c>
      <c r="AO16" s="11" t="s">
        <v>14</v>
      </c>
      <c r="AP16" s="11">
        <v>2</v>
      </c>
      <c r="AQ16" s="11" t="s">
        <v>14</v>
      </c>
      <c r="AR16" s="11">
        <v>2</v>
      </c>
      <c r="AS16" s="11" t="s">
        <v>14</v>
      </c>
      <c r="AT16" s="11">
        <v>2</v>
      </c>
      <c r="AU16" s="11"/>
      <c r="AV16" s="11"/>
      <c r="AW16" s="11" t="s">
        <v>14</v>
      </c>
      <c r="AX16" s="11">
        <v>2</v>
      </c>
      <c r="AY16" s="11" t="s">
        <v>14</v>
      </c>
      <c r="AZ16" s="11">
        <v>2</v>
      </c>
      <c r="BA16" s="11" t="s">
        <v>14</v>
      </c>
      <c r="BB16" s="11">
        <v>2</v>
      </c>
      <c r="BC16" s="11" t="s">
        <v>14</v>
      </c>
      <c r="BD16" s="11">
        <v>2</v>
      </c>
      <c r="BE16" s="11" t="s">
        <v>14</v>
      </c>
      <c r="BF16" s="11">
        <v>2</v>
      </c>
      <c r="BG16" s="11" t="s">
        <v>14</v>
      </c>
      <c r="BH16" s="11">
        <v>2</v>
      </c>
      <c r="BI16" s="11"/>
      <c r="BJ16" s="11"/>
      <c r="BK16" s="11" t="s">
        <v>14</v>
      </c>
      <c r="BL16" s="11">
        <v>2</v>
      </c>
      <c r="BM16" s="11" t="s">
        <v>14</v>
      </c>
      <c r="BN16" s="34">
        <v>2</v>
      </c>
      <c r="BP16" s="27">
        <v>13</v>
      </c>
      <c r="BQ16" s="27" t="s">
        <v>167</v>
      </c>
      <c r="BR16" s="29">
        <f ca="1">SUMIF(OFFSET($E$4:$BM$9,ROWS($1:13)*6-6,),BR$2,OFFSET($F$4:$BN$9,ROWS($1:13)*6-6,))</f>
        <v>160</v>
      </c>
      <c r="BS16" s="29">
        <f ca="1">SUMIF(OFFSET($E$4:$BM$9,ROWS($1:13)*6-6,),BS$2,OFFSET($F$4:$BN$9,ROWS($1:13)*6-6,))</f>
        <v>39</v>
      </c>
      <c r="BT16" s="29">
        <f ca="1">SUMIF(OFFSET($E$4:$BM$9,ROWS($1:13)*6-6,),BT$2,OFFSET($F$4:$BN$9,ROWS($1:13)*6-6,))</f>
        <v>8</v>
      </c>
      <c r="BU16" s="29">
        <f ca="1">SUMIF(OFFSET($E$4:$BM$9,ROWS($1:13)*6-6,),BU$2,OFFSET($F$4:$BN$9,ROWS($1:13)*6-6,))</f>
        <v>0</v>
      </c>
      <c r="BV16" s="29">
        <f ca="1">SUMIF(OFFSET($E$4:$BM$9,ROWS($1:13)*6-6,),BV$2,OFFSET($F$4:$BN$9,ROWS($1:13)*6-6,))</f>
        <v>0</v>
      </c>
      <c r="BW16" s="29">
        <f ca="1">SUMIF(OFFSET($E$4:$BM$9,ROWS($1:13)*6-6,),BW$2,OFFSET($F$4:$BN$9,ROWS($1:13)*6-6,))</f>
        <v>0</v>
      </c>
      <c r="BX16" s="29">
        <f ca="1">SUMIF(OFFSET($E$4:$BM$9,ROWS($1:13)*6-6,),BX$2,OFFSET($F$4:$BN$9,ROWS($1:13)*6-6,))</f>
        <v>0</v>
      </c>
      <c r="BY16" s="29">
        <f ca="1">SUMIF(OFFSET($E$4:$BM$9,ROWS($1:13)*6-6,),BY$2,OFFSET($F$4:$BN$9,ROWS($1:13)*6-6,))</f>
        <v>0</v>
      </c>
      <c r="BZ16" s="29">
        <f ca="1">SUMIF(OFFSET($E$4:$BM$9,ROWS($1:13)*6-6,),BZ$2,OFFSET($F$4:$BN$9,ROWS($1:13)*6-6,))</f>
        <v>0</v>
      </c>
      <c r="CA16" s="29">
        <f ca="1">SUMIF(OFFSET($E$4:$BM$9,ROWS($1:13)*6-6,),CA$2,OFFSET($F$4:$BN$9,ROWS($1:13)*6-6,))</f>
        <v>0</v>
      </c>
      <c r="CB16" s="29">
        <f ca="1">SUMIF(OFFSET($E$4:$BM$9,ROWS($1:13)*6-6,),CB$2,OFFSET($F$4:$BN$9,ROWS($1:13)*6-6,))</f>
        <v>0</v>
      </c>
      <c r="CC16" s="43">
        <f ca="1">SUMIF(OFFSET($E$4:$BM$9,ROWS($1:13)*6-6,),CC$2,OFFSET($F$4:$BN$9,ROWS($1:13)*6-6,))</f>
        <v>0</v>
      </c>
      <c r="CD16" s="44" t="str">
        <f t="shared" si="3"/>
        <v>张官树</v>
      </c>
      <c r="CE16" s="44">
        <f ca="1">INDEX(FREQUENCY(MMULT({1,1},SUBTOTAL(9,OFFSET($E$1,MATCH($CD16,$C:$C,)+{3;4},INT(COLUMN($A:$AE)*2)-1))),{3.9,7.9,11.9}),COLUMN(B13))</f>
        <v>0</v>
      </c>
      <c r="CF16" s="44">
        <f ca="1">INDEX(FREQUENCY(MMULT({1,1},SUBTOTAL(9,OFFSET($E$1,MATCH($CD16,$C:$C,)+{3;4},INT(COLUMN($A:$AE)*2)-1))),{3.9,7.9,11.9}),COLUMN(C13))</f>
        <v>0</v>
      </c>
      <c r="CG16" s="44">
        <f ca="1">INDEX(FREQUENCY(MMULT({1,1},SUBTOTAL(9,OFFSET($E$1,MATCH($CD16,$C:$C,)+{3;4},INT(COLUMN($A:$AE)*2)-1))),{3.9,7.9,11.9}),COLUMN(D13))</f>
        <v>0</v>
      </c>
    </row>
    <row r="17" spans="1:85" ht="17.25" customHeight="1" x14ac:dyDescent="0.15">
      <c r="A17" s="85"/>
      <c r="B17" s="49"/>
      <c r="C17" s="49"/>
      <c r="D17" s="56"/>
      <c r="E17" s="12"/>
      <c r="F17" s="12"/>
      <c r="G17" s="12" t="s">
        <v>14</v>
      </c>
      <c r="H17" s="12">
        <v>2</v>
      </c>
      <c r="I17" s="12" t="s">
        <v>14</v>
      </c>
      <c r="J17" s="12">
        <v>2</v>
      </c>
      <c r="K17" s="12" t="s">
        <v>14</v>
      </c>
      <c r="L17" s="12">
        <v>2</v>
      </c>
      <c r="M17" s="12" t="s">
        <v>14</v>
      </c>
      <c r="N17" s="12">
        <v>2</v>
      </c>
      <c r="O17" s="12" t="s">
        <v>14</v>
      </c>
      <c r="P17" s="12">
        <v>2</v>
      </c>
      <c r="Q17" s="12" t="s">
        <v>14</v>
      </c>
      <c r="R17" s="12">
        <v>2</v>
      </c>
      <c r="S17" s="12"/>
      <c r="T17" s="12"/>
      <c r="U17" s="12" t="s">
        <v>14</v>
      </c>
      <c r="V17" s="12">
        <v>2</v>
      </c>
      <c r="W17" s="12" t="s">
        <v>14</v>
      </c>
      <c r="X17" s="12">
        <v>2</v>
      </c>
      <c r="Y17" s="12" t="s">
        <v>14</v>
      </c>
      <c r="Z17" s="12">
        <v>2</v>
      </c>
      <c r="AA17" s="12" t="s">
        <v>14</v>
      </c>
      <c r="AB17" s="12">
        <v>2</v>
      </c>
      <c r="AC17" s="12" t="s">
        <v>14</v>
      </c>
      <c r="AD17" s="12">
        <v>2</v>
      </c>
      <c r="AE17" s="12" t="s">
        <v>14</v>
      </c>
      <c r="AF17" s="12">
        <v>2</v>
      </c>
      <c r="AG17" s="12"/>
      <c r="AH17" s="12"/>
      <c r="AI17" s="12" t="s">
        <v>14</v>
      </c>
      <c r="AJ17" s="12">
        <v>2</v>
      </c>
      <c r="AK17" s="12" t="s">
        <v>14</v>
      </c>
      <c r="AL17" s="12">
        <v>2</v>
      </c>
      <c r="AM17" s="12" t="s">
        <v>14</v>
      </c>
      <c r="AN17" s="12">
        <v>2</v>
      </c>
      <c r="AO17" s="12" t="s">
        <v>14</v>
      </c>
      <c r="AP17" s="12">
        <v>2</v>
      </c>
      <c r="AQ17" s="12" t="s">
        <v>14</v>
      </c>
      <c r="AR17" s="12">
        <v>2</v>
      </c>
      <c r="AS17" s="12" t="s">
        <v>14</v>
      </c>
      <c r="AT17" s="12">
        <v>2</v>
      </c>
      <c r="AU17" s="12"/>
      <c r="AV17" s="12"/>
      <c r="AW17" s="12" t="s">
        <v>14</v>
      </c>
      <c r="AX17" s="12">
        <v>2</v>
      </c>
      <c r="AY17" s="12" t="s">
        <v>14</v>
      </c>
      <c r="AZ17" s="12">
        <v>2</v>
      </c>
      <c r="BA17" s="12" t="s">
        <v>14</v>
      </c>
      <c r="BB17" s="12">
        <v>2</v>
      </c>
      <c r="BC17" s="12" t="s">
        <v>14</v>
      </c>
      <c r="BD17" s="12">
        <v>2</v>
      </c>
      <c r="BE17" s="12" t="s">
        <v>14</v>
      </c>
      <c r="BF17" s="12">
        <v>2</v>
      </c>
      <c r="BG17" s="12" t="s">
        <v>14</v>
      </c>
      <c r="BH17" s="12">
        <v>2</v>
      </c>
      <c r="BI17" s="12"/>
      <c r="BJ17" s="12"/>
      <c r="BK17" s="12" t="s">
        <v>14</v>
      </c>
      <c r="BL17" s="12">
        <v>2</v>
      </c>
      <c r="BM17" s="12" t="s">
        <v>14</v>
      </c>
      <c r="BN17" s="35">
        <v>2</v>
      </c>
      <c r="BP17" s="27">
        <v>14</v>
      </c>
      <c r="BQ17" s="27" t="s">
        <v>166</v>
      </c>
      <c r="BR17" s="29">
        <f ca="1">SUMIF(OFFSET($E$4:$BM$9,ROWS($1:14)*6-6,),BR$2,OFFSET($F$4:$BN$9,ROWS($1:14)*6-6,))</f>
        <v>160</v>
      </c>
      <c r="BS17" s="29">
        <f ca="1">SUMIF(OFFSET($E$4:$BM$9,ROWS($1:14)*6-6,),BS$2,OFFSET($F$4:$BN$9,ROWS($1:14)*6-6,))</f>
        <v>36</v>
      </c>
      <c r="BT17" s="29">
        <f ca="1">SUMIF(OFFSET($E$4:$BM$9,ROWS($1:14)*6-6,),BT$2,OFFSET($F$4:$BN$9,ROWS($1:14)*6-6,))</f>
        <v>8</v>
      </c>
      <c r="BU17" s="29">
        <f ca="1">SUMIF(OFFSET($E$4:$BM$9,ROWS($1:14)*6-6,),BU$2,OFFSET($F$4:$BN$9,ROWS($1:14)*6-6,))</f>
        <v>0</v>
      </c>
      <c r="BV17" s="29">
        <f ca="1">SUMIF(OFFSET($E$4:$BM$9,ROWS($1:14)*6-6,),BV$2,OFFSET($F$4:$BN$9,ROWS($1:14)*6-6,))</f>
        <v>0</v>
      </c>
      <c r="BW17" s="29">
        <f ca="1">SUMIF(OFFSET($E$4:$BM$9,ROWS($1:14)*6-6,),BW$2,OFFSET($F$4:$BN$9,ROWS($1:14)*6-6,))</f>
        <v>0</v>
      </c>
      <c r="BX17" s="29">
        <f ca="1">SUMIF(OFFSET($E$4:$BM$9,ROWS($1:14)*6-6,),BX$2,OFFSET($F$4:$BN$9,ROWS($1:14)*6-6,))</f>
        <v>0</v>
      </c>
      <c r="BY17" s="29">
        <f ca="1">SUMIF(OFFSET($E$4:$BM$9,ROWS($1:14)*6-6,),BY$2,OFFSET($F$4:$BN$9,ROWS($1:14)*6-6,))</f>
        <v>0</v>
      </c>
      <c r="BZ17" s="29">
        <f ca="1">SUMIF(OFFSET($E$4:$BM$9,ROWS($1:14)*6-6,),BZ$2,OFFSET($F$4:$BN$9,ROWS($1:14)*6-6,))</f>
        <v>0</v>
      </c>
      <c r="CA17" s="29">
        <f ca="1">SUMIF(OFFSET($E$4:$BM$9,ROWS($1:14)*6-6,),CA$2,OFFSET($F$4:$BN$9,ROWS($1:14)*6-6,))</f>
        <v>0</v>
      </c>
      <c r="CB17" s="29">
        <f ca="1">SUMIF(OFFSET($E$4:$BM$9,ROWS($1:14)*6-6,),CB$2,OFFSET($F$4:$BN$9,ROWS($1:14)*6-6,))</f>
        <v>0</v>
      </c>
      <c r="CC17" s="43">
        <f ca="1">SUMIF(OFFSET($E$4:$BM$9,ROWS($1:14)*6-6,),CC$2,OFFSET($F$4:$BN$9,ROWS($1:14)*6-6,))</f>
        <v>0</v>
      </c>
      <c r="CD17" s="44" t="str">
        <f t="shared" si="3"/>
        <v>龙家富</v>
      </c>
      <c r="CE17" s="44">
        <f ca="1">INDEX(FREQUENCY(MMULT({1,1},SUBTOTAL(9,OFFSET($E$1,MATCH($CD17,$C:$C,)+{3;4},INT(COLUMN($A:$AE)*2)-1))),{3.9,7.9,11.9}),COLUMN(B14))</f>
        <v>0</v>
      </c>
      <c r="CF17" s="44">
        <f ca="1">INDEX(FREQUENCY(MMULT({1,1},SUBTOTAL(9,OFFSET($E$1,MATCH($CD17,$C:$C,)+{3;4},INT(COLUMN($A:$AE)*2)-1))),{3.9,7.9,11.9}),COLUMN(C14))</f>
        <v>0</v>
      </c>
      <c r="CG17" s="44">
        <f ca="1">INDEX(FREQUENCY(MMULT({1,1},SUBTOTAL(9,OFFSET($E$1,MATCH($CD17,$C:$C,)+{3;4},INT(COLUMN($A:$AE)*2)-1))),{3.9,7.9,11.9}),COLUMN(D14))</f>
        <v>0</v>
      </c>
    </row>
    <row r="18" spans="1:85" ht="17.25" customHeight="1" x14ac:dyDescent="0.15">
      <c r="A18" s="85"/>
      <c r="B18" s="49"/>
      <c r="C18" s="49"/>
      <c r="D18" s="57" t="s">
        <v>47</v>
      </c>
      <c r="E18" s="13"/>
      <c r="F18" s="13"/>
      <c r="G18" s="13" t="s">
        <v>14</v>
      </c>
      <c r="H18" s="13">
        <v>2</v>
      </c>
      <c r="I18" s="13" t="s">
        <v>14</v>
      </c>
      <c r="J18" s="13">
        <v>2</v>
      </c>
      <c r="K18" s="13" t="s">
        <v>14</v>
      </c>
      <c r="L18" s="13">
        <v>2</v>
      </c>
      <c r="M18" s="13" t="s">
        <v>14</v>
      </c>
      <c r="N18" s="13">
        <v>2</v>
      </c>
      <c r="O18" s="13" t="s">
        <v>14</v>
      </c>
      <c r="P18" s="13">
        <v>2</v>
      </c>
      <c r="Q18" s="13" t="s">
        <v>14</v>
      </c>
      <c r="R18" s="13">
        <v>2</v>
      </c>
      <c r="S18" s="13"/>
      <c r="T18" s="13"/>
      <c r="U18" s="13" t="s">
        <v>14</v>
      </c>
      <c r="V18" s="13">
        <v>2</v>
      </c>
      <c r="W18" s="13" t="s">
        <v>14</v>
      </c>
      <c r="X18" s="13">
        <v>2</v>
      </c>
      <c r="Y18" s="13" t="s">
        <v>14</v>
      </c>
      <c r="Z18" s="13">
        <v>2</v>
      </c>
      <c r="AA18" s="13" t="s">
        <v>14</v>
      </c>
      <c r="AB18" s="13">
        <v>2</v>
      </c>
      <c r="AC18" s="13" t="s">
        <v>14</v>
      </c>
      <c r="AD18" s="13">
        <v>2</v>
      </c>
      <c r="AE18" s="13" t="s">
        <v>14</v>
      </c>
      <c r="AF18" s="13">
        <v>2</v>
      </c>
      <c r="AG18" s="13"/>
      <c r="AH18" s="13"/>
      <c r="AI18" s="13" t="s">
        <v>14</v>
      </c>
      <c r="AJ18" s="13">
        <v>2</v>
      </c>
      <c r="AK18" s="13" t="s">
        <v>14</v>
      </c>
      <c r="AL18" s="13">
        <v>2</v>
      </c>
      <c r="AM18" s="13" t="s">
        <v>14</v>
      </c>
      <c r="AN18" s="13">
        <v>2</v>
      </c>
      <c r="AO18" s="13" t="s">
        <v>14</v>
      </c>
      <c r="AP18" s="13">
        <v>2</v>
      </c>
      <c r="AQ18" s="13" t="s">
        <v>14</v>
      </c>
      <c r="AR18" s="13">
        <v>2</v>
      </c>
      <c r="AS18" s="13" t="s">
        <v>14</v>
      </c>
      <c r="AT18" s="13">
        <v>2</v>
      </c>
      <c r="AU18" s="13"/>
      <c r="AV18" s="13"/>
      <c r="AW18" s="13" t="s">
        <v>14</v>
      </c>
      <c r="AX18" s="13">
        <v>2</v>
      </c>
      <c r="AY18" s="13" t="s">
        <v>14</v>
      </c>
      <c r="AZ18" s="13">
        <v>2</v>
      </c>
      <c r="BA18" s="13" t="s">
        <v>14</v>
      </c>
      <c r="BB18" s="13">
        <v>2</v>
      </c>
      <c r="BC18" s="13" t="s">
        <v>14</v>
      </c>
      <c r="BD18" s="13">
        <v>2</v>
      </c>
      <c r="BE18" s="13" t="s">
        <v>14</v>
      </c>
      <c r="BF18" s="13">
        <v>2</v>
      </c>
      <c r="BG18" s="13" t="s">
        <v>14</v>
      </c>
      <c r="BH18" s="13">
        <v>2</v>
      </c>
      <c r="BI18" s="13"/>
      <c r="BJ18" s="13"/>
      <c r="BK18" s="13" t="s">
        <v>14</v>
      </c>
      <c r="BL18" s="13">
        <v>2</v>
      </c>
      <c r="BM18" s="13" t="s">
        <v>14</v>
      </c>
      <c r="BN18" s="36">
        <v>2</v>
      </c>
      <c r="BP18" s="27">
        <v>15</v>
      </c>
      <c r="BQ18" s="27" t="s">
        <v>165</v>
      </c>
      <c r="BR18" s="29">
        <f ca="1">SUMIF(OFFSET($E$4:$BM$9,ROWS($1:15)*6-6,),BR$2,OFFSET($F$4:$BN$9,ROWS($1:15)*6-6,))</f>
        <v>160</v>
      </c>
      <c r="BS18" s="29">
        <f ca="1">SUMIF(OFFSET($E$4:$BM$9,ROWS($1:15)*6-6,),BS$2,OFFSET($F$4:$BN$9,ROWS($1:15)*6-6,))</f>
        <v>12</v>
      </c>
      <c r="BT18" s="29">
        <f ca="1">SUMIF(OFFSET($E$4:$BM$9,ROWS($1:15)*6-6,),BT$2,OFFSET($F$4:$BN$9,ROWS($1:15)*6-6,))</f>
        <v>8</v>
      </c>
      <c r="BU18" s="29">
        <f ca="1">SUMIF(OFFSET($E$4:$BM$9,ROWS($1:15)*6-6,),BU$2,OFFSET($F$4:$BN$9,ROWS($1:15)*6-6,))</f>
        <v>0</v>
      </c>
      <c r="BV18" s="29">
        <f ca="1">SUMIF(OFFSET($E$4:$BM$9,ROWS($1:15)*6-6,),BV$2,OFFSET($F$4:$BN$9,ROWS($1:15)*6-6,))</f>
        <v>0</v>
      </c>
      <c r="BW18" s="29">
        <f ca="1">SUMIF(OFFSET($E$4:$BM$9,ROWS($1:15)*6-6,),BW$2,OFFSET($F$4:$BN$9,ROWS($1:15)*6-6,))</f>
        <v>0</v>
      </c>
      <c r="BX18" s="29">
        <f ca="1">SUMIF(OFFSET($E$4:$BM$9,ROWS($1:15)*6-6,),BX$2,OFFSET($F$4:$BN$9,ROWS($1:15)*6-6,))</f>
        <v>0</v>
      </c>
      <c r="BY18" s="29">
        <f ca="1">SUMIF(OFFSET($E$4:$BM$9,ROWS($1:15)*6-6,),BY$2,OFFSET($F$4:$BN$9,ROWS($1:15)*6-6,))</f>
        <v>0</v>
      </c>
      <c r="BZ18" s="29">
        <f ca="1">SUMIF(OFFSET($E$4:$BM$9,ROWS($1:15)*6-6,),BZ$2,OFFSET($F$4:$BN$9,ROWS($1:15)*6-6,))</f>
        <v>0</v>
      </c>
      <c r="CA18" s="29">
        <f ca="1">SUMIF(OFFSET($E$4:$BM$9,ROWS($1:15)*6-6,),CA$2,OFFSET($F$4:$BN$9,ROWS($1:15)*6-6,))</f>
        <v>0</v>
      </c>
      <c r="CB18" s="29">
        <f ca="1">SUMIF(OFFSET($E$4:$BM$9,ROWS($1:15)*6-6,),CB$2,OFFSET($F$4:$BN$9,ROWS($1:15)*6-6,))</f>
        <v>0</v>
      </c>
      <c r="CC18" s="43">
        <f ca="1">SUMIF(OFFSET($E$4:$BM$9,ROWS($1:15)*6-6,),CC$2,OFFSET($F$4:$BN$9,ROWS($1:15)*6-6,))</f>
        <v>0</v>
      </c>
      <c r="CD18" s="44" t="str">
        <f t="shared" si="3"/>
        <v>赵丁潘</v>
      </c>
      <c r="CE18" s="44">
        <f ca="1">INDEX(FREQUENCY(MMULT({1,1},SUBTOTAL(9,OFFSET($E$1,MATCH($CD18,$C:$C,)+{3;4},INT(COLUMN($A:$AE)*2)-1))),{3.9,7.9,11.9}),COLUMN(B15))</f>
        <v>0</v>
      </c>
      <c r="CF18" s="44">
        <f ca="1">INDEX(FREQUENCY(MMULT({1,1},SUBTOTAL(9,OFFSET($E$1,MATCH($CD18,$C:$C,)+{3;4},INT(COLUMN($A:$AE)*2)-1))),{3.9,7.9,11.9}),COLUMN(C15))</f>
        <v>0</v>
      </c>
      <c r="CG18" s="44">
        <f ca="1">INDEX(FREQUENCY(MMULT({1,1},SUBTOTAL(9,OFFSET($E$1,MATCH($CD18,$C:$C,)+{3;4},INT(COLUMN($A:$AE)*2)-1))),{3.9,7.9,11.9}),COLUMN(D15))</f>
        <v>0</v>
      </c>
    </row>
    <row r="19" spans="1:85" ht="17.25" customHeight="1" x14ac:dyDescent="0.15">
      <c r="A19" s="85"/>
      <c r="B19" s="49"/>
      <c r="C19" s="49"/>
      <c r="D19" s="56"/>
      <c r="E19" s="12"/>
      <c r="F19" s="12"/>
      <c r="G19" s="12" t="s">
        <v>14</v>
      </c>
      <c r="H19" s="12">
        <v>2</v>
      </c>
      <c r="I19" s="12" t="s">
        <v>14</v>
      </c>
      <c r="J19" s="12">
        <v>2</v>
      </c>
      <c r="K19" s="12" t="s">
        <v>14</v>
      </c>
      <c r="L19" s="12">
        <v>2</v>
      </c>
      <c r="M19" s="12" t="s">
        <v>14</v>
      </c>
      <c r="N19" s="12">
        <v>2</v>
      </c>
      <c r="O19" s="12" t="s">
        <v>14</v>
      </c>
      <c r="P19" s="12">
        <v>2</v>
      </c>
      <c r="Q19" s="12" t="s">
        <v>14</v>
      </c>
      <c r="R19" s="12">
        <v>2</v>
      </c>
      <c r="S19" s="12"/>
      <c r="T19" s="12"/>
      <c r="U19" s="12" t="s">
        <v>14</v>
      </c>
      <c r="V19" s="12">
        <v>2</v>
      </c>
      <c r="W19" s="12" t="s">
        <v>14</v>
      </c>
      <c r="X19" s="12">
        <v>2</v>
      </c>
      <c r="Y19" s="12" t="s">
        <v>14</v>
      </c>
      <c r="Z19" s="12">
        <v>2</v>
      </c>
      <c r="AA19" s="12" t="s">
        <v>14</v>
      </c>
      <c r="AB19" s="12">
        <v>2</v>
      </c>
      <c r="AC19" s="12" t="s">
        <v>14</v>
      </c>
      <c r="AD19" s="12">
        <v>2</v>
      </c>
      <c r="AE19" s="12" t="s">
        <v>14</v>
      </c>
      <c r="AF19" s="12">
        <v>2</v>
      </c>
      <c r="AG19" s="12"/>
      <c r="AH19" s="12"/>
      <c r="AI19" s="12" t="s">
        <v>14</v>
      </c>
      <c r="AJ19" s="12">
        <v>2</v>
      </c>
      <c r="AK19" s="12" t="s">
        <v>14</v>
      </c>
      <c r="AL19" s="12">
        <v>2</v>
      </c>
      <c r="AM19" s="12" t="s">
        <v>14</v>
      </c>
      <c r="AN19" s="12">
        <v>2</v>
      </c>
      <c r="AO19" s="12" t="s">
        <v>14</v>
      </c>
      <c r="AP19" s="12">
        <v>2</v>
      </c>
      <c r="AQ19" s="12" t="s">
        <v>14</v>
      </c>
      <c r="AR19" s="12">
        <v>2</v>
      </c>
      <c r="AS19" s="12" t="s">
        <v>14</v>
      </c>
      <c r="AT19" s="12">
        <v>2</v>
      </c>
      <c r="AU19" s="12"/>
      <c r="AV19" s="12"/>
      <c r="AW19" s="12" t="s">
        <v>14</v>
      </c>
      <c r="AX19" s="12">
        <v>2</v>
      </c>
      <c r="AY19" s="12" t="s">
        <v>14</v>
      </c>
      <c r="AZ19" s="12">
        <v>2</v>
      </c>
      <c r="BA19" s="12" t="s">
        <v>14</v>
      </c>
      <c r="BB19" s="12">
        <v>2</v>
      </c>
      <c r="BC19" s="12" t="s">
        <v>14</v>
      </c>
      <c r="BD19" s="12">
        <v>2</v>
      </c>
      <c r="BE19" s="12" t="s">
        <v>14</v>
      </c>
      <c r="BF19" s="12">
        <v>2</v>
      </c>
      <c r="BG19" s="12" t="s">
        <v>14</v>
      </c>
      <c r="BH19" s="12">
        <v>2</v>
      </c>
      <c r="BI19" s="12"/>
      <c r="BJ19" s="12"/>
      <c r="BK19" s="12" t="s">
        <v>14</v>
      </c>
      <c r="BL19" s="12">
        <v>2</v>
      </c>
      <c r="BM19" s="12" t="s">
        <v>14</v>
      </c>
      <c r="BN19" s="35">
        <v>2</v>
      </c>
      <c r="BP19" s="27">
        <v>16</v>
      </c>
      <c r="BQ19" s="27" t="s">
        <v>62</v>
      </c>
      <c r="BR19" s="29">
        <f ca="1">SUMIF(OFFSET($E$4:$BM$9,ROWS($1:16)*6-6,),BR$2,OFFSET($F$4:$BN$9,ROWS($1:16)*6-6,))</f>
        <v>112</v>
      </c>
      <c r="BS19" s="29">
        <f ca="1">SUMIF(OFFSET($E$4:$BM$9,ROWS($1:16)*6-6,),BS$2,OFFSET($F$4:$BN$9,ROWS($1:16)*6-6,))</f>
        <v>28</v>
      </c>
      <c r="BT19" s="29">
        <f ca="1">SUMIF(OFFSET($E$4:$BM$9,ROWS($1:16)*6-6,),BT$2,OFFSET($F$4:$BN$9,ROWS($1:16)*6-6,))</f>
        <v>8</v>
      </c>
      <c r="BU19" s="29">
        <f ca="1">SUMIF(OFFSET($E$4:$BM$9,ROWS($1:16)*6-6,),BU$2,OFFSET($F$4:$BN$9,ROWS($1:16)*6-6,))</f>
        <v>48</v>
      </c>
      <c r="BV19" s="29">
        <f ca="1">SUMIF(OFFSET($E$4:$BM$9,ROWS($1:16)*6-6,),BV$2,OFFSET($F$4:$BN$9,ROWS($1:16)*6-6,))</f>
        <v>0</v>
      </c>
      <c r="BW19" s="29">
        <f ca="1">SUMIF(OFFSET($E$4:$BM$9,ROWS($1:16)*6-6,),BW$2,OFFSET($F$4:$BN$9,ROWS($1:16)*6-6,))</f>
        <v>0</v>
      </c>
      <c r="BX19" s="29">
        <f ca="1">SUMIF(OFFSET($E$4:$BM$9,ROWS($1:16)*6-6,),BX$2,OFFSET($F$4:$BN$9,ROWS($1:16)*6-6,))</f>
        <v>0</v>
      </c>
      <c r="BY19" s="29">
        <f ca="1">SUMIF(OFFSET($E$4:$BM$9,ROWS($1:16)*6-6,),BY$2,OFFSET($F$4:$BN$9,ROWS($1:16)*6-6,))</f>
        <v>0</v>
      </c>
      <c r="BZ19" s="29">
        <f ca="1">SUMIF(OFFSET($E$4:$BM$9,ROWS($1:16)*6-6,),BZ$2,OFFSET($F$4:$BN$9,ROWS($1:16)*6-6,))</f>
        <v>0</v>
      </c>
      <c r="CA19" s="29">
        <f ca="1">SUMIF(OFFSET($E$4:$BM$9,ROWS($1:16)*6-6,),CA$2,OFFSET($F$4:$BN$9,ROWS($1:16)*6-6,))</f>
        <v>0</v>
      </c>
      <c r="CB19" s="29">
        <f ca="1">SUMIF(OFFSET($E$4:$BM$9,ROWS($1:16)*6-6,),CB$2,OFFSET($F$4:$BN$9,ROWS($1:16)*6-6,))</f>
        <v>0</v>
      </c>
      <c r="CC19" s="43">
        <f ca="1">SUMIF(OFFSET($E$4:$BM$9,ROWS($1:16)*6-6,),CC$2,OFFSET($F$4:$BN$9,ROWS($1:16)*6-6,))</f>
        <v>0</v>
      </c>
      <c r="CD19" s="44" t="str">
        <f t="shared" si="3"/>
        <v>曹保书</v>
      </c>
      <c r="CE19" s="44">
        <f ca="1">INDEX(FREQUENCY(MMULT({1,1},SUBTOTAL(9,OFFSET($E$1,MATCH($CD19,$C:$C,)+{3;4},INT(COLUMN($A:$AE)*2)-1))),{3.9,7.9,11.9}),COLUMN(B16))</f>
        <v>1</v>
      </c>
      <c r="CF19" s="44">
        <f ca="1">INDEX(FREQUENCY(MMULT({1,1},SUBTOTAL(9,OFFSET($E$1,MATCH($CD19,$C:$C,)+{3;4},INT(COLUMN($A:$AE)*2)-1))),{3.9,7.9,11.9}),COLUMN(C16))</f>
        <v>0</v>
      </c>
      <c r="CG19" s="44">
        <f ca="1">INDEX(FREQUENCY(MMULT({1,1},SUBTOTAL(9,OFFSET($E$1,MATCH($CD19,$C:$C,)+{3;4},INT(COLUMN($A:$AE)*2)-1))),{3.9,7.9,11.9}),COLUMN(D16))</f>
        <v>0</v>
      </c>
    </row>
    <row r="20" spans="1:85" ht="17.25" customHeight="1" x14ac:dyDescent="0.15">
      <c r="A20" s="85"/>
      <c r="B20" s="49"/>
      <c r="C20" s="49"/>
      <c r="D20" s="58" t="s">
        <v>49</v>
      </c>
      <c r="E20" s="14"/>
      <c r="F20" s="14"/>
      <c r="G20" s="14" t="s">
        <v>15</v>
      </c>
      <c r="H20" s="14"/>
      <c r="I20" s="14" t="s">
        <v>15</v>
      </c>
      <c r="J20" s="14"/>
      <c r="K20" s="14" t="s">
        <v>15</v>
      </c>
      <c r="L20" s="14"/>
      <c r="M20" s="14" t="s">
        <v>15</v>
      </c>
      <c r="N20" s="14"/>
      <c r="O20" s="14" t="s">
        <v>15</v>
      </c>
      <c r="P20" s="14"/>
      <c r="Q20" s="14" t="s">
        <v>15</v>
      </c>
      <c r="R20" s="14"/>
      <c r="S20" s="14"/>
      <c r="T20" s="14"/>
      <c r="U20" s="14" t="s">
        <v>15</v>
      </c>
      <c r="V20" s="14"/>
      <c r="W20" s="14" t="s">
        <v>15</v>
      </c>
      <c r="X20" s="14"/>
      <c r="Y20" s="14" t="s">
        <v>15</v>
      </c>
      <c r="Z20" s="14"/>
      <c r="AA20" s="14" t="s">
        <v>15</v>
      </c>
      <c r="AB20" s="14"/>
      <c r="AC20" s="14" t="s">
        <v>15</v>
      </c>
      <c r="AD20" s="14"/>
      <c r="AE20" s="14" t="s">
        <v>15</v>
      </c>
      <c r="AF20" s="14"/>
      <c r="AG20" s="14"/>
      <c r="AH20" s="14"/>
      <c r="AI20" s="14" t="s">
        <v>15</v>
      </c>
      <c r="AJ20" s="14"/>
      <c r="AK20" s="14" t="s">
        <v>15</v>
      </c>
      <c r="AL20" s="14"/>
      <c r="AM20" s="14" t="s">
        <v>15</v>
      </c>
      <c r="AN20" s="14"/>
      <c r="AO20" s="14" t="s">
        <v>15</v>
      </c>
      <c r="AP20" s="14"/>
      <c r="AQ20" s="14" t="s">
        <v>15</v>
      </c>
      <c r="AR20" s="14"/>
      <c r="AS20" s="14" t="s">
        <v>15</v>
      </c>
      <c r="AT20" s="14"/>
      <c r="AU20" s="14"/>
      <c r="AV20" s="14"/>
      <c r="AW20" s="14" t="s">
        <v>15</v>
      </c>
      <c r="AX20" s="14"/>
      <c r="AY20" s="14" t="s">
        <v>15</v>
      </c>
      <c r="AZ20" s="14"/>
      <c r="BA20" s="14" t="s">
        <v>15</v>
      </c>
      <c r="BB20" s="14"/>
      <c r="BC20" s="14" t="s">
        <v>15</v>
      </c>
      <c r="BD20" s="14"/>
      <c r="BE20" s="14" t="s">
        <v>15</v>
      </c>
      <c r="BF20" s="14"/>
      <c r="BG20" s="14" t="s">
        <v>15</v>
      </c>
      <c r="BH20" s="14"/>
      <c r="BI20" s="14"/>
      <c r="BJ20" s="14"/>
      <c r="BK20" s="14" t="s">
        <v>15</v>
      </c>
      <c r="BL20" s="14"/>
      <c r="BM20" s="14" t="s">
        <v>15</v>
      </c>
      <c r="BN20" s="37"/>
      <c r="BP20" s="27">
        <v>17</v>
      </c>
      <c r="BQ20" s="27" t="s">
        <v>78</v>
      </c>
      <c r="BR20" s="29">
        <f ca="1">SUMIF(OFFSET($E$4:$BM$9,ROWS($1:17)*6-6,),BR$2,OFFSET($F$4:$BN$9,ROWS($1:17)*6-6,))</f>
        <v>160</v>
      </c>
      <c r="BS20" s="29">
        <f ca="1">SUMIF(OFFSET($E$4:$BM$9,ROWS($1:17)*6-6,),BS$2,OFFSET($F$4:$BN$9,ROWS($1:17)*6-6,))</f>
        <v>63.5</v>
      </c>
      <c r="BT20" s="29">
        <f ca="1">SUMIF(OFFSET($E$4:$BM$9,ROWS($1:17)*6-6,),BT$2,OFFSET($F$4:$BN$9,ROWS($1:17)*6-6,))</f>
        <v>16</v>
      </c>
      <c r="BU20" s="29">
        <f ca="1">SUMIF(OFFSET($E$4:$BM$9,ROWS($1:17)*6-6,),BU$2,OFFSET($F$4:$BN$9,ROWS($1:17)*6-6,))</f>
        <v>0</v>
      </c>
      <c r="BV20" s="29">
        <f ca="1">SUMIF(OFFSET($E$4:$BM$9,ROWS($1:17)*6-6,),BV$2,OFFSET($F$4:$BN$9,ROWS($1:17)*6-6,))</f>
        <v>0</v>
      </c>
      <c r="BW20" s="29">
        <f ca="1">SUMIF(OFFSET($E$4:$BM$9,ROWS($1:17)*6-6,),BW$2,OFFSET($F$4:$BN$9,ROWS($1:17)*6-6,))</f>
        <v>0</v>
      </c>
      <c r="BX20" s="29">
        <f ca="1">SUMIF(OFFSET($E$4:$BM$9,ROWS($1:17)*6-6,),BX$2,OFFSET($F$4:$BN$9,ROWS($1:17)*6-6,))</f>
        <v>0</v>
      </c>
      <c r="BY20" s="29">
        <f ca="1">SUMIF(OFFSET($E$4:$BM$9,ROWS($1:17)*6-6,),BY$2,OFFSET($F$4:$BN$9,ROWS($1:17)*6-6,))</f>
        <v>0</v>
      </c>
      <c r="BZ20" s="29">
        <f ca="1">SUMIF(OFFSET($E$4:$BM$9,ROWS($1:17)*6-6,),BZ$2,OFFSET($F$4:$BN$9,ROWS($1:17)*6-6,))</f>
        <v>0</v>
      </c>
      <c r="CA20" s="29">
        <f ca="1">SUMIF(OFFSET($E$4:$BM$9,ROWS($1:17)*6-6,),CA$2,OFFSET($F$4:$BN$9,ROWS($1:17)*6-6,))</f>
        <v>0</v>
      </c>
      <c r="CB20" s="29">
        <f ca="1">SUMIF(OFFSET($E$4:$BM$9,ROWS($1:17)*6-6,),CB$2,OFFSET($F$4:$BN$9,ROWS($1:17)*6-6,))</f>
        <v>0</v>
      </c>
      <c r="CC20" s="43">
        <f ca="1">SUMIF(OFFSET($E$4:$BM$9,ROWS($1:17)*6-6,),CC$2,OFFSET($F$4:$BN$9,ROWS($1:17)*6-6,))</f>
        <v>0</v>
      </c>
      <c r="CD20" s="44" t="str">
        <f t="shared" si="3"/>
        <v>梁金锐</v>
      </c>
      <c r="CE20" s="44">
        <f ca="1">INDEX(FREQUENCY(MMULT({1,1},SUBTOTAL(9,OFFSET($E$1,MATCH($CD20,$C:$C,)+{3;4},INT(COLUMN($A:$AE)*2)-1))),{3.9,7.9,11.9}),COLUMN(B17))</f>
        <v>8</v>
      </c>
      <c r="CF20" s="44">
        <f ca="1">INDEX(FREQUENCY(MMULT({1,1},SUBTOTAL(9,OFFSET($E$1,MATCH($CD20,$C:$C,)+{3;4},INT(COLUMN($A:$AE)*2)-1))),{3.9,7.9,11.9}),COLUMN(C17))</f>
        <v>0</v>
      </c>
      <c r="CG20" s="44">
        <f ca="1">INDEX(FREQUENCY(MMULT({1,1},SUBTOTAL(9,OFFSET($E$1,MATCH($CD20,$C:$C,)+{3;4},INT(COLUMN($A:$AE)*2)-1))),{3.9,7.9,11.9}),COLUMN(D17))</f>
        <v>0</v>
      </c>
    </row>
    <row r="21" spans="1:85" ht="17.25" customHeight="1" thickBot="1" x14ac:dyDescent="0.2">
      <c r="A21" s="86"/>
      <c r="B21" s="50"/>
      <c r="C21" s="50"/>
      <c r="D21" s="59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38"/>
      <c r="BP21" s="27">
        <v>18</v>
      </c>
      <c r="BQ21" s="27" t="s">
        <v>79</v>
      </c>
      <c r="BR21" s="29">
        <f ca="1">SUMIF(OFFSET($E$4:$BM$9,ROWS($1:18)*6-6,),BR$2,OFFSET($F$4:$BN$9,ROWS($1:18)*6-6,))</f>
        <v>0</v>
      </c>
      <c r="BS21" s="29">
        <f ca="1">SUMIF(OFFSET($E$4:$BM$9,ROWS($1:18)*6-6,),BS$2,OFFSET($F$4:$BN$9,ROWS($1:18)*6-6,))</f>
        <v>0</v>
      </c>
      <c r="BT21" s="29">
        <f ca="1">SUMIF(OFFSET($E$4:$BM$9,ROWS($1:18)*6-6,),BT$2,OFFSET($F$4:$BN$9,ROWS($1:18)*6-6,))</f>
        <v>0</v>
      </c>
      <c r="BU21" s="29">
        <f ca="1">SUMIF(OFFSET($E$4:$BM$9,ROWS($1:18)*6-6,),BU$2,OFFSET($F$4:$BN$9,ROWS($1:18)*6-6,))</f>
        <v>0</v>
      </c>
      <c r="BV21" s="29">
        <f ca="1">SUMIF(OFFSET($E$4:$BM$9,ROWS($1:18)*6-6,),BV$2,OFFSET($F$4:$BN$9,ROWS($1:18)*6-6,))</f>
        <v>0</v>
      </c>
      <c r="BW21" s="29">
        <f ca="1">SUMIF(OFFSET($E$4:$BM$9,ROWS($1:18)*6-6,),BW$2,OFFSET($F$4:$BN$9,ROWS($1:18)*6-6,))</f>
        <v>0</v>
      </c>
      <c r="BX21" s="29">
        <f ca="1">SUMIF(OFFSET($E$4:$BM$9,ROWS($1:18)*6-6,),BX$2,OFFSET($F$4:$BN$9,ROWS($1:18)*6-6,))</f>
        <v>0</v>
      </c>
      <c r="BY21" s="29">
        <f ca="1">SUMIF(OFFSET($E$4:$BM$9,ROWS($1:18)*6-6,),BY$2,OFFSET($F$4:$BN$9,ROWS($1:18)*6-6,))</f>
        <v>0</v>
      </c>
      <c r="BZ21" s="29">
        <f ca="1">SUMIF(OFFSET($E$4:$BM$9,ROWS($1:18)*6-6,),BZ$2,OFFSET($F$4:$BN$9,ROWS($1:18)*6-6,))</f>
        <v>0</v>
      </c>
      <c r="CA21" s="29">
        <f ca="1">SUMIF(OFFSET($E$4:$BM$9,ROWS($1:18)*6-6,),CA$2,OFFSET($F$4:$BN$9,ROWS($1:18)*6-6,))</f>
        <v>0</v>
      </c>
      <c r="CB21" s="29">
        <f ca="1">SUMIF(OFFSET($E$4:$BM$9,ROWS($1:18)*6-6,),CB$2,OFFSET($F$4:$BN$9,ROWS($1:18)*6-6,))</f>
        <v>0</v>
      </c>
      <c r="CC21" s="43">
        <f ca="1">SUMIF(OFFSET($E$4:$BM$9,ROWS($1:18)*6-6,),CC$2,OFFSET($F$4:$BN$9,ROWS($1:18)*6-6,))</f>
        <v>0</v>
      </c>
      <c r="CD21" s="44" t="str">
        <f t="shared" si="3"/>
        <v>周席民</v>
      </c>
      <c r="CE21" s="44">
        <f ca="1">INDEX(FREQUENCY(MMULT({1,1},SUBTOTAL(9,OFFSET($E$1,MATCH($CD21,$C:$C,)+{3;4},INT(COLUMN($A:$AE)*2)-1))),{3.9,7.9,11.9}),COLUMN(B18))</f>
        <v>0</v>
      </c>
      <c r="CF21" s="44">
        <f ca="1">INDEX(FREQUENCY(MMULT({1,1},SUBTOTAL(9,OFFSET($E$1,MATCH($CD21,$C:$C,)+{3;4},INT(COLUMN($A:$AE)*2)-1))),{3.9,7.9,11.9}),COLUMN(C18))</f>
        <v>0</v>
      </c>
      <c r="CG21" s="44">
        <f ca="1">INDEX(FREQUENCY(MMULT({1,1},SUBTOTAL(9,OFFSET($E$1,MATCH($CD21,$C:$C,)+{3;4},INT(COLUMN($A:$AE)*2)-1))),{3.9,7.9,11.9}),COLUMN(D18))</f>
        <v>0</v>
      </c>
    </row>
    <row r="22" spans="1:85" ht="17.25" customHeight="1" x14ac:dyDescent="0.15">
      <c r="A22" s="84" t="s">
        <v>153</v>
      </c>
      <c r="B22" s="48" t="s">
        <v>107</v>
      </c>
      <c r="C22" s="68" t="s">
        <v>117</v>
      </c>
      <c r="D22" s="55" t="s">
        <v>45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 t="s">
        <v>14</v>
      </c>
      <c r="P22" s="11">
        <v>2</v>
      </c>
      <c r="Q22" s="11" t="s">
        <v>14</v>
      </c>
      <c r="R22" s="11">
        <v>2</v>
      </c>
      <c r="S22" s="11"/>
      <c r="T22" s="11"/>
      <c r="U22" s="11" t="s">
        <v>14</v>
      </c>
      <c r="V22" s="11">
        <v>2</v>
      </c>
      <c r="W22" s="11" t="s">
        <v>14</v>
      </c>
      <c r="X22" s="11">
        <v>2</v>
      </c>
      <c r="Y22" s="11" t="s">
        <v>14</v>
      </c>
      <c r="Z22" s="11">
        <v>2</v>
      </c>
      <c r="AA22" s="11" t="s">
        <v>18</v>
      </c>
      <c r="AB22" s="11">
        <v>2</v>
      </c>
      <c r="AC22" s="11" t="s">
        <v>18</v>
      </c>
      <c r="AD22" s="11">
        <v>2</v>
      </c>
      <c r="AE22" s="11" t="s">
        <v>18</v>
      </c>
      <c r="AF22" s="11">
        <v>2</v>
      </c>
      <c r="AG22" s="11"/>
      <c r="AH22" s="11"/>
      <c r="AI22" s="11" t="s">
        <v>14</v>
      </c>
      <c r="AJ22" s="11">
        <v>2</v>
      </c>
      <c r="AK22" s="11" t="s">
        <v>14</v>
      </c>
      <c r="AL22" s="11">
        <v>2</v>
      </c>
      <c r="AM22" s="11" t="s">
        <v>14</v>
      </c>
      <c r="AN22" s="11">
        <v>2</v>
      </c>
      <c r="AO22" s="11" t="s">
        <v>14</v>
      </c>
      <c r="AP22" s="11">
        <v>2</v>
      </c>
      <c r="AQ22" s="11" t="s">
        <v>14</v>
      </c>
      <c r="AR22" s="11">
        <v>2</v>
      </c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34"/>
      <c r="BP22" s="27">
        <v>19</v>
      </c>
      <c r="BQ22" s="27" t="s">
        <v>50</v>
      </c>
      <c r="BR22" s="29">
        <f ca="1">SUMIF(OFFSET($E$4:$BM$9,ROWS($1:19)*6-6,),BR$2,OFFSET($F$4:$BN$9,ROWS($1:19)*6-6,))</f>
        <v>148</v>
      </c>
      <c r="BS22" s="29">
        <f ca="1">SUMIF(OFFSET($E$4:$BM$9,ROWS($1:19)*6-6,),BS$2,OFFSET($F$4:$BN$9,ROWS($1:19)*6-6,))</f>
        <v>30</v>
      </c>
      <c r="BT22" s="29">
        <f ca="1">SUMIF(OFFSET($E$4:$BM$9,ROWS($1:19)*6-6,),BT$2,OFFSET($F$4:$BN$9,ROWS($1:19)*6-6,))</f>
        <v>0</v>
      </c>
      <c r="BU22" s="29">
        <f ca="1">SUMIF(OFFSET($E$4:$BM$9,ROWS($1:19)*6-6,),BU$2,OFFSET($F$4:$BN$9,ROWS($1:19)*6-6,))</f>
        <v>8</v>
      </c>
      <c r="BV22" s="29">
        <f ca="1">SUMIF(OFFSET($E$4:$BM$9,ROWS($1:19)*6-6,),BV$2,OFFSET($F$4:$BN$9,ROWS($1:19)*6-6,))</f>
        <v>4</v>
      </c>
      <c r="BW22" s="29">
        <f ca="1">SUMIF(OFFSET($E$4:$BM$9,ROWS($1:19)*6-6,),BW$2,OFFSET($F$4:$BN$9,ROWS($1:19)*6-6,))</f>
        <v>0</v>
      </c>
      <c r="BX22" s="29">
        <f ca="1">SUMIF(OFFSET($E$4:$BM$9,ROWS($1:19)*6-6,),BX$2,OFFSET($F$4:$BN$9,ROWS($1:19)*6-6,))</f>
        <v>0</v>
      </c>
      <c r="BY22" s="29">
        <f ca="1">SUMIF(OFFSET($E$4:$BM$9,ROWS($1:19)*6-6,),BY$2,OFFSET($F$4:$BN$9,ROWS($1:19)*6-6,))</f>
        <v>0</v>
      </c>
      <c r="BZ22" s="29">
        <f ca="1">SUMIF(OFFSET($E$4:$BM$9,ROWS($1:19)*6-6,),BZ$2,OFFSET($F$4:$BN$9,ROWS($1:19)*6-6,))</f>
        <v>0</v>
      </c>
      <c r="CA22" s="29">
        <f ca="1">SUMIF(OFFSET($E$4:$BM$9,ROWS($1:19)*6-6,),CA$2,OFFSET($F$4:$BN$9,ROWS($1:19)*6-6,))</f>
        <v>0</v>
      </c>
      <c r="CB22" s="29">
        <f ca="1">SUMIF(OFFSET($E$4:$BM$9,ROWS($1:19)*6-6,),CB$2,OFFSET($F$4:$BN$9,ROWS($1:19)*6-6,))</f>
        <v>0</v>
      </c>
      <c r="CC22" s="43">
        <f ca="1">SUMIF(OFFSET($E$4:$BM$9,ROWS($1:19)*6-6,),CC$2,OFFSET($F$4:$BN$9,ROWS($1:19)*6-6,))</f>
        <v>0</v>
      </c>
      <c r="CD22" s="44" t="str">
        <f t="shared" si="3"/>
        <v>毛先峰</v>
      </c>
      <c r="CE22" s="44">
        <f ca="1">INDEX(FREQUENCY(MMULT({1,1},SUBTOTAL(9,OFFSET($E$1,MATCH($CD22,$C:$C,)+{3;4},INT(COLUMN($A:$AE)*2)-1))),{3.9,7.9,11.9}),COLUMN(B19))</f>
        <v>1</v>
      </c>
      <c r="CF22" s="44">
        <f ca="1">INDEX(FREQUENCY(MMULT({1,1},SUBTOTAL(9,OFFSET($E$1,MATCH($CD22,$C:$C,)+{3;4},INT(COLUMN($A:$AE)*2)-1))),{3.9,7.9,11.9}),COLUMN(C19))</f>
        <v>0</v>
      </c>
      <c r="CG22" s="44">
        <f ca="1">INDEX(FREQUENCY(MMULT({1,1},SUBTOTAL(9,OFFSET($E$1,MATCH($CD22,$C:$C,)+{3;4},INT(COLUMN($A:$AE)*2)-1))),{3.9,7.9,11.9}),COLUMN(D19))</f>
        <v>0</v>
      </c>
    </row>
    <row r="23" spans="1:85" ht="17.25" customHeight="1" x14ac:dyDescent="0.15">
      <c r="A23" s="85"/>
      <c r="B23" s="49"/>
      <c r="C23" s="69"/>
      <c r="D23" s="5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 t="s">
        <v>14</v>
      </c>
      <c r="P23" s="12">
        <v>2</v>
      </c>
      <c r="Q23" s="12" t="s">
        <v>14</v>
      </c>
      <c r="R23" s="12">
        <v>2</v>
      </c>
      <c r="S23" s="12"/>
      <c r="T23" s="12"/>
      <c r="U23" s="12" t="s">
        <v>14</v>
      </c>
      <c r="V23" s="12">
        <v>2</v>
      </c>
      <c r="W23" s="12" t="s">
        <v>14</v>
      </c>
      <c r="X23" s="12">
        <v>2</v>
      </c>
      <c r="Y23" s="12" t="s">
        <v>14</v>
      </c>
      <c r="Z23" s="12">
        <v>2</v>
      </c>
      <c r="AA23" s="12" t="s">
        <v>18</v>
      </c>
      <c r="AB23" s="12">
        <v>2</v>
      </c>
      <c r="AC23" s="12" t="s">
        <v>18</v>
      </c>
      <c r="AD23" s="12">
        <v>2</v>
      </c>
      <c r="AE23" s="12" t="s">
        <v>18</v>
      </c>
      <c r="AF23" s="12">
        <v>2</v>
      </c>
      <c r="AG23" s="12"/>
      <c r="AH23" s="12"/>
      <c r="AI23" s="12" t="s">
        <v>14</v>
      </c>
      <c r="AJ23" s="12">
        <v>2</v>
      </c>
      <c r="AK23" s="12" t="s">
        <v>14</v>
      </c>
      <c r="AL23" s="12">
        <v>2</v>
      </c>
      <c r="AM23" s="12" t="s">
        <v>14</v>
      </c>
      <c r="AN23" s="12">
        <v>2</v>
      </c>
      <c r="AO23" s="12" t="s">
        <v>14</v>
      </c>
      <c r="AP23" s="12">
        <v>2</v>
      </c>
      <c r="AQ23" s="12" t="s">
        <v>14</v>
      </c>
      <c r="AR23" s="12">
        <v>2</v>
      </c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35"/>
      <c r="BP23" s="27">
        <v>20</v>
      </c>
      <c r="BQ23" s="27" t="s">
        <v>164</v>
      </c>
      <c r="BR23" s="29">
        <f ca="1">SUMIF(OFFSET($E$4:$BM$9,ROWS($1:20)*6-6,),BR$2,OFFSET($F$4:$BN$9,ROWS($1:20)*6-6,))</f>
        <v>160</v>
      </c>
      <c r="BS23" s="29">
        <f ca="1">SUMIF(OFFSET($E$4:$BM$9,ROWS($1:20)*6-6,),BS$2,OFFSET($F$4:$BN$9,ROWS($1:20)*6-6,))</f>
        <v>12</v>
      </c>
      <c r="BT23" s="29">
        <f ca="1">SUMIF(OFFSET($E$4:$BM$9,ROWS($1:20)*6-6,),BT$2,OFFSET($F$4:$BN$9,ROWS($1:20)*6-6,))</f>
        <v>0</v>
      </c>
      <c r="BU23" s="29">
        <f ca="1">SUMIF(OFFSET($E$4:$BM$9,ROWS($1:20)*6-6,),BU$2,OFFSET($F$4:$BN$9,ROWS($1:20)*6-6,))</f>
        <v>0</v>
      </c>
      <c r="BV23" s="29">
        <f ca="1">SUMIF(OFFSET($E$4:$BM$9,ROWS($1:20)*6-6,),BV$2,OFFSET($F$4:$BN$9,ROWS($1:20)*6-6,))</f>
        <v>0</v>
      </c>
      <c r="BW23" s="29">
        <f ca="1">SUMIF(OFFSET($E$4:$BM$9,ROWS($1:20)*6-6,),BW$2,OFFSET($F$4:$BN$9,ROWS($1:20)*6-6,))</f>
        <v>0</v>
      </c>
      <c r="BX23" s="29">
        <f ca="1">SUMIF(OFFSET($E$4:$BM$9,ROWS($1:20)*6-6,),BX$2,OFFSET($F$4:$BN$9,ROWS($1:20)*6-6,))</f>
        <v>0</v>
      </c>
      <c r="BY23" s="29">
        <f ca="1">SUMIF(OFFSET($E$4:$BM$9,ROWS($1:20)*6-6,),BY$2,OFFSET($F$4:$BN$9,ROWS($1:20)*6-6,))</f>
        <v>0</v>
      </c>
      <c r="BZ23" s="29">
        <f ca="1">SUMIF(OFFSET($E$4:$BM$9,ROWS($1:20)*6-6,),BZ$2,OFFSET($F$4:$BN$9,ROWS($1:20)*6-6,))</f>
        <v>0</v>
      </c>
      <c r="CA23" s="29">
        <f ca="1">SUMIF(OFFSET($E$4:$BM$9,ROWS($1:20)*6-6,),CA$2,OFFSET($F$4:$BN$9,ROWS($1:20)*6-6,))</f>
        <v>0</v>
      </c>
      <c r="CB23" s="29">
        <f ca="1">SUMIF(OFFSET($E$4:$BM$9,ROWS($1:20)*6-6,),CB$2,OFFSET($F$4:$BN$9,ROWS($1:20)*6-6,))</f>
        <v>0</v>
      </c>
      <c r="CC23" s="43">
        <f ca="1">SUMIF(OFFSET($E$4:$BM$9,ROWS($1:20)*6-6,),CC$2,OFFSET($F$4:$BN$9,ROWS($1:20)*6-6,))</f>
        <v>0</v>
      </c>
      <c r="CD23" s="44" t="str">
        <f t="shared" si="3"/>
        <v>卢阳平</v>
      </c>
      <c r="CE23" s="44">
        <f ca="1">INDEX(FREQUENCY(MMULT({1,1},SUBTOTAL(9,OFFSET($E$1,MATCH($CD23,$C:$C,)+{3;4},INT(COLUMN($A:$AE)*2)-1))),{3.9,7.9,11.9}),COLUMN(B20))</f>
        <v>0</v>
      </c>
      <c r="CF23" s="44">
        <f ca="1">INDEX(FREQUENCY(MMULT({1,1},SUBTOTAL(9,OFFSET($E$1,MATCH($CD23,$C:$C,)+{3;4},INT(COLUMN($A:$AE)*2)-1))),{3.9,7.9,11.9}),COLUMN(C20))</f>
        <v>0</v>
      </c>
      <c r="CG23" s="44">
        <f ca="1">INDEX(FREQUENCY(MMULT({1,1},SUBTOTAL(9,OFFSET($E$1,MATCH($CD23,$C:$C,)+{3;4},INT(COLUMN($A:$AE)*2)-1))),{3.9,7.9,11.9}),COLUMN(D20))</f>
        <v>0</v>
      </c>
    </row>
    <row r="24" spans="1:85" ht="17.25" customHeight="1" x14ac:dyDescent="0.15">
      <c r="A24" s="85"/>
      <c r="B24" s="49"/>
      <c r="C24" s="69"/>
      <c r="D24" s="57" t="s">
        <v>47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 t="s">
        <v>14</v>
      </c>
      <c r="P24" s="13">
        <v>2</v>
      </c>
      <c r="Q24" s="13" t="s">
        <v>14</v>
      </c>
      <c r="R24" s="13">
        <v>2</v>
      </c>
      <c r="S24" s="13"/>
      <c r="T24" s="13"/>
      <c r="U24" s="13" t="s">
        <v>14</v>
      </c>
      <c r="V24" s="13">
        <v>2</v>
      </c>
      <c r="W24" s="13" t="s">
        <v>14</v>
      </c>
      <c r="X24" s="13">
        <v>2</v>
      </c>
      <c r="Y24" s="13" t="s">
        <v>14</v>
      </c>
      <c r="Z24" s="13">
        <v>2</v>
      </c>
      <c r="AA24" s="13" t="s">
        <v>18</v>
      </c>
      <c r="AB24" s="13">
        <v>2</v>
      </c>
      <c r="AC24" s="13" t="s">
        <v>14</v>
      </c>
      <c r="AD24" s="13">
        <v>2</v>
      </c>
      <c r="AE24" s="13" t="s">
        <v>14</v>
      </c>
      <c r="AF24" s="13">
        <v>2</v>
      </c>
      <c r="AG24" s="13"/>
      <c r="AH24" s="13"/>
      <c r="AI24" s="13" t="s">
        <v>14</v>
      </c>
      <c r="AJ24" s="13">
        <v>2</v>
      </c>
      <c r="AK24" s="13" t="s">
        <v>14</v>
      </c>
      <c r="AL24" s="13">
        <v>2</v>
      </c>
      <c r="AM24" s="13" t="s">
        <v>14</v>
      </c>
      <c r="AN24" s="13">
        <v>2</v>
      </c>
      <c r="AO24" s="13" t="s">
        <v>14</v>
      </c>
      <c r="AP24" s="13">
        <v>2</v>
      </c>
      <c r="AQ24" s="13" t="s">
        <v>14</v>
      </c>
      <c r="AR24" s="13">
        <v>2</v>
      </c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36"/>
      <c r="BP24" s="27">
        <v>21</v>
      </c>
      <c r="BQ24" s="27" t="s">
        <v>163</v>
      </c>
      <c r="BR24" s="29">
        <f ca="1">SUMIF(OFFSET($E$4:$BM$9,ROWS($1:21)*6-6,),BR$2,OFFSET($F$4:$BN$9,ROWS($1:21)*6-6,))</f>
        <v>160</v>
      </c>
      <c r="BS24" s="29">
        <f ca="1">SUMIF(OFFSET($E$4:$BM$9,ROWS($1:21)*6-6,),BS$2,OFFSET($F$4:$BN$9,ROWS($1:21)*6-6,))</f>
        <v>9</v>
      </c>
      <c r="BT24" s="29">
        <f ca="1">SUMIF(OFFSET($E$4:$BM$9,ROWS($1:21)*6-6,),BT$2,OFFSET($F$4:$BN$9,ROWS($1:21)*6-6,))</f>
        <v>8</v>
      </c>
      <c r="BU24" s="29">
        <f ca="1">SUMIF(OFFSET($E$4:$BM$9,ROWS($1:21)*6-6,),BU$2,OFFSET($F$4:$BN$9,ROWS($1:21)*6-6,))</f>
        <v>0</v>
      </c>
      <c r="BV24" s="29">
        <f ca="1">SUMIF(OFFSET($E$4:$BM$9,ROWS($1:21)*6-6,),BV$2,OFFSET($F$4:$BN$9,ROWS($1:21)*6-6,))</f>
        <v>0</v>
      </c>
      <c r="BW24" s="29">
        <f ca="1">SUMIF(OFFSET($E$4:$BM$9,ROWS($1:21)*6-6,),BW$2,OFFSET($F$4:$BN$9,ROWS($1:21)*6-6,))</f>
        <v>0</v>
      </c>
      <c r="BX24" s="29">
        <f ca="1">SUMIF(OFFSET($E$4:$BM$9,ROWS($1:21)*6-6,),BX$2,OFFSET($F$4:$BN$9,ROWS($1:21)*6-6,))</f>
        <v>0</v>
      </c>
      <c r="BY24" s="29">
        <f ca="1">SUMIF(OFFSET($E$4:$BM$9,ROWS($1:21)*6-6,),BY$2,OFFSET($F$4:$BN$9,ROWS($1:21)*6-6,))</f>
        <v>0</v>
      </c>
      <c r="BZ24" s="29">
        <f ca="1">SUMIF(OFFSET($E$4:$BM$9,ROWS($1:21)*6-6,),BZ$2,OFFSET($F$4:$BN$9,ROWS($1:21)*6-6,))</f>
        <v>0</v>
      </c>
      <c r="CA24" s="29">
        <f ca="1">SUMIF(OFFSET($E$4:$BM$9,ROWS($1:21)*6-6,),CA$2,OFFSET($F$4:$BN$9,ROWS($1:21)*6-6,))</f>
        <v>0</v>
      </c>
      <c r="CB24" s="29">
        <f ca="1">SUMIF(OFFSET($E$4:$BM$9,ROWS($1:21)*6-6,),CB$2,OFFSET($F$4:$BN$9,ROWS($1:21)*6-6,))</f>
        <v>0</v>
      </c>
      <c r="CC24" s="43">
        <f ca="1">SUMIF(OFFSET($E$4:$BM$9,ROWS($1:21)*6-6,),CC$2,OFFSET($F$4:$BN$9,ROWS($1:21)*6-6,))</f>
        <v>0</v>
      </c>
      <c r="CD24" s="44" t="str">
        <f t="shared" si="3"/>
        <v>陈浩</v>
      </c>
      <c r="CE24" s="44">
        <f ca="1">INDEX(FREQUENCY(MMULT({1,1},SUBTOTAL(9,OFFSET($E$1,MATCH($CD24,$C:$C,)+{3;4},INT(COLUMN($A:$AE)*2)-1))),{3.9,7.9,11.9}),COLUMN(B21))</f>
        <v>0</v>
      </c>
      <c r="CF24" s="44">
        <f ca="1">INDEX(FREQUENCY(MMULT({1,1},SUBTOTAL(9,OFFSET($E$1,MATCH($CD24,$C:$C,)+{3;4},INT(COLUMN($A:$AE)*2)-1))),{3.9,7.9,11.9}),COLUMN(C21))</f>
        <v>0</v>
      </c>
      <c r="CG24" s="44">
        <f ca="1">INDEX(FREQUENCY(MMULT({1,1},SUBTOTAL(9,OFFSET($E$1,MATCH($CD24,$C:$C,)+{3;4},INT(COLUMN($A:$AE)*2)-1))),{3.9,7.9,11.9}),COLUMN(D21))</f>
        <v>0</v>
      </c>
    </row>
    <row r="25" spans="1:85" ht="17.25" customHeight="1" x14ac:dyDescent="0.15">
      <c r="A25" s="85"/>
      <c r="B25" s="49"/>
      <c r="C25" s="69"/>
      <c r="D25" s="5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 t="s">
        <v>14</v>
      </c>
      <c r="P25" s="12">
        <v>2</v>
      </c>
      <c r="Q25" s="12" t="s">
        <v>14</v>
      </c>
      <c r="R25" s="12">
        <v>2</v>
      </c>
      <c r="S25" s="12"/>
      <c r="T25" s="12"/>
      <c r="U25" s="12" t="s">
        <v>14</v>
      </c>
      <c r="V25" s="12">
        <v>2</v>
      </c>
      <c r="W25" s="12" t="s">
        <v>14</v>
      </c>
      <c r="X25" s="12">
        <v>2</v>
      </c>
      <c r="Y25" s="12" t="s">
        <v>14</v>
      </c>
      <c r="Z25" s="12">
        <v>2</v>
      </c>
      <c r="AA25" s="12" t="s">
        <v>18</v>
      </c>
      <c r="AB25" s="12">
        <v>2</v>
      </c>
      <c r="AC25" s="12" t="s">
        <v>14</v>
      </c>
      <c r="AD25" s="12">
        <v>2</v>
      </c>
      <c r="AE25" s="12" t="s">
        <v>14</v>
      </c>
      <c r="AF25" s="12">
        <v>2</v>
      </c>
      <c r="AG25" s="12"/>
      <c r="AH25" s="12"/>
      <c r="AI25" s="12" t="s">
        <v>14</v>
      </c>
      <c r="AJ25" s="12">
        <v>2</v>
      </c>
      <c r="AK25" s="12" t="s">
        <v>14</v>
      </c>
      <c r="AL25" s="12">
        <v>2</v>
      </c>
      <c r="AM25" s="12" t="s">
        <v>14</v>
      </c>
      <c r="AN25" s="12">
        <v>2</v>
      </c>
      <c r="AO25" s="12" t="s">
        <v>14</v>
      </c>
      <c r="AP25" s="12">
        <v>2</v>
      </c>
      <c r="AQ25" s="12" t="s">
        <v>14</v>
      </c>
      <c r="AR25" s="12">
        <v>2</v>
      </c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35"/>
      <c r="BP25" s="27">
        <v>22</v>
      </c>
      <c r="BQ25" s="27" t="s">
        <v>162</v>
      </c>
      <c r="BR25" s="29">
        <f ca="1">SUMIF(OFFSET($E$4:$BM$9,ROWS($1:22)*6-6,),BR$2,OFFSET($F$4:$BN$9,ROWS($1:22)*6-6,))</f>
        <v>0</v>
      </c>
      <c r="BS25" s="29">
        <f ca="1">SUMIF(OFFSET($E$4:$BM$9,ROWS($1:22)*6-6,),BS$2,OFFSET($F$4:$BN$9,ROWS($1:22)*6-6,))</f>
        <v>0</v>
      </c>
      <c r="BT25" s="29">
        <f ca="1">SUMIF(OFFSET($E$4:$BM$9,ROWS($1:22)*6-6,),BT$2,OFFSET($F$4:$BN$9,ROWS($1:22)*6-6,))</f>
        <v>0</v>
      </c>
      <c r="BU25" s="29">
        <f ca="1">SUMIF(OFFSET($E$4:$BM$9,ROWS($1:22)*6-6,),BU$2,OFFSET($F$4:$BN$9,ROWS($1:22)*6-6,))</f>
        <v>0</v>
      </c>
      <c r="BV25" s="29">
        <f ca="1">SUMIF(OFFSET($E$4:$BM$9,ROWS($1:22)*6-6,),BV$2,OFFSET($F$4:$BN$9,ROWS($1:22)*6-6,))</f>
        <v>0</v>
      </c>
      <c r="BW25" s="29">
        <f ca="1">SUMIF(OFFSET($E$4:$BM$9,ROWS($1:22)*6-6,),BW$2,OFFSET($F$4:$BN$9,ROWS($1:22)*6-6,))</f>
        <v>0</v>
      </c>
      <c r="BX25" s="29">
        <f ca="1">SUMIF(OFFSET($E$4:$BM$9,ROWS($1:22)*6-6,),BX$2,OFFSET($F$4:$BN$9,ROWS($1:22)*6-6,))</f>
        <v>0</v>
      </c>
      <c r="BY25" s="29">
        <f ca="1">SUMIF(OFFSET($E$4:$BM$9,ROWS($1:22)*6-6,),BY$2,OFFSET($F$4:$BN$9,ROWS($1:22)*6-6,))</f>
        <v>0</v>
      </c>
      <c r="BZ25" s="29">
        <f ca="1">SUMIF(OFFSET($E$4:$BM$9,ROWS($1:22)*6-6,),BZ$2,OFFSET($F$4:$BN$9,ROWS($1:22)*6-6,))</f>
        <v>0</v>
      </c>
      <c r="CA25" s="29">
        <f ca="1">SUMIF(OFFSET($E$4:$BM$9,ROWS($1:22)*6-6,),CA$2,OFFSET($F$4:$BN$9,ROWS($1:22)*6-6,))</f>
        <v>0</v>
      </c>
      <c r="CB25" s="29">
        <f ca="1">SUMIF(OFFSET($E$4:$BM$9,ROWS($1:22)*6-6,),CB$2,OFFSET($F$4:$BN$9,ROWS($1:22)*6-6,))</f>
        <v>0</v>
      </c>
      <c r="CC25" s="43">
        <f ca="1">SUMIF(OFFSET($E$4:$BM$9,ROWS($1:22)*6-6,),CC$2,OFFSET($F$4:$BN$9,ROWS($1:22)*6-6,))</f>
        <v>0</v>
      </c>
      <c r="CD25" s="44" t="str">
        <f t="shared" si="3"/>
        <v>韦国旗</v>
      </c>
      <c r="CE25" s="44">
        <f ca="1">INDEX(FREQUENCY(MMULT({1,1},SUBTOTAL(9,OFFSET($E$1,MATCH($CD25,$C:$C,)+{3;4},INT(COLUMN($A:$AE)*2)-1))),{3.9,7.9,11.9}),COLUMN(B22))</f>
        <v>0</v>
      </c>
      <c r="CF25" s="44">
        <f ca="1">INDEX(FREQUENCY(MMULT({1,1},SUBTOTAL(9,OFFSET($E$1,MATCH($CD25,$C:$C,)+{3;4},INT(COLUMN($A:$AE)*2)-1))),{3.9,7.9,11.9}),COLUMN(C22))</f>
        <v>0</v>
      </c>
      <c r="CG25" s="44">
        <f ca="1">INDEX(FREQUENCY(MMULT({1,1},SUBTOTAL(9,OFFSET($E$1,MATCH($CD25,$C:$C,)+{3;4},INT(COLUMN($A:$AE)*2)-1))),{3.9,7.9,11.9}),COLUMN(D22))</f>
        <v>0</v>
      </c>
    </row>
    <row r="26" spans="1:85" ht="17.25" customHeight="1" x14ac:dyDescent="0.15">
      <c r="A26" s="85"/>
      <c r="B26" s="49"/>
      <c r="C26" s="69"/>
      <c r="D26" s="58" t="s">
        <v>49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 t="s">
        <v>15</v>
      </c>
      <c r="X26" s="14">
        <v>4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 t="s">
        <v>15</v>
      </c>
      <c r="AJ26" s="14">
        <v>3.5</v>
      </c>
      <c r="AK26" s="14"/>
      <c r="AL26" s="14"/>
      <c r="AM26" s="14" t="s">
        <v>15</v>
      </c>
      <c r="AN26" s="14">
        <v>4</v>
      </c>
      <c r="AO26" s="14" t="s">
        <v>15</v>
      </c>
      <c r="AP26" s="14">
        <v>3</v>
      </c>
      <c r="AQ26" s="14" t="s">
        <v>15</v>
      </c>
      <c r="AR26" s="14">
        <v>3</v>
      </c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37"/>
      <c r="BP26" s="27">
        <v>23</v>
      </c>
      <c r="BQ26" s="27" t="s">
        <v>54</v>
      </c>
      <c r="BR26" s="29">
        <f ca="1">SUMIF(OFFSET($E$4:$BM$9,ROWS($1:23)*6-6,),BR$2,OFFSET($F$4:$BN$9,ROWS($1:23)*6-6,))</f>
        <v>148</v>
      </c>
      <c r="BS26" s="29">
        <f ca="1">SUMIF(OFFSET($E$4:$BM$9,ROWS($1:23)*6-6,),BS$2,OFFSET($F$4:$BN$9,ROWS($1:23)*6-6,))</f>
        <v>41</v>
      </c>
      <c r="BT26" s="29">
        <f ca="1">SUMIF(OFFSET($E$4:$BM$9,ROWS($1:23)*6-6,),BT$2,OFFSET($F$4:$BN$9,ROWS($1:23)*6-6,))</f>
        <v>16</v>
      </c>
      <c r="BU26" s="29">
        <f ca="1">SUMIF(OFFSET($E$4:$BM$9,ROWS($1:23)*6-6,),BU$2,OFFSET($F$4:$BN$9,ROWS($1:23)*6-6,))</f>
        <v>0</v>
      </c>
      <c r="BV26" s="29">
        <f ca="1">SUMIF(OFFSET($E$4:$BM$9,ROWS($1:23)*6-6,),BV$2,OFFSET($F$4:$BN$9,ROWS($1:23)*6-6,))</f>
        <v>12</v>
      </c>
      <c r="BW26" s="29">
        <f ca="1">SUMIF(OFFSET($E$4:$BM$9,ROWS($1:23)*6-6,),BW$2,OFFSET($F$4:$BN$9,ROWS($1:23)*6-6,))</f>
        <v>0</v>
      </c>
      <c r="BX26" s="29">
        <f ca="1">SUMIF(OFFSET($E$4:$BM$9,ROWS($1:23)*6-6,),BX$2,OFFSET($F$4:$BN$9,ROWS($1:23)*6-6,))</f>
        <v>0</v>
      </c>
      <c r="BY26" s="29">
        <f ca="1">SUMIF(OFFSET($E$4:$BM$9,ROWS($1:23)*6-6,),BY$2,OFFSET($F$4:$BN$9,ROWS($1:23)*6-6,))</f>
        <v>0</v>
      </c>
      <c r="BZ26" s="29">
        <f ca="1">SUMIF(OFFSET($E$4:$BM$9,ROWS($1:23)*6-6,),BZ$2,OFFSET($F$4:$BN$9,ROWS($1:23)*6-6,))</f>
        <v>0</v>
      </c>
      <c r="CA26" s="29">
        <f ca="1">SUMIF(OFFSET($E$4:$BM$9,ROWS($1:23)*6-6,),CA$2,OFFSET($F$4:$BN$9,ROWS($1:23)*6-6,))</f>
        <v>0</v>
      </c>
      <c r="CB26" s="29">
        <f ca="1">SUMIF(OFFSET($E$4:$BM$9,ROWS($1:23)*6-6,),CB$2,OFFSET($F$4:$BN$9,ROWS($1:23)*6-6,))</f>
        <v>0</v>
      </c>
      <c r="CC26" s="43">
        <f ca="1">SUMIF(OFFSET($E$4:$BM$9,ROWS($1:23)*6-6,),CC$2,OFFSET($F$4:$BN$9,ROWS($1:23)*6-6,))</f>
        <v>0</v>
      </c>
      <c r="CD26" s="44" t="str">
        <f t="shared" si="3"/>
        <v>曹勇军</v>
      </c>
      <c r="CE26" s="44">
        <f ca="1">INDEX(FREQUENCY(MMULT({1,1},SUBTOTAL(9,OFFSET($E$1,MATCH($CD26,$C:$C,)+{3;4},INT(COLUMN($A:$AE)*2)-1))),{3.9,7.9,11.9}),COLUMN(B23))</f>
        <v>4</v>
      </c>
      <c r="CF26" s="44">
        <f ca="1">INDEX(FREQUENCY(MMULT({1,1},SUBTOTAL(9,OFFSET($E$1,MATCH($CD26,$C:$C,)+{3;4},INT(COLUMN($A:$AE)*2)-1))),{3.9,7.9,11.9}),COLUMN(C23))</f>
        <v>0</v>
      </c>
      <c r="CG26" s="44">
        <f ca="1">INDEX(FREQUENCY(MMULT({1,1},SUBTOTAL(9,OFFSET($E$1,MATCH($CD26,$C:$C,)+{3;4},INT(COLUMN($A:$AE)*2)-1))),{3.9,7.9,11.9}),COLUMN(D23))</f>
        <v>0</v>
      </c>
    </row>
    <row r="27" spans="1:85" ht="17.25" customHeight="1" thickBot="1" x14ac:dyDescent="0.2">
      <c r="A27" s="86"/>
      <c r="B27" s="50"/>
      <c r="C27" s="70"/>
      <c r="D27" s="5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38"/>
      <c r="BP27" s="27">
        <v>24</v>
      </c>
      <c r="BQ27" s="27" t="s">
        <v>141</v>
      </c>
      <c r="BR27" s="29">
        <f ca="1">SUMIF(OFFSET($E$4:$BM$9,ROWS($1:24)*6-6,),BR$2,OFFSET($F$4:$BN$9,ROWS($1:24)*6-6,))</f>
        <v>8</v>
      </c>
      <c r="BS27" s="29">
        <f ca="1">SUMIF(OFFSET($E$4:$BM$9,ROWS($1:24)*6-6,),BS$2,OFFSET($F$4:$BN$9,ROWS($1:24)*6-6,))</f>
        <v>0</v>
      </c>
      <c r="BT27" s="29">
        <f ca="1">SUMIF(OFFSET($E$4:$BM$9,ROWS($1:24)*6-6,),BT$2,OFFSET($F$4:$BN$9,ROWS($1:24)*6-6,))</f>
        <v>0</v>
      </c>
      <c r="BU27" s="29">
        <f ca="1">SUMIF(OFFSET($E$4:$BM$9,ROWS($1:24)*6-6,),BU$2,OFFSET($F$4:$BN$9,ROWS($1:24)*6-6,))</f>
        <v>0</v>
      </c>
      <c r="BV27" s="29">
        <f ca="1">SUMIF(OFFSET($E$4:$BM$9,ROWS($1:24)*6-6,),BV$2,OFFSET($F$4:$BN$9,ROWS($1:24)*6-6,))</f>
        <v>0</v>
      </c>
      <c r="BW27" s="29">
        <f ca="1">SUMIF(OFFSET($E$4:$BM$9,ROWS($1:24)*6-6,),BW$2,OFFSET($F$4:$BN$9,ROWS($1:24)*6-6,))</f>
        <v>0</v>
      </c>
      <c r="BX27" s="29">
        <f ca="1">SUMIF(OFFSET($E$4:$BM$9,ROWS($1:24)*6-6,),BX$2,OFFSET($F$4:$BN$9,ROWS($1:24)*6-6,))</f>
        <v>0</v>
      </c>
      <c r="BY27" s="29">
        <f ca="1">SUMIF(OFFSET($E$4:$BM$9,ROWS($1:24)*6-6,),BY$2,OFFSET($F$4:$BN$9,ROWS($1:24)*6-6,))</f>
        <v>0</v>
      </c>
      <c r="BZ27" s="29">
        <f ca="1">SUMIF(OFFSET($E$4:$BM$9,ROWS($1:24)*6-6,),BZ$2,OFFSET($F$4:$BN$9,ROWS($1:24)*6-6,))</f>
        <v>0</v>
      </c>
      <c r="CA27" s="29">
        <f ca="1">SUMIF(OFFSET($E$4:$BM$9,ROWS($1:24)*6-6,),CA$2,OFFSET($F$4:$BN$9,ROWS($1:24)*6-6,))</f>
        <v>0</v>
      </c>
      <c r="CB27" s="29">
        <f ca="1">SUMIF(OFFSET($E$4:$BM$9,ROWS($1:24)*6-6,),CB$2,OFFSET($F$4:$BN$9,ROWS($1:24)*6-6,))</f>
        <v>0</v>
      </c>
      <c r="CC27" s="43">
        <f ca="1">SUMIF(OFFSET($E$4:$BM$9,ROWS($1:24)*6-6,),CC$2,OFFSET($F$4:$BN$9,ROWS($1:24)*6-6,))</f>
        <v>0</v>
      </c>
      <c r="CD27" s="44" t="str">
        <f t="shared" si="3"/>
        <v>湖北杨勇</v>
      </c>
      <c r="CE27" s="44">
        <f ca="1">INDEX(FREQUENCY(MMULT({1,1},SUBTOTAL(9,OFFSET($E$1,MATCH($CD27,$C:$C,)+{3;4},INT(COLUMN($A:$AE)*2)-1))),{3.9,7.9,11.9}),COLUMN(B24))</f>
        <v>0</v>
      </c>
      <c r="CF27" s="44">
        <f ca="1">INDEX(FREQUENCY(MMULT({1,1},SUBTOTAL(9,OFFSET($E$1,MATCH($CD27,$C:$C,)+{3;4},INT(COLUMN($A:$AE)*2)-1))),{3.9,7.9,11.9}),COLUMN(C24))</f>
        <v>0</v>
      </c>
      <c r="CG27" s="44">
        <f ca="1">INDEX(FREQUENCY(MMULT({1,1},SUBTOTAL(9,OFFSET($E$1,MATCH($CD27,$C:$C,)+{3;4},INT(COLUMN($A:$AE)*2)-1))),{3.9,7.9,11.9}),COLUMN(D24))</f>
        <v>0</v>
      </c>
    </row>
    <row r="28" spans="1:85" ht="17.25" customHeight="1" x14ac:dyDescent="0.15">
      <c r="A28" s="84" t="s">
        <v>153</v>
      </c>
      <c r="B28" s="48" t="s">
        <v>107</v>
      </c>
      <c r="C28" s="48" t="s">
        <v>118</v>
      </c>
      <c r="D28" s="55" t="s">
        <v>45</v>
      </c>
      <c r="E28" s="11"/>
      <c r="F28" s="11"/>
      <c r="G28" s="11" t="s">
        <v>15</v>
      </c>
      <c r="H28" s="11">
        <v>2</v>
      </c>
      <c r="I28" s="11"/>
      <c r="J28" s="11"/>
      <c r="K28" s="11"/>
      <c r="L28" s="11"/>
      <c r="M28" s="11" t="s">
        <v>15</v>
      </c>
      <c r="N28" s="11">
        <v>2</v>
      </c>
      <c r="O28" s="11" t="s">
        <v>15</v>
      </c>
      <c r="P28" s="11">
        <v>2</v>
      </c>
      <c r="Q28" s="11" t="s">
        <v>15</v>
      </c>
      <c r="R28" s="11">
        <v>2</v>
      </c>
      <c r="S28" s="11"/>
      <c r="T28" s="11"/>
      <c r="U28" s="11" t="s">
        <v>14</v>
      </c>
      <c r="V28" s="11">
        <v>2</v>
      </c>
      <c r="W28" s="11" t="s">
        <v>14</v>
      </c>
      <c r="X28" s="11">
        <v>2</v>
      </c>
      <c r="Y28" s="11" t="s">
        <v>14</v>
      </c>
      <c r="Z28" s="11">
        <v>2</v>
      </c>
      <c r="AA28" s="11" t="s">
        <v>18</v>
      </c>
      <c r="AB28" s="11">
        <v>2</v>
      </c>
      <c r="AC28" s="11" t="s">
        <v>14</v>
      </c>
      <c r="AD28" s="11">
        <v>2</v>
      </c>
      <c r="AE28" s="11" t="s">
        <v>14</v>
      </c>
      <c r="AF28" s="11">
        <v>2</v>
      </c>
      <c r="AG28" s="11"/>
      <c r="AH28" s="11"/>
      <c r="AI28" s="11" t="s">
        <v>14</v>
      </c>
      <c r="AJ28" s="11">
        <v>2</v>
      </c>
      <c r="AK28" s="11" t="s">
        <v>14</v>
      </c>
      <c r="AL28" s="11">
        <v>2</v>
      </c>
      <c r="AM28" s="11" t="s">
        <v>14</v>
      </c>
      <c r="AN28" s="11">
        <v>2</v>
      </c>
      <c r="AO28" s="11" t="s">
        <v>14</v>
      </c>
      <c r="AP28" s="11">
        <v>2</v>
      </c>
      <c r="AQ28" s="11" t="s">
        <v>14</v>
      </c>
      <c r="AR28" s="11">
        <v>2</v>
      </c>
      <c r="AS28" s="11" t="s">
        <v>14</v>
      </c>
      <c r="AT28" s="11">
        <v>2</v>
      </c>
      <c r="AU28" s="11" t="s">
        <v>16</v>
      </c>
      <c r="AV28" s="11">
        <v>2</v>
      </c>
      <c r="AW28" s="11" t="s">
        <v>14</v>
      </c>
      <c r="AX28" s="11">
        <v>2</v>
      </c>
      <c r="AY28" s="11" t="s">
        <v>14</v>
      </c>
      <c r="AZ28" s="11">
        <v>2</v>
      </c>
      <c r="BA28" s="11" t="s">
        <v>14</v>
      </c>
      <c r="BB28" s="11">
        <v>2</v>
      </c>
      <c r="BC28" s="11" t="s">
        <v>14</v>
      </c>
      <c r="BD28" s="11">
        <v>2</v>
      </c>
      <c r="BE28" s="11" t="s">
        <v>14</v>
      </c>
      <c r="BF28" s="11">
        <v>2</v>
      </c>
      <c r="BG28" s="11" t="s">
        <v>14</v>
      </c>
      <c r="BH28" s="11">
        <v>2</v>
      </c>
      <c r="BI28" s="11" t="s">
        <v>16</v>
      </c>
      <c r="BJ28" s="11">
        <v>2</v>
      </c>
      <c r="BK28" s="11" t="s">
        <v>14</v>
      </c>
      <c r="BL28" s="11">
        <v>2</v>
      </c>
      <c r="BM28" s="11" t="s">
        <v>14</v>
      </c>
      <c r="BN28" s="34">
        <v>2</v>
      </c>
      <c r="BP28" s="27">
        <v>25</v>
      </c>
      <c r="BQ28" s="27" t="s">
        <v>140</v>
      </c>
      <c r="BR28" s="29">
        <f ca="1">SUMIF(OFFSET($E$4:$BM$9,ROWS($1:25)*6-6,),BR$2,OFFSET($F$4:$BN$9,ROWS($1:25)*6-6,))</f>
        <v>155</v>
      </c>
      <c r="BS28" s="29">
        <f ca="1">SUMIF(OFFSET($E$4:$BM$9,ROWS($1:25)*6-6,),BS$2,OFFSET($F$4:$BN$9,ROWS($1:25)*6-6,))</f>
        <v>40</v>
      </c>
      <c r="BT28" s="29">
        <f ca="1">SUMIF(OFFSET($E$4:$BM$9,ROWS($1:25)*6-6,),BT$2,OFFSET($F$4:$BN$9,ROWS($1:25)*6-6,))</f>
        <v>16</v>
      </c>
      <c r="BU28" s="29">
        <f ca="1">SUMIF(OFFSET($E$4:$BM$9,ROWS($1:25)*6-6,),BU$2,OFFSET($F$4:$BN$9,ROWS($1:25)*6-6,))</f>
        <v>0</v>
      </c>
      <c r="BV28" s="29">
        <f ca="1">SUMIF(OFFSET($E$4:$BM$9,ROWS($1:25)*6-6,),BV$2,OFFSET($F$4:$BN$9,ROWS($1:25)*6-6,))</f>
        <v>5</v>
      </c>
      <c r="BW28" s="29">
        <f ca="1">SUMIF(OFFSET($E$4:$BM$9,ROWS($1:25)*6-6,),BW$2,OFFSET($F$4:$BN$9,ROWS($1:25)*6-6,))</f>
        <v>0</v>
      </c>
      <c r="BX28" s="29">
        <f ca="1">SUMIF(OFFSET($E$4:$BM$9,ROWS($1:25)*6-6,),BX$2,OFFSET($F$4:$BN$9,ROWS($1:25)*6-6,))</f>
        <v>0</v>
      </c>
      <c r="BY28" s="29">
        <f ca="1">SUMIF(OFFSET($E$4:$BM$9,ROWS($1:25)*6-6,),BY$2,OFFSET($F$4:$BN$9,ROWS($1:25)*6-6,))</f>
        <v>0</v>
      </c>
      <c r="BZ28" s="29">
        <f ca="1">SUMIF(OFFSET($E$4:$BM$9,ROWS($1:25)*6-6,),BZ$2,OFFSET($F$4:$BN$9,ROWS($1:25)*6-6,))</f>
        <v>0</v>
      </c>
      <c r="CA28" s="29">
        <f ca="1">SUMIF(OFFSET($E$4:$BM$9,ROWS($1:25)*6-6,),CA$2,OFFSET($F$4:$BN$9,ROWS($1:25)*6-6,))</f>
        <v>0</v>
      </c>
      <c r="CB28" s="29">
        <f ca="1">SUMIF(OFFSET($E$4:$BM$9,ROWS($1:25)*6-6,),CB$2,OFFSET($F$4:$BN$9,ROWS($1:25)*6-6,))</f>
        <v>0</v>
      </c>
      <c r="CC28" s="43">
        <f ca="1">SUMIF(OFFSET($E$4:$BM$9,ROWS($1:25)*6-6,),CC$2,OFFSET($F$4:$BN$9,ROWS($1:25)*6-6,))</f>
        <v>0</v>
      </c>
      <c r="CD28" s="44" t="str">
        <f t="shared" si="3"/>
        <v>四川杨勇</v>
      </c>
      <c r="CE28" s="44">
        <f ca="1">INDEX(FREQUENCY(MMULT({1,1},SUBTOTAL(9,OFFSET($E$1,MATCH($CD28,$C:$C,)+{3;4},INT(COLUMN($A:$AE)*2)-1))),{3.9,7.9,11.9}),COLUMN(B25))</f>
        <v>2</v>
      </c>
      <c r="CF28" s="44">
        <f ca="1">INDEX(FREQUENCY(MMULT({1,1},SUBTOTAL(9,OFFSET($E$1,MATCH($CD28,$C:$C,)+{3;4},INT(COLUMN($A:$AE)*2)-1))),{3.9,7.9,11.9}),COLUMN(C25))</f>
        <v>0</v>
      </c>
      <c r="CG28" s="44">
        <f ca="1">INDEX(FREQUENCY(MMULT({1,1},SUBTOTAL(9,OFFSET($E$1,MATCH($CD28,$C:$C,)+{3;4},INT(COLUMN($A:$AE)*2)-1))),{3.9,7.9,11.9}),COLUMN(D25))</f>
        <v>0</v>
      </c>
    </row>
    <row r="29" spans="1:85" ht="17.25" customHeight="1" x14ac:dyDescent="0.15">
      <c r="A29" s="85"/>
      <c r="B29" s="49"/>
      <c r="C29" s="49"/>
      <c r="D29" s="56"/>
      <c r="E29" s="12"/>
      <c r="F29" s="12"/>
      <c r="G29" s="12" t="s">
        <v>15</v>
      </c>
      <c r="H29" s="12">
        <v>2</v>
      </c>
      <c r="I29" s="12"/>
      <c r="J29" s="12"/>
      <c r="K29" s="12"/>
      <c r="L29" s="12"/>
      <c r="M29" s="12" t="s">
        <v>15</v>
      </c>
      <c r="N29" s="12">
        <v>2</v>
      </c>
      <c r="O29" s="12" t="s">
        <v>15</v>
      </c>
      <c r="P29" s="12">
        <v>2</v>
      </c>
      <c r="Q29" s="12" t="s">
        <v>15</v>
      </c>
      <c r="R29" s="12">
        <v>2</v>
      </c>
      <c r="S29" s="12"/>
      <c r="T29" s="12"/>
      <c r="U29" s="12" t="s">
        <v>14</v>
      </c>
      <c r="V29" s="12">
        <v>2</v>
      </c>
      <c r="W29" s="12" t="s">
        <v>14</v>
      </c>
      <c r="X29" s="12">
        <v>2</v>
      </c>
      <c r="Y29" s="12" t="s">
        <v>14</v>
      </c>
      <c r="Z29" s="12">
        <v>2</v>
      </c>
      <c r="AA29" s="12" t="s">
        <v>18</v>
      </c>
      <c r="AB29" s="12">
        <v>2</v>
      </c>
      <c r="AC29" s="12" t="s">
        <v>14</v>
      </c>
      <c r="AD29" s="12">
        <v>2</v>
      </c>
      <c r="AE29" s="12" t="s">
        <v>14</v>
      </c>
      <c r="AF29" s="12">
        <v>2</v>
      </c>
      <c r="AG29" s="12"/>
      <c r="AH29" s="12"/>
      <c r="AI29" s="12" t="s">
        <v>14</v>
      </c>
      <c r="AJ29" s="12">
        <v>2</v>
      </c>
      <c r="AK29" s="12" t="s">
        <v>14</v>
      </c>
      <c r="AL29" s="12">
        <v>2</v>
      </c>
      <c r="AM29" s="12" t="s">
        <v>14</v>
      </c>
      <c r="AN29" s="12">
        <v>2</v>
      </c>
      <c r="AO29" s="12" t="s">
        <v>14</v>
      </c>
      <c r="AP29" s="12">
        <v>2</v>
      </c>
      <c r="AQ29" s="12" t="s">
        <v>14</v>
      </c>
      <c r="AR29" s="12">
        <v>2</v>
      </c>
      <c r="AS29" s="12" t="s">
        <v>14</v>
      </c>
      <c r="AT29" s="12">
        <v>2</v>
      </c>
      <c r="AU29" s="12" t="s">
        <v>16</v>
      </c>
      <c r="AV29" s="12">
        <v>2</v>
      </c>
      <c r="AW29" s="12" t="s">
        <v>14</v>
      </c>
      <c r="AX29" s="12">
        <v>2</v>
      </c>
      <c r="AY29" s="12" t="s">
        <v>14</v>
      </c>
      <c r="AZ29" s="12">
        <v>2</v>
      </c>
      <c r="BA29" s="12" t="s">
        <v>14</v>
      </c>
      <c r="BB29" s="12">
        <v>2</v>
      </c>
      <c r="BC29" s="12" t="s">
        <v>14</v>
      </c>
      <c r="BD29" s="12">
        <v>2</v>
      </c>
      <c r="BE29" s="12" t="s">
        <v>14</v>
      </c>
      <c r="BF29" s="12">
        <v>2</v>
      </c>
      <c r="BG29" s="12" t="s">
        <v>14</v>
      </c>
      <c r="BH29" s="12">
        <v>2</v>
      </c>
      <c r="BI29" s="12" t="s">
        <v>16</v>
      </c>
      <c r="BJ29" s="12">
        <v>2</v>
      </c>
      <c r="BK29" s="12" t="s">
        <v>14</v>
      </c>
      <c r="BL29" s="12">
        <v>2</v>
      </c>
      <c r="BM29" s="12" t="s">
        <v>14</v>
      </c>
      <c r="BN29" s="35">
        <v>2</v>
      </c>
      <c r="BP29" s="27">
        <v>26</v>
      </c>
      <c r="BQ29" s="27" t="s">
        <v>139</v>
      </c>
      <c r="BR29" s="29">
        <f ca="1">SUMIF(OFFSET($E$4:$BM$9,ROWS($1:26)*6-6,),BR$2,OFFSET($F$4:$BN$9,ROWS($1:26)*6-6,))</f>
        <v>148</v>
      </c>
      <c r="BS29" s="29">
        <f ca="1">SUMIF(OFFSET($E$4:$BM$9,ROWS($1:26)*6-6,),BS$2,OFFSET($F$4:$BN$9,ROWS($1:26)*6-6,))</f>
        <v>36</v>
      </c>
      <c r="BT29" s="29">
        <f ca="1">SUMIF(OFFSET($E$4:$BM$9,ROWS($1:26)*6-6,),BT$2,OFFSET($F$4:$BN$9,ROWS($1:26)*6-6,))</f>
        <v>16</v>
      </c>
      <c r="BU29" s="29">
        <f ca="1">SUMIF(OFFSET($E$4:$BM$9,ROWS($1:26)*6-6,),BU$2,OFFSET($F$4:$BN$9,ROWS($1:26)*6-6,))</f>
        <v>0</v>
      </c>
      <c r="BV29" s="29">
        <f ca="1">SUMIF(OFFSET($E$4:$BM$9,ROWS($1:26)*6-6,),BV$2,OFFSET($F$4:$BN$9,ROWS($1:26)*6-6,))</f>
        <v>12</v>
      </c>
      <c r="BW29" s="29">
        <f ca="1">SUMIF(OFFSET($E$4:$BM$9,ROWS($1:26)*6-6,),BW$2,OFFSET($F$4:$BN$9,ROWS($1:26)*6-6,))</f>
        <v>0</v>
      </c>
      <c r="BX29" s="29">
        <f ca="1">SUMIF(OFFSET($E$4:$BM$9,ROWS($1:26)*6-6,),BX$2,OFFSET($F$4:$BN$9,ROWS($1:26)*6-6,))</f>
        <v>0</v>
      </c>
      <c r="BY29" s="29">
        <f ca="1">SUMIF(OFFSET($E$4:$BM$9,ROWS($1:26)*6-6,),BY$2,OFFSET($F$4:$BN$9,ROWS($1:26)*6-6,))</f>
        <v>0</v>
      </c>
      <c r="BZ29" s="29">
        <f ca="1">SUMIF(OFFSET($E$4:$BM$9,ROWS($1:26)*6-6,),BZ$2,OFFSET($F$4:$BN$9,ROWS($1:26)*6-6,))</f>
        <v>0</v>
      </c>
      <c r="CA29" s="29">
        <f ca="1">SUMIF(OFFSET($E$4:$BM$9,ROWS($1:26)*6-6,),CA$2,OFFSET($F$4:$BN$9,ROWS($1:26)*6-6,))</f>
        <v>0</v>
      </c>
      <c r="CB29" s="29">
        <f ca="1">SUMIF(OFFSET($E$4:$BM$9,ROWS($1:26)*6-6,),CB$2,OFFSET($F$4:$BN$9,ROWS($1:26)*6-6,))</f>
        <v>0</v>
      </c>
      <c r="CC29" s="43">
        <f ca="1">SUMIF(OFFSET($E$4:$BM$9,ROWS($1:26)*6-6,),CC$2,OFFSET($F$4:$BN$9,ROWS($1:26)*6-6,))</f>
        <v>0</v>
      </c>
      <c r="CD29" s="44" t="str">
        <f t="shared" si="3"/>
        <v>粟勇</v>
      </c>
      <c r="CE29" s="44">
        <f ca="1">INDEX(FREQUENCY(MMULT({1,1},SUBTOTAL(9,OFFSET($E$1,MATCH($CD29,$C:$C,)+{3;4},INT(COLUMN($A:$AE)*2)-1))),{3.9,7.9,11.9}),COLUMN(B26))</f>
        <v>3</v>
      </c>
      <c r="CF29" s="44">
        <f ca="1">INDEX(FREQUENCY(MMULT({1,1},SUBTOTAL(9,OFFSET($E$1,MATCH($CD29,$C:$C,)+{3;4},INT(COLUMN($A:$AE)*2)-1))),{3.9,7.9,11.9}),COLUMN(C26))</f>
        <v>0</v>
      </c>
      <c r="CG29" s="44">
        <f ca="1">INDEX(FREQUENCY(MMULT({1,1},SUBTOTAL(9,OFFSET($E$1,MATCH($CD29,$C:$C,)+{3;4},INT(COLUMN($A:$AE)*2)-1))),{3.9,7.9,11.9}),COLUMN(D26))</f>
        <v>0</v>
      </c>
    </row>
    <row r="30" spans="1:85" ht="17.25" customHeight="1" x14ac:dyDescent="0.15">
      <c r="A30" s="85"/>
      <c r="B30" s="49"/>
      <c r="C30" s="49"/>
      <c r="D30" s="57" t="s">
        <v>47</v>
      </c>
      <c r="E30" s="13"/>
      <c r="F30" s="13"/>
      <c r="G30" s="13"/>
      <c r="H30" s="13"/>
      <c r="I30" s="13"/>
      <c r="J30" s="13"/>
      <c r="K30" s="13"/>
      <c r="L30" s="13"/>
      <c r="M30" s="13" t="s">
        <v>15</v>
      </c>
      <c r="N30" s="13">
        <v>2</v>
      </c>
      <c r="O30" s="13" t="s">
        <v>15</v>
      </c>
      <c r="P30" s="13">
        <v>2</v>
      </c>
      <c r="Q30" s="13" t="s">
        <v>15</v>
      </c>
      <c r="R30" s="13">
        <v>2</v>
      </c>
      <c r="S30" s="13"/>
      <c r="T30" s="13"/>
      <c r="U30" s="13" t="s">
        <v>14</v>
      </c>
      <c r="V30" s="13">
        <v>2</v>
      </c>
      <c r="W30" s="13" t="s">
        <v>14</v>
      </c>
      <c r="X30" s="13">
        <v>2</v>
      </c>
      <c r="Y30" s="13" t="s">
        <v>14</v>
      </c>
      <c r="Z30" s="13">
        <v>2</v>
      </c>
      <c r="AA30" s="13" t="s">
        <v>18</v>
      </c>
      <c r="AB30" s="13">
        <v>2</v>
      </c>
      <c r="AC30" s="13" t="s">
        <v>14</v>
      </c>
      <c r="AD30" s="13">
        <v>2</v>
      </c>
      <c r="AE30" s="13" t="s">
        <v>14</v>
      </c>
      <c r="AF30" s="13">
        <v>2</v>
      </c>
      <c r="AG30" s="13"/>
      <c r="AH30" s="13"/>
      <c r="AI30" s="13" t="s">
        <v>14</v>
      </c>
      <c r="AJ30" s="13">
        <v>2</v>
      </c>
      <c r="AK30" s="13" t="s">
        <v>14</v>
      </c>
      <c r="AL30" s="13">
        <v>2</v>
      </c>
      <c r="AM30" s="13" t="s">
        <v>14</v>
      </c>
      <c r="AN30" s="13">
        <v>2</v>
      </c>
      <c r="AO30" s="13" t="s">
        <v>14</v>
      </c>
      <c r="AP30" s="13">
        <v>2</v>
      </c>
      <c r="AQ30" s="13" t="s">
        <v>14</v>
      </c>
      <c r="AR30" s="13">
        <v>2</v>
      </c>
      <c r="AS30" s="13" t="s">
        <v>14</v>
      </c>
      <c r="AT30" s="13">
        <v>2</v>
      </c>
      <c r="AU30" s="13" t="s">
        <v>16</v>
      </c>
      <c r="AV30" s="13">
        <v>2</v>
      </c>
      <c r="AW30" s="13" t="s">
        <v>14</v>
      </c>
      <c r="AX30" s="13">
        <v>2</v>
      </c>
      <c r="AY30" s="13" t="s">
        <v>14</v>
      </c>
      <c r="AZ30" s="13">
        <v>2</v>
      </c>
      <c r="BA30" s="13" t="s">
        <v>14</v>
      </c>
      <c r="BB30" s="13">
        <v>2</v>
      </c>
      <c r="BC30" s="13" t="s">
        <v>14</v>
      </c>
      <c r="BD30" s="13">
        <v>2</v>
      </c>
      <c r="BE30" s="13" t="s">
        <v>14</v>
      </c>
      <c r="BF30" s="13">
        <v>2</v>
      </c>
      <c r="BG30" s="13" t="s">
        <v>14</v>
      </c>
      <c r="BH30" s="13">
        <v>2</v>
      </c>
      <c r="BI30" s="13" t="s">
        <v>16</v>
      </c>
      <c r="BJ30" s="13">
        <v>2</v>
      </c>
      <c r="BK30" s="13" t="s">
        <v>14</v>
      </c>
      <c r="BL30" s="13">
        <v>2</v>
      </c>
      <c r="BM30" s="13" t="s">
        <v>14</v>
      </c>
      <c r="BN30" s="36">
        <v>2</v>
      </c>
      <c r="BP30" s="27">
        <v>27</v>
      </c>
      <c r="BQ30" s="27" t="s">
        <v>55</v>
      </c>
      <c r="BR30" s="29">
        <f ca="1">SUMIF(OFFSET($E$4:$BM$9,ROWS($1:27)*6-6,),BR$2,OFFSET($F$4:$BN$9,ROWS($1:27)*6-6,))</f>
        <v>148</v>
      </c>
      <c r="BS30" s="29">
        <f ca="1">SUMIF(OFFSET($E$4:$BM$9,ROWS($1:27)*6-6,),BS$2,OFFSET($F$4:$BN$9,ROWS($1:27)*6-6,))</f>
        <v>32</v>
      </c>
      <c r="BT30" s="29">
        <f ca="1">SUMIF(OFFSET($E$4:$BM$9,ROWS($1:27)*6-6,),BT$2,OFFSET($F$4:$BN$9,ROWS($1:27)*6-6,))</f>
        <v>16</v>
      </c>
      <c r="BU30" s="29">
        <f ca="1">SUMIF(OFFSET($E$4:$BM$9,ROWS($1:27)*6-6,),BU$2,OFFSET($F$4:$BN$9,ROWS($1:27)*6-6,))</f>
        <v>0</v>
      </c>
      <c r="BV30" s="29">
        <f ca="1">SUMIF(OFFSET($E$4:$BM$9,ROWS($1:27)*6-6,),BV$2,OFFSET($F$4:$BN$9,ROWS($1:27)*6-6,))</f>
        <v>12</v>
      </c>
      <c r="BW30" s="29">
        <f ca="1">SUMIF(OFFSET($E$4:$BM$9,ROWS($1:27)*6-6,),BW$2,OFFSET($F$4:$BN$9,ROWS($1:27)*6-6,))</f>
        <v>0</v>
      </c>
      <c r="BX30" s="29">
        <f ca="1">SUMIF(OFFSET($E$4:$BM$9,ROWS($1:27)*6-6,),BX$2,OFFSET($F$4:$BN$9,ROWS($1:27)*6-6,))</f>
        <v>0</v>
      </c>
      <c r="BY30" s="29">
        <f ca="1">SUMIF(OFFSET($E$4:$BM$9,ROWS($1:27)*6-6,),BY$2,OFFSET($F$4:$BN$9,ROWS($1:27)*6-6,))</f>
        <v>0</v>
      </c>
      <c r="BZ30" s="29">
        <f ca="1">SUMIF(OFFSET($E$4:$BM$9,ROWS($1:27)*6-6,),BZ$2,OFFSET($F$4:$BN$9,ROWS($1:27)*6-6,))</f>
        <v>0</v>
      </c>
      <c r="CA30" s="29">
        <f ca="1">SUMIF(OFFSET($E$4:$BM$9,ROWS($1:27)*6-6,),CA$2,OFFSET($F$4:$BN$9,ROWS($1:27)*6-6,))</f>
        <v>0</v>
      </c>
      <c r="CB30" s="29">
        <f ca="1">SUMIF(OFFSET($E$4:$BM$9,ROWS($1:27)*6-6,),CB$2,OFFSET($F$4:$BN$9,ROWS($1:27)*6-6,))</f>
        <v>0</v>
      </c>
      <c r="CC30" s="43">
        <f ca="1">SUMIF(OFFSET($E$4:$BM$9,ROWS($1:27)*6-6,),CC$2,OFFSET($F$4:$BN$9,ROWS($1:27)*6-6,))</f>
        <v>0</v>
      </c>
      <c r="CD30" s="44" t="str">
        <f t="shared" si="3"/>
        <v>陶永福</v>
      </c>
      <c r="CE30" s="44">
        <f ca="1">INDEX(FREQUENCY(MMULT({1,1},SUBTOTAL(9,OFFSET($E$1,MATCH($CD30,$C:$C,)+{3;4},INT(COLUMN($A:$AE)*2)-1))),{3.9,7.9,11.9}),COLUMN(B27))</f>
        <v>2</v>
      </c>
      <c r="CF30" s="44">
        <f ca="1">INDEX(FREQUENCY(MMULT({1,1},SUBTOTAL(9,OFFSET($E$1,MATCH($CD30,$C:$C,)+{3;4},INT(COLUMN($A:$AE)*2)-1))),{3.9,7.9,11.9}),COLUMN(C27))</f>
        <v>0</v>
      </c>
      <c r="CG30" s="44">
        <f ca="1">INDEX(FREQUENCY(MMULT({1,1},SUBTOTAL(9,OFFSET($E$1,MATCH($CD30,$C:$C,)+{3;4},INT(COLUMN($A:$AE)*2)-1))),{3.9,7.9,11.9}),COLUMN(D27))</f>
        <v>0</v>
      </c>
    </row>
    <row r="31" spans="1:85" ht="17.25" customHeight="1" x14ac:dyDescent="0.15">
      <c r="A31" s="85"/>
      <c r="B31" s="49"/>
      <c r="C31" s="49"/>
      <c r="D31" s="56"/>
      <c r="E31" s="12"/>
      <c r="F31" s="12"/>
      <c r="G31" s="12"/>
      <c r="H31" s="12"/>
      <c r="I31" s="12"/>
      <c r="J31" s="12"/>
      <c r="K31" s="12"/>
      <c r="L31" s="12"/>
      <c r="M31" s="12" t="s">
        <v>15</v>
      </c>
      <c r="N31" s="12">
        <v>2</v>
      </c>
      <c r="O31" s="12" t="s">
        <v>15</v>
      </c>
      <c r="P31" s="12">
        <v>2</v>
      </c>
      <c r="Q31" s="12" t="s">
        <v>15</v>
      </c>
      <c r="R31" s="12">
        <v>2</v>
      </c>
      <c r="S31" s="12"/>
      <c r="T31" s="12"/>
      <c r="U31" s="12" t="s">
        <v>14</v>
      </c>
      <c r="V31" s="12">
        <v>2</v>
      </c>
      <c r="W31" s="12" t="s">
        <v>14</v>
      </c>
      <c r="X31" s="12">
        <v>2</v>
      </c>
      <c r="Y31" s="12" t="s">
        <v>14</v>
      </c>
      <c r="Z31" s="12">
        <v>2</v>
      </c>
      <c r="AA31" s="12" t="s">
        <v>18</v>
      </c>
      <c r="AB31" s="12">
        <v>2</v>
      </c>
      <c r="AC31" s="12" t="s">
        <v>14</v>
      </c>
      <c r="AD31" s="12">
        <v>2</v>
      </c>
      <c r="AE31" s="12" t="s">
        <v>14</v>
      </c>
      <c r="AF31" s="12">
        <v>2</v>
      </c>
      <c r="AG31" s="12"/>
      <c r="AH31" s="12"/>
      <c r="AI31" s="12" t="s">
        <v>14</v>
      </c>
      <c r="AJ31" s="12">
        <v>2</v>
      </c>
      <c r="AK31" s="12" t="s">
        <v>14</v>
      </c>
      <c r="AL31" s="12">
        <v>2</v>
      </c>
      <c r="AM31" s="12" t="s">
        <v>14</v>
      </c>
      <c r="AN31" s="12">
        <v>2</v>
      </c>
      <c r="AO31" s="12" t="s">
        <v>14</v>
      </c>
      <c r="AP31" s="12">
        <v>2</v>
      </c>
      <c r="AQ31" s="12" t="s">
        <v>14</v>
      </c>
      <c r="AR31" s="12">
        <v>2</v>
      </c>
      <c r="AS31" s="12" t="s">
        <v>14</v>
      </c>
      <c r="AT31" s="12">
        <v>2</v>
      </c>
      <c r="AU31" s="12" t="s">
        <v>16</v>
      </c>
      <c r="AV31" s="12">
        <v>2</v>
      </c>
      <c r="AW31" s="12" t="s">
        <v>14</v>
      </c>
      <c r="AX31" s="12">
        <v>2</v>
      </c>
      <c r="AY31" s="12" t="s">
        <v>14</v>
      </c>
      <c r="AZ31" s="12">
        <v>2</v>
      </c>
      <c r="BA31" s="12" t="s">
        <v>14</v>
      </c>
      <c r="BB31" s="12">
        <v>2</v>
      </c>
      <c r="BC31" s="12" t="s">
        <v>14</v>
      </c>
      <c r="BD31" s="12">
        <v>2</v>
      </c>
      <c r="BE31" s="12" t="s">
        <v>14</v>
      </c>
      <c r="BF31" s="12">
        <v>2</v>
      </c>
      <c r="BG31" s="12" t="s">
        <v>14</v>
      </c>
      <c r="BH31" s="12">
        <v>2</v>
      </c>
      <c r="BI31" s="12" t="s">
        <v>16</v>
      </c>
      <c r="BJ31" s="12">
        <v>2</v>
      </c>
      <c r="BK31" s="12" t="s">
        <v>14</v>
      </c>
      <c r="BL31" s="12">
        <v>2</v>
      </c>
      <c r="BM31" s="12" t="s">
        <v>14</v>
      </c>
      <c r="BN31" s="35">
        <v>2</v>
      </c>
      <c r="BP31" s="27">
        <v>28</v>
      </c>
      <c r="BQ31" s="27" t="s">
        <v>142</v>
      </c>
      <c r="BR31" s="29">
        <f ca="1">SUMIF(OFFSET($E$4:$BM$9,ROWS($1:28)*6-6,),BR$2,OFFSET($F$4:$BN$9,ROWS($1:28)*6-6,))</f>
        <v>155</v>
      </c>
      <c r="BS31" s="29">
        <f ca="1">SUMIF(OFFSET($E$4:$BM$9,ROWS($1:28)*6-6,),BS$2,OFFSET($F$4:$BN$9,ROWS($1:28)*6-6,))</f>
        <v>57</v>
      </c>
      <c r="BT31" s="29">
        <f ca="1">SUMIF(OFFSET($E$4:$BM$9,ROWS($1:28)*6-6,),BT$2,OFFSET($F$4:$BN$9,ROWS($1:28)*6-6,))</f>
        <v>16</v>
      </c>
      <c r="BU31" s="29">
        <f ca="1">SUMIF(OFFSET($E$4:$BM$9,ROWS($1:28)*6-6,),BU$2,OFFSET($F$4:$BN$9,ROWS($1:28)*6-6,))</f>
        <v>0</v>
      </c>
      <c r="BV31" s="29">
        <f ca="1">SUMIF(OFFSET($E$4:$BM$9,ROWS($1:28)*6-6,),BV$2,OFFSET($F$4:$BN$9,ROWS($1:28)*6-6,))</f>
        <v>5</v>
      </c>
      <c r="BW31" s="29">
        <f ca="1">SUMIF(OFFSET($E$4:$BM$9,ROWS($1:28)*6-6,),BW$2,OFFSET($F$4:$BN$9,ROWS($1:28)*6-6,))</f>
        <v>0</v>
      </c>
      <c r="BX31" s="29">
        <f ca="1">SUMIF(OFFSET($E$4:$BM$9,ROWS($1:28)*6-6,),BX$2,OFFSET($F$4:$BN$9,ROWS($1:28)*6-6,))</f>
        <v>0</v>
      </c>
      <c r="BY31" s="29">
        <f ca="1">SUMIF(OFFSET($E$4:$BM$9,ROWS($1:28)*6-6,),BY$2,OFFSET($F$4:$BN$9,ROWS($1:28)*6-6,))</f>
        <v>0</v>
      </c>
      <c r="BZ31" s="29">
        <f ca="1">SUMIF(OFFSET($E$4:$BM$9,ROWS($1:28)*6-6,),BZ$2,OFFSET($F$4:$BN$9,ROWS($1:28)*6-6,))</f>
        <v>0</v>
      </c>
      <c r="CA31" s="29">
        <f ca="1">SUMIF(OFFSET($E$4:$BM$9,ROWS($1:28)*6-6,),CA$2,OFFSET($F$4:$BN$9,ROWS($1:28)*6-6,))</f>
        <v>0</v>
      </c>
      <c r="CB31" s="29">
        <f ca="1">SUMIF(OFFSET($E$4:$BM$9,ROWS($1:28)*6-6,),CB$2,OFFSET($F$4:$BN$9,ROWS($1:28)*6-6,))</f>
        <v>0</v>
      </c>
      <c r="CC31" s="43">
        <f ca="1">SUMIF(OFFSET($E$4:$BM$9,ROWS($1:28)*6-6,),CC$2,OFFSET($F$4:$BN$9,ROWS($1:28)*6-6,))</f>
        <v>0</v>
      </c>
      <c r="CD31" s="44" t="str">
        <f t="shared" si="3"/>
        <v>欧政才</v>
      </c>
      <c r="CE31" s="44">
        <f ca="1">INDEX(FREQUENCY(MMULT({1,1},SUBTOTAL(9,OFFSET($E$1,MATCH($CD31,$C:$C,)+{3;4},INT(COLUMN($A:$AE)*2)-1))),{3.9,7.9,11.9}),COLUMN(B28))</f>
        <v>10</v>
      </c>
      <c r="CF31" s="44">
        <f ca="1">INDEX(FREQUENCY(MMULT({1,1},SUBTOTAL(9,OFFSET($E$1,MATCH($CD31,$C:$C,)+{3;4},INT(COLUMN($A:$AE)*2)-1))),{3.9,7.9,11.9}),COLUMN(C28))</f>
        <v>0</v>
      </c>
      <c r="CG31" s="44">
        <f ca="1">INDEX(FREQUENCY(MMULT({1,1},SUBTOTAL(9,OFFSET($E$1,MATCH($CD31,$C:$C,)+{3;4},INT(COLUMN($A:$AE)*2)-1))),{3.9,7.9,11.9}),COLUMN(D28))</f>
        <v>0</v>
      </c>
    </row>
    <row r="32" spans="1:85" ht="17.25" customHeight="1" x14ac:dyDescent="0.15">
      <c r="A32" s="85"/>
      <c r="B32" s="49"/>
      <c r="C32" s="49"/>
      <c r="D32" s="58" t="s">
        <v>49</v>
      </c>
      <c r="E32" s="14"/>
      <c r="F32" s="14"/>
      <c r="G32" s="14"/>
      <c r="H32" s="14"/>
      <c r="I32" s="14"/>
      <c r="J32" s="14"/>
      <c r="K32" s="14"/>
      <c r="L32" s="14"/>
      <c r="M32" s="14" t="s">
        <v>15</v>
      </c>
      <c r="N32" s="14"/>
      <c r="O32" s="14" t="s">
        <v>15</v>
      </c>
      <c r="P32" s="14"/>
      <c r="Q32" s="14" t="s">
        <v>15</v>
      </c>
      <c r="R32" s="14"/>
      <c r="S32" s="14"/>
      <c r="T32" s="14"/>
      <c r="U32" s="14" t="s">
        <v>15</v>
      </c>
      <c r="V32" s="14"/>
      <c r="W32" s="14" t="s">
        <v>15</v>
      </c>
      <c r="X32" s="14"/>
      <c r="Y32" s="14" t="s">
        <v>15</v>
      </c>
      <c r="Z32" s="14"/>
      <c r="AA32" s="14" t="s">
        <v>15</v>
      </c>
      <c r="AB32" s="14"/>
      <c r="AC32" s="14" t="s">
        <v>15</v>
      </c>
      <c r="AD32" s="14"/>
      <c r="AE32" s="14" t="s">
        <v>15</v>
      </c>
      <c r="AF32" s="14"/>
      <c r="AG32" s="14"/>
      <c r="AH32" s="14"/>
      <c r="AI32" s="14" t="s">
        <v>15</v>
      </c>
      <c r="AJ32" s="14"/>
      <c r="AK32" s="14" t="s">
        <v>15</v>
      </c>
      <c r="AL32" s="14"/>
      <c r="AM32" s="14" t="s">
        <v>15</v>
      </c>
      <c r="AN32" s="14"/>
      <c r="AO32" s="14" t="s">
        <v>15</v>
      </c>
      <c r="AP32" s="14"/>
      <c r="AQ32" s="14" t="s">
        <v>15</v>
      </c>
      <c r="AR32" s="14"/>
      <c r="AS32" s="14" t="s">
        <v>15</v>
      </c>
      <c r="AT32" s="14"/>
      <c r="AU32" s="14"/>
      <c r="AV32" s="14"/>
      <c r="AW32" s="14" t="s">
        <v>15</v>
      </c>
      <c r="AX32" s="14"/>
      <c r="AY32" s="14" t="s">
        <v>15</v>
      </c>
      <c r="AZ32" s="14"/>
      <c r="BA32" s="14" t="s">
        <v>15</v>
      </c>
      <c r="BB32" s="14"/>
      <c r="BC32" s="14" t="s">
        <v>15</v>
      </c>
      <c r="BD32" s="14"/>
      <c r="BE32" s="14" t="s">
        <v>15</v>
      </c>
      <c r="BF32" s="14"/>
      <c r="BG32" s="14" t="s">
        <v>15</v>
      </c>
      <c r="BH32" s="14"/>
      <c r="BI32" s="14"/>
      <c r="BJ32" s="14"/>
      <c r="BK32" s="14" t="s">
        <v>15</v>
      </c>
      <c r="BL32" s="14"/>
      <c r="BM32" s="14" t="s">
        <v>15</v>
      </c>
      <c r="BN32" s="37"/>
      <c r="BP32" s="27">
        <v>29</v>
      </c>
      <c r="BQ32" s="27" t="s">
        <v>56</v>
      </c>
      <c r="BR32" s="29">
        <f ca="1">SUMIF(OFFSET($E$4:$BM$9,ROWS($1:29)*6-6,),BR$2,OFFSET($F$4:$BN$9,ROWS($1:29)*6-6,))</f>
        <v>155</v>
      </c>
      <c r="BS32" s="29">
        <f ca="1">SUMIF(OFFSET($E$4:$BM$9,ROWS($1:29)*6-6,),BS$2,OFFSET($F$4:$BN$9,ROWS($1:29)*6-6,))</f>
        <v>47</v>
      </c>
      <c r="BT32" s="29">
        <f ca="1">SUMIF(OFFSET($E$4:$BM$9,ROWS($1:29)*6-6,),BT$2,OFFSET($F$4:$BN$9,ROWS($1:29)*6-6,))</f>
        <v>16</v>
      </c>
      <c r="BU32" s="29">
        <f ca="1">SUMIF(OFFSET($E$4:$BM$9,ROWS($1:29)*6-6,),BU$2,OFFSET($F$4:$BN$9,ROWS($1:29)*6-6,))</f>
        <v>0</v>
      </c>
      <c r="BV32" s="29">
        <f ca="1">SUMIF(OFFSET($E$4:$BM$9,ROWS($1:29)*6-6,),BV$2,OFFSET($F$4:$BN$9,ROWS($1:29)*6-6,))</f>
        <v>5</v>
      </c>
      <c r="BW32" s="29">
        <f ca="1">SUMIF(OFFSET($E$4:$BM$9,ROWS($1:29)*6-6,),BW$2,OFFSET($F$4:$BN$9,ROWS($1:29)*6-6,))</f>
        <v>0</v>
      </c>
      <c r="BX32" s="29">
        <f ca="1">SUMIF(OFFSET($E$4:$BM$9,ROWS($1:29)*6-6,),BX$2,OFFSET($F$4:$BN$9,ROWS($1:29)*6-6,))</f>
        <v>0</v>
      </c>
      <c r="BY32" s="29">
        <f ca="1">SUMIF(OFFSET($E$4:$BM$9,ROWS($1:29)*6-6,),BY$2,OFFSET($F$4:$BN$9,ROWS($1:29)*6-6,))</f>
        <v>0</v>
      </c>
      <c r="BZ32" s="29">
        <f ca="1">SUMIF(OFFSET($E$4:$BM$9,ROWS($1:29)*6-6,),BZ$2,OFFSET($F$4:$BN$9,ROWS($1:29)*6-6,))</f>
        <v>0</v>
      </c>
      <c r="CA32" s="29">
        <f ca="1">SUMIF(OFFSET($E$4:$BM$9,ROWS($1:29)*6-6,),CA$2,OFFSET($F$4:$BN$9,ROWS($1:29)*6-6,))</f>
        <v>0</v>
      </c>
      <c r="CB32" s="29">
        <f ca="1">SUMIF(OFFSET($E$4:$BM$9,ROWS($1:29)*6-6,),CB$2,OFFSET($F$4:$BN$9,ROWS($1:29)*6-6,))</f>
        <v>0</v>
      </c>
      <c r="CC32" s="43">
        <f ca="1">SUMIF(OFFSET($E$4:$BM$9,ROWS($1:29)*6-6,),CC$2,OFFSET($F$4:$BN$9,ROWS($1:29)*6-6,))</f>
        <v>0</v>
      </c>
      <c r="CD32" s="44" t="str">
        <f t="shared" si="3"/>
        <v>杨四明</v>
      </c>
      <c r="CE32" s="44">
        <f ca="1">INDEX(FREQUENCY(MMULT({1,1},SUBTOTAL(9,OFFSET($E$1,MATCH($CD32,$C:$C,)+{3;4},INT(COLUMN($A:$AE)*2)-1))),{3.9,7.9,11.9}),COLUMN(B29))</f>
        <v>7</v>
      </c>
      <c r="CF32" s="44">
        <f ca="1">INDEX(FREQUENCY(MMULT({1,1},SUBTOTAL(9,OFFSET($E$1,MATCH($CD32,$C:$C,)+{3;4},INT(COLUMN($A:$AE)*2)-1))),{3.9,7.9,11.9}),COLUMN(C29))</f>
        <v>0</v>
      </c>
      <c r="CG32" s="44">
        <f ca="1">INDEX(FREQUENCY(MMULT({1,1},SUBTOTAL(9,OFFSET($E$1,MATCH($CD32,$C:$C,)+{3;4},INT(COLUMN($A:$AE)*2)-1))),{3.9,7.9,11.9}),COLUMN(D29))</f>
        <v>0</v>
      </c>
    </row>
    <row r="33" spans="1:85" ht="17.25" customHeight="1" thickBot="1" x14ac:dyDescent="0.2">
      <c r="A33" s="86"/>
      <c r="B33" s="50"/>
      <c r="C33" s="50"/>
      <c r="D33" s="59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8"/>
      <c r="BP33" s="27">
        <v>30</v>
      </c>
      <c r="BQ33" s="27" t="s">
        <v>143</v>
      </c>
      <c r="BR33" s="29">
        <f ca="1">SUMIF(OFFSET($E$4:$BM$9,ROWS($1:30)*6-6,),BR$2,OFFSET($F$4:$BN$9,ROWS($1:30)*6-6,))</f>
        <v>152</v>
      </c>
      <c r="BS33" s="29">
        <f ca="1">SUMIF(OFFSET($E$4:$BM$9,ROWS($1:30)*6-6,),BS$2,OFFSET($F$4:$BN$9,ROWS($1:30)*6-6,))</f>
        <v>42</v>
      </c>
      <c r="BT33" s="29">
        <f ca="1">SUMIF(OFFSET($E$4:$BM$9,ROWS($1:30)*6-6,),BT$2,OFFSET($F$4:$BN$9,ROWS($1:30)*6-6,))</f>
        <v>16</v>
      </c>
      <c r="BU33" s="29">
        <f ca="1">SUMIF(OFFSET($E$4:$BM$9,ROWS($1:30)*6-6,),BU$2,OFFSET($F$4:$BN$9,ROWS($1:30)*6-6,))</f>
        <v>0</v>
      </c>
      <c r="BV33" s="29">
        <f ca="1">SUMIF(OFFSET($E$4:$BM$9,ROWS($1:30)*6-6,),BV$2,OFFSET($F$4:$BN$9,ROWS($1:30)*6-6,))</f>
        <v>8</v>
      </c>
      <c r="BW33" s="29">
        <f ca="1">SUMIF(OFFSET($E$4:$BM$9,ROWS($1:30)*6-6,),BW$2,OFFSET($F$4:$BN$9,ROWS($1:30)*6-6,))</f>
        <v>0</v>
      </c>
      <c r="BX33" s="29">
        <f ca="1">SUMIF(OFFSET($E$4:$BM$9,ROWS($1:30)*6-6,),BX$2,OFFSET($F$4:$BN$9,ROWS($1:30)*6-6,))</f>
        <v>0</v>
      </c>
      <c r="BY33" s="29">
        <f ca="1">SUMIF(OFFSET($E$4:$BM$9,ROWS($1:30)*6-6,),BY$2,OFFSET($F$4:$BN$9,ROWS($1:30)*6-6,))</f>
        <v>0</v>
      </c>
      <c r="BZ33" s="29">
        <f ca="1">SUMIF(OFFSET($E$4:$BM$9,ROWS($1:30)*6-6,),BZ$2,OFFSET($F$4:$BN$9,ROWS($1:30)*6-6,))</f>
        <v>0</v>
      </c>
      <c r="CA33" s="29">
        <f ca="1">SUMIF(OFFSET($E$4:$BM$9,ROWS($1:30)*6-6,),CA$2,OFFSET($F$4:$BN$9,ROWS($1:30)*6-6,))</f>
        <v>0</v>
      </c>
      <c r="CB33" s="29">
        <f ca="1">SUMIF(OFFSET($E$4:$BM$9,ROWS($1:30)*6-6,),CB$2,OFFSET($F$4:$BN$9,ROWS($1:30)*6-6,))</f>
        <v>0</v>
      </c>
      <c r="CC33" s="43">
        <f ca="1">SUMIF(OFFSET($E$4:$BM$9,ROWS($1:30)*6-6,),CC$2,OFFSET($F$4:$BN$9,ROWS($1:30)*6-6,))</f>
        <v>0</v>
      </c>
      <c r="CD33" s="44" t="str">
        <f t="shared" si="3"/>
        <v>涂大坤</v>
      </c>
      <c r="CE33" s="44">
        <f ca="1">INDEX(FREQUENCY(MMULT({1,1},SUBTOTAL(9,OFFSET($E$1,MATCH($CD33,$C:$C,)+{3;4},INT(COLUMN($A:$AE)*2)-1))),{3.9,7.9,11.9}),COLUMN(B30))</f>
        <v>9</v>
      </c>
      <c r="CF33" s="44">
        <f ca="1">INDEX(FREQUENCY(MMULT({1,1},SUBTOTAL(9,OFFSET($E$1,MATCH($CD33,$C:$C,)+{3;4},INT(COLUMN($A:$AE)*2)-1))),{3.9,7.9,11.9}),COLUMN(C30))</f>
        <v>0</v>
      </c>
      <c r="CG33" s="44">
        <f ca="1">INDEX(FREQUENCY(MMULT({1,1},SUBTOTAL(9,OFFSET($E$1,MATCH($CD33,$C:$C,)+{3;4},INT(COLUMN($A:$AE)*2)-1))),{3.9,7.9,11.9}),COLUMN(D30))</f>
        <v>0</v>
      </c>
    </row>
    <row r="34" spans="1:85" ht="17.25" customHeight="1" x14ac:dyDescent="0.15">
      <c r="A34" s="84" t="s">
        <v>153</v>
      </c>
      <c r="B34" s="48" t="s">
        <v>107</v>
      </c>
      <c r="C34" s="48" t="s">
        <v>93</v>
      </c>
      <c r="D34" s="55" t="s">
        <v>45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 t="s">
        <v>15</v>
      </c>
      <c r="P34" s="11">
        <v>2</v>
      </c>
      <c r="Q34" s="11" t="s">
        <v>15</v>
      </c>
      <c r="R34" s="11">
        <v>2</v>
      </c>
      <c r="S34" s="11"/>
      <c r="T34" s="11"/>
      <c r="U34" s="11" t="s">
        <v>14</v>
      </c>
      <c r="V34" s="11">
        <v>2</v>
      </c>
      <c r="W34" s="11" t="s">
        <v>14</v>
      </c>
      <c r="X34" s="11">
        <v>2</v>
      </c>
      <c r="Y34" s="11" t="s">
        <v>14</v>
      </c>
      <c r="Z34" s="11">
        <v>2</v>
      </c>
      <c r="AA34" s="11" t="s">
        <v>18</v>
      </c>
      <c r="AB34" s="11">
        <v>2</v>
      </c>
      <c r="AC34" s="11" t="s">
        <v>18</v>
      </c>
      <c r="AD34" s="11">
        <v>2</v>
      </c>
      <c r="AE34" s="11" t="s">
        <v>18</v>
      </c>
      <c r="AF34" s="11">
        <v>2</v>
      </c>
      <c r="AG34" s="11"/>
      <c r="AH34" s="11"/>
      <c r="AI34" s="11" t="s">
        <v>14</v>
      </c>
      <c r="AJ34" s="11">
        <v>2</v>
      </c>
      <c r="AK34" s="11" t="s">
        <v>14</v>
      </c>
      <c r="AL34" s="11">
        <v>2</v>
      </c>
      <c r="AM34" s="11" t="s">
        <v>14</v>
      </c>
      <c r="AN34" s="11">
        <v>2</v>
      </c>
      <c r="AO34" s="11" t="s">
        <v>14</v>
      </c>
      <c r="AP34" s="11">
        <v>2</v>
      </c>
      <c r="AQ34" s="11" t="s">
        <v>14</v>
      </c>
      <c r="AR34" s="11">
        <v>2</v>
      </c>
      <c r="AS34" s="11" t="s">
        <v>14</v>
      </c>
      <c r="AT34" s="11">
        <v>2</v>
      </c>
      <c r="AU34" s="11" t="s">
        <v>16</v>
      </c>
      <c r="AV34" s="11">
        <v>2</v>
      </c>
      <c r="AW34" s="11" t="s">
        <v>14</v>
      </c>
      <c r="AX34" s="11">
        <v>2</v>
      </c>
      <c r="AY34" s="11" t="s">
        <v>14</v>
      </c>
      <c r="AZ34" s="11">
        <v>2</v>
      </c>
      <c r="BA34" s="11" t="s">
        <v>14</v>
      </c>
      <c r="BB34" s="11">
        <v>2</v>
      </c>
      <c r="BC34" s="11" t="s">
        <v>14</v>
      </c>
      <c r="BD34" s="11">
        <v>2</v>
      </c>
      <c r="BE34" s="11" t="s">
        <v>14</v>
      </c>
      <c r="BF34" s="11">
        <v>2</v>
      </c>
      <c r="BG34" s="11" t="s">
        <v>14</v>
      </c>
      <c r="BH34" s="11">
        <v>2</v>
      </c>
      <c r="BI34" s="11" t="s">
        <v>16</v>
      </c>
      <c r="BJ34" s="11">
        <v>1</v>
      </c>
      <c r="BK34" s="11" t="s">
        <v>14</v>
      </c>
      <c r="BL34" s="11">
        <v>2</v>
      </c>
      <c r="BM34" s="11" t="s">
        <v>14</v>
      </c>
      <c r="BN34" s="34">
        <v>2</v>
      </c>
      <c r="BP34" s="27">
        <v>31</v>
      </c>
      <c r="BQ34" s="27" t="s">
        <v>144</v>
      </c>
      <c r="BR34" s="29">
        <f ca="1">SUMIF(OFFSET($E$4:$BM$9,ROWS($1:31)*6-6,),BR$2,OFFSET($F$4:$BN$9,ROWS($1:31)*6-6,))</f>
        <v>160</v>
      </c>
      <c r="BS34" s="29">
        <f ca="1">SUMIF(OFFSET($E$4:$BM$9,ROWS($1:31)*6-6,),BS$2,OFFSET($F$4:$BN$9,ROWS($1:31)*6-6,))</f>
        <v>43</v>
      </c>
      <c r="BT34" s="29">
        <f ca="1">SUMIF(OFFSET($E$4:$BM$9,ROWS($1:31)*6-6,),BT$2,OFFSET($F$4:$BN$9,ROWS($1:31)*6-6,))</f>
        <v>16</v>
      </c>
      <c r="BU34" s="29">
        <f ca="1">SUMIF(OFFSET($E$4:$BM$9,ROWS($1:31)*6-6,),BU$2,OFFSET($F$4:$BN$9,ROWS($1:31)*6-6,))</f>
        <v>0</v>
      </c>
      <c r="BV34" s="29">
        <f ca="1">SUMIF(OFFSET($E$4:$BM$9,ROWS($1:31)*6-6,),BV$2,OFFSET($F$4:$BN$9,ROWS($1:31)*6-6,))</f>
        <v>0</v>
      </c>
      <c r="BW34" s="29">
        <f ca="1">SUMIF(OFFSET($E$4:$BM$9,ROWS($1:31)*6-6,),BW$2,OFFSET($F$4:$BN$9,ROWS($1:31)*6-6,))</f>
        <v>0</v>
      </c>
      <c r="BX34" s="29">
        <f ca="1">SUMIF(OFFSET($E$4:$BM$9,ROWS($1:31)*6-6,),BX$2,OFFSET($F$4:$BN$9,ROWS($1:31)*6-6,))</f>
        <v>0</v>
      </c>
      <c r="BY34" s="29">
        <f ca="1">SUMIF(OFFSET($E$4:$BM$9,ROWS($1:31)*6-6,),BY$2,OFFSET($F$4:$BN$9,ROWS($1:31)*6-6,))</f>
        <v>0</v>
      </c>
      <c r="BZ34" s="29">
        <f ca="1">SUMIF(OFFSET($E$4:$BM$9,ROWS($1:31)*6-6,),BZ$2,OFFSET($F$4:$BN$9,ROWS($1:31)*6-6,))</f>
        <v>0</v>
      </c>
      <c r="CA34" s="29">
        <f ca="1">SUMIF(OFFSET($E$4:$BM$9,ROWS($1:31)*6-6,),CA$2,OFFSET($F$4:$BN$9,ROWS($1:31)*6-6,))</f>
        <v>0</v>
      </c>
      <c r="CB34" s="29">
        <f ca="1">SUMIF(OFFSET($E$4:$BM$9,ROWS($1:31)*6-6,),CB$2,OFFSET($F$4:$BN$9,ROWS($1:31)*6-6,))</f>
        <v>0</v>
      </c>
      <c r="CC34" s="43">
        <f ca="1">SUMIF(OFFSET($E$4:$BM$9,ROWS($1:31)*6-6,),CC$2,OFFSET($F$4:$BN$9,ROWS($1:31)*6-6,))</f>
        <v>0</v>
      </c>
      <c r="CD34" s="44" t="str">
        <f t="shared" si="3"/>
        <v>吴生富</v>
      </c>
      <c r="CE34" s="44">
        <f ca="1">INDEX(FREQUENCY(MMULT({1,1},SUBTOTAL(9,OFFSET($E$1,MATCH($CD34,$C:$C,)+{3;4},INT(COLUMN($A:$AE)*2)-1))),{3.9,7.9,11.9}),COLUMN(B31))</f>
        <v>9</v>
      </c>
      <c r="CF34" s="44">
        <f ca="1">INDEX(FREQUENCY(MMULT({1,1},SUBTOTAL(9,OFFSET($E$1,MATCH($CD34,$C:$C,)+{3;4},INT(COLUMN($A:$AE)*2)-1))),{3.9,7.9,11.9}),COLUMN(C31))</f>
        <v>0</v>
      </c>
      <c r="CG34" s="44">
        <f ca="1">INDEX(FREQUENCY(MMULT({1,1},SUBTOTAL(9,OFFSET($E$1,MATCH($CD34,$C:$C,)+{3;4},INT(COLUMN($A:$AE)*2)-1))),{3.9,7.9,11.9}),COLUMN(D31))</f>
        <v>0</v>
      </c>
    </row>
    <row r="35" spans="1:85" ht="17.25" customHeight="1" x14ac:dyDescent="0.15">
      <c r="A35" s="85"/>
      <c r="B35" s="49"/>
      <c r="C35" s="49"/>
      <c r="D35" s="5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 t="s">
        <v>15</v>
      </c>
      <c r="P35" s="12">
        <v>2</v>
      </c>
      <c r="Q35" s="12" t="s">
        <v>15</v>
      </c>
      <c r="R35" s="12">
        <v>2</v>
      </c>
      <c r="S35" s="12"/>
      <c r="T35" s="12"/>
      <c r="U35" s="12" t="s">
        <v>14</v>
      </c>
      <c r="V35" s="12">
        <v>2</v>
      </c>
      <c r="W35" s="12" t="s">
        <v>14</v>
      </c>
      <c r="X35" s="12">
        <v>2</v>
      </c>
      <c r="Y35" s="12" t="s">
        <v>14</v>
      </c>
      <c r="Z35" s="12">
        <v>2</v>
      </c>
      <c r="AA35" s="12" t="s">
        <v>18</v>
      </c>
      <c r="AB35" s="12">
        <v>2</v>
      </c>
      <c r="AC35" s="12" t="s">
        <v>18</v>
      </c>
      <c r="AD35" s="12">
        <v>2</v>
      </c>
      <c r="AE35" s="12" t="s">
        <v>18</v>
      </c>
      <c r="AF35" s="12">
        <v>2</v>
      </c>
      <c r="AG35" s="12"/>
      <c r="AH35" s="12"/>
      <c r="AI35" s="12" t="s">
        <v>14</v>
      </c>
      <c r="AJ35" s="12">
        <v>2</v>
      </c>
      <c r="AK35" s="12" t="s">
        <v>14</v>
      </c>
      <c r="AL35" s="12">
        <v>2</v>
      </c>
      <c r="AM35" s="12" t="s">
        <v>14</v>
      </c>
      <c r="AN35" s="12">
        <v>2</v>
      </c>
      <c r="AO35" s="12" t="s">
        <v>14</v>
      </c>
      <c r="AP35" s="12">
        <v>2</v>
      </c>
      <c r="AQ35" s="12" t="s">
        <v>14</v>
      </c>
      <c r="AR35" s="12">
        <v>2</v>
      </c>
      <c r="AS35" s="12" t="s">
        <v>14</v>
      </c>
      <c r="AT35" s="12">
        <v>2</v>
      </c>
      <c r="AU35" s="12" t="s">
        <v>16</v>
      </c>
      <c r="AV35" s="12">
        <v>2</v>
      </c>
      <c r="AW35" s="12" t="s">
        <v>14</v>
      </c>
      <c r="AX35" s="12">
        <v>2</v>
      </c>
      <c r="AY35" s="12" t="s">
        <v>14</v>
      </c>
      <c r="AZ35" s="12">
        <v>2</v>
      </c>
      <c r="BA35" s="12" t="s">
        <v>14</v>
      </c>
      <c r="BB35" s="12">
        <v>2</v>
      </c>
      <c r="BC35" s="12" t="s">
        <v>14</v>
      </c>
      <c r="BD35" s="12">
        <v>2</v>
      </c>
      <c r="BE35" s="12" t="s">
        <v>14</v>
      </c>
      <c r="BF35" s="12">
        <v>2</v>
      </c>
      <c r="BG35" s="12" t="s">
        <v>14</v>
      </c>
      <c r="BH35" s="12">
        <v>2</v>
      </c>
      <c r="BI35" s="12" t="s">
        <v>16</v>
      </c>
      <c r="BJ35" s="12">
        <v>2</v>
      </c>
      <c r="BK35" s="12" t="s">
        <v>14</v>
      </c>
      <c r="BL35" s="12">
        <v>2</v>
      </c>
      <c r="BM35" s="12" t="s">
        <v>14</v>
      </c>
      <c r="BN35" s="35">
        <v>2</v>
      </c>
      <c r="BP35" s="27">
        <v>32</v>
      </c>
      <c r="BQ35" s="27" t="s">
        <v>145</v>
      </c>
      <c r="BR35" s="29">
        <f ca="1">SUMIF(OFFSET($E$4:$BM$9,ROWS($1:32)*6-6,),BR$2,OFFSET($F$4:$BN$9,ROWS($1:32)*6-6,))</f>
        <v>136</v>
      </c>
      <c r="BS35" s="29">
        <f ca="1">SUMIF(OFFSET($E$4:$BM$9,ROWS($1:32)*6-6,),BS$2,OFFSET($F$4:$BN$9,ROWS($1:32)*6-6,))</f>
        <v>7</v>
      </c>
      <c r="BT35" s="29">
        <f ca="1">SUMIF(OFFSET($E$4:$BM$9,ROWS($1:32)*6-6,),BT$2,OFFSET($F$4:$BN$9,ROWS($1:32)*6-6,))</f>
        <v>8</v>
      </c>
      <c r="BU35" s="29">
        <f ca="1">SUMIF(OFFSET($E$4:$BM$9,ROWS($1:32)*6-6,),BU$2,OFFSET($F$4:$BN$9,ROWS($1:32)*6-6,))</f>
        <v>8</v>
      </c>
      <c r="BV35" s="29">
        <f ca="1">SUMIF(OFFSET($E$4:$BM$9,ROWS($1:32)*6-6,),BV$2,OFFSET($F$4:$BN$9,ROWS($1:32)*6-6,))</f>
        <v>16</v>
      </c>
      <c r="BW35" s="29">
        <f ca="1">SUMIF(OFFSET($E$4:$BM$9,ROWS($1:32)*6-6,),BW$2,OFFSET($F$4:$BN$9,ROWS($1:32)*6-6,))</f>
        <v>0</v>
      </c>
      <c r="BX35" s="29">
        <f ca="1">SUMIF(OFFSET($E$4:$BM$9,ROWS($1:32)*6-6,),BX$2,OFFSET($F$4:$BN$9,ROWS($1:32)*6-6,))</f>
        <v>0</v>
      </c>
      <c r="BY35" s="29">
        <f ca="1">SUMIF(OFFSET($E$4:$BM$9,ROWS($1:32)*6-6,),BY$2,OFFSET($F$4:$BN$9,ROWS($1:32)*6-6,))</f>
        <v>0</v>
      </c>
      <c r="BZ35" s="29">
        <f ca="1">SUMIF(OFFSET($E$4:$BM$9,ROWS($1:32)*6-6,),BZ$2,OFFSET($F$4:$BN$9,ROWS($1:32)*6-6,))</f>
        <v>0</v>
      </c>
      <c r="CA35" s="29">
        <f ca="1">SUMIF(OFFSET($E$4:$BM$9,ROWS($1:32)*6-6,),CA$2,OFFSET($F$4:$BN$9,ROWS($1:32)*6-6,))</f>
        <v>0</v>
      </c>
      <c r="CB35" s="29">
        <f ca="1">SUMIF(OFFSET($E$4:$BM$9,ROWS($1:32)*6-6,),CB$2,OFFSET($F$4:$BN$9,ROWS($1:32)*6-6,))</f>
        <v>0</v>
      </c>
      <c r="CC35" s="43">
        <f ca="1">SUMIF(OFFSET($E$4:$BM$9,ROWS($1:32)*6-6,),CC$2,OFFSET($F$4:$BN$9,ROWS($1:32)*6-6,))</f>
        <v>0</v>
      </c>
      <c r="CD35" s="44" t="str">
        <f t="shared" si="3"/>
        <v>杨辉</v>
      </c>
      <c r="CE35" s="44">
        <f ca="1">INDEX(FREQUENCY(MMULT({1,1},SUBTOTAL(9,OFFSET($E$1,MATCH($CD35,$C:$C,)+{3;4},INT(COLUMN($A:$AE)*2)-1))),{3.9,7.9,11.9}),COLUMN(B32))</f>
        <v>1</v>
      </c>
      <c r="CF35" s="44">
        <f ca="1">INDEX(FREQUENCY(MMULT({1,1},SUBTOTAL(9,OFFSET($E$1,MATCH($CD35,$C:$C,)+{3;4},INT(COLUMN($A:$AE)*2)-1))),{3.9,7.9,11.9}),COLUMN(C32))</f>
        <v>0</v>
      </c>
      <c r="CG35" s="44">
        <f ca="1">INDEX(FREQUENCY(MMULT({1,1},SUBTOTAL(9,OFFSET($E$1,MATCH($CD35,$C:$C,)+{3;4},INT(COLUMN($A:$AE)*2)-1))),{3.9,7.9,11.9}),COLUMN(D32))</f>
        <v>0</v>
      </c>
    </row>
    <row r="36" spans="1:85" ht="17.25" customHeight="1" x14ac:dyDescent="0.15">
      <c r="A36" s="85"/>
      <c r="B36" s="49"/>
      <c r="C36" s="49"/>
      <c r="D36" s="57" t="s">
        <v>47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 t="s">
        <v>15</v>
      </c>
      <c r="P36" s="13">
        <v>2</v>
      </c>
      <c r="Q36" s="13" t="s">
        <v>15</v>
      </c>
      <c r="R36" s="13">
        <v>2</v>
      </c>
      <c r="S36" s="13"/>
      <c r="T36" s="13"/>
      <c r="U36" s="13" t="s">
        <v>14</v>
      </c>
      <c r="V36" s="13">
        <v>2</v>
      </c>
      <c r="W36" s="13" t="s">
        <v>14</v>
      </c>
      <c r="X36" s="13">
        <v>2</v>
      </c>
      <c r="Y36" s="13" t="s">
        <v>14</v>
      </c>
      <c r="Z36" s="13">
        <v>2</v>
      </c>
      <c r="AA36" s="13" t="s">
        <v>18</v>
      </c>
      <c r="AB36" s="13">
        <v>2</v>
      </c>
      <c r="AC36" s="13" t="s">
        <v>18</v>
      </c>
      <c r="AD36" s="13">
        <v>2</v>
      </c>
      <c r="AE36" s="13" t="s">
        <v>18</v>
      </c>
      <c r="AF36" s="13">
        <v>2</v>
      </c>
      <c r="AG36" s="13"/>
      <c r="AH36" s="13"/>
      <c r="AI36" s="13" t="s">
        <v>14</v>
      </c>
      <c r="AJ36" s="13">
        <v>2</v>
      </c>
      <c r="AK36" s="13" t="s">
        <v>14</v>
      </c>
      <c r="AL36" s="13">
        <v>2</v>
      </c>
      <c r="AM36" s="13" t="s">
        <v>14</v>
      </c>
      <c r="AN36" s="13">
        <v>2</v>
      </c>
      <c r="AO36" s="13" t="s">
        <v>14</v>
      </c>
      <c r="AP36" s="13">
        <v>2</v>
      </c>
      <c r="AQ36" s="13" t="s">
        <v>14</v>
      </c>
      <c r="AR36" s="13">
        <v>2</v>
      </c>
      <c r="AS36" s="13" t="s">
        <v>14</v>
      </c>
      <c r="AT36" s="13">
        <v>2</v>
      </c>
      <c r="AU36" s="13" t="s">
        <v>16</v>
      </c>
      <c r="AV36" s="13">
        <v>2</v>
      </c>
      <c r="AW36" s="13" t="s">
        <v>14</v>
      </c>
      <c r="AX36" s="13">
        <v>2</v>
      </c>
      <c r="AY36" s="13" t="s">
        <v>14</v>
      </c>
      <c r="AZ36" s="13">
        <v>2</v>
      </c>
      <c r="BA36" s="13" t="s">
        <v>14</v>
      </c>
      <c r="BB36" s="13">
        <v>2</v>
      </c>
      <c r="BC36" s="13" t="s">
        <v>14</v>
      </c>
      <c r="BD36" s="13">
        <v>2</v>
      </c>
      <c r="BE36" s="13" t="s">
        <v>14</v>
      </c>
      <c r="BF36" s="13">
        <v>2</v>
      </c>
      <c r="BG36" s="13" t="s">
        <v>14</v>
      </c>
      <c r="BH36" s="13">
        <v>2</v>
      </c>
      <c r="BI36" s="13" t="s">
        <v>16</v>
      </c>
      <c r="BJ36" s="13">
        <v>2</v>
      </c>
      <c r="BK36" s="13" t="s">
        <v>14</v>
      </c>
      <c r="BL36" s="13">
        <v>2</v>
      </c>
      <c r="BM36" s="13" t="s">
        <v>14</v>
      </c>
      <c r="BN36" s="36">
        <v>2</v>
      </c>
      <c r="BP36" s="27">
        <v>33</v>
      </c>
      <c r="BQ36" s="27" t="s">
        <v>135</v>
      </c>
      <c r="BR36" s="29">
        <f ca="1">SUMIF(OFFSET($E$4:$BM$9,ROWS($1:33)*6-6,),BR$2,OFFSET($F$4:$BN$9,ROWS($1:33)*6-6,))</f>
        <v>136</v>
      </c>
      <c r="BS36" s="29">
        <f ca="1">SUMIF(OFFSET($E$4:$BM$9,ROWS($1:33)*6-6,),BS$2,OFFSET($F$4:$BN$9,ROWS($1:33)*6-6,))</f>
        <v>13</v>
      </c>
      <c r="BT36" s="29">
        <f ca="1">SUMIF(OFFSET($E$4:$BM$9,ROWS($1:33)*6-6,),BT$2,OFFSET($F$4:$BN$9,ROWS($1:33)*6-6,))</f>
        <v>8</v>
      </c>
      <c r="BU36" s="29">
        <f ca="1">SUMIF(OFFSET($E$4:$BM$9,ROWS($1:33)*6-6,),BU$2,OFFSET($F$4:$BN$9,ROWS($1:33)*6-6,))</f>
        <v>0</v>
      </c>
      <c r="BV36" s="29">
        <f ca="1">SUMIF(OFFSET($E$4:$BM$9,ROWS($1:33)*6-6,),BV$2,OFFSET($F$4:$BN$9,ROWS($1:33)*6-6,))</f>
        <v>24</v>
      </c>
      <c r="BW36" s="29">
        <f ca="1">SUMIF(OFFSET($E$4:$BM$9,ROWS($1:33)*6-6,),BW$2,OFFSET($F$4:$BN$9,ROWS($1:33)*6-6,))</f>
        <v>0</v>
      </c>
      <c r="BX36" s="29">
        <f ca="1">SUMIF(OFFSET($E$4:$BM$9,ROWS($1:33)*6-6,),BX$2,OFFSET($F$4:$BN$9,ROWS($1:33)*6-6,))</f>
        <v>0</v>
      </c>
      <c r="BY36" s="29">
        <f ca="1">SUMIF(OFFSET($E$4:$BM$9,ROWS($1:33)*6-6,),BY$2,OFFSET($F$4:$BN$9,ROWS($1:33)*6-6,))</f>
        <v>0</v>
      </c>
      <c r="BZ36" s="29">
        <f ca="1">SUMIF(OFFSET($E$4:$BM$9,ROWS($1:33)*6-6,),BZ$2,OFFSET($F$4:$BN$9,ROWS($1:33)*6-6,))</f>
        <v>0</v>
      </c>
      <c r="CA36" s="29">
        <f ca="1">SUMIF(OFFSET($E$4:$BM$9,ROWS($1:33)*6-6,),CA$2,OFFSET($F$4:$BN$9,ROWS($1:33)*6-6,))</f>
        <v>0</v>
      </c>
      <c r="CB36" s="29">
        <f ca="1">SUMIF(OFFSET($E$4:$BM$9,ROWS($1:33)*6-6,),CB$2,OFFSET($F$4:$BN$9,ROWS($1:33)*6-6,))</f>
        <v>0</v>
      </c>
      <c r="CC36" s="43">
        <f ca="1">SUMIF(OFFSET($E$4:$BM$9,ROWS($1:33)*6-6,),CC$2,OFFSET($F$4:$BN$9,ROWS($1:33)*6-6,))</f>
        <v>0</v>
      </c>
      <c r="CD36" s="44" t="str">
        <f t="shared" si="3"/>
        <v>杨合栓</v>
      </c>
      <c r="CE36" s="44">
        <f ca="1">INDEX(FREQUENCY(MMULT({1,1},SUBTOTAL(9,OFFSET($E$1,MATCH($CD36,$C:$C,)+{3;4},INT(COLUMN($A:$AE)*2)-1))),{3.9,7.9,11.9}),COLUMN(B33))</f>
        <v>1</v>
      </c>
      <c r="CF36" s="44">
        <f ca="1">INDEX(FREQUENCY(MMULT({1,1},SUBTOTAL(9,OFFSET($E$1,MATCH($CD36,$C:$C,)+{3;4},INT(COLUMN($A:$AE)*2)-1))),{3.9,7.9,11.9}),COLUMN(C33))</f>
        <v>0</v>
      </c>
      <c r="CG36" s="44">
        <f ca="1">INDEX(FREQUENCY(MMULT({1,1},SUBTOTAL(9,OFFSET($E$1,MATCH($CD36,$C:$C,)+{3;4},INT(COLUMN($A:$AE)*2)-1))),{3.9,7.9,11.9}),COLUMN(D33))</f>
        <v>0</v>
      </c>
    </row>
    <row r="37" spans="1:85" ht="17.25" customHeight="1" x14ac:dyDescent="0.15">
      <c r="A37" s="85"/>
      <c r="B37" s="49"/>
      <c r="C37" s="49"/>
      <c r="D37" s="5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 t="s">
        <v>15</v>
      </c>
      <c r="P37" s="12">
        <v>2</v>
      </c>
      <c r="Q37" s="12" t="s">
        <v>15</v>
      </c>
      <c r="R37" s="12">
        <v>2</v>
      </c>
      <c r="S37" s="12"/>
      <c r="T37" s="12"/>
      <c r="U37" s="12" t="s">
        <v>14</v>
      </c>
      <c r="V37" s="12">
        <v>2</v>
      </c>
      <c r="W37" s="12" t="s">
        <v>14</v>
      </c>
      <c r="X37" s="12">
        <v>2</v>
      </c>
      <c r="Y37" s="12" t="s">
        <v>14</v>
      </c>
      <c r="Z37" s="12">
        <v>2</v>
      </c>
      <c r="AA37" s="12" t="s">
        <v>18</v>
      </c>
      <c r="AB37" s="12">
        <v>2</v>
      </c>
      <c r="AC37" s="12" t="s">
        <v>18</v>
      </c>
      <c r="AD37" s="12">
        <v>2</v>
      </c>
      <c r="AE37" s="12" t="s">
        <v>18</v>
      </c>
      <c r="AF37" s="12">
        <v>2</v>
      </c>
      <c r="AG37" s="12"/>
      <c r="AH37" s="12"/>
      <c r="AI37" s="12" t="s">
        <v>14</v>
      </c>
      <c r="AJ37" s="12">
        <v>2</v>
      </c>
      <c r="AK37" s="12" t="s">
        <v>14</v>
      </c>
      <c r="AL37" s="12">
        <v>2</v>
      </c>
      <c r="AM37" s="12" t="s">
        <v>14</v>
      </c>
      <c r="AN37" s="12">
        <v>2</v>
      </c>
      <c r="AO37" s="12" t="s">
        <v>14</v>
      </c>
      <c r="AP37" s="12">
        <v>2</v>
      </c>
      <c r="AQ37" s="12" t="s">
        <v>14</v>
      </c>
      <c r="AR37" s="12">
        <v>2</v>
      </c>
      <c r="AS37" s="12" t="s">
        <v>14</v>
      </c>
      <c r="AT37" s="12">
        <v>2</v>
      </c>
      <c r="AU37" s="12" t="s">
        <v>16</v>
      </c>
      <c r="AV37" s="12">
        <v>2</v>
      </c>
      <c r="AW37" s="12" t="s">
        <v>14</v>
      </c>
      <c r="AX37" s="12">
        <v>2</v>
      </c>
      <c r="AY37" s="12" t="s">
        <v>14</v>
      </c>
      <c r="AZ37" s="12">
        <v>2</v>
      </c>
      <c r="BA37" s="12" t="s">
        <v>14</v>
      </c>
      <c r="BB37" s="12">
        <v>2</v>
      </c>
      <c r="BC37" s="12" t="s">
        <v>14</v>
      </c>
      <c r="BD37" s="12">
        <v>2</v>
      </c>
      <c r="BE37" s="12" t="s">
        <v>14</v>
      </c>
      <c r="BF37" s="12">
        <v>2</v>
      </c>
      <c r="BG37" s="12" t="s">
        <v>14</v>
      </c>
      <c r="BH37" s="12">
        <v>2</v>
      </c>
      <c r="BI37" s="12" t="s">
        <v>16</v>
      </c>
      <c r="BJ37" s="12">
        <v>2</v>
      </c>
      <c r="BK37" s="12" t="s">
        <v>14</v>
      </c>
      <c r="BL37" s="12">
        <v>2</v>
      </c>
      <c r="BM37" s="12" t="s">
        <v>14</v>
      </c>
      <c r="BN37" s="35">
        <v>2</v>
      </c>
      <c r="BP37" s="27">
        <v>34</v>
      </c>
      <c r="BQ37" s="27" t="s">
        <v>101</v>
      </c>
      <c r="BR37" s="29">
        <f ca="1">SUMIF(OFFSET($E$4:$BM$9,ROWS($1:34)*6-6,),BR$2,OFFSET($F$4:$BN$9,ROWS($1:34)*6-6,))</f>
        <v>112</v>
      </c>
      <c r="BS37" s="29">
        <f ca="1">SUMIF(OFFSET($E$4:$BM$9,ROWS($1:34)*6-6,),BS$2,OFFSET($F$4:$BN$9,ROWS($1:34)*6-6,))</f>
        <v>40</v>
      </c>
      <c r="BT37" s="29">
        <f ca="1">SUMIF(OFFSET($E$4:$BM$9,ROWS($1:34)*6-6,),BT$2,OFFSET($F$4:$BN$9,ROWS($1:34)*6-6,))</f>
        <v>12</v>
      </c>
      <c r="BU37" s="29">
        <f ca="1">SUMIF(OFFSET($E$4:$BM$9,ROWS($1:34)*6-6,),BU$2,OFFSET($F$4:$BN$9,ROWS($1:34)*6-6,))</f>
        <v>48</v>
      </c>
      <c r="BV37" s="29">
        <f ca="1">SUMIF(OFFSET($E$4:$BM$9,ROWS($1:34)*6-6,),BV$2,OFFSET($F$4:$BN$9,ROWS($1:34)*6-6,))</f>
        <v>0</v>
      </c>
      <c r="BW37" s="29">
        <f ca="1">SUMIF(OFFSET($E$4:$BM$9,ROWS($1:34)*6-6,),BW$2,OFFSET($F$4:$BN$9,ROWS($1:34)*6-6,))</f>
        <v>0</v>
      </c>
      <c r="BX37" s="29">
        <f ca="1">SUMIF(OFFSET($E$4:$BM$9,ROWS($1:34)*6-6,),BX$2,OFFSET($F$4:$BN$9,ROWS($1:34)*6-6,))</f>
        <v>0</v>
      </c>
      <c r="BY37" s="29">
        <f ca="1">SUMIF(OFFSET($E$4:$BM$9,ROWS($1:34)*6-6,),BY$2,OFFSET($F$4:$BN$9,ROWS($1:34)*6-6,))</f>
        <v>0</v>
      </c>
      <c r="BZ37" s="29">
        <f ca="1">SUMIF(OFFSET($E$4:$BM$9,ROWS($1:34)*6-6,),BZ$2,OFFSET($F$4:$BN$9,ROWS($1:34)*6-6,))</f>
        <v>0</v>
      </c>
      <c r="CA37" s="29">
        <f ca="1">SUMIF(OFFSET($E$4:$BM$9,ROWS($1:34)*6-6,),CA$2,OFFSET($F$4:$BN$9,ROWS($1:34)*6-6,))</f>
        <v>0</v>
      </c>
      <c r="CB37" s="29">
        <f ca="1">SUMIF(OFFSET($E$4:$BM$9,ROWS($1:34)*6-6,),CB$2,OFFSET($F$4:$BN$9,ROWS($1:34)*6-6,))</f>
        <v>0</v>
      </c>
      <c r="CC37" s="43">
        <f ca="1">SUMIF(OFFSET($E$4:$BM$9,ROWS($1:34)*6-6,),CC$2,OFFSET($F$4:$BN$9,ROWS($1:34)*6-6,))</f>
        <v>0</v>
      </c>
      <c r="CD37" s="44" t="str">
        <f t="shared" si="3"/>
        <v>刘家林</v>
      </c>
      <c r="CE37" s="44">
        <f ca="1">INDEX(FREQUENCY(MMULT({1,1},SUBTOTAL(9,OFFSET($E$1,MATCH($CD37,$C:$C,)+{3;4},INT(COLUMN($A:$AE)*2)-1))),{3.9,7.9,11.9}),COLUMN(B34))</f>
        <v>8</v>
      </c>
      <c r="CF37" s="44">
        <f ca="1">INDEX(FREQUENCY(MMULT({1,1},SUBTOTAL(9,OFFSET($E$1,MATCH($CD37,$C:$C,)+{3;4},INT(COLUMN($A:$AE)*2)-1))),{3.9,7.9,11.9}),COLUMN(C34))</f>
        <v>0</v>
      </c>
      <c r="CG37" s="44">
        <f ca="1">INDEX(FREQUENCY(MMULT({1,1},SUBTOTAL(9,OFFSET($E$1,MATCH($CD37,$C:$C,)+{3;4},INT(COLUMN($A:$AE)*2)-1))),{3.9,7.9,11.9}),COLUMN(D34))</f>
        <v>0</v>
      </c>
    </row>
    <row r="38" spans="1:85" ht="17.25" customHeight="1" x14ac:dyDescent="0.15">
      <c r="A38" s="85"/>
      <c r="B38" s="49"/>
      <c r="C38" s="49"/>
      <c r="D38" s="58" t="s">
        <v>49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 t="s">
        <v>15</v>
      </c>
      <c r="P38" s="14"/>
      <c r="Q38" s="14" t="s">
        <v>15</v>
      </c>
      <c r="R38" s="14"/>
      <c r="S38" s="14"/>
      <c r="T38" s="14"/>
      <c r="U38" s="14" t="s">
        <v>15</v>
      </c>
      <c r="V38" s="14"/>
      <c r="W38" s="14" t="s">
        <v>15</v>
      </c>
      <c r="X38" s="14">
        <v>4</v>
      </c>
      <c r="Y38" s="14" t="s">
        <v>15</v>
      </c>
      <c r="Z38" s="14"/>
      <c r="AA38" s="14" t="s">
        <v>15</v>
      </c>
      <c r="AB38" s="14"/>
      <c r="AC38" s="14" t="s">
        <v>15</v>
      </c>
      <c r="AD38" s="14"/>
      <c r="AE38" s="14" t="s">
        <v>15</v>
      </c>
      <c r="AF38" s="14"/>
      <c r="AG38" s="14"/>
      <c r="AH38" s="14"/>
      <c r="AI38" s="14" t="s">
        <v>15</v>
      </c>
      <c r="AJ38" s="14">
        <v>3.5</v>
      </c>
      <c r="AK38" s="14" t="s">
        <v>15</v>
      </c>
      <c r="AL38" s="14"/>
      <c r="AM38" s="14" t="s">
        <v>15</v>
      </c>
      <c r="AN38" s="14">
        <v>4</v>
      </c>
      <c r="AO38" s="14" t="s">
        <v>15</v>
      </c>
      <c r="AP38" s="14">
        <v>3</v>
      </c>
      <c r="AQ38" s="14" t="s">
        <v>15</v>
      </c>
      <c r="AR38" s="14">
        <v>3</v>
      </c>
      <c r="AS38" s="14" t="s">
        <v>15</v>
      </c>
      <c r="AT38" s="14"/>
      <c r="AU38" s="14"/>
      <c r="AV38" s="14"/>
      <c r="AW38" s="14" t="s">
        <v>15</v>
      </c>
      <c r="AX38" s="14">
        <v>4</v>
      </c>
      <c r="AY38" s="14" t="s">
        <v>15</v>
      </c>
      <c r="AZ38" s="14">
        <v>4</v>
      </c>
      <c r="BA38" s="14" t="s">
        <v>15</v>
      </c>
      <c r="BB38" s="14">
        <v>5</v>
      </c>
      <c r="BC38" s="14" t="s">
        <v>15</v>
      </c>
      <c r="BD38" s="14">
        <v>4</v>
      </c>
      <c r="BE38" s="14" t="s">
        <v>15</v>
      </c>
      <c r="BF38" s="14">
        <v>4.5</v>
      </c>
      <c r="BG38" s="14" t="s">
        <v>15</v>
      </c>
      <c r="BH38" s="14">
        <v>5</v>
      </c>
      <c r="BI38" s="14"/>
      <c r="BJ38" s="14"/>
      <c r="BK38" s="14" t="s">
        <v>15</v>
      </c>
      <c r="BL38" s="14">
        <v>4</v>
      </c>
      <c r="BM38" s="14" t="s">
        <v>15</v>
      </c>
      <c r="BN38" s="37">
        <v>2</v>
      </c>
      <c r="BP38" s="27">
        <v>35</v>
      </c>
      <c r="BQ38" s="27" t="s">
        <v>57</v>
      </c>
      <c r="BR38" s="29">
        <f ca="1">SUMIF(OFFSET($E$4:$BM$9,ROWS($1:35)*6-6,),BR$2,OFFSET($F$4:$BN$9,ROWS($1:35)*6-6,))</f>
        <v>112</v>
      </c>
      <c r="BS38" s="29">
        <f ca="1">SUMIF(OFFSET($E$4:$BM$9,ROWS($1:35)*6-6,),BS$2,OFFSET($F$4:$BN$9,ROWS($1:35)*6-6,))</f>
        <v>28</v>
      </c>
      <c r="BT38" s="29">
        <f ca="1">SUMIF(OFFSET($E$4:$BM$9,ROWS($1:35)*6-6,),BT$2,OFFSET($F$4:$BN$9,ROWS($1:35)*6-6,))</f>
        <v>16</v>
      </c>
      <c r="BU38" s="29">
        <f ca="1">SUMIF(OFFSET($E$4:$BM$9,ROWS($1:35)*6-6,),BU$2,OFFSET($F$4:$BN$9,ROWS($1:35)*6-6,))</f>
        <v>48</v>
      </c>
      <c r="BV38" s="29">
        <f ca="1">SUMIF(OFFSET($E$4:$BM$9,ROWS($1:35)*6-6,),BV$2,OFFSET($F$4:$BN$9,ROWS($1:35)*6-6,))</f>
        <v>0</v>
      </c>
      <c r="BW38" s="29">
        <f ca="1">SUMIF(OFFSET($E$4:$BM$9,ROWS($1:35)*6-6,),BW$2,OFFSET($F$4:$BN$9,ROWS($1:35)*6-6,))</f>
        <v>0</v>
      </c>
      <c r="BX38" s="29">
        <f ca="1">SUMIF(OFFSET($E$4:$BM$9,ROWS($1:35)*6-6,),BX$2,OFFSET($F$4:$BN$9,ROWS($1:35)*6-6,))</f>
        <v>0</v>
      </c>
      <c r="BY38" s="29">
        <f ca="1">SUMIF(OFFSET($E$4:$BM$9,ROWS($1:35)*6-6,),BY$2,OFFSET($F$4:$BN$9,ROWS($1:35)*6-6,))</f>
        <v>0</v>
      </c>
      <c r="BZ38" s="29">
        <f ca="1">SUMIF(OFFSET($E$4:$BM$9,ROWS($1:35)*6-6,),BZ$2,OFFSET($F$4:$BN$9,ROWS($1:35)*6-6,))</f>
        <v>0</v>
      </c>
      <c r="CA38" s="29">
        <f ca="1">SUMIF(OFFSET($E$4:$BM$9,ROWS($1:35)*6-6,),CA$2,OFFSET($F$4:$BN$9,ROWS($1:35)*6-6,))</f>
        <v>0</v>
      </c>
      <c r="CB38" s="29">
        <f ca="1">SUMIF(OFFSET($E$4:$BM$9,ROWS($1:35)*6-6,),CB$2,OFFSET($F$4:$BN$9,ROWS($1:35)*6-6,))</f>
        <v>0</v>
      </c>
      <c r="CC38" s="43">
        <f ca="1">SUMIF(OFFSET($E$4:$BM$9,ROWS($1:35)*6-6,),CC$2,OFFSET($F$4:$BN$9,ROWS($1:35)*6-6,))</f>
        <v>0</v>
      </c>
      <c r="CD38" s="44" t="str">
        <f t="shared" si="3"/>
        <v>杨宁</v>
      </c>
      <c r="CE38" s="44">
        <f ca="1">INDEX(FREQUENCY(MMULT({1,1},SUBTOTAL(9,OFFSET($E$1,MATCH($CD38,$C:$C,)+{3;4},INT(COLUMN($A:$AE)*2)-1))),{3.9,7.9,11.9}),COLUMN(B35))</f>
        <v>1</v>
      </c>
      <c r="CF38" s="44">
        <f ca="1">INDEX(FREQUENCY(MMULT({1,1},SUBTOTAL(9,OFFSET($E$1,MATCH($CD38,$C:$C,)+{3;4},INT(COLUMN($A:$AE)*2)-1))),{3.9,7.9,11.9}),COLUMN(C35))</f>
        <v>0</v>
      </c>
      <c r="CG38" s="44">
        <f ca="1">INDEX(FREQUENCY(MMULT({1,1},SUBTOTAL(9,OFFSET($E$1,MATCH($CD38,$C:$C,)+{3;4},INT(COLUMN($A:$AE)*2)-1))),{3.9,7.9,11.9}),COLUMN(D35))</f>
        <v>0</v>
      </c>
    </row>
    <row r="39" spans="1:85" ht="17.25" customHeight="1" thickBot="1" x14ac:dyDescent="0.2">
      <c r="A39" s="86"/>
      <c r="B39" s="50"/>
      <c r="C39" s="50"/>
      <c r="D39" s="59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38"/>
      <c r="BP39" s="27">
        <v>36</v>
      </c>
      <c r="BQ39" s="27" t="s">
        <v>60</v>
      </c>
      <c r="BR39" s="29">
        <f ca="1">SUMIF(OFFSET($E$4:$BM$9,ROWS($1:36)*6-6,),BR$2,OFFSET($F$4:$BN$9,ROWS($1:36)*6-6,))</f>
        <v>0</v>
      </c>
      <c r="BS39" s="29">
        <f ca="1">SUMIF(OFFSET($E$4:$BM$9,ROWS($1:36)*6-6,),BS$2,OFFSET($F$4:$BN$9,ROWS($1:36)*6-6,))</f>
        <v>0</v>
      </c>
      <c r="BT39" s="29">
        <f ca="1">SUMIF(OFFSET($E$4:$BM$9,ROWS($1:36)*6-6,),BT$2,OFFSET($F$4:$BN$9,ROWS($1:36)*6-6,))</f>
        <v>0</v>
      </c>
      <c r="BU39" s="29">
        <f ca="1">SUMIF(OFFSET($E$4:$BM$9,ROWS($1:36)*6-6,),BU$2,OFFSET($F$4:$BN$9,ROWS($1:36)*6-6,))</f>
        <v>0</v>
      </c>
      <c r="BV39" s="29">
        <f ca="1">SUMIF(OFFSET($E$4:$BM$9,ROWS($1:36)*6-6,),BV$2,OFFSET($F$4:$BN$9,ROWS($1:36)*6-6,))</f>
        <v>0</v>
      </c>
      <c r="BW39" s="29">
        <f ca="1">SUMIF(OFFSET($E$4:$BM$9,ROWS($1:36)*6-6,),BW$2,OFFSET($F$4:$BN$9,ROWS($1:36)*6-6,))</f>
        <v>0</v>
      </c>
      <c r="BX39" s="29">
        <f ca="1">SUMIF(OFFSET($E$4:$BM$9,ROWS($1:36)*6-6,),BX$2,OFFSET($F$4:$BN$9,ROWS($1:36)*6-6,))</f>
        <v>0</v>
      </c>
      <c r="BY39" s="29">
        <f ca="1">SUMIF(OFFSET($E$4:$BM$9,ROWS($1:36)*6-6,),BY$2,OFFSET($F$4:$BN$9,ROWS($1:36)*6-6,))</f>
        <v>0</v>
      </c>
      <c r="BZ39" s="29">
        <f ca="1">SUMIF(OFFSET($E$4:$BM$9,ROWS($1:36)*6-6,),BZ$2,OFFSET($F$4:$BN$9,ROWS($1:36)*6-6,))</f>
        <v>0</v>
      </c>
      <c r="CA39" s="29">
        <f ca="1">SUMIF(OFFSET($E$4:$BM$9,ROWS($1:36)*6-6,),CA$2,OFFSET($F$4:$BN$9,ROWS($1:36)*6-6,))</f>
        <v>0</v>
      </c>
      <c r="CB39" s="29">
        <f ca="1">SUMIF(OFFSET($E$4:$BM$9,ROWS($1:36)*6-6,),CB$2,OFFSET($F$4:$BN$9,ROWS($1:36)*6-6,))</f>
        <v>0</v>
      </c>
      <c r="CC39" s="43">
        <f ca="1">SUMIF(OFFSET($E$4:$BM$9,ROWS($1:36)*6-6,),CC$2,OFFSET($F$4:$BN$9,ROWS($1:36)*6-6,))</f>
        <v>0</v>
      </c>
      <c r="CD39" s="44" t="str">
        <f t="shared" si="3"/>
        <v>杨杰</v>
      </c>
      <c r="CE39" s="44">
        <f ca="1">INDEX(FREQUENCY(MMULT({1,1},SUBTOTAL(9,OFFSET($E$1,MATCH($CD39,$C:$C,)+{3;4},INT(COLUMN($A:$AE)*2)-1))),{3.9,7.9,11.9}),COLUMN(B36))</f>
        <v>0</v>
      </c>
      <c r="CF39" s="44">
        <f ca="1">INDEX(FREQUENCY(MMULT({1,1},SUBTOTAL(9,OFFSET($E$1,MATCH($CD39,$C:$C,)+{3;4},INT(COLUMN($A:$AE)*2)-1))),{3.9,7.9,11.9}),COLUMN(C36))</f>
        <v>0</v>
      </c>
      <c r="CG39" s="44">
        <f ca="1">INDEX(FREQUENCY(MMULT({1,1},SUBTOTAL(9,OFFSET($E$1,MATCH($CD39,$C:$C,)+{3;4},INT(COLUMN($A:$AE)*2)-1))),{3.9,7.9,11.9}),COLUMN(D36))</f>
        <v>0</v>
      </c>
    </row>
    <row r="40" spans="1:85" ht="17.25" customHeight="1" x14ac:dyDescent="0.15">
      <c r="A40" s="84" t="s">
        <v>153</v>
      </c>
      <c r="B40" s="75" t="s">
        <v>172</v>
      </c>
      <c r="C40" s="65" t="s">
        <v>156</v>
      </c>
      <c r="D40" s="55" t="s">
        <v>45</v>
      </c>
      <c r="E40" s="11"/>
      <c r="F40" s="11"/>
      <c r="G40" s="11"/>
      <c r="H40" s="11"/>
      <c r="I40" s="11" t="s">
        <v>15</v>
      </c>
      <c r="J40" s="11">
        <v>1</v>
      </c>
      <c r="K40" s="11" t="s">
        <v>15</v>
      </c>
      <c r="L40" s="11">
        <v>1</v>
      </c>
      <c r="M40" s="11" t="s">
        <v>15</v>
      </c>
      <c r="N40" s="11">
        <v>1</v>
      </c>
      <c r="O40" s="11" t="s">
        <v>15</v>
      </c>
      <c r="P40" s="11">
        <v>1</v>
      </c>
      <c r="Q40" s="11" t="s">
        <v>15</v>
      </c>
      <c r="R40" s="11">
        <v>1</v>
      </c>
      <c r="S40" s="11"/>
      <c r="T40" s="11"/>
      <c r="U40" s="11" t="s">
        <v>14</v>
      </c>
      <c r="V40" s="11">
        <v>1</v>
      </c>
      <c r="W40" s="11" t="s">
        <v>14</v>
      </c>
      <c r="X40" s="11">
        <v>1</v>
      </c>
      <c r="Y40" s="11" t="s">
        <v>14</v>
      </c>
      <c r="Z40" s="11">
        <v>1</v>
      </c>
      <c r="AA40" s="11" t="s">
        <v>14</v>
      </c>
      <c r="AB40" s="11">
        <v>1</v>
      </c>
      <c r="AC40" s="11" t="s">
        <v>14</v>
      </c>
      <c r="AD40" s="11">
        <v>1</v>
      </c>
      <c r="AE40" s="11" t="s">
        <v>14</v>
      </c>
      <c r="AF40" s="11">
        <v>1</v>
      </c>
      <c r="AG40" s="11"/>
      <c r="AH40" s="11"/>
      <c r="AI40" s="11" t="s">
        <v>14</v>
      </c>
      <c r="AJ40" s="11">
        <v>2</v>
      </c>
      <c r="AK40" s="11" t="s">
        <v>14</v>
      </c>
      <c r="AL40" s="11">
        <v>1</v>
      </c>
      <c r="AM40" s="11" t="s">
        <v>14</v>
      </c>
      <c r="AN40" s="11">
        <v>2</v>
      </c>
      <c r="AO40" s="11" t="s">
        <v>14</v>
      </c>
      <c r="AP40" s="11">
        <v>2</v>
      </c>
      <c r="AQ40" s="11" t="s">
        <v>14</v>
      </c>
      <c r="AR40" s="11">
        <v>2</v>
      </c>
      <c r="AS40" s="11" t="s">
        <v>14</v>
      </c>
      <c r="AT40" s="11">
        <v>2</v>
      </c>
      <c r="AU40" s="11" t="s">
        <v>16</v>
      </c>
      <c r="AV40" s="11">
        <v>1</v>
      </c>
      <c r="AW40" s="11" t="s">
        <v>14</v>
      </c>
      <c r="AX40" s="11">
        <v>1</v>
      </c>
      <c r="AY40" s="11" t="s">
        <v>14</v>
      </c>
      <c r="AZ40" s="11">
        <v>1</v>
      </c>
      <c r="BA40" s="11" t="s">
        <v>14</v>
      </c>
      <c r="BB40" s="11">
        <v>1</v>
      </c>
      <c r="BC40" s="11" t="s">
        <v>14</v>
      </c>
      <c r="BD40" s="11">
        <v>1</v>
      </c>
      <c r="BE40" s="11" t="s">
        <v>14</v>
      </c>
      <c r="BF40" s="11">
        <v>1</v>
      </c>
      <c r="BG40" s="11" t="s">
        <v>14</v>
      </c>
      <c r="BH40" s="11">
        <v>1</v>
      </c>
      <c r="BI40" s="11"/>
      <c r="BJ40" s="11"/>
      <c r="BK40" s="11" t="s">
        <v>14</v>
      </c>
      <c r="BL40" s="11">
        <v>1</v>
      </c>
      <c r="BM40" s="11" t="s">
        <v>14</v>
      </c>
      <c r="BN40" s="34">
        <v>1</v>
      </c>
      <c r="BP40" s="27">
        <v>37</v>
      </c>
      <c r="BQ40" s="27" t="s">
        <v>51</v>
      </c>
      <c r="BR40" s="29">
        <f ca="1">SUMIF(OFFSET($E$4:$BM$9,ROWS($1:37)*6-6,),BR$2,OFFSET($F$4:$BN$9,ROWS($1:37)*6-6,))</f>
        <v>0</v>
      </c>
      <c r="BS40" s="29">
        <f ca="1">SUMIF(OFFSET($E$4:$BM$9,ROWS($1:37)*6-6,),BS$2,OFFSET($F$4:$BN$9,ROWS($1:37)*6-6,))</f>
        <v>0</v>
      </c>
      <c r="BT40" s="29">
        <f ca="1">SUMIF(OFFSET($E$4:$BM$9,ROWS($1:37)*6-6,),BT$2,OFFSET($F$4:$BN$9,ROWS($1:37)*6-6,))</f>
        <v>0</v>
      </c>
      <c r="BU40" s="29">
        <f ca="1">SUMIF(OFFSET($E$4:$BM$9,ROWS($1:37)*6-6,),BU$2,OFFSET($F$4:$BN$9,ROWS($1:37)*6-6,))</f>
        <v>0</v>
      </c>
      <c r="BV40" s="29">
        <f ca="1">SUMIF(OFFSET($E$4:$BM$9,ROWS($1:37)*6-6,),BV$2,OFFSET($F$4:$BN$9,ROWS($1:37)*6-6,))</f>
        <v>0</v>
      </c>
      <c r="BW40" s="29">
        <f ca="1">SUMIF(OFFSET($E$4:$BM$9,ROWS($1:37)*6-6,),BW$2,OFFSET($F$4:$BN$9,ROWS($1:37)*6-6,))</f>
        <v>0</v>
      </c>
      <c r="BX40" s="29">
        <f ca="1">SUMIF(OFFSET($E$4:$BM$9,ROWS($1:37)*6-6,),BX$2,OFFSET($F$4:$BN$9,ROWS($1:37)*6-6,))</f>
        <v>0</v>
      </c>
      <c r="BY40" s="29">
        <f ca="1">SUMIF(OFFSET($E$4:$BM$9,ROWS($1:37)*6-6,),BY$2,OFFSET($F$4:$BN$9,ROWS($1:37)*6-6,))</f>
        <v>0</v>
      </c>
      <c r="BZ40" s="29">
        <f ca="1">SUMIF(OFFSET($E$4:$BM$9,ROWS($1:37)*6-6,),BZ$2,OFFSET($F$4:$BN$9,ROWS($1:37)*6-6,))</f>
        <v>0</v>
      </c>
      <c r="CA40" s="29">
        <f ca="1">SUMIF(OFFSET($E$4:$BM$9,ROWS($1:37)*6-6,),CA$2,OFFSET($F$4:$BN$9,ROWS($1:37)*6-6,))</f>
        <v>0</v>
      </c>
      <c r="CB40" s="29">
        <f ca="1">SUMIF(OFFSET($E$4:$BM$9,ROWS($1:37)*6-6,),CB$2,OFFSET($F$4:$BN$9,ROWS($1:37)*6-6,))</f>
        <v>0</v>
      </c>
      <c r="CC40" s="43">
        <f ca="1">SUMIF(OFFSET($E$4:$BM$9,ROWS($1:37)*6-6,),CC$2,OFFSET($F$4:$BN$9,ROWS($1:37)*6-6,))</f>
        <v>0</v>
      </c>
      <c r="CD40" s="44" t="str">
        <f t="shared" si="3"/>
        <v>张石勇</v>
      </c>
      <c r="CE40" s="44">
        <f ca="1">INDEX(FREQUENCY(MMULT({1,1},SUBTOTAL(9,OFFSET($E$1,MATCH($CD40,$C:$C,)+{3;4},INT(COLUMN($A:$AE)*2)-1))),{3.9,7.9,11.9}),COLUMN(B37))</f>
        <v>0</v>
      </c>
      <c r="CF40" s="44">
        <f ca="1">INDEX(FREQUENCY(MMULT({1,1},SUBTOTAL(9,OFFSET($E$1,MATCH($CD40,$C:$C,)+{3;4},INT(COLUMN($A:$AE)*2)-1))),{3.9,7.9,11.9}),COLUMN(C37))</f>
        <v>0</v>
      </c>
      <c r="CG40" s="44">
        <f ca="1">INDEX(FREQUENCY(MMULT({1,1},SUBTOTAL(9,OFFSET($E$1,MATCH($CD40,$C:$C,)+{3;4},INT(COLUMN($A:$AE)*2)-1))),{3.9,7.9,11.9}),COLUMN(D37))</f>
        <v>0</v>
      </c>
    </row>
    <row r="41" spans="1:85" ht="17.25" customHeight="1" x14ac:dyDescent="0.15">
      <c r="A41" s="85"/>
      <c r="B41" s="76"/>
      <c r="C41" s="66"/>
      <c r="D41" s="56"/>
      <c r="E41" s="12"/>
      <c r="F41" s="12"/>
      <c r="G41" s="12"/>
      <c r="H41" s="12"/>
      <c r="I41" s="12" t="s">
        <v>15</v>
      </c>
      <c r="J41" s="12">
        <v>2</v>
      </c>
      <c r="K41" s="12" t="s">
        <v>15</v>
      </c>
      <c r="L41" s="12">
        <v>2</v>
      </c>
      <c r="M41" s="12" t="s">
        <v>15</v>
      </c>
      <c r="N41" s="12">
        <v>2</v>
      </c>
      <c r="O41" s="12" t="s">
        <v>15</v>
      </c>
      <c r="P41" s="12">
        <v>2</v>
      </c>
      <c r="Q41" s="12" t="s">
        <v>15</v>
      </c>
      <c r="R41" s="12">
        <v>2</v>
      </c>
      <c r="S41" s="12"/>
      <c r="T41" s="12"/>
      <c r="U41" s="12" t="s">
        <v>14</v>
      </c>
      <c r="V41" s="12">
        <v>2</v>
      </c>
      <c r="W41" s="12" t="s">
        <v>14</v>
      </c>
      <c r="X41" s="12">
        <v>2</v>
      </c>
      <c r="Y41" s="12" t="s">
        <v>14</v>
      </c>
      <c r="Z41" s="12">
        <v>2</v>
      </c>
      <c r="AA41" s="12" t="s">
        <v>14</v>
      </c>
      <c r="AB41" s="12">
        <v>2</v>
      </c>
      <c r="AC41" s="12" t="s">
        <v>14</v>
      </c>
      <c r="AD41" s="12">
        <v>2</v>
      </c>
      <c r="AE41" s="12" t="s">
        <v>14</v>
      </c>
      <c r="AF41" s="12">
        <v>2</v>
      </c>
      <c r="AG41" s="12"/>
      <c r="AH41" s="12"/>
      <c r="AI41" s="12" t="s">
        <v>14</v>
      </c>
      <c r="AJ41" s="12">
        <v>2</v>
      </c>
      <c r="AK41" s="12" t="s">
        <v>14</v>
      </c>
      <c r="AL41" s="12">
        <v>2</v>
      </c>
      <c r="AM41" s="12" t="s">
        <v>14</v>
      </c>
      <c r="AN41" s="12">
        <v>2</v>
      </c>
      <c r="AO41" s="12" t="s">
        <v>14</v>
      </c>
      <c r="AP41" s="12">
        <v>2</v>
      </c>
      <c r="AQ41" s="12" t="s">
        <v>14</v>
      </c>
      <c r="AR41" s="12">
        <v>2</v>
      </c>
      <c r="AS41" s="12" t="s">
        <v>14</v>
      </c>
      <c r="AT41" s="12">
        <v>2</v>
      </c>
      <c r="AU41" s="12" t="s">
        <v>16</v>
      </c>
      <c r="AV41" s="12">
        <v>2</v>
      </c>
      <c r="AW41" s="12" t="s">
        <v>14</v>
      </c>
      <c r="AX41" s="12">
        <v>2</v>
      </c>
      <c r="AY41" s="12" t="s">
        <v>14</v>
      </c>
      <c r="AZ41" s="12">
        <v>2</v>
      </c>
      <c r="BA41" s="12" t="s">
        <v>14</v>
      </c>
      <c r="BB41" s="12">
        <v>2</v>
      </c>
      <c r="BC41" s="12" t="s">
        <v>14</v>
      </c>
      <c r="BD41" s="12">
        <v>2</v>
      </c>
      <c r="BE41" s="12" t="s">
        <v>14</v>
      </c>
      <c r="BF41" s="12">
        <v>2</v>
      </c>
      <c r="BG41" s="12" t="s">
        <v>14</v>
      </c>
      <c r="BH41" s="12">
        <v>2</v>
      </c>
      <c r="BI41" s="12"/>
      <c r="BJ41" s="12"/>
      <c r="BK41" s="12" t="s">
        <v>14</v>
      </c>
      <c r="BL41" s="12">
        <v>2</v>
      </c>
      <c r="BM41" s="12" t="s">
        <v>14</v>
      </c>
      <c r="BN41" s="35">
        <v>2</v>
      </c>
      <c r="BP41" s="27">
        <v>38</v>
      </c>
      <c r="BQ41" s="27" t="s">
        <v>67</v>
      </c>
      <c r="BR41" s="29">
        <f ca="1">SUMIF(OFFSET($E$4:$BM$9,ROWS($1:38)*6-6,),BR$2,OFFSET($F$4:$BN$9,ROWS($1:38)*6-6,))</f>
        <v>120</v>
      </c>
      <c r="BS41" s="29">
        <f ca="1">SUMIF(OFFSET($E$4:$BM$9,ROWS($1:38)*6-6,),BS$2,OFFSET($F$4:$BN$9,ROWS($1:38)*6-6,))</f>
        <v>35</v>
      </c>
      <c r="BT41" s="29">
        <f ca="1">SUMIF(OFFSET($E$4:$BM$9,ROWS($1:38)*6-6,),BT$2,OFFSET($F$4:$BN$9,ROWS($1:38)*6-6,))</f>
        <v>16</v>
      </c>
      <c r="BU41" s="29">
        <f ca="1">SUMIF(OFFSET($E$4:$BM$9,ROWS($1:38)*6-6,),BU$2,OFFSET($F$4:$BN$9,ROWS($1:38)*6-6,))</f>
        <v>0</v>
      </c>
      <c r="BV41" s="29">
        <f ca="1">SUMIF(OFFSET($E$4:$BM$9,ROWS($1:38)*6-6,),BV$2,OFFSET($F$4:$BN$9,ROWS($1:38)*6-6,))</f>
        <v>40</v>
      </c>
      <c r="BW41" s="29">
        <f ca="1">SUMIF(OFFSET($E$4:$BM$9,ROWS($1:38)*6-6,),BW$2,OFFSET($F$4:$BN$9,ROWS($1:38)*6-6,))</f>
        <v>0</v>
      </c>
      <c r="BX41" s="29">
        <f ca="1">SUMIF(OFFSET($E$4:$BM$9,ROWS($1:38)*6-6,),BX$2,OFFSET($F$4:$BN$9,ROWS($1:38)*6-6,))</f>
        <v>0</v>
      </c>
      <c r="BY41" s="29">
        <f ca="1">SUMIF(OFFSET($E$4:$BM$9,ROWS($1:38)*6-6,),BY$2,OFFSET($F$4:$BN$9,ROWS($1:38)*6-6,))</f>
        <v>0</v>
      </c>
      <c r="BZ41" s="29">
        <f ca="1">SUMIF(OFFSET($E$4:$BM$9,ROWS($1:38)*6-6,),BZ$2,OFFSET($F$4:$BN$9,ROWS($1:38)*6-6,))</f>
        <v>0</v>
      </c>
      <c r="CA41" s="29">
        <f ca="1">SUMIF(OFFSET($E$4:$BM$9,ROWS($1:38)*6-6,),CA$2,OFFSET($F$4:$BN$9,ROWS($1:38)*6-6,))</f>
        <v>0</v>
      </c>
      <c r="CB41" s="29">
        <f ca="1">SUMIF(OFFSET($E$4:$BM$9,ROWS($1:38)*6-6,),CB$2,OFFSET($F$4:$BN$9,ROWS($1:38)*6-6,))</f>
        <v>0</v>
      </c>
      <c r="CC41" s="43">
        <f ca="1">SUMIF(OFFSET($E$4:$BM$9,ROWS($1:38)*6-6,),CC$2,OFFSET($F$4:$BN$9,ROWS($1:38)*6-6,))</f>
        <v>0</v>
      </c>
      <c r="CD41" s="44" t="str">
        <f t="shared" si="3"/>
        <v>张林</v>
      </c>
      <c r="CE41" s="44">
        <f ca="1">INDEX(FREQUENCY(MMULT({1,1},SUBTOTAL(9,OFFSET($E$1,MATCH($CD41,$C:$C,)+{3;4},INT(COLUMN($A:$AE)*2)-1))),{3.9,7.9,11.9}),COLUMN(B38))</f>
        <v>7</v>
      </c>
      <c r="CF41" s="44">
        <f ca="1">INDEX(FREQUENCY(MMULT({1,1},SUBTOTAL(9,OFFSET($E$1,MATCH($CD41,$C:$C,)+{3;4},INT(COLUMN($A:$AE)*2)-1))),{3.9,7.9,11.9}),COLUMN(C38))</f>
        <v>0</v>
      </c>
      <c r="CG41" s="44">
        <f ca="1">INDEX(FREQUENCY(MMULT({1,1},SUBTOTAL(9,OFFSET($E$1,MATCH($CD41,$C:$C,)+{3;4},INT(COLUMN($A:$AE)*2)-1))),{3.9,7.9,11.9}),COLUMN(D38))</f>
        <v>0</v>
      </c>
    </row>
    <row r="42" spans="1:85" ht="17.25" customHeight="1" x14ac:dyDescent="0.15">
      <c r="A42" s="85"/>
      <c r="B42" s="76"/>
      <c r="C42" s="66"/>
      <c r="D42" s="57" t="s">
        <v>47</v>
      </c>
      <c r="E42" s="13"/>
      <c r="F42" s="13"/>
      <c r="G42" s="13"/>
      <c r="H42" s="13"/>
      <c r="I42" s="13" t="s">
        <v>15</v>
      </c>
      <c r="J42" s="13">
        <v>2</v>
      </c>
      <c r="K42" s="13" t="s">
        <v>15</v>
      </c>
      <c r="L42" s="13">
        <v>2</v>
      </c>
      <c r="M42" s="13" t="s">
        <v>15</v>
      </c>
      <c r="N42" s="13">
        <v>2</v>
      </c>
      <c r="O42" s="13" t="s">
        <v>15</v>
      </c>
      <c r="P42" s="13">
        <v>2</v>
      </c>
      <c r="Q42" s="13" t="s">
        <v>15</v>
      </c>
      <c r="R42" s="13">
        <v>2</v>
      </c>
      <c r="S42" s="13"/>
      <c r="T42" s="13"/>
      <c r="U42" s="13" t="s">
        <v>14</v>
      </c>
      <c r="V42" s="13">
        <v>2</v>
      </c>
      <c r="W42" s="13" t="s">
        <v>14</v>
      </c>
      <c r="X42" s="13">
        <v>2</v>
      </c>
      <c r="Y42" s="13" t="s">
        <v>14</v>
      </c>
      <c r="Z42" s="13">
        <v>2</v>
      </c>
      <c r="AA42" s="13" t="s">
        <v>14</v>
      </c>
      <c r="AB42" s="13">
        <v>2</v>
      </c>
      <c r="AC42" s="13" t="s">
        <v>14</v>
      </c>
      <c r="AD42" s="13">
        <v>2</v>
      </c>
      <c r="AE42" s="13" t="s">
        <v>14</v>
      </c>
      <c r="AF42" s="13">
        <v>2</v>
      </c>
      <c r="AG42" s="13"/>
      <c r="AH42" s="13"/>
      <c r="AI42" s="13" t="s">
        <v>14</v>
      </c>
      <c r="AJ42" s="13">
        <v>2</v>
      </c>
      <c r="AK42" s="13" t="s">
        <v>14</v>
      </c>
      <c r="AL42" s="13">
        <v>2</v>
      </c>
      <c r="AM42" s="13" t="s">
        <v>14</v>
      </c>
      <c r="AN42" s="13">
        <v>2</v>
      </c>
      <c r="AO42" s="13" t="s">
        <v>14</v>
      </c>
      <c r="AP42" s="13">
        <v>2</v>
      </c>
      <c r="AQ42" s="13" t="s">
        <v>14</v>
      </c>
      <c r="AR42" s="13">
        <v>2</v>
      </c>
      <c r="AS42" s="13" t="s">
        <v>14</v>
      </c>
      <c r="AT42" s="13">
        <v>2</v>
      </c>
      <c r="AU42" s="13" t="s">
        <v>16</v>
      </c>
      <c r="AV42" s="13">
        <v>2</v>
      </c>
      <c r="AW42" s="13" t="s">
        <v>14</v>
      </c>
      <c r="AX42" s="13">
        <v>2</v>
      </c>
      <c r="AY42" s="13" t="s">
        <v>14</v>
      </c>
      <c r="AZ42" s="13">
        <v>2</v>
      </c>
      <c r="BA42" s="13" t="s">
        <v>14</v>
      </c>
      <c r="BB42" s="13">
        <v>2</v>
      </c>
      <c r="BC42" s="13" t="s">
        <v>14</v>
      </c>
      <c r="BD42" s="13">
        <v>2</v>
      </c>
      <c r="BE42" s="13" t="s">
        <v>14</v>
      </c>
      <c r="BF42" s="13">
        <v>2</v>
      </c>
      <c r="BG42" s="13" t="s">
        <v>14</v>
      </c>
      <c r="BH42" s="13">
        <v>2</v>
      </c>
      <c r="BI42" s="13"/>
      <c r="BJ42" s="13"/>
      <c r="BK42" s="13" t="s">
        <v>14</v>
      </c>
      <c r="BL42" s="13">
        <v>2</v>
      </c>
      <c r="BM42" s="13" t="s">
        <v>14</v>
      </c>
      <c r="BN42" s="36">
        <v>2</v>
      </c>
      <c r="BP42" s="27">
        <v>39</v>
      </c>
      <c r="BQ42" s="27" t="s">
        <v>59</v>
      </c>
      <c r="BR42" s="29">
        <f ca="1">SUMIF(OFFSET($E$4:$BM$9,ROWS($1:39)*6-6,),BR$2,OFFSET($F$4:$BN$9,ROWS($1:39)*6-6,))</f>
        <v>64</v>
      </c>
      <c r="BS42" s="29">
        <f ca="1">SUMIF(OFFSET($E$4:$BM$9,ROWS($1:39)*6-6,),BS$2,OFFSET($F$4:$BN$9,ROWS($1:39)*6-6,))</f>
        <v>24</v>
      </c>
      <c r="BT42" s="29">
        <f ca="1">SUMIF(OFFSET($E$4:$BM$9,ROWS($1:39)*6-6,),BT$2,OFFSET($F$4:$BN$9,ROWS($1:39)*6-6,))</f>
        <v>8</v>
      </c>
      <c r="BU42" s="29">
        <f ca="1">SUMIF(OFFSET($E$4:$BM$9,ROWS($1:39)*6-6,),BU$2,OFFSET($F$4:$BN$9,ROWS($1:39)*6-6,))</f>
        <v>96</v>
      </c>
      <c r="BV42" s="29">
        <f ca="1">SUMIF(OFFSET($E$4:$BM$9,ROWS($1:39)*6-6,),BV$2,OFFSET($F$4:$BN$9,ROWS($1:39)*6-6,))</f>
        <v>0</v>
      </c>
      <c r="BW42" s="29">
        <f ca="1">SUMIF(OFFSET($E$4:$BM$9,ROWS($1:39)*6-6,),BW$2,OFFSET($F$4:$BN$9,ROWS($1:39)*6-6,))</f>
        <v>0</v>
      </c>
      <c r="BX42" s="29">
        <f ca="1">SUMIF(OFFSET($E$4:$BM$9,ROWS($1:39)*6-6,),BX$2,OFFSET($F$4:$BN$9,ROWS($1:39)*6-6,))</f>
        <v>0</v>
      </c>
      <c r="BY42" s="29">
        <f ca="1">SUMIF(OFFSET($E$4:$BM$9,ROWS($1:39)*6-6,),BY$2,OFFSET($F$4:$BN$9,ROWS($1:39)*6-6,))</f>
        <v>0</v>
      </c>
      <c r="BZ42" s="29">
        <f ca="1">SUMIF(OFFSET($E$4:$BM$9,ROWS($1:39)*6-6,),BZ$2,OFFSET($F$4:$BN$9,ROWS($1:39)*6-6,))</f>
        <v>0</v>
      </c>
      <c r="CA42" s="29">
        <f ca="1">SUMIF(OFFSET($E$4:$BM$9,ROWS($1:39)*6-6,),CA$2,OFFSET($F$4:$BN$9,ROWS($1:39)*6-6,))</f>
        <v>0</v>
      </c>
      <c r="CB42" s="29">
        <f ca="1">SUMIF(OFFSET($E$4:$BM$9,ROWS($1:39)*6-6,),CB$2,OFFSET($F$4:$BN$9,ROWS($1:39)*6-6,))</f>
        <v>0</v>
      </c>
      <c r="CC42" s="43">
        <f ca="1">SUMIF(OFFSET($E$4:$BM$9,ROWS($1:39)*6-6,),CC$2,OFFSET($F$4:$BN$9,ROWS($1:39)*6-6,))</f>
        <v>0</v>
      </c>
      <c r="CD42" s="44" t="str">
        <f t="shared" si="3"/>
        <v>全孝华</v>
      </c>
      <c r="CE42" s="44">
        <f ca="1">INDEX(FREQUENCY(MMULT({1,1},SUBTOTAL(9,OFFSET($E$1,MATCH($CD42,$C:$C,)+{3;4},INT(COLUMN($A:$AE)*2)-1))),{3.9,7.9,11.9}),COLUMN(B39))</f>
        <v>5</v>
      </c>
      <c r="CF42" s="44">
        <f ca="1">INDEX(FREQUENCY(MMULT({1,1},SUBTOTAL(9,OFFSET($E$1,MATCH($CD42,$C:$C,)+{3;4},INT(COLUMN($A:$AE)*2)-1))),{3.9,7.9,11.9}),COLUMN(C39))</f>
        <v>0</v>
      </c>
      <c r="CG42" s="44">
        <f ca="1">INDEX(FREQUENCY(MMULT({1,1},SUBTOTAL(9,OFFSET($E$1,MATCH($CD42,$C:$C,)+{3;4},INT(COLUMN($A:$AE)*2)-1))),{3.9,7.9,11.9}),COLUMN(D39))</f>
        <v>0</v>
      </c>
    </row>
    <row r="43" spans="1:85" ht="17.25" customHeight="1" x14ac:dyDescent="0.15">
      <c r="A43" s="85"/>
      <c r="B43" s="76"/>
      <c r="C43" s="66"/>
      <c r="D43" s="56"/>
      <c r="E43" s="12"/>
      <c r="F43" s="12"/>
      <c r="G43" s="12"/>
      <c r="H43" s="12"/>
      <c r="I43" s="12" t="s">
        <v>15</v>
      </c>
      <c r="J43" s="12">
        <v>2</v>
      </c>
      <c r="K43" s="12" t="s">
        <v>15</v>
      </c>
      <c r="L43" s="12">
        <v>2</v>
      </c>
      <c r="M43" s="12" t="s">
        <v>15</v>
      </c>
      <c r="N43" s="12">
        <v>2</v>
      </c>
      <c r="O43" s="12" t="s">
        <v>15</v>
      </c>
      <c r="P43" s="12">
        <v>2</v>
      </c>
      <c r="Q43" s="12" t="s">
        <v>15</v>
      </c>
      <c r="R43" s="12">
        <v>2</v>
      </c>
      <c r="S43" s="12"/>
      <c r="T43" s="12"/>
      <c r="U43" s="12" t="s">
        <v>14</v>
      </c>
      <c r="V43" s="12">
        <v>2</v>
      </c>
      <c r="W43" s="12" t="s">
        <v>14</v>
      </c>
      <c r="X43" s="12">
        <v>2</v>
      </c>
      <c r="Y43" s="12" t="s">
        <v>14</v>
      </c>
      <c r="Z43" s="12">
        <v>2</v>
      </c>
      <c r="AA43" s="12" t="s">
        <v>14</v>
      </c>
      <c r="AB43" s="12">
        <v>2</v>
      </c>
      <c r="AC43" s="12" t="s">
        <v>14</v>
      </c>
      <c r="AD43" s="12">
        <v>2</v>
      </c>
      <c r="AE43" s="12" t="s">
        <v>14</v>
      </c>
      <c r="AF43" s="12">
        <v>2</v>
      </c>
      <c r="AG43" s="12"/>
      <c r="AH43" s="12"/>
      <c r="AI43" s="12" t="s">
        <v>14</v>
      </c>
      <c r="AJ43" s="12">
        <v>2</v>
      </c>
      <c r="AK43" s="12" t="s">
        <v>14</v>
      </c>
      <c r="AL43" s="12">
        <v>2</v>
      </c>
      <c r="AM43" s="12" t="s">
        <v>14</v>
      </c>
      <c r="AN43" s="12">
        <v>2</v>
      </c>
      <c r="AO43" s="12" t="s">
        <v>14</v>
      </c>
      <c r="AP43" s="12">
        <v>2</v>
      </c>
      <c r="AQ43" s="12" t="s">
        <v>14</v>
      </c>
      <c r="AR43" s="12">
        <v>2</v>
      </c>
      <c r="AS43" s="12" t="s">
        <v>14</v>
      </c>
      <c r="AT43" s="12">
        <v>2</v>
      </c>
      <c r="AU43" s="12" t="s">
        <v>16</v>
      </c>
      <c r="AV43" s="12">
        <v>2</v>
      </c>
      <c r="AW43" s="12" t="s">
        <v>14</v>
      </c>
      <c r="AX43" s="12">
        <v>2</v>
      </c>
      <c r="AY43" s="12" t="s">
        <v>14</v>
      </c>
      <c r="AZ43" s="12">
        <v>2</v>
      </c>
      <c r="BA43" s="12" t="s">
        <v>14</v>
      </c>
      <c r="BB43" s="12">
        <v>2</v>
      </c>
      <c r="BC43" s="12" t="s">
        <v>14</v>
      </c>
      <c r="BD43" s="12">
        <v>2</v>
      </c>
      <c r="BE43" s="12" t="s">
        <v>14</v>
      </c>
      <c r="BF43" s="12">
        <v>2</v>
      </c>
      <c r="BG43" s="12" t="s">
        <v>14</v>
      </c>
      <c r="BH43" s="12">
        <v>2</v>
      </c>
      <c r="BI43" s="12"/>
      <c r="BJ43" s="12"/>
      <c r="BK43" s="12" t="s">
        <v>14</v>
      </c>
      <c r="BL43" s="12">
        <v>2</v>
      </c>
      <c r="BM43" s="12" t="s">
        <v>14</v>
      </c>
      <c r="BN43" s="35">
        <v>2</v>
      </c>
      <c r="BP43" s="27">
        <v>40</v>
      </c>
      <c r="BQ43" s="27" t="s">
        <v>161</v>
      </c>
      <c r="BR43" s="29">
        <f ca="1">SUMIF(OFFSET($E$4:$BM$9,ROWS($1:40)*6-6,),BR$2,OFFSET($F$4:$BN$9,ROWS($1:40)*6-6,))</f>
        <v>144</v>
      </c>
      <c r="BS43" s="29">
        <f ca="1">SUMIF(OFFSET($E$4:$BM$9,ROWS($1:40)*6-6,),BS$2,OFFSET($F$4:$BN$9,ROWS($1:40)*6-6,))</f>
        <v>38</v>
      </c>
      <c r="BT43" s="29">
        <f ca="1">SUMIF(OFFSET($E$4:$BM$9,ROWS($1:40)*6-6,),BT$2,OFFSET($F$4:$BN$9,ROWS($1:40)*6-6,))</f>
        <v>16</v>
      </c>
      <c r="BU43" s="29">
        <f ca="1">SUMIF(OFFSET($E$4:$BM$9,ROWS($1:40)*6-6,),BU$2,OFFSET($F$4:$BN$9,ROWS($1:40)*6-6,))</f>
        <v>0</v>
      </c>
      <c r="BV43" s="29">
        <f ca="1">SUMIF(OFFSET($E$4:$BM$9,ROWS($1:40)*6-6,),BV$2,OFFSET($F$4:$BN$9,ROWS($1:40)*6-6,))</f>
        <v>16</v>
      </c>
      <c r="BW43" s="29">
        <f ca="1">SUMIF(OFFSET($E$4:$BM$9,ROWS($1:40)*6-6,),BW$2,OFFSET($F$4:$BN$9,ROWS($1:40)*6-6,))</f>
        <v>0</v>
      </c>
      <c r="BX43" s="29">
        <f ca="1">SUMIF(OFFSET($E$4:$BM$9,ROWS($1:40)*6-6,),BX$2,OFFSET($F$4:$BN$9,ROWS($1:40)*6-6,))</f>
        <v>0</v>
      </c>
      <c r="BY43" s="29">
        <f ca="1">SUMIF(OFFSET($E$4:$BM$9,ROWS($1:40)*6-6,),BY$2,OFFSET($F$4:$BN$9,ROWS($1:40)*6-6,))</f>
        <v>0</v>
      </c>
      <c r="BZ43" s="29">
        <f ca="1">SUMIF(OFFSET($E$4:$BM$9,ROWS($1:40)*6-6,),BZ$2,OFFSET($F$4:$BN$9,ROWS($1:40)*6-6,))</f>
        <v>0</v>
      </c>
      <c r="CA43" s="29">
        <f ca="1">SUMIF(OFFSET($E$4:$BM$9,ROWS($1:40)*6-6,),CA$2,OFFSET($F$4:$BN$9,ROWS($1:40)*6-6,))</f>
        <v>0</v>
      </c>
      <c r="CB43" s="29">
        <f ca="1">SUMIF(OFFSET($E$4:$BM$9,ROWS($1:40)*6-6,),CB$2,OFFSET($F$4:$BN$9,ROWS($1:40)*6-6,))</f>
        <v>0</v>
      </c>
      <c r="CC43" s="43">
        <f ca="1">SUMIF(OFFSET($E$4:$BM$9,ROWS($1:40)*6-6,),CC$2,OFFSET($F$4:$BN$9,ROWS($1:40)*6-6,))</f>
        <v>0</v>
      </c>
      <c r="CD43" s="44" t="str">
        <f t="shared" si="3"/>
        <v>仲先林</v>
      </c>
      <c r="CE43" s="44">
        <f ca="1">INDEX(FREQUENCY(MMULT({1,1},SUBTOTAL(9,OFFSET($E$1,MATCH($CD43,$C:$C,)+{3;4},INT(COLUMN($A:$AE)*2)-1))),{3.9,7.9,11.9}),COLUMN(B40))</f>
        <v>7</v>
      </c>
      <c r="CF43" s="44">
        <f ca="1">INDEX(FREQUENCY(MMULT({1,1},SUBTOTAL(9,OFFSET($E$1,MATCH($CD43,$C:$C,)+{3;4},INT(COLUMN($A:$AE)*2)-1))),{3.9,7.9,11.9}),COLUMN(C40))</f>
        <v>0</v>
      </c>
      <c r="CG43" s="44">
        <f ca="1">INDEX(FREQUENCY(MMULT({1,1},SUBTOTAL(9,OFFSET($E$1,MATCH($CD43,$C:$C,)+{3;4},INT(COLUMN($A:$AE)*2)-1))),{3.9,7.9,11.9}),COLUMN(D40))</f>
        <v>0</v>
      </c>
    </row>
    <row r="44" spans="1:85" ht="17.25" customHeight="1" x14ac:dyDescent="0.15">
      <c r="A44" s="85"/>
      <c r="B44" s="76"/>
      <c r="C44" s="66"/>
      <c r="D44" s="58" t="s">
        <v>49</v>
      </c>
      <c r="E44" s="14"/>
      <c r="F44" s="14"/>
      <c r="G44" s="14"/>
      <c r="H44" s="14"/>
      <c r="I44" s="14" t="s">
        <v>15</v>
      </c>
      <c r="J44" s="14"/>
      <c r="K44" s="14" t="s">
        <v>15</v>
      </c>
      <c r="L44" s="14"/>
      <c r="M44" s="14" t="s">
        <v>15</v>
      </c>
      <c r="N44" s="14"/>
      <c r="O44" s="14" t="s">
        <v>15</v>
      </c>
      <c r="P44" s="14"/>
      <c r="Q44" s="14" t="s">
        <v>15</v>
      </c>
      <c r="R44" s="14"/>
      <c r="S44" s="14"/>
      <c r="T44" s="14"/>
      <c r="U44" s="14" t="s">
        <v>15</v>
      </c>
      <c r="V44" s="14">
        <v>2</v>
      </c>
      <c r="W44" s="14" t="s">
        <v>15</v>
      </c>
      <c r="X44" s="14">
        <v>1</v>
      </c>
      <c r="Y44" s="14" t="s">
        <v>15</v>
      </c>
      <c r="Z44" s="14"/>
      <c r="AA44" s="14" t="s">
        <v>15</v>
      </c>
      <c r="AB44" s="14">
        <v>0.5</v>
      </c>
      <c r="AC44" s="14" t="s">
        <v>15</v>
      </c>
      <c r="AD44" s="14"/>
      <c r="AE44" s="14" t="s">
        <v>15</v>
      </c>
      <c r="AF44" s="14"/>
      <c r="AG44" s="14"/>
      <c r="AH44" s="14"/>
      <c r="AI44" s="14" t="s">
        <v>15</v>
      </c>
      <c r="AJ44" s="14"/>
      <c r="AK44" s="14" t="s">
        <v>15</v>
      </c>
      <c r="AL44" s="14"/>
      <c r="AM44" s="14" t="s">
        <v>15</v>
      </c>
      <c r="AN44" s="14">
        <v>2</v>
      </c>
      <c r="AO44" s="14" t="s">
        <v>15</v>
      </c>
      <c r="AP44" s="14">
        <v>2.5</v>
      </c>
      <c r="AQ44" s="14" t="s">
        <v>15</v>
      </c>
      <c r="AR44" s="14">
        <v>1.5</v>
      </c>
      <c r="AS44" s="14" t="s">
        <v>15</v>
      </c>
      <c r="AT44" s="14">
        <v>2.5</v>
      </c>
      <c r="AU44" s="14"/>
      <c r="AV44" s="14"/>
      <c r="AW44" s="14" t="s">
        <v>15</v>
      </c>
      <c r="AX44" s="14">
        <v>2</v>
      </c>
      <c r="AY44" s="14" t="s">
        <v>15</v>
      </c>
      <c r="AZ44" s="14">
        <v>3</v>
      </c>
      <c r="BA44" s="14" t="s">
        <v>15</v>
      </c>
      <c r="BB44" s="14"/>
      <c r="BC44" s="14" t="s">
        <v>15</v>
      </c>
      <c r="BD44" s="14">
        <v>2.5</v>
      </c>
      <c r="BE44" s="14" t="s">
        <v>15</v>
      </c>
      <c r="BF44" s="14">
        <v>2</v>
      </c>
      <c r="BG44" s="14" t="s">
        <v>15</v>
      </c>
      <c r="BH44" s="14"/>
      <c r="BI44" s="14"/>
      <c r="BJ44" s="14"/>
      <c r="BK44" s="14" t="s">
        <v>15</v>
      </c>
      <c r="BL44" s="14">
        <v>2.5</v>
      </c>
      <c r="BM44" s="14" t="s">
        <v>15</v>
      </c>
      <c r="BN44" s="37">
        <v>2.5</v>
      </c>
      <c r="BP44" s="27">
        <v>41</v>
      </c>
      <c r="BQ44" s="27" t="s">
        <v>160</v>
      </c>
      <c r="BR44" s="29">
        <f ca="1">SUMIF(OFFSET($E$4:$BM$9,ROWS($1:41)*6-6,),BR$2,OFFSET($F$4:$BN$9,ROWS($1:41)*6-6,))</f>
        <v>152</v>
      </c>
      <c r="BS44" s="29">
        <f ca="1">SUMIF(OFFSET($E$4:$BM$9,ROWS($1:41)*6-6,),BS$2,OFFSET($F$4:$BN$9,ROWS($1:41)*6-6,))</f>
        <v>17</v>
      </c>
      <c r="BT44" s="29">
        <f ca="1">SUMIF(OFFSET($E$4:$BM$9,ROWS($1:41)*6-6,),BT$2,OFFSET($F$4:$BN$9,ROWS($1:41)*6-6,))</f>
        <v>6</v>
      </c>
      <c r="BU44" s="29">
        <f ca="1">SUMIF(OFFSET($E$4:$BM$9,ROWS($1:41)*6-6,),BU$2,OFFSET($F$4:$BN$9,ROWS($1:41)*6-6,))</f>
        <v>0</v>
      </c>
      <c r="BV44" s="29">
        <f ca="1">SUMIF(OFFSET($E$4:$BM$9,ROWS($1:41)*6-6,),BV$2,OFFSET($F$4:$BN$9,ROWS($1:41)*6-6,))</f>
        <v>8</v>
      </c>
      <c r="BW44" s="29">
        <f ca="1">SUMIF(OFFSET($E$4:$BM$9,ROWS($1:41)*6-6,),BW$2,OFFSET($F$4:$BN$9,ROWS($1:41)*6-6,))</f>
        <v>0</v>
      </c>
      <c r="BX44" s="29">
        <f ca="1">SUMIF(OFFSET($E$4:$BM$9,ROWS($1:41)*6-6,),BX$2,OFFSET($F$4:$BN$9,ROWS($1:41)*6-6,))</f>
        <v>0</v>
      </c>
      <c r="BY44" s="29">
        <f ca="1">SUMIF(OFFSET($E$4:$BM$9,ROWS($1:41)*6-6,),BY$2,OFFSET($F$4:$BN$9,ROWS($1:41)*6-6,))</f>
        <v>0</v>
      </c>
      <c r="BZ44" s="29">
        <f ca="1">SUMIF(OFFSET($E$4:$BM$9,ROWS($1:41)*6-6,),BZ$2,OFFSET($F$4:$BN$9,ROWS($1:41)*6-6,))</f>
        <v>0</v>
      </c>
      <c r="CA44" s="29">
        <f ca="1">SUMIF(OFFSET($E$4:$BM$9,ROWS($1:41)*6-6,),CA$2,OFFSET($F$4:$BN$9,ROWS($1:41)*6-6,))</f>
        <v>0</v>
      </c>
      <c r="CB44" s="29">
        <f ca="1">SUMIF(OFFSET($E$4:$BM$9,ROWS($1:41)*6-6,),CB$2,OFFSET($F$4:$BN$9,ROWS($1:41)*6-6,))</f>
        <v>0</v>
      </c>
      <c r="CC44" s="43">
        <f ca="1">SUMIF(OFFSET($E$4:$BM$9,ROWS($1:41)*6-6,),CC$2,OFFSET($F$4:$BN$9,ROWS($1:41)*6-6,))</f>
        <v>0</v>
      </c>
      <c r="CD44" s="44" t="str">
        <f t="shared" si="3"/>
        <v>张昌盛</v>
      </c>
      <c r="CE44" s="44">
        <f ca="1">INDEX(FREQUENCY(MMULT({1,1},SUBTOTAL(9,OFFSET($E$1,MATCH($CD44,$C:$C,)+{3;4},INT(COLUMN($A:$AE)*2)-1))),{3.9,7.9,11.9}),COLUMN(B41))</f>
        <v>0</v>
      </c>
      <c r="CF44" s="44">
        <f ca="1">INDEX(FREQUENCY(MMULT({1,1},SUBTOTAL(9,OFFSET($E$1,MATCH($CD44,$C:$C,)+{3;4},INT(COLUMN($A:$AE)*2)-1))),{3.9,7.9,11.9}),COLUMN(C41))</f>
        <v>0</v>
      </c>
      <c r="CG44" s="44">
        <f ca="1">INDEX(FREQUENCY(MMULT({1,1},SUBTOTAL(9,OFFSET($E$1,MATCH($CD44,$C:$C,)+{3;4},INT(COLUMN($A:$AE)*2)-1))),{3.9,7.9,11.9}),COLUMN(D41))</f>
        <v>0</v>
      </c>
    </row>
    <row r="45" spans="1:85" ht="17.25" customHeight="1" thickBot="1" x14ac:dyDescent="0.2">
      <c r="A45" s="86"/>
      <c r="B45" s="77"/>
      <c r="C45" s="67"/>
      <c r="D45" s="59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38"/>
      <c r="BP45" s="27">
        <v>42</v>
      </c>
      <c r="BQ45" s="27" t="s">
        <v>152</v>
      </c>
      <c r="BR45" s="29">
        <f ca="1">SUMIF(OFFSET($E$4:$BM$9,ROWS($1:42)*6-6,),BR$2,OFFSET($F$4:$BN$9,ROWS($1:42)*6-6,))</f>
        <v>156</v>
      </c>
      <c r="BS45" s="29">
        <f ca="1">SUMIF(OFFSET($E$4:$BM$9,ROWS($1:42)*6-6,),BS$2,OFFSET($F$4:$BN$9,ROWS($1:42)*6-6,))</f>
        <v>15</v>
      </c>
      <c r="BT45" s="29">
        <f ca="1">SUMIF(OFFSET($E$4:$BM$9,ROWS($1:42)*6-6,),BT$2,OFFSET($F$4:$BN$9,ROWS($1:42)*6-6,))</f>
        <v>10</v>
      </c>
      <c r="BU45" s="29">
        <f ca="1">SUMIF(OFFSET($E$4:$BM$9,ROWS($1:42)*6-6,),BU$2,OFFSET($F$4:$BN$9,ROWS($1:42)*6-6,))</f>
        <v>0</v>
      </c>
      <c r="BV45" s="29">
        <f ca="1">SUMIF(OFFSET($E$4:$BM$9,ROWS($1:42)*6-6,),BV$2,OFFSET($F$4:$BN$9,ROWS($1:42)*6-6,))</f>
        <v>4</v>
      </c>
      <c r="BW45" s="29">
        <f ca="1">SUMIF(OFFSET($E$4:$BM$9,ROWS($1:42)*6-6,),BW$2,OFFSET($F$4:$BN$9,ROWS($1:42)*6-6,))</f>
        <v>0</v>
      </c>
      <c r="BX45" s="29">
        <f ca="1">SUMIF(OFFSET($E$4:$BM$9,ROWS($1:42)*6-6,),BX$2,OFFSET($F$4:$BN$9,ROWS($1:42)*6-6,))</f>
        <v>0</v>
      </c>
      <c r="BY45" s="29">
        <f ca="1">SUMIF(OFFSET($E$4:$BM$9,ROWS($1:42)*6-6,),BY$2,OFFSET($F$4:$BN$9,ROWS($1:42)*6-6,))</f>
        <v>0</v>
      </c>
      <c r="BZ45" s="29">
        <f ca="1">SUMIF(OFFSET($E$4:$BM$9,ROWS($1:42)*6-6,),BZ$2,OFFSET($F$4:$BN$9,ROWS($1:42)*6-6,))</f>
        <v>0</v>
      </c>
      <c r="CA45" s="29">
        <f ca="1">SUMIF(OFFSET($E$4:$BM$9,ROWS($1:42)*6-6,),CA$2,OFFSET($F$4:$BN$9,ROWS($1:42)*6-6,))</f>
        <v>0</v>
      </c>
      <c r="CB45" s="29">
        <f ca="1">SUMIF(OFFSET($E$4:$BM$9,ROWS($1:42)*6-6,),CB$2,OFFSET($F$4:$BN$9,ROWS($1:42)*6-6,))</f>
        <v>0</v>
      </c>
      <c r="CC45" s="43">
        <f ca="1">SUMIF(OFFSET($E$4:$BM$9,ROWS($1:42)*6-6,),CC$2,OFFSET($F$4:$BN$9,ROWS($1:42)*6-6,))</f>
        <v>0</v>
      </c>
      <c r="CD45" s="44" t="str">
        <f t="shared" si="3"/>
        <v>王波</v>
      </c>
      <c r="CE45" s="44">
        <f ca="1">INDEX(FREQUENCY(MMULT({1,1},SUBTOTAL(9,OFFSET($E$1,MATCH($CD45,$C:$C,)+{3;4},INT(COLUMN($A:$AE)*2)-1))),{3.9,7.9,11.9}),COLUMN(B42))</f>
        <v>0</v>
      </c>
      <c r="CF45" s="44">
        <f ca="1">INDEX(FREQUENCY(MMULT({1,1},SUBTOTAL(9,OFFSET($E$1,MATCH($CD45,$C:$C,)+{3;4},INT(COLUMN($A:$AE)*2)-1))),{3.9,7.9,11.9}),COLUMN(C42))</f>
        <v>0</v>
      </c>
      <c r="CG45" s="44">
        <f ca="1">INDEX(FREQUENCY(MMULT({1,1},SUBTOTAL(9,OFFSET($E$1,MATCH($CD45,$C:$C,)+{3;4},INT(COLUMN($A:$AE)*2)-1))),{3.9,7.9,11.9}),COLUMN(D42))</f>
        <v>0</v>
      </c>
    </row>
    <row r="46" spans="1:85" ht="17.25" customHeight="1" x14ac:dyDescent="0.15">
      <c r="A46" s="84" t="s">
        <v>153</v>
      </c>
      <c r="B46" s="48" t="s">
        <v>107</v>
      </c>
      <c r="C46" s="48" t="s">
        <v>157</v>
      </c>
      <c r="D46" s="51" t="s">
        <v>45</v>
      </c>
      <c r="E46" s="11"/>
      <c r="F46" s="11"/>
      <c r="G46" s="11" t="s">
        <v>15</v>
      </c>
      <c r="H46" s="11">
        <v>2</v>
      </c>
      <c r="I46" s="11" t="s">
        <v>15</v>
      </c>
      <c r="J46" s="11">
        <v>2</v>
      </c>
      <c r="K46" s="11" t="s">
        <v>15</v>
      </c>
      <c r="L46" s="11">
        <v>2</v>
      </c>
      <c r="M46" s="11" t="s">
        <v>15</v>
      </c>
      <c r="N46" s="11">
        <v>2</v>
      </c>
      <c r="O46" s="11" t="s">
        <v>15</v>
      </c>
      <c r="P46" s="11">
        <v>2</v>
      </c>
      <c r="Q46" s="11" t="s">
        <v>15</v>
      </c>
      <c r="R46" s="11">
        <v>2</v>
      </c>
      <c r="S46" s="11" t="s">
        <v>16</v>
      </c>
      <c r="T46" s="11">
        <v>1</v>
      </c>
      <c r="U46" s="11" t="s">
        <v>14</v>
      </c>
      <c r="V46" s="11">
        <v>2</v>
      </c>
      <c r="W46" s="11" t="s">
        <v>14</v>
      </c>
      <c r="X46" s="11">
        <v>2</v>
      </c>
      <c r="Y46" s="11" t="s">
        <v>14</v>
      </c>
      <c r="Z46" s="11">
        <v>2</v>
      </c>
      <c r="AA46" s="11" t="s">
        <v>14</v>
      </c>
      <c r="AB46" s="11">
        <v>2</v>
      </c>
      <c r="AC46" s="11" t="s">
        <v>14</v>
      </c>
      <c r="AD46" s="11">
        <v>2</v>
      </c>
      <c r="AE46" s="11" t="s">
        <v>14</v>
      </c>
      <c r="AF46" s="11">
        <v>2</v>
      </c>
      <c r="AG46" s="11"/>
      <c r="AH46" s="11"/>
      <c r="AI46" s="11" t="s">
        <v>14</v>
      </c>
      <c r="AJ46" s="11">
        <v>2</v>
      </c>
      <c r="AK46" s="11" t="s">
        <v>14</v>
      </c>
      <c r="AL46" s="11">
        <v>2</v>
      </c>
      <c r="AM46" s="11" t="s">
        <v>14</v>
      </c>
      <c r="AN46" s="11">
        <v>2</v>
      </c>
      <c r="AO46" s="11" t="s">
        <v>14</v>
      </c>
      <c r="AP46" s="11">
        <v>2</v>
      </c>
      <c r="AQ46" s="11" t="s">
        <v>14</v>
      </c>
      <c r="AR46" s="11">
        <v>2</v>
      </c>
      <c r="AS46" s="11" t="s">
        <v>14</v>
      </c>
      <c r="AT46" s="11">
        <v>2</v>
      </c>
      <c r="AU46" s="11" t="s">
        <v>16</v>
      </c>
      <c r="AV46" s="11">
        <v>2</v>
      </c>
      <c r="AW46" s="11" t="s">
        <v>14</v>
      </c>
      <c r="AX46" s="11">
        <v>2</v>
      </c>
      <c r="AY46" s="11" t="s">
        <v>14</v>
      </c>
      <c r="AZ46" s="11">
        <v>2</v>
      </c>
      <c r="BA46" s="11" t="s">
        <v>14</v>
      </c>
      <c r="BB46" s="11">
        <v>2</v>
      </c>
      <c r="BC46" s="11" t="s">
        <v>14</v>
      </c>
      <c r="BD46" s="11">
        <v>2</v>
      </c>
      <c r="BE46" s="11" t="s">
        <v>14</v>
      </c>
      <c r="BF46" s="11">
        <v>2</v>
      </c>
      <c r="BG46" s="11" t="s">
        <v>14</v>
      </c>
      <c r="BH46" s="11">
        <v>2</v>
      </c>
      <c r="BI46" s="11" t="s">
        <v>16</v>
      </c>
      <c r="BJ46" s="11">
        <v>2</v>
      </c>
      <c r="BK46" s="11" t="s">
        <v>14</v>
      </c>
      <c r="BL46" s="11">
        <v>2</v>
      </c>
      <c r="BM46" s="11" t="s">
        <v>14</v>
      </c>
      <c r="BN46" s="34">
        <v>2</v>
      </c>
      <c r="BP46" s="27">
        <v>43</v>
      </c>
      <c r="BQ46" s="27" t="s">
        <v>76</v>
      </c>
      <c r="BR46" s="29">
        <f ca="1">SUMIF(OFFSET($E$4:$BM$9,ROWS($1:43)*6-6,),BR$2,OFFSET($F$4:$BN$9,ROWS($1:43)*6-6,))</f>
        <v>136</v>
      </c>
      <c r="BS46" s="29">
        <f ca="1">SUMIF(OFFSET($E$4:$BM$9,ROWS($1:43)*6-6,),BS$2,OFFSET($F$4:$BN$9,ROWS($1:43)*6-6,))</f>
        <v>42.5</v>
      </c>
      <c r="BT46" s="29">
        <f ca="1">SUMIF(OFFSET($E$4:$BM$9,ROWS($1:43)*6-6,),BT$2,OFFSET($F$4:$BN$9,ROWS($1:43)*6-6,))</f>
        <v>16</v>
      </c>
      <c r="BU46" s="29">
        <f ca="1">SUMIF(OFFSET($E$4:$BM$9,ROWS($1:43)*6-6,),BU$2,OFFSET($F$4:$BN$9,ROWS($1:43)*6-6,))</f>
        <v>0</v>
      </c>
      <c r="BV46" s="29">
        <f ca="1">SUMIF(OFFSET($E$4:$BM$9,ROWS($1:43)*6-6,),BV$2,OFFSET($F$4:$BN$9,ROWS($1:43)*6-6,))</f>
        <v>24</v>
      </c>
      <c r="BW46" s="29">
        <f ca="1">SUMIF(OFFSET($E$4:$BM$9,ROWS($1:43)*6-6,),BW$2,OFFSET($F$4:$BN$9,ROWS($1:43)*6-6,))</f>
        <v>0</v>
      </c>
      <c r="BX46" s="29">
        <f ca="1">SUMIF(OFFSET($E$4:$BM$9,ROWS($1:43)*6-6,),BX$2,OFFSET($F$4:$BN$9,ROWS($1:43)*6-6,))</f>
        <v>0</v>
      </c>
      <c r="BY46" s="29">
        <f ca="1">SUMIF(OFFSET($E$4:$BM$9,ROWS($1:43)*6-6,),BY$2,OFFSET($F$4:$BN$9,ROWS($1:43)*6-6,))</f>
        <v>0</v>
      </c>
      <c r="BZ46" s="29">
        <f ca="1">SUMIF(OFFSET($E$4:$BM$9,ROWS($1:43)*6-6,),BZ$2,OFFSET($F$4:$BN$9,ROWS($1:43)*6-6,))</f>
        <v>0</v>
      </c>
      <c r="CA46" s="29">
        <f ca="1">SUMIF(OFFSET($E$4:$BM$9,ROWS($1:43)*6-6,),CA$2,OFFSET($F$4:$BN$9,ROWS($1:43)*6-6,))</f>
        <v>0</v>
      </c>
      <c r="CB46" s="29">
        <f ca="1">SUMIF(OFFSET($E$4:$BM$9,ROWS($1:43)*6-6,),CB$2,OFFSET($F$4:$BN$9,ROWS($1:43)*6-6,))</f>
        <v>0</v>
      </c>
      <c r="CC46" s="43">
        <f ca="1">SUMIF(OFFSET($E$4:$BM$9,ROWS($1:43)*6-6,),CC$2,OFFSET($F$4:$BN$9,ROWS($1:43)*6-6,))</f>
        <v>0</v>
      </c>
      <c r="CD46" s="44" t="str">
        <f t="shared" ref="CD46:CD63" si="4">BQ46</f>
        <v>龙金妹</v>
      </c>
      <c r="CE46" s="44">
        <f ca="1">INDEX(FREQUENCY(MMULT({1,1},SUBTOTAL(9,OFFSET($E$1,MATCH($CD46,$C:$C,)+{3;4},INT(COLUMN($A:$AE)*2)-1))),{3.9,7.9,11.9}),COLUMN(B43))</f>
        <v>8</v>
      </c>
      <c r="CF46" s="44">
        <f ca="1">INDEX(FREQUENCY(MMULT({1,1},SUBTOTAL(9,OFFSET($E$1,MATCH($CD46,$C:$C,)+{3;4},INT(COLUMN($A:$AE)*2)-1))),{3.9,7.9,11.9}),COLUMN(C43))</f>
        <v>0</v>
      </c>
      <c r="CG46" s="44">
        <f ca="1">INDEX(FREQUENCY(MMULT({1,1},SUBTOTAL(9,OFFSET($E$1,MATCH($CD46,$C:$C,)+{3;4},INT(COLUMN($A:$AE)*2)-1))),{3.9,7.9,11.9}),COLUMN(D43))</f>
        <v>0</v>
      </c>
    </row>
    <row r="47" spans="1:85" ht="17.25" customHeight="1" x14ac:dyDescent="0.15">
      <c r="A47" s="85"/>
      <c r="B47" s="49"/>
      <c r="C47" s="49"/>
      <c r="D47" s="52"/>
      <c r="E47" s="12"/>
      <c r="F47" s="12"/>
      <c r="G47" s="12" t="s">
        <v>15</v>
      </c>
      <c r="H47" s="12">
        <v>2</v>
      </c>
      <c r="I47" s="12" t="s">
        <v>15</v>
      </c>
      <c r="J47" s="12">
        <v>2</v>
      </c>
      <c r="K47" s="12" t="s">
        <v>15</v>
      </c>
      <c r="L47" s="12">
        <v>2</v>
      </c>
      <c r="M47" s="12" t="s">
        <v>15</v>
      </c>
      <c r="N47" s="12">
        <v>2</v>
      </c>
      <c r="O47" s="12" t="s">
        <v>15</v>
      </c>
      <c r="P47" s="12">
        <v>2</v>
      </c>
      <c r="Q47" s="12" t="s">
        <v>15</v>
      </c>
      <c r="R47" s="12">
        <v>2</v>
      </c>
      <c r="S47" s="12" t="s">
        <v>16</v>
      </c>
      <c r="T47" s="12">
        <v>2</v>
      </c>
      <c r="U47" s="12" t="s">
        <v>14</v>
      </c>
      <c r="V47" s="12">
        <v>2</v>
      </c>
      <c r="W47" s="12" t="s">
        <v>14</v>
      </c>
      <c r="X47" s="12">
        <v>2</v>
      </c>
      <c r="Y47" s="12" t="s">
        <v>14</v>
      </c>
      <c r="Z47" s="12">
        <v>2</v>
      </c>
      <c r="AA47" s="12" t="s">
        <v>14</v>
      </c>
      <c r="AB47" s="12">
        <v>2</v>
      </c>
      <c r="AC47" s="12" t="s">
        <v>14</v>
      </c>
      <c r="AD47" s="12">
        <v>2</v>
      </c>
      <c r="AE47" s="12" t="s">
        <v>14</v>
      </c>
      <c r="AF47" s="12">
        <v>2</v>
      </c>
      <c r="AG47" s="12"/>
      <c r="AH47" s="12"/>
      <c r="AI47" s="12" t="s">
        <v>14</v>
      </c>
      <c r="AJ47" s="12">
        <v>2</v>
      </c>
      <c r="AK47" s="12" t="s">
        <v>14</v>
      </c>
      <c r="AL47" s="12">
        <v>2</v>
      </c>
      <c r="AM47" s="12" t="s">
        <v>14</v>
      </c>
      <c r="AN47" s="12">
        <v>2</v>
      </c>
      <c r="AO47" s="12" t="s">
        <v>14</v>
      </c>
      <c r="AP47" s="12">
        <v>2</v>
      </c>
      <c r="AQ47" s="12" t="s">
        <v>14</v>
      </c>
      <c r="AR47" s="12">
        <v>2</v>
      </c>
      <c r="AS47" s="12" t="s">
        <v>14</v>
      </c>
      <c r="AT47" s="12">
        <v>2</v>
      </c>
      <c r="AU47" s="12" t="s">
        <v>16</v>
      </c>
      <c r="AV47" s="12">
        <v>2</v>
      </c>
      <c r="AW47" s="12" t="s">
        <v>14</v>
      </c>
      <c r="AX47" s="12">
        <v>2</v>
      </c>
      <c r="AY47" s="12" t="s">
        <v>14</v>
      </c>
      <c r="AZ47" s="12">
        <v>2</v>
      </c>
      <c r="BA47" s="12" t="s">
        <v>14</v>
      </c>
      <c r="BB47" s="12">
        <v>2</v>
      </c>
      <c r="BC47" s="12" t="s">
        <v>14</v>
      </c>
      <c r="BD47" s="12">
        <v>2</v>
      </c>
      <c r="BE47" s="12" t="s">
        <v>14</v>
      </c>
      <c r="BF47" s="12">
        <v>2</v>
      </c>
      <c r="BG47" s="12" t="s">
        <v>14</v>
      </c>
      <c r="BH47" s="12">
        <v>2</v>
      </c>
      <c r="BI47" s="12" t="s">
        <v>16</v>
      </c>
      <c r="BJ47" s="12">
        <v>2</v>
      </c>
      <c r="BK47" s="12" t="s">
        <v>14</v>
      </c>
      <c r="BL47" s="12">
        <v>2</v>
      </c>
      <c r="BM47" s="12" t="s">
        <v>14</v>
      </c>
      <c r="BN47" s="35">
        <v>2</v>
      </c>
      <c r="BP47" s="27">
        <v>44</v>
      </c>
      <c r="BQ47" s="27" t="s">
        <v>159</v>
      </c>
      <c r="BR47" s="29">
        <f ca="1">SUMIF(OFFSET($E$4:$BM$9,ROWS($1:44)*6-6,),BR$2,OFFSET($F$4:$BN$9,ROWS($1:44)*6-6,))</f>
        <v>136</v>
      </c>
      <c r="BS47" s="29">
        <f ca="1">SUMIF(OFFSET($E$4:$BM$9,ROWS($1:44)*6-6,),BS$2,OFFSET($F$4:$BN$9,ROWS($1:44)*6-6,))</f>
        <v>51</v>
      </c>
      <c r="BT47" s="29">
        <f ca="1">SUMIF(OFFSET($E$4:$BM$9,ROWS($1:44)*6-6,),BT$2,OFFSET($F$4:$BN$9,ROWS($1:44)*6-6,))</f>
        <v>16</v>
      </c>
      <c r="BU47" s="29">
        <f ca="1">SUMIF(OFFSET($E$4:$BM$9,ROWS($1:44)*6-6,),BU$2,OFFSET($F$4:$BN$9,ROWS($1:44)*6-6,))</f>
        <v>0</v>
      </c>
      <c r="BV47" s="29">
        <f ca="1">SUMIF(OFFSET($E$4:$BM$9,ROWS($1:44)*6-6,),BV$2,OFFSET($F$4:$BN$9,ROWS($1:44)*6-6,))</f>
        <v>24</v>
      </c>
      <c r="BW47" s="29">
        <f ca="1">SUMIF(OFFSET($E$4:$BM$9,ROWS($1:44)*6-6,),BW$2,OFFSET($F$4:$BN$9,ROWS($1:44)*6-6,))</f>
        <v>0</v>
      </c>
      <c r="BX47" s="29">
        <f ca="1">SUMIF(OFFSET($E$4:$BM$9,ROWS($1:44)*6-6,),BX$2,OFFSET($F$4:$BN$9,ROWS($1:44)*6-6,))</f>
        <v>0</v>
      </c>
      <c r="BY47" s="29">
        <f ca="1">SUMIF(OFFSET($E$4:$BM$9,ROWS($1:44)*6-6,),BY$2,OFFSET($F$4:$BN$9,ROWS($1:44)*6-6,))</f>
        <v>0</v>
      </c>
      <c r="BZ47" s="29">
        <f ca="1">SUMIF(OFFSET($E$4:$BM$9,ROWS($1:44)*6-6,),BZ$2,OFFSET($F$4:$BN$9,ROWS($1:44)*6-6,))</f>
        <v>0</v>
      </c>
      <c r="CA47" s="29">
        <f ca="1">SUMIF(OFFSET($E$4:$BM$9,ROWS($1:44)*6-6,),CA$2,OFFSET($F$4:$BN$9,ROWS($1:44)*6-6,))</f>
        <v>0</v>
      </c>
      <c r="CB47" s="29">
        <f ca="1">SUMIF(OFFSET($E$4:$BM$9,ROWS($1:44)*6-6,),CB$2,OFFSET($F$4:$BN$9,ROWS($1:44)*6-6,))</f>
        <v>0</v>
      </c>
      <c r="CC47" s="43">
        <f ca="1">SUMIF(OFFSET($E$4:$BM$9,ROWS($1:44)*6-6,),CC$2,OFFSET($F$4:$BN$9,ROWS($1:44)*6-6,))</f>
        <v>0</v>
      </c>
      <c r="CD47" s="44" t="str">
        <f t="shared" si="4"/>
        <v>杨琴</v>
      </c>
      <c r="CE47" s="44">
        <f ca="1">INDEX(FREQUENCY(MMULT({1,1},SUBTOTAL(9,OFFSET($E$1,MATCH($CD47,$C:$C,)+{3;4},INT(COLUMN($A:$AE)*2)-1))),{3.9,7.9,11.9}),COLUMN(B44))</f>
        <v>9</v>
      </c>
      <c r="CF47" s="44">
        <f ca="1">INDEX(FREQUENCY(MMULT({1,1},SUBTOTAL(9,OFFSET($E$1,MATCH($CD47,$C:$C,)+{3;4},INT(COLUMN($A:$AE)*2)-1))),{3.9,7.9,11.9}),COLUMN(C44))</f>
        <v>0</v>
      </c>
      <c r="CG47" s="44">
        <f ca="1">INDEX(FREQUENCY(MMULT({1,1},SUBTOTAL(9,OFFSET($E$1,MATCH($CD47,$C:$C,)+{3;4},INT(COLUMN($A:$AE)*2)-1))),{3.9,7.9,11.9}),COLUMN(D44))</f>
        <v>0</v>
      </c>
    </row>
    <row r="48" spans="1:85" ht="17.25" customHeight="1" x14ac:dyDescent="0.15">
      <c r="A48" s="85"/>
      <c r="B48" s="49"/>
      <c r="C48" s="49"/>
      <c r="D48" s="53" t="s">
        <v>47</v>
      </c>
      <c r="E48" s="13"/>
      <c r="F48" s="13"/>
      <c r="G48" s="13" t="s">
        <v>15</v>
      </c>
      <c r="H48" s="13">
        <v>2</v>
      </c>
      <c r="I48" s="13" t="s">
        <v>15</v>
      </c>
      <c r="J48" s="13">
        <v>2</v>
      </c>
      <c r="K48" s="13" t="s">
        <v>15</v>
      </c>
      <c r="L48" s="13">
        <v>2</v>
      </c>
      <c r="M48" s="13" t="s">
        <v>15</v>
      </c>
      <c r="N48" s="13">
        <v>2</v>
      </c>
      <c r="O48" s="13" t="s">
        <v>15</v>
      </c>
      <c r="P48" s="13">
        <v>2</v>
      </c>
      <c r="Q48" s="13" t="s">
        <v>15</v>
      </c>
      <c r="R48" s="13">
        <v>2</v>
      </c>
      <c r="S48" s="13" t="s">
        <v>16</v>
      </c>
      <c r="T48" s="13">
        <v>2</v>
      </c>
      <c r="U48" s="13" t="s">
        <v>14</v>
      </c>
      <c r="V48" s="13">
        <v>2</v>
      </c>
      <c r="W48" s="13" t="s">
        <v>14</v>
      </c>
      <c r="X48" s="13">
        <v>2</v>
      </c>
      <c r="Y48" s="13" t="s">
        <v>14</v>
      </c>
      <c r="Z48" s="13">
        <v>2</v>
      </c>
      <c r="AA48" s="13" t="s">
        <v>14</v>
      </c>
      <c r="AB48" s="13">
        <v>2</v>
      </c>
      <c r="AC48" s="13" t="s">
        <v>14</v>
      </c>
      <c r="AD48" s="13">
        <v>2</v>
      </c>
      <c r="AE48" s="13" t="s">
        <v>14</v>
      </c>
      <c r="AF48" s="13">
        <v>2</v>
      </c>
      <c r="AG48" s="13"/>
      <c r="AH48" s="13"/>
      <c r="AI48" s="13" t="s">
        <v>14</v>
      </c>
      <c r="AJ48" s="13">
        <v>2</v>
      </c>
      <c r="AK48" s="13" t="s">
        <v>14</v>
      </c>
      <c r="AL48" s="13">
        <v>2</v>
      </c>
      <c r="AM48" s="13" t="s">
        <v>14</v>
      </c>
      <c r="AN48" s="13">
        <v>2</v>
      </c>
      <c r="AO48" s="13" t="s">
        <v>14</v>
      </c>
      <c r="AP48" s="13">
        <v>2</v>
      </c>
      <c r="AQ48" s="13" t="s">
        <v>14</v>
      </c>
      <c r="AR48" s="13">
        <v>2</v>
      </c>
      <c r="AS48" s="13" t="s">
        <v>14</v>
      </c>
      <c r="AT48" s="13">
        <v>2</v>
      </c>
      <c r="AU48" s="13" t="s">
        <v>16</v>
      </c>
      <c r="AV48" s="13">
        <v>2</v>
      </c>
      <c r="AW48" s="13" t="s">
        <v>14</v>
      </c>
      <c r="AX48" s="13">
        <v>2</v>
      </c>
      <c r="AY48" s="13" t="s">
        <v>14</v>
      </c>
      <c r="AZ48" s="13">
        <v>2</v>
      </c>
      <c r="BA48" s="13" t="s">
        <v>14</v>
      </c>
      <c r="BB48" s="13">
        <v>2</v>
      </c>
      <c r="BC48" s="13" t="s">
        <v>14</v>
      </c>
      <c r="BD48" s="13">
        <v>2</v>
      </c>
      <c r="BE48" s="13" t="s">
        <v>14</v>
      </c>
      <c r="BF48" s="13">
        <v>2</v>
      </c>
      <c r="BG48" s="13" t="s">
        <v>14</v>
      </c>
      <c r="BH48" s="13">
        <v>2</v>
      </c>
      <c r="BI48" s="13"/>
      <c r="BJ48" s="13"/>
      <c r="BK48" s="13" t="s">
        <v>14</v>
      </c>
      <c r="BL48" s="13">
        <v>2</v>
      </c>
      <c r="BM48" s="13" t="s">
        <v>14</v>
      </c>
      <c r="BN48" s="36">
        <v>2</v>
      </c>
      <c r="BP48" s="27">
        <v>45</v>
      </c>
      <c r="BQ48" s="27" t="s">
        <v>75</v>
      </c>
      <c r="BR48" s="29">
        <f ca="1">SUMIF(OFFSET($E$4:$BM$9,ROWS($1:45)*6-6,),BR$2,OFFSET($F$4:$BN$9,ROWS($1:45)*6-6,))</f>
        <v>136</v>
      </c>
      <c r="BS48" s="29">
        <f ca="1">SUMIF(OFFSET($E$4:$BM$9,ROWS($1:45)*6-6,),BS$2,OFFSET($F$4:$BN$9,ROWS($1:45)*6-6,))</f>
        <v>47.5</v>
      </c>
      <c r="BT48" s="29">
        <f ca="1">SUMIF(OFFSET($E$4:$BM$9,ROWS($1:45)*6-6,),BT$2,OFFSET($F$4:$BN$9,ROWS($1:45)*6-6,))</f>
        <v>16</v>
      </c>
      <c r="BU48" s="29">
        <f ca="1">SUMIF(OFFSET($E$4:$BM$9,ROWS($1:45)*6-6,),BU$2,OFFSET($F$4:$BN$9,ROWS($1:45)*6-6,))</f>
        <v>0</v>
      </c>
      <c r="BV48" s="29">
        <f ca="1">SUMIF(OFFSET($E$4:$BM$9,ROWS($1:45)*6-6,),BV$2,OFFSET($F$4:$BN$9,ROWS($1:45)*6-6,))</f>
        <v>24</v>
      </c>
      <c r="BW48" s="29">
        <f ca="1">SUMIF(OFFSET($E$4:$BM$9,ROWS($1:45)*6-6,),BW$2,OFFSET($F$4:$BN$9,ROWS($1:45)*6-6,))</f>
        <v>0</v>
      </c>
      <c r="BX48" s="29">
        <f ca="1">SUMIF(OFFSET($E$4:$BM$9,ROWS($1:45)*6-6,),BX$2,OFFSET($F$4:$BN$9,ROWS($1:45)*6-6,))</f>
        <v>0</v>
      </c>
      <c r="BY48" s="29">
        <f ca="1">SUMIF(OFFSET($E$4:$BM$9,ROWS($1:45)*6-6,),BY$2,OFFSET($F$4:$BN$9,ROWS($1:45)*6-6,))</f>
        <v>0</v>
      </c>
      <c r="BZ48" s="29">
        <f ca="1">SUMIF(OFFSET($E$4:$BM$9,ROWS($1:45)*6-6,),BZ$2,OFFSET($F$4:$BN$9,ROWS($1:45)*6-6,))</f>
        <v>0</v>
      </c>
      <c r="CA48" s="29">
        <f ca="1">SUMIF(OFFSET($E$4:$BM$9,ROWS($1:45)*6-6,),CA$2,OFFSET($F$4:$BN$9,ROWS($1:45)*6-6,))</f>
        <v>0</v>
      </c>
      <c r="CB48" s="29">
        <f ca="1">SUMIF(OFFSET($E$4:$BM$9,ROWS($1:45)*6-6,),CB$2,OFFSET($F$4:$BN$9,ROWS($1:45)*6-6,))</f>
        <v>0</v>
      </c>
      <c r="CC48" s="43">
        <f ca="1">SUMIF(OFFSET($E$4:$BM$9,ROWS($1:45)*6-6,),CC$2,OFFSET($F$4:$BN$9,ROWS($1:45)*6-6,))</f>
        <v>0</v>
      </c>
      <c r="CD48" s="44" t="str">
        <f t="shared" si="4"/>
        <v>谢超英</v>
      </c>
      <c r="CE48" s="44">
        <f ca="1">INDEX(FREQUENCY(MMULT({1,1},SUBTOTAL(9,OFFSET($E$1,MATCH($CD48,$C:$C,)+{3;4},INT(COLUMN($A:$AE)*2)-1))),{3.9,7.9,11.9}),COLUMN(B45))</f>
        <v>9</v>
      </c>
      <c r="CF48" s="44">
        <f ca="1">INDEX(FREQUENCY(MMULT({1,1},SUBTOTAL(9,OFFSET($E$1,MATCH($CD48,$C:$C,)+{3;4},INT(COLUMN($A:$AE)*2)-1))),{3.9,7.9,11.9}),COLUMN(C45))</f>
        <v>0</v>
      </c>
      <c r="CG48" s="44">
        <f ca="1">INDEX(FREQUENCY(MMULT({1,1},SUBTOTAL(9,OFFSET($E$1,MATCH($CD48,$C:$C,)+{3;4},INT(COLUMN($A:$AE)*2)-1))),{3.9,7.9,11.9}),COLUMN(D45))</f>
        <v>0</v>
      </c>
    </row>
    <row r="49" spans="1:85" ht="17.25" customHeight="1" x14ac:dyDescent="0.15">
      <c r="A49" s="85"/>
      <c r="B49" s="49"/>
      <c r="C49" s="49"/>
      <c r="D49" s="52"/>
      <c r="E49" s="12"/>
      <c r="F49" s="12"/>
      <c r="G49" s="12" t="s">
        <v>15</v>
      </c>
      <c r="H49" s="12">
        <v>2</v>
      </c>
      <c r="I49" s="12" t="s">
        <v>15</v>
      </c>
      <c r="J49" s="12">
        <v>2</v>
      </c>
      <c r="K49" s="12" t="s">
        <v>15</v>
      </c>
      <c r="L49" s="12">
        <v>2</v>
      </c>
      <c r="M49" s="12" t="s">
        <v>15</v>
      </c>
      <c r="N49" s="12">
        <v>2</v>
      </c>
      <c r="O49" s="12" t="s">
        <v>15</v>
      </c>
      <c r="P49" s="12">
        <v>2</v>
      </c>
      <c r="Q49" s="12" t="s">
        <v>15</v>
      </c>
      <c r="R49" s="12">
        <v>2</v>
      </c>
      <c r="S49" s="12" t="s">
        <v>16</v>
      </c>
      <c r="T49" s="12">
        <v>2</v>
      </c>
      <c r="U49" s="12" t="s">
        <v>14</v>
      </c>
      <c r="V49" s="12">
        <v>2</v>
      </c>
      <c r="W49" s="12" t="s">
        <v>14</v>
      </c>
      <c r="X49" s="12">
        <v>2</v>
      </c>
      <c r="Y49" s="12" t="s">
        <v>14</v>
      </c>
      <c r="Z49" s="12">
        <v>2</v>
      </c>
      <c r="AA49" s="12" t="s">
        <v>14</v>
      </c>
      <c r="AB49" s="12">
        <v>2</v>
      </c>
      <c r="AC49" s="12" t="s">
        <v>14</v>
      </c>
      <c r="AD49" s="12">
        <v>2</v>
      </c>
      <c r="AE49" s="12" t="s">
        <v>14</v>
      </c>
      <c r="AF49" s="12">
        <v>2</v>
      </c>
      <c r="AG49" s="12"/>
      <c r="AH49" s="12"/>
      <c r="AI49" s="12" t="s">
        <v>14</v>
      </c>
      <c r="AJ49" s="12">
        <v>2</v>
      </c>
      <c r="AK49" s="12" t="s">
        <v>14</v>
      </c>
      <c r="AL49" s="12">
        <v>2</v>
      </c>
      <c r="AM49" s="12" t="s">
        <v>14</v>
      </c>
      <c r="AN49" s="12">
        <v>2</v>
      </c>
      <c r="AO49" s="12" t="s">
        <v>14</v>
      </c>
      <c r="AP49" s="12">
        <v>2</v>
      </c>
      <c r="AQ49" s="12" t="s">
        <v>14</v>
      </c>
      <c r="AR49" s="12">
        <v>2</v>
      </c>
      <c r="AS49" s="12" t="s">
        <v>14</v>
      </c>
      <c r="AT49" s="12">
        <v>2</v>
      </c>
      <c r="AU49" s="12" t="s">
        <v>16</v>
      </c>
      <c r="AV49" s="12">
        <v>2</v>
      </c>
      <c r="AW49" s="12" t="s">
        <v>14</v>
      </c>
      <c r="AX49" s="12">
        <v>2</v>
      </c>
      <c r="AY49" s="12" t="s">
        <v>14</v>
      </c>
      <c r="AZ49" s="12">
        <v>2</v>
      </c>
      <c r="BA49" s="12" t="s">
        <v>14</v>
      </c>
      <c r="BB49" s="12">
        <v>2</v>
      </c>
      <c r="BC49" s="12" t="s">
        <v>14</v>
      </c>
      <c r="BD49" s="12">
        <v>2</v>
      </c>
      <c r="BE49" s="12" t="s">
        <v>14</v>
      </c>
      <c r="BF49" s="12">
        <v>2</v>
      </c>
      <c r="BG49" s="12" t="s">
        <v>14</v>
      </c>
      <c r="BH49" s="12">
        <v>2</v>
      </c>
      <c r="BI49" s="12"/>
      <c r="BJ49" s="12"/>
      <c r="BK49" s="12" t="s">
        <v>14</v>
      </c>
      <c r="BL49" s="12">
        <v>2</v>
      </c>
      <c r="BM49" s="12" t="s">
        <v>14</v>
      </c>
      <c r="BN49" s="35">
        <v>2</v>
      </c>
      <c r="BP49" s="27">
        <v>46</v>
      </c>
      <c r="BQ49" s="27" t="s">
        <v>61</v>
      </c>
      <c r="BR49" s="29">
        <f ca="1">SUMIF(OFFSET($E$4:$BM$9,ROWS($1:46)*6-6,),BR$2,OFFSET($F$4:$BN$9,ROWS($1:46)*6-6,))</f>
        <v>84</v>
      </c>
      <c r="BS49" s="29">
        <f ca="1">SUMIF(OFFSET($E$4:$BM$9,ROWS($1:46)*6-6,),BS$2,OFFSET($F$4:$BN$9,ROWS($1:46)*6-6,))</f>
        <v>37.5</v>
      </c>
      <c r="BT49" s="29">
        <f ca="1">SUMIF(OFFSET($E$4:$BM$9,ROWS($1:46)*6-6,),BT$2,OFFSET($F$4:$BN$9,ROWS($1:46)*6-6,))</f>
        <v>16</v>
      </c>
      <c r="BU49" s="29">
        <f ca="1">SUMIF(OFFSET($E$4:$BM$9,ROWS($1:46)*6-6,),BU$2,OFFSET($F$4:$BN$9,ROWS($1:46)*6-6,))</f>
        <v>76</v>
      </c>
      <c r="BV49" s="29">
        <f ca="1">SUMIF(OFFSET($E$4:$BM$9,ROWS($1:46)*6-6,),BV$2,OFFSET($F$4:$BN$9,ROWS($1:46)*6-6,))</f>
        <v>0</v>
      </c>
      <c r="BW49" s="29">
        <f ca="1">SUMIF(OFFSET($E$4:$BM$9,ROWS($1:46)*6-6,),BW$2,OFFSET($F$4:$BN$9,ROWS($1:46)*6-6,))</f>
        <v>0</v>
      </c>
      <c r="BX49" s="29">
        <f ca="1">SUMIF(OFFSET($E$4:$BM$9,ROWS($1:46)*6-6,),BX$2,OFFSET($F$4:$BN$9,ROWS($1:46)*6-6,))</f>
        <v>0</v>
      </c>
      <c r="BY49" s="29">
        <f ca="1">SUMIF(OFFSET($E$4:$BM$9,ROWS($1:46)*6-6,),BY$2,OFFSET($F$4:$BN$9,ROWS($1:46)*6-6,))</f>
        <v>0</v>
      </c>
      <c r="BZ49" s="29">
        <f ca="1">SUMIF(OFFSET($E$4:$BM$9,ROWS($1:46)*6-6,),BZ$2,OFFSET($F$4:$BN$9,ROWS($1:46)*6-6,))</f>
        <v>0</v>
      </c>
      <c r="CA49" s="29">
        <f ca="1">SUMIF(OFFSET($E$4:$BM$9,ROWS($1:46)*6-6,),CA$2,OFFSET($F$4:$BN$9,ROWS($1:46)*6-6,))</f>
        <v>0</v>
      </c>
      <c r="CB49" s="29">
        <f ca="1">SUMIF(OFFSET($E$4:$BM$9,ROWS($1:46)*6-6,),CB$2,OFFSET($F$4:$BN$9,ROWS($1:46)*6-6,))</f>
        <v>0</v>
      </c>
      <c r="CC49" s="43">
        <f ca="1">SUMIF(OFFSET($E$4:$BM$9,ROWS($1:46)*6-6,),CC$2,OFFSET($F$4:$BN$9,ROWS($1:46)*6-6,))</f>
        <v>0</v>
      </c>
      <c r="CD49" s="44" t="str">
        <f t="shared" si="4"/>
        <v>谢喜云</v>
      </c>
      <c r="CE49" s="44">
        <f ca="1">INDEX(FREQUENCY(MMULT({1,1},SUBTOTAL(9,OFFSET($E$1,MATCH($CD49,$C:$C,)+{3;4},INT(COLUMN($A:$AE)*2)-1))),{3.9,7.9,11.9}),COLUMN(B46))</f>
        <v>7</v>
      </c>
      <c r="CF49" s="44">
        <f ca="1">INDEX(FREQUENCY(MMULT({1,1},SUBTOTAL(9,OFFSET($E$1,MATCH($CD49,$C:$C,)+{3;4},INT(COLUMN($A:$AE)*2)-1))),{3.9,7.9,11.9}),COLUMN(C46))</f>
        <v>0</v>
      </c>
      <c r="CG49" s="44">
        <f ca="1">INDEX(FREQUENCY(MMULT({1,1},SUBTOTAL(9,OFFSET($E$1,MATCH($CD49,$C:$C,)+{3;4},INT(COLUMN($A:$AE)*2)-1))),{3.9,7.9,11.9}),COLUMN(D46))</f>
        <v>0</v>
      </c>
    </row>
    <row r="50" spans="1:85" ht="17.25" customHeight="1" x14ac:dyDescent="0.15">
      <c r="A50" s="85"/>
      <c r="B50" s="49"/>
      <c r="C50" s="49"/>
      <c r="D50" s="53" t="s">
        <v>49</v>
      </c>
      <c r="E50" s="14"/>
      <c r="F50" s="14"/>
      <c r="G50" s="14" t="s">
        <v>15</v>
      </c>
      <c r="H50" s="14"/>
      <c r="I50" s="14" t="s">
        <v>15</v>
      </c>
      <c r="J50" s="14">
        <v>4.5</v>
      </c>
      <c r="K50" s="14" t="s">
        <v>15</v>
      </c>
      <c r="L50" s="14"/>
      <c r="M50" s="14" t="s">
        <v>15</v>
      </c>
      <c r="N50" s="14"/>
      <c r="O50" s="14" t="s">
        <v>15</v>
      </c>
      <c r="P50" s="14"/>
      <c r="Q50" s="14" t="s">
        <v>15</v>
      </c>
      <c r="R50" s="14"/>
      <c r="S50" s="14" t="s">
        <v>16</v>
      </c>
      <c r="T50" s="14">
        <v>4.5</v>
      </c>
      <c r="U50" s="14" t="s">
        <v>15</v>
      </c>
      <c r="V50" s="14"/>
      <c r="W50" s="14" t="s">
        <v>15</v>
      </c>
      <c r="X50" s="14"/>
      <c r="Y50" s="14" t="s">
        <v>15</v>
      </c>
      <c r="Z50" s="14"/>
      <c r="AA50" s="14" t="s">
        <v>15</v>
      </c>
      <c r="AB50" s="14"/>
      <c r="AC50" s="14" t="s">
        <v>15</v>
      </c>
      <c r="AD50" s="14"/>
      <c r="AE50" s="14" t="s">
        <v>15</v>
      </c>
      <c r="AF50" s="14"/>
      <c r="AG50" s="14"/>
      <c r="AH50" s="14"/>
      <c r="AI50" s="14" t="s">
        <v>15</v>
      </c>
      <c r="AJ50" s="14"/>
      <c r="AK50" s="14" t="s">
        <v>15</v>
      </c>
      <c r="AL50" s="14"/>
      <c r="AM50" s="14" t="s">
        <v>15</v>
      </c>
      <c r="AN50" s="14"/>
      <c r="AO50" s="14" t="s">
        <v>15</v>
      </c>
      <c r="AP50" s="14">
        <v>3.5</v>
      </c>
      <c r="AQ50" s="14" t="s">
        <v>15</v>
      </c>
      <c r="AR50" s="14">
        <v>2.5</v>
      </c>
      <c r="AS50" s="14" t="s">
        <v>15</v>
      </c>
      <c r="AT50" s="14"/>
      <c r="AU50" s="14"/>
      <c r="AV50" s="14"/>
      <c r="AW50" s="14" t="s">
        <v>15</v>
      </c>
      <c r="AX50" s="14"/>
      <c r="AY50" s="14" t="s">
        <v>15</v>
      </c>
      <c r="AZ50" s="14">
        <v>3</v>
      </c>
      <c r="BA50" s="14" t="s">
        <v>15</v>
      </c>
      <c r="BB50" s="14">
        <v>3</v>
      </c>
      <c r="BC50" s="14" t="s">
        <v>15</v>
      </c>
      <c r="BD50" s="14"/>
      <c r="BE50" s="14" t="s">
        <v>15</v>
      </c>
      <c r="BF50" s="14"/>
      <c r="BG50" s="14" t="s">
        <v>15</v>
      </c>
      <c r="BH50" s="14"/>
      <c r="BI50" s="14"/>
      <c r="BJ50" s="14"/>
      <c r="BK50" s="14" t="s">
        <v>15</v>
      </c>
      <c r="BL50" s="14"/>
      <c r="BM50" s="14" t="s">
        <v>15</v>
      </c>
      <c r="BN50" s="37">
        <v>2.5</v>
      </c>
      <c r="BP50" s="27">
        <v>47</v>
      </c>
      <c r="BQ50" s="27" t="s">
        <v>73</v>
      </c>
      <c r="BR50" s="29">
        <f ca="1">SUMIF(OFFSET($E$4:$BM$9,ROWS($1:47)*6-6,),BR$2,OFFSET($F$4:$BN$9,ROWS($1:47)*6-6,))</f>
        <v>136</v>
      </c>
      <c r="BS50" s="29">
        <f ca="1">SUMIF(OFFSET($E$4:$BM$9,ROWS($1:47)*6-6,),BS$2,OFFSET($F$4:$BN$9,ROWS($1:47)*6-6,))</f>
        <v>47.5</v>
      </c>
      <c r="BT50" s="29">
        <f ca="1">SUMIF(OFFSET($E$4:$BM$9,ROWS($1:47)*6-6,),BT$2,OFFSET($F$4:$BN$9,ROWS($1:47)*6-6,))</f>
        <v>16</v>
      </c>
      <c r="BU50" s="29">
        <f ca="1">SUMIF(OFFSET($E$4:$BM$9,ROWS($1:47)*6-6,),BU$2,OFFSET($F$4:$BN$9,ROWS($1:47)*6-6,))</f>
        <v>0</v>
      </c>
      <c r="BV50" s="29">
        <f ca="1">SUMIF(OFFSET($E$4:$BM$9,ROWS($1:47)*6-6,),BV$2,OFFSET($F$4:$BN$9,ROWS($1:47)*6-6,))</f>
        <v>24</v>
      </c>
      <c r="BW50" s="29">
        <f ca="1">SUMIF(OFFSET($E$4:$BM$9,ROWS($1:47)*6-6,),BW$2,OFFSET($F$4:$BN$9,ROWS($1:47)*6-6,))</f>
        <v>0</v>
      </c>
      <c r="BX50" s="29">
        <f ca="1">SUMIF(OFFSET($E$4:$BM$9,ROWS($1:47)*6-6,),BX$2,OFFSET($F$4:$BN$9,ROWS($1:47)*6-6,))</f>
        <v>0</v>
      </c>
      <c r="BY50" s="29">
        <f ca="1">SUMIF(OFFSET($E$4:$BM$9,ROWS($1:47)*6-6,),BY$2,OFFSET($F$4:$BN$9,ROWS($1:47)*6-6,))</f>
        <v>0</v>
      </c>
      <c r="BZ50" s="29">
        <f ca="1">SUMIF(OFFSET($E$4:$BM$9,ROWS($1:47)*6-6,),BZ$2,OFFSET($F$4:$BN$9,ROWS($1:47)*6-6,))</f>
        <v>0</v>
      </c>
      <c r="CA50" s="29">
        <f ca="1">SUMIF(OFFSET($E$4:$BM$9,ROWS($1:47)*6-6,),CA$2,OFFSET($F$4:$BN$9,ROWS($1:47)*6-6,))</f>
        <v>0</v>
      </c>
      <c r="CB50" s="29">
        <f ca="1">SUMIF(OFFSET($E$4:$BM$9,ROWS($1:47)*6-6,),CB$2,OFFSET($F$4:$BN$9,ROWS($1:47)*6-6,))</f>
        <v>0</v>
      </c>
      <c r="CC50" s="43">
        <f ca="1">SUMIF(OFFSET($E$4:$BM$9,ROWS($1:47)*6-6,),CC$2,OFFSET($F$4:$BN$9,ROWS($1:47)*6-6,))</f>
        <v>0</v>
      </c>
      <c r="CD50" s="44" t="str">
        <f t="shared" si="4"/>
        <v>杨菊珍</v>
      </c>
      <c r="CE50" s="44">
        <f ca="1">INDEX(FREQUENCY(MMULT({1,1},SUBTOTAL(9,OFFSET($E$1,MATCH($CD50,$C:$C,)+{3;4},INT(COLUMN($A:$AE)*2)-1))),{3.9,7.9,11.9}),COLUMN(B47))</f>
        <v>9</v>
      </c>
      <c r="CF50" s="44">
        <f ca="1">INDEX(FREQUENCY(MMULT({1,1},SUBTOTAL(9,OFFSET($E$1,MATCH($CD50,$C:$C,)+{3;4},INT(COLUMN($A:$AE)*2)-1))),{3.9,7.9,11.9}),COLUMN(C47))</f>
        <v>0</v>
      </c>
      <c r="CG50" s="44">
        <f ca="1">INDEX(FREQUENCY(MMULT({1,1},SUBTOTAL(9,OFFSET($E$1,MATCH($CD50,$C:$C,)+{3;4},INT(COLUMN($A:$AE)*2)-1))),{3.9,7.9,11.9}),COLUMN(D47))</f>
        <v>0</v>
      </c>
    </row>
    <row r="51" spans="1:85" ht="17.25" customHeight="1" thickBot="1" x14ac:dyDescent="0.2">
      <c r="A51" s="86"/>
      <c r="B51" s="50"/>
      <c r="C51" s="50"/>
      <c r="D51" s="5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38"/>
      <c r="BP51" s="27">
        <v>48</v>
      </c>
      <c r="BQ51" s="27" t="s">
        <v>72</v>
      </c>
      <c r="BR51" s="29">
        <f ca="1">SUMIF(OFFSET($E$4:$BM$9,ROWS($1:48)*6-6,),BR$2,OFFSET($F$4:$BN$9,ROWS($1:48)*6-6,))</f>
        <v>136</v>
      </c>
      <c r="BS51" s="29">
        <f ca="1">SUMIF(OFFSET($E$4:$BM$9,ROWS($1:48)*6-6,),BS$2,OFFSET($F$4:$BN$9,ROWS($1:48)*6-6,))</f>
        <v>50.5</v>
      </c>
      <c r="BT51" s="29">
        <f ca="1">SUMIF(OFFSET($E$4:$BM$9,ROWS($1:48)*6-6,),BT$2,OFFSET($F$4:$BN$9,ROWS($1:48)*6-6,))</f>
        <v>16</v>
      </c>
      <c r="BU51" s="29">
        <f ca="1">SUMIF(OFFSET($E$4:$BM$9,ROWS($1:48)*6-6,),BU$2,OFFSET($F$4:$BN$9,ROWS($1:48)*6-6,))</f>
        <v>0</v>
      </c>
      <c r="BV51" s="29">
        <f ca="1">SUMIF(OFFSET($E$4:$BM$9,ROWS($1:48)*6-6,),BV$2,OFFSET($F$4:$BN$9,ROWS($1:48)*6-6,))</f>
        <v>24</v>
      </c>
      <c r="BW51" s="29">
        <f ca="1">SUMIF(OFFSET($E$4:$BM$9,ROWS($1:48)*6-6,),BW$2,OFFSET($F$4:$BN$9,ROWS($1:48)*6-6,))</f>
        <v>0</v>
      </c>
      <c r="BX51" s="29">
        <f ca="1">SUMIF(OFFSET($E$4:$BM$9,ROWS($1:48)*6-6,),BX$2,OFFSET($F$4:$BN$9,ROWS($1:48)*6-6,))</f>
        <v>0</v>
      </c>
      <c r="BY51" s="29">
        <f ca="1">SUMIF(OFFSET($E$4:$BM$9,ROWS($1:48)*6-6,),BY$2,OFFSET($F$4:$BN$9,ROWS($1:48)*6-6,))</f>
        <v>0</v>
      </c>
      <c r="BZ51" s="29">
        <f ca="1">SUMIF(OFFSET($E$4:$BM$9,ROWS($1:48)*6-6,),BZ$2,OFFSET($F$4:$BN$9,ROWS($1:48)*6-6,))</f>
        <v>0</v>
      </c>
      <c r="CA51" s="29">
        <f ca="1">SUMIF(OFFSET($E$4:$BM$9,ROWS($1:48)*6-6,),CA$2,OFFSET($F$4:$BN$9,ROWS($1:48)*6-6,))</f>
        <v>0</v>
      </c>
      <c r="CB51" s="29">
        <f ca="1">SUMIF(OFFSET($E$4:$BM$9,ROWS($1:48)*6-6,),CB$2,OFFSET($F$4:$BN$9,ROWS($1:48)*6-6,))</f>
        <v>0</v>
      </c>
      <c r="CC51" s="43">
        <f ca="1">SUMIF(OFFSET($E$4:$BM$9,ROWS($1:48)*6-6,),CC$2,OFFSET($F$4:$BN$9,ROWS($1:48)*6-6,))</f>
        <v>0</v>
      </c>
      <c r="CD51" s="44" t="str">
        <f t="shared" si="4"/>
        <v>龙金寸</v>
      </c>
      <c r="CE51" s="44">
        <f ca="1">INDEX(FREQUENCY(MMULT({1,1},SUBTOTAL(9,OFFSET($E$1,MATCH($CD51,$C:$C,)+{3;4},INT(COLUMN($A:$AE)*2)-1))),{3.9,7.9,11.9}),COLUMN(B48))</f>
        <v>9</v>
      </c>
      <c r="CF51" s="44">
        <f ca="1">INDEX(FREQUENCY(MMULT({1,1},SUBTOTAL(9,OFFSET($E$1,MATCH($CD51,$C:$C,)+{3;4},INT(COLUMN($A:$AE)*2)-1))),{3.9,7.9,11.9}),COLUMN(C48))</f>
        <v>0</v>
      </c>
      <c r="CG51" s="44">
        <f ca="1">INDEX(FREQUENCY(MMULT({1,1},SUBTOTAL(9,OFFSET($E$1,MATCH($CD51,$C:$C,)+{3;4},INT(COLUMN($A:$AE)*2)-1))),{3.9,7.9,11.9}),COLUMN(D48))</f>
        <v>0</v>
      </c>
    </row>
    <row r="52" spans="1:85" ht="17.25" customHeight="1" x14ac:dyDescent="0.15">
      <c r="A52" s="84" t="s">
        <v>153</v>
      </c>
      <c r="B52" s="48" t="s">
        <v>107</v>
      </c>
      <c r="C52" s="48" t="s">
        <v>158</v>
      </c>
      <c r="D52" s="51" t="s">
        <v>45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14</v>
      </c>
      <c r="V52" s="11">
        <v>2</v>
      </c>
      <c r="W52" s="11" t="s">
        <v>14</v>
      </c>
      <c r="X52" s="11">
        <v>2</v>
      </c>
      <c r="Y52" s="11" t="s">
        <v>14</v>
      </c>
      <c r="Z52" s="11">
        <v>2</v>
      </c>
      <c r="AA52" s="11" t="s">
        <v>14</v>
      </c>
      <c r="AB52" s="11">
        <v>2</v>
      </c>
      <c r="AC52" s="11" t="s">
        <v>14</v>
      </c>
      <c r="AD52" s="11">
        <v>2</v>
      </c>
      <c r="AE52" s="11" t="s">
        <v>14</v>
      </c>
      <c r="AF52" s="11">
        <v>2</v>
      </c>
      <c r="AG52" s="11"/>
      <c r="AH52" s="11"/>
      <c r="AI52" s="11" t="s">
        <v>14</v>
      </c>
      <c r="AJ52" s="11">
        <v>2</v>
      </c>
      <c r="AK52" s="11" t="s">
        <v>14</v>
      </c>
      <c r="AL52" s="11">
        <v>2</v>
      </c>
      <c r="AM52" s="11" t="s">
        <v>14</v>
      </c>
      <c r="AN52" s="11">
        <v>2</v>
      </c>
      <c r="AO52" s="11" t="s">
        <v>14</v>
      </c>
      <c r="AP52" s="11">
        <v>2</v>
      </c>
      <c r="AQ52" s="11" t="s">
        <v>14</v>
      </c>
      <c r="AR52" s="11">
        <v>2</v>
      </c>
      <c r="AS52" s="11" t="s">
        <v>14</v>
      </c>
      <c r="AT52" s="11">
        <v>2</v>
      </c>
      <c r="AU52" s="11"/>
      <c r="AV52" s="11"/>
      <c r="AW52" s="11" t="s">
        <v>14</v>
      </c>
      <c r="AX52" s="11">
        <v>2</v>
      </c>
      <c r="AY52" s="11" t="s">
        <v>14</v>
      </c>
      <c r="AZ52" s="11">
        <v>2</v>
      </c>
      <c r="BA52" s="11" t="s">
        <v>14</v>
      </c>
      <c r="BB52" s="11">
        <v>2</v>
      </c>
      <c r="BC52" s="11" t="s">
        <v>14</v>
      </c>
      <c r="BD52" s="11">
        <v>2</v>
      </c>
      <c r="BE52" s="11" t="s">
        <v>14</v>
      </c>
      <c r="BF52" s="11">
        <v>2</v>
      </c>
      <c r="BG52" s="11" t="s">
        <v>14</v>
      </c>
      <c r="BH52" s="11">
        <v>2</v>
      </c>
      <c r="BI52" s="11"/>
      <c r="BJ52" s="11"/>
      <c r="BK52" s="11" t="s">
        <v>14</v>
      </c>
      <c r="BL52" s="11">
        <v>2</v>
      </c>
      <c r="BM52" s="11" t="s">
        <v>14</v>
      </c>
      <c r="BN52" s="34">
        <v>2</v>
      </c>
      <c r="BP52" s="27">
        <v>49</v>
      </c>
      <c r="BQ52" s="27" t="s">
        <v>74</v>
      </c>
      <c r="BR52" s="29">
        <f ca="1">SUMIF(OFFSET($E$4:$BM$9,ROWS($1:49)*6-6,),BR$2,OFFSET($F$4:$BN$9,ROWS($1:49)*6-6,))</f>
        <v>0</v>
      </c>
      <c r="BS52" s="29">
        <f ca="1">SUMIF(OFFSET($E$4:$BM$9,ROWS($1:49)*6-6,),BS$2,OFFSET($F$4:$BN$9,ROWS($1:49)*6-6,))</f>
        <v>0</v>
      </c>
      <c r="BT52" s="29">
        <f ca="1">SUMIF(OFFSET($E$4:$BM$9,ROWS($1:49)*6-6,),BT$2,OFFSET($F$4:$BN$9,ROWS($1:49)*6-6,))</f>
        <v>0</v>
      </c>
      <c r="BU52" s="29">
        <f ca="1">SUMIF(OFFSET($E$4:$BM$9,ROWS($1:49)*6-6,),BU$2,OFFSET($F$4:$BN$9,ROWS($1:49)*6-6,))</f>
        <v>0</v>
      </c>
      <c r="BV52" s="29">
        <f ca="1">SUMIF(OFFSET($E$4:$BM$9,ROWS($1:49)*6-6,),BV$2,OFFSET($F$4:$BN$9,ROWS($1:49)*6-6,))</f>
        <v>0</v>
      </c>
      <c r="BW52" s="29">
        <f ca="1">SUMIF(OFFSET($E$4:$BM$9,ROWS($1:49)*6-6,),BW$2,OFFSET($F$4:$BN$9,ROWS($1:49)*6-6,))</f>
        <v>0</v>
      </c>
      <c r="BX52" s="29">
        <f ca="1">SUMIF(OFFSET($E$4:$BM$9,ROWS($1:49)*6-6,),BX$2,OFFSET($F$4:$BN$9,ROWS($1:49)*6-6,))</f>
        <v>0</v>
      </c>
      <c r="BY52" s="29">
        <f ca="1">SUMIF(OFFSET($E$4:$BM$9,ROWS($1:49)*6-6,),BY$2,OFFSET($F$4:$BN$9,ROWS($1:49)*6-6,))</f>
        <v>0</v>
      </c>
      <c r="BZ52" s="29">
        <f ca="1">SUMIF(OFFSET($E$4:$BM$9,ROWS($1:49)*6-6,),BZ$2,OFFSET($F$4:$BN$9,ROWS($1:49)*6-6,))</f>
        <v>0</v>
      </c>
      <c r="CA52" s="29">
        <f ca="1">SUMIF(OFFSET($E$4:$BM$9,ROWS($1:49)*6-6,),CA$2,OFFSET($F$4:$BN$9,ROWS($1:49)*6-6,))</f>
        <v>0</v>
      </c>
      <c r="CB52" s="29">
        <f ca="1">SUMIF(OFFSET($E$4:$BM$9,ROWS($1:49)*6-6,),CB$2,OFFSET($F$4:$BN$9,ROWS($1:49)*6-6,))</f>
        <v>0</v>
      </c>
      <c r="CC52" s="43">
        <f ca="1">SUMIF(OFFSET($E$4:$BM$9,ROWS($1:49)*6-6,),CC$2,OFFSET($F$4:$BN$9,ROWS($1:49)*6-6,))</f>
        <v>0</v>
      </c>
      <c r="CD52" s="44" t="str">
        <f t="shared" si="4"/>
        <v>谢环英</v>
      </c>
      <c r="CE52" s="44">
        <f ca="1">INDEX(FREQUENCY(MMULT({1,1},SUBTOTAL(9,OFFSET($E$1,MATCH($CD52,$C:$C,)+{3;4},INT(COLUMN($A:$AE)*2)-1))),{3.9,7.9,11.9}),COLUMN(B49))</f>
        <v>0</v>
      </c>
      <c r="CF52" s="44">
        <f ca="1">INDEX(FREQUENCY(MMULT({1,1},SUBTOTAL(9,OFFSET($E$1,MATCH($CD52,$C:$C,)+{3;4},INT(COLUMN($A:$AE)*2)-1))),{3.9,7.9,11.9}),COLUMN(C49))</f>
        <v>0</v>
      </c>
      <c r="CG52" s="44">
        <f ca="1">INDEX(FREQUENCY(MMULT({1,1},SUBTOTAL(9,OFFSET($E$1,MATCH($CD52,$C:$C,)+{3;4},INT(COLUMN($A:$AE)*2)-1))),{3.9,7.9,11.9}),COLUMN(D49))</f>
        <v>0</v>
      </c>
    </row>
    <row r="53" spans="1:85" ht="17.25" customHeight="1" x14ac:dyDescent="0.15">
      <c r="A53" s="85"/>
      <c r="B53" s="49"/>
      <c r="C53" s="49"/>
      <c r="D53" s="5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14</v>
      </c>
      <c r="V53" s="12">
        <v>2</v>
      </c>
      <c r="W53" s="12" t="s">
        <v>14</v>
      </c>
      <c r="X53" s="12">
        <v>2</v>
      </c>
      <c r="Y53" s="12" t="s">
        <v>14</v>
      </c>
      <c r="Z53" s="12">
        <v>2</v>
      </c>
      <c r="AA53" s="12" t="s">
        <v>14</v>
      </c>
      <c r="AB53" s="12">
        <v>2</v>
      </c>
      <c r="AC53" s="12" t="s">
        <v>14</v>
      </c>
      <c r="AD53" s="12">
        <v>2</v>
      </c>
      <c r="AE53" s="12" t="s">
        <v>14</v>
      </c>
      <c r="AF53" s="12">
        <v>2</v>
      </c>
      <c r="AG53" s="12"/>
      <c r="AH53" s="12"/>
      <c r="AI53" s="12" t="s">
        <v>14</v>
      </c>
      <c r="AJ53" s="12">
        <v>2</v>
      </c>
      <c r="AK53" s="12" t="s">
        <v>14</v>
      </c>
      <c r="AL53" s="12">
        <v>2</v>
      </c>
      <c r="AM53" s="12" t="s">
        <v>14</v>
      </c>
      <c r="AN53" s="12">
        <v>2</v>
      </c>
      <c r="AO53" s="12" t="s">
        <v>14</v>
      </c>
      <c r="AP53" s="12">
        <v>2</v>
      </c>
      <c r="AQ53" s="12" t="s">
        <v>14</v>
      </c>
      <c r="AR53" s="12">
        <v>2</v>
      </c>
      <c r="AS53" s="12" t="s">
        <v>14</v>
      </c>
      <c r="AT53" s="12">
        <v>2</v>
      </c>
      <c r="AU53" s="12"/>
      <c r="AV53" s="12"/>
      <c r="AW53" s="12" t="s">
        <v>14</v>
      </c>
      <c r="AX53" s="12">
        <v>2</v>
      </c>
      <c r="AY53" s="12" t="s">
        <v>14</v>
      </c>
      <c r="AZ53" s="12">
        <v>2</v>
      </c>
      <c r="BA53" s="12" t="s">
        <v>14</v>
      </c>
      <c r="BB53" s="12">
        <v>2</v>
      </c>
      <c r="BC53" s="12" t="s">
        <v>14</v>
      </c>
      <c r="BD53" s="12">
        <v>2</v>
      </c>
      <c r="BE53" s="12" t="s">
        <v>14</v>
      </c>
      <c r="BF53" s="12">
        <v>2</v>
      </c>
      <c r="BG53" s="12" t="s">
        <v>14</v>
      </c>
      <c r="BH53" s="12">
        <v>2</v>
      </c>
      <c r="BI53" s="12"/>
      <c r="BJ53" s="12"/>
      <c r="BK53" s="12" t="s">
        <v>14</v>
      </c>
      <c r="BL53" s="12">
        <v>2</v>
      </c>
      <c r="BM53" s="12" t="s">
        <v>14</v>
      </c>
      <c r="BN53" s="35">
        <v>2</v>
      </c>
      <c r="BP53" s="27">
        <v>50</v>
      </c>
      <c r="BQ53" s="27" t="s">
        <v>52</v>
      </c>
      <c r="BR53" s="29">
        <f ca="1">SUMIF(OFFSET($E$4:$BM$9,ROWS($1:50)*6-6,),BR$2,OFFSET($F$4:$BN$9,ROWS($1:50)*6-6,))</f>
        <v>0</v>
      </c>
      <c r="BS53" s="29">
        <f ca="1">SUMIF(OFFSET($E$4:$BM$9,ROWS($1:50)*6-6,),BS$2,OFFSET($F$4:$BN$9,ROWS($1:50)*6-6,))</f>
        <v>0</v>
      </c>
      <c r="BT53" s="29">
        <f ca="1">SUMIF(OFFSET($E$4:$BM$9,ROWS($1:50)*6-6,),BT$2,OFFSET($F$4:$BN$9,ROWS($1:50)*6-6,))</f>
        <v>0</v>
      </c>
      <c r="BU53" s="29">
        <f ca="1">SUMIF(OFFSET($E$4:$BM$9,ROWS($1:50)*6-6,),BU$2,OFFSET($F$4:$BN$9,ROWS($1:50)*6-6,))</f>
        <v>0</v>
      </c>
      <c r="BV53" s="29">
        <f ca="1">SUMIF(OFFSET($E$4:$BM$9,ROWS($1:50)*6-6,),BV$2,OFFSET($F$4:$BN$9,ROWS($1:50)*6-6,))</f>
        <v>0</v>
      </c>
      <c r="BW53" s="29">
        <f ca="1">SUMIF(OFFSET($E$4:$BM$9,ROWS($1:50)*6-6,),BW$2,OFFSET($F$4:$BN$9,ROWS($1:50)*6-6,))</f>
        <v>0</v>
      </c>
      <c r="BX53" s="29">
        <f ca="1">SUMIF(OFFSET($E$4:$BM$9,ROWS($1:50)*6-6,),BX$2,OFFSET($F$4:$BN$9,ROWS($1:50)*6-6,))</f>
        <v>0</v>
      </c>
      <c r="BY53" s="29">
        <f ca="1">SUMIF(OFFSET($E$4:$BM$9,ROWS($1:50)*6-6,),BY$2,OFFSET($F$4:$BN$9,ROWS($1:50)*6-6,))</f>
        <v>0</v>
      </c>
      <c r="BZ53" s="29">
        <f ca="1">SUMIF(OFFSET($E$4:$BM$9,ROWS($1:50)*6-6,),BZ$2,OFFSET($F$4:$BN$9,ROWS($1:50)*6-6,))</f>
        <v>0</v>
      </c>
      <c r="CA53" s="29">
        <f ca="1">SUMIF(OFFSET($E$4:$BM$9,ROWS($1:50)*6-6,),CA$2,OFFSET($F$4:$BN$9,ROWS($1:50)*6-6,))</f>
        <v>0</v>
      </c>
      <c r="CB53" s="29">
        <f ca="1">SUMIF(OFFSET($E$4:$BM$9,ROWS($1:50)*6-6,),CB$2,OFFSET($F$4:$BN$9,ROWS($1:50)*6-6,))</f>
        <v>0</v>
      </c>
      <c r="CC53" s="43">
        <f ca="1">SUMIF(OFFSET($E$4:$BM$9,ROWS($1:50)*6-6,),CC$2,OFFSET($F$4:$BN$9,ROWS($1:50)*6-6,))</f>
        <v>0</v>
      </c>
      <c r="CD53" s="44" t="str">
        <f t="shared" si="4"/>
        <v>谭加秀</v>
      </c>
      <c r="CE53" s="44">
        <f ca="1">INDEX(FREQUENCY(MMULT({1,1},SUBTOTAL(9,OFFSET($E$1,MATCH($CD53,$C:$C,)+{3;4},INT(COLUMN($A:$AE)*2)-1))),{3.9,7.9,11.9}),COLUMN(B50))</f>
        <v>0</v>
      </c>
      <c r="CF53" s="44">
        <f ca="1">INDEX(FREQUENCY(MMULT({1,1},SUBTOTAL(9,OFFSET($E$1,MATCH($CD53,$C:$C,)+{3;4},INT(COLUMN($A:$AE)*2)-1))),{3.9,7.9,11.9}),COLUMN(C50))</f>
        <v>0</v>
      </c>
      <c r="CG53" s="44">
        <f ca="1">INDEX(FREQUENCY(MMULT({1,1},SUBTOTAL(9,OFFSET($E$1,MATCH($CD53,$C:$C,)+{3;4},INT(COLUMN($A:$AE)*2)-1))),{3.9,7.9,11.9}),COLUMN(D50))</f>
        <v>0</v>
      </c>
    </row>
    <row r="54" spans="1:85" ht="17.25" customHeight="1" x14ac:dyDescent="0.15">
      <c r="A54" s="85"/>
      <c r="B54" s="49"/>
      <c r="C54" s="49"/>
      <c r="D54" s="53" t="s">
        <v>47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 t="s">
        <v>14</v>
      </c>
      <c r="V54" s="13">
        <v>2</v>
      </c>
      <c r="W54" s="13" t="s">
        <v>14</v>
      </c>
      <c r="X54" s="13">
        <v>2</v>
      </c>
      <c r="Y54" s="13" t="s">
        <v>14</v>
      </c>
      <c r="Z54" s="13">
        <v>2</v>
      </c>
      <c r="AA54" s="13" t="s">
        <v>14</v>
      </c>
      <c r="AB54" s="13">
        <v>2</v>
      </c>
      <c r="AC54" s="13" t="s">
        <v>14</v>
      </c>
      <c r="AD54" s="13">
        <v>2</v>
      </c>
      <c r="AE54" s="13" t="s">
        <v>14</v>
      </c>
      <c r="AF54" s="13">
        <v>2</v>
      </c>
      <c r="AG54" s="13"/>
      <c r="AH54" s="13"/>
      <c r="AI54" s="13" t="s">
        <v>14</v>
      </c>
      <c r="AJ54" s="13">
        <v>2</v>
      </c>
      <c r="AK54" s="13" t="s">
        <v>14</v>
      </c>
      <c r="AL54" s="13">
        <v>2</v>
      </c>
      <c r="AM54" s="13" t="s">
        <v>14</v>
      </c>
      <c r="AN54" s="13">
        <v>2</v>
      </c>
      <c r="AO54" s="13" t="s">
        <v>14</v>
      </c>
      <c r="AP54" s="13">
        <v>2</v>
      </c>
      <c r="AQ54" s="13" t="s">
        <v>14</v>
      </c>
      <c r="AR54" s="13">
        <v>2</v>
      </c>
      <c r="AS54" s="13" t="s">
        <v>14</v>
      </c>
      <c r="AT54" s="13">
        <v>2</v>
      </c>
      <c r="AU54" s="13"/>
      <c r="AV54" s="13"/>
      <c r="AW54" s="13" t="s">
        <v>14</v>
      </c>
      <c r="AX54" s="13">
        <v>2</v>
      </c>
      <c r="AY54" s="13" t="s">
        <v>14</v>
      </c>
      <c r="AZ54" s="13">
        <v>2</v>
      </c>
      <c r="BA54" s="13" t="s">
        <v>14</v>
      </c>
      <c r="BB54" s="13">
        <v>2</v>
      </c>
      <c r="BC54" s="13" t="s">
        <v>14</v>
      </c>
      <c r="BD54" s="13">
        <v>2</v>
      </c>
      <c r="BE54" s="13" t="s">
        <v>14</v>
      </c>
      <c r="BF54" s="13">
        <v>2</v>
      </c>
      <c r="BG54" s="13" t="s">
        <v>14</v>
      </c>
      <c r="BH54" s="13">
        <v>2</v>
      </c>
      <c r="BI54" s="13"/>
      <c r="BJ54" s="13"/>
      <c r="BK54" s="13" t="s">
        <v>14</v>
      </c>
      <c r="BL54" s="13">
        <v>2</v>
      </c>
      <c r="BM54" s="13" t="s">
        <v>14</v>
      </c>
      <c r="BN54" s="36">
        <v>2</v>
      </c>
      <c r="BP54" s="27">
        <v>51</v>
      </c>
      <c r="BQ54" s="27" t="s">
        <v>48</v>
      </c>
      <c r="BR54" s="29">
        <f ca="1">SUMIF(OFFSET($E$4:$BM$9,ROWS($1:51)*6-6,),BR$2,OFFSET($F$4:$BN$9,ROWS($1:51)*6-6,))</f>
        <v>40</v>
      </c>
      <c r="BS54" s="29">
        <f ca="1">SUMIF(OFFSET($E$4:$BM$9,ROWS($1:51)*6-6,),BS$2,OFFSET($F$4:$BN$9,ROWS($1:51)*6-6,))</f>
        <v>10</v>
      </c>
      <c r="BT54" s="29">
        <f ca="1">SUMIF(OFFSET($E$4:$BM$9,ROWS($1:51)*6-6,),BT$2,OFFSET($F$4:$BN$9,ROWS($1:51)*6-6,))</f>
        <v>4</v>
      </c>
      <c r="BU54" s="29">
        <f ca="1">SUMIF(OFFSET($E$4:$BM$9,ROWS($1:51)*6-6,),BU$2,OFFSET($F$4:$BN$9,ROWS($1:51)*6-6,))</f>
        <v>120</v>
      </c>
      <c r="BV54" s="29">
        <f ca="1">SUMIF(OFFSET($E$4:$BM$9,ROWS($1:51)*6-6,),BV$2,OFFSET($F$4:$BN$9,ROWS($1:51)*6-6,))</f>
        <v>0</v>
      </c>
      <c r="BW54" s="29">
        <f ca="1">SUMIF(OFFSET($E$4:$BM$9,ROWS($1:51)*6-6,),BW$2,OFFSET($F$4:$BN$9,ROWS($1:51)*6-6,))</f>
        <v>0</v>
      </c>
      <c r="BX54" s="29">
        <f ca="1">SUMIF(OFFSET($E$4:$BM$9,ROWS($1:51)*6-6,),BX$2,OFFSET($F$4:$BN$9,ROWS($1:51)*6-6,))</f>
        <v>0</v>
      </c>
      <c r="BY54" s="29">
        <f ca="1">SUMIF(OFFSET($E$4:$BM$9,ROWS($1:51)*6-6,),BY$2,OFFSET($F$4:$BN$9,ROWS($1:51)*6-6,))</f>
        <v>0</v>
      </c>
      <c r="BZ54" s="29">
        <f ca="1">SUMIF(OFFSET($E$4:$BM$9,ROWS($1:51)*6-6,),BZ$2,OFFSET($F$4:$BN$9,ROWS($1:51)*6-6,))</f>
        <v>0</v>
      </c>
      <c r="CA54" s="29">
        <f ca="1">SUMIF(OFFSET($E$4:$BM$9,ROWS($1:51)*6-6,),CA$2,OFFSET($F$4:$BN$9,ROWS($1:51)*6-6,))</f>
        <v>0</v>
      </c>
      <c r="CB54" s="29">
        <f ca="1">SUMIF(OFFSET($E$4:$BM$9,ROWS($1:51)*6-6,),CB$2,OFFSET($F$4:$BN$9,ROWS($1:51)*6-6,))</f>
        <v>0</v>
      </c>
      <c r="CC54" s="43">
        <f ca="1">SUMIF(OFFSET($E$4:$BM$9,ROWS($1:51)*6-6,),CC$2,OFFSET($F$4:$BN$9,ROWS($1:51)*6-6,))</f>
        <v>0</v>
      </c>
      <c r="CD54" s="44" t="str">
        <f t="shared" si="4"/>
        <v>邱梅</v>
      </c>
      <c r="CE54" s="44">
        <f ca="1">INDEX(FREQUENCY(MMULT({1,1},SUBTOTAL(9,OFFSET($E$1,MATCH($CD54,$C:$C,)+{3;4},INT(COLUMN($A:$AE)*2)-1))),{3.9,7.9,11.9}),COLUMN(B51))</f>
        <v>1</v>
      </c>
      <c r="CF54" s="44">
        <f ca="1">INDEX(FREQUENCY(MMULT({1,1},SUBTOTAL(9,OFFSET($E$1,MATCH($CD54,$C:$C,)+{3;4},INT(COLUMN($A:$AE)*2)-1))),{3.9,7.9,11.9}),COLUMN(C51))</f>
        <v>0</v>
      </c>
      <c r="CG54" s="44">
        <f ca="1">INDEX(FREQUENCY(MMULT({1,1},SUBTOTAL(9,OFFSET($E$1,MATCH($CD54,$C:$C,)+{3;4},INT(COLUMN($A:$AE)*2)-1))),{3.9,7.9,11.9}),COLUMN(D51))</f>
        <v>0</v>
      </c>
    </row>
    <row r="55" spans="1:85" ht="17.25" customHeight="1" x14ac:dyDescent="0.15">
      <c r="A55" s="85"/>
      <c r="B55" s="49"/>
      <c r="C55" s="49"/>
      <c r="D55" s="5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14</v>
      </c>
      <c r="V55" s="12">
        <v>2</v>
      </c>
      <c r="W55" s="12" t="s">
        <v>14</v>
      </c>
      <c r="X55" s="12">
        <v>2</v>
      </c>
      <c r="Y55" s="12" t="s">
        <v>14</v>
      </c>
      <c r="Z55" s="12">
        <v>2</v>
      </c>
      <c r="AA55" s="12" t="s">
        <v>14</v>
      </c>
      <c r="AB55" s="12">
        <v>2</v>
      </c>
      <c r="AC55" s="12" t="s">
        <v>14</v>
      </c>
      <c r="AD55" s="12">
        <v>2</v>
      </c>
      <c r="AE55" s="12" t="s">
        <v>14</v>
      </c>
      <c r="AF55" s="12">
        <v>2</v>
      </c>
      <c r="AG55" s="12"/>
      <c r="AH55" s="12"/>
      <c r="AI55" s="12" t="s">
        <v>14</v>
      </c>
      <c r="AJ55" s="12">
        <v>2</v>
      </c>
      <c r="AK55" s="12" t="s">
        <v>14</v>
      </c>
      <c r="AL55" s="12">
        <v>2</v>
      </c>
      <c r="AM55" s="12" t="s">
        <v>14</v>
      </c>
      <c r="AN55" s="12">
        <v>2</v>
      </c>
      <c r="AO55" s="12" t="s">
        <v>14</v>
      </c>
      <c r="AP55" s="12">
        <v>2</v>
      </c>
      <c r="AQ55" s="12" t="s">
        <v>14</v>
      </c>
      <c r="AR55" s="12">
        <v>2</v>
      </c>
      <c r="AS55" s="12" t="s">
        <v>14</v>
      </c>
      <c r="AT55" s="12">
        <v>2</v>
      </c>
      <c r="AU55" s="12"/>
      <c r="AV55" s="12"/>
      <c r="AW55" s="12" t="s">
        <v>14</v>
      </c>
      <c r="AX55" s="12">
        <v>2</v>
      </c>
      <c r="AY55" s="12" t="s">
        <v>14</v>
      </c>
      <c r="AZ55" s="12">
        <v>2</v>
      </c>
      <c r="BA55" s="12" t="s">
        <v>14</v>
      </c>
      <c r="BB55" s="12">
        <v>2</v>
      </c>
      <c r="BC55" s="12" t="s">
        <v>14</v>
      </c>
      <c r="BD55" s="12">
        <v>2</v>
      </c>
      <c r="BE55" s="12" t="s">
        <v>14</v>
      </c>
      <c r="BF55" s="12">
        <v>2</v>
      </c>
      <c r="BG55" s="12" t="s">
        <v>14</v>
      </c>
      <c r="BH55" s="12">
        <v>2</v>
      </c>
      <c r="BI55" s="12"/>
      <c r="BJ55" s="12"/>
      <c r="BK55" s="12" t="s">
        <v>14</v>
      </c>
      <c r="BL55" s="12">
        <v>2</v>
      </c>
      <c r="BM55" s="12" t="s">
        <v>14</v>
      </c>
      <c r="BN55" s="35">
        <v>2</v>
      </c>
      <c r="BP55" s="27">
        <v>52</v>
      </c>
      <c r="BQ55" s="27" t="s">
        <v>65</v>
      </c>
      <c r="BR55" s="29">
        <f ca="1">SUMIF(OFFSET($E$4:$BM$9,ROWS($1:52)*6-6,),BR$2,OFFSET($F$4:$BN$9,ROWS($1:52)*6-6,))</f>
        <v>136</v>
      </c>
      <c r="BS55" s="29">
        <f ca="1">SUMIF(OFFSET($E$4:$BM$9,ROWS($1:52)*6-6,),BS$2,OFFSET($F$4:$BN$9,ROWS($1:52)*6-6,))</f>
        <v>47</v>
      </c>
      <c r="BT55" s="29">
        <f ca="1">SUMIF(OFFSET($E$4:$BM$9,ROWS($1:52)*6-6,),BT$2,OFFSET($F$4:$BN$9,ROWS($1:52)*6-6,))</f>
        <v>16</v>
      </c>
      <c r="BU55" s="29">
        <f ca="1">SUMIF(OFFSET($E$4:$BM$9,ROWS($1:52)*6-6,),BU$2,OFFSET($F$4:$BN$9,ROWS($1:52)*6-6,))</f>
        <v>0</v>
      </c>
      <c r="BV55" s="29">
        <f ca="1">SUMIF(OFFSET($E$4:$BM$9,ROWS($1:52)*6-6,),BV$2,OFFSET($F$4:$BN$9,ROWS($1:52)*6-6,))</f>
        <v>24</v>
      </c>
      <c r="BW55" s="29">
        <f ca="1">SUMIF(OFFSET($E$4:$BM$9,ROWS($1:52)*6-6,),BW$2,OFFSET($F$4:$BN$9,ROWS($1:52)*6-6,))</f>
        <v>0</v>
      </c>
      <c r="BX55" s="29">
        <f ca="1">SUMIF(OFFSET($E$4:$BM$9,ROWS($1:52)*6-6,),BX$2,OFFSET($F$4:$BN$9,ROWS($1:52)*6-6,))</f>
        <v>0</v>
      </c>
      <c r="BY55" s="29">
        <f ca="1">SUMIF(OFFSET($E$4:$BM$9,ROWS($1:52)*6-6,),BY$2,OFFSET($F$4:$BN$9,ROWS($1:52)*6-6,))</f>
        <v>0</v>
      </c>
      <c r="BZ55" s="29">
        <f ca="1">SUMIF(OFFSET($E$4:$BM$9,ROWS($1:52)*6-6,),BZ$2,OFFSET($F$4:$BN$9,ROWS($1:52)*6-6,))</f>
        <v>0</v>
      </c>
      <c r="CA55" s="29">
        <f ca="1">SUMIF(OFFSET($E$4:$BM$9,ROWS($1:52)*6-6,),CA$2,OFFSET($F$4:$BN$9,ROWS($1:52)*6-6,))</f>
        <v>0</v>
      </c>
      <c r="CB55" s="29">
        <f ca="1">SUMIF(OFFSET($E$4:$BM$9,ROWS($1:52)*6-6,),CB$2,OFFSET($F$4:$BN$9,ROWS($1:52)*6-6,))</f>
        <v>0</v>
      </c>
      <c r="CC55" s="43">
        <f ca="1">SUMIF(OFFSET($E$4:$BM$9,ROWS($1:52)*6-6,),CC$2,OFFSET($F$4:$BN$9,ROWS($1:52)*6-6,))</f>
        <v>0</v>
      </c>
      <c r="CD55" s="44" t="str">
        <f t="shared" si="4"/>
        <v>陈玉容</v>
      </c>
      <c r="CE55" s="44">
        <f ca="1">INDEX(FREQUENCY(MMULT({1,1},SUBTOTAL(9,OFFSET($E$1,MATCH($CD55,$C:$C,)+{3;4},INT(COLUMN($A:$AE)*2)-1))),{3.9,7.9,11.9}),COLUMN(B52))</f>
        <v>9</v>
      </c>
      <c r="CF55" s="44">
        <f ca="1">INDEX(FREQUENCY(MMULT({1,1},SUBTOTAL(9,OFFSET($E$1,MATCH($CD55,$C:$C,)+{3;4},INT(COLUMN($A:$AE)*2)-1))),{3.9,7.9,11.9}),COLUMN(C52))</f>
        <v>0</v>
      </c>
      <c r="CG55" s="44">
        <f ca="1">INDEX(FREQUENCY(MMULT({1,1},SUBTOTAL(9,OFFSET($E$1,MATCH($CD55,$C:$C,)+{3;4},INT(COLUMN($A:$AE)*2)-1))),{3.9,7.9,11.9}),COLUMN(D52))</f>
        <v>0</v>
      </c>
    </row>
    <row r="56" spans="1:85" ht="17.25" customHeight="1" x14ac:dyDescent="0.15">
      <c r="A56" s="85"/>
      <c r="B56" s="49"/>
      <c r="C56" s="49"/>
      <c r="D56" s="53" t="s">
        <v>49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 t="s">
        <v>15</v>
      </c>
      <c r="V56" s="14"/>
      <c r="W56" s="14" t="s">
        <v>15</v>
      </c>
      <c r="X56" s="14"/>
      <c r="Y56" s="14" t="s">
        <v>15</v>
      </c>
      <c r="Z56" s="14"/>
      <c r="AA56" s="14" t="s">
        <v>15</v>
      </c>
      <c r="AB56" s="14"/>
      <c r="AC56" s="14" t="s">
        <v>15</v>
      </c>
      <c r="AD56" s="14"/>
      <c r="AE56" s="14" t="s">
        <v>15</v>
      </c>
      <c r="AF56" s="14"/>
      <c r="AG56" s="14"/>
      <c r="AH56" s="14"/>
      <c r="AI56" s="14" t="s">
        <v>15</v>
      </c>
      <c r="AJ56" s="14"/>
      <c r="AK56" s="14" t="s">
        <v>15</v>
      </c>
      <c r="AL56" s="14"/>
      <c r="AM56" s="14" t="s">
        <v>15</v>
      </c>
      <c r="AN56" s="14"/>
      <c r="AO56" s="14" t="s">
        <v>15</v>
      </c>
      <c r="AP56" s="14"/>
      <c r="AQ56" s="14" t="s">
        <v>15</v>
      </c>
      <c r="AR56" s="14"/>
      <c r="AS56" s="14" t="s">
        <v>15</v>
      </c>
      <c r="AT56" s="14"/>
      <c r="AU56" s="14"/>
      <c r="AV56" s="14"/>
      <c r="AW56" s="14" t="s">
        <v>15</v>
      </c>
      <c r="AX56" s="14"/>
      <c r="AY56" s="14" t="s">
        <v>15</v>
      </c>
      <c r="AZ56" s="14"/>
      <c r="BA56" s="14" t="s">
        <v>15</v>
      </c>
      <c r="BB56" s="14"/>
      <c r="BC56" s="14" t="s">
        <v>15</v>
      </c>
      <c r="BD56" s="14"/>
      <c r="BE56" s="14" t="s">
        <v>15</v>
      </c>
      <c r="BF56" s="14"/>
      <c r="BG56" s="14" t="s">
        <v>15</v>
      </c>
      <c r="BH56" s="14"/>
      <c r="BI56" s="14"/>
      <c r="BJ56" s="14"/>
      <c r="BK56" s="14" t="s">
        <v>15</v>
      </c>
      <c r="BL56" s="14"/>
      <c r="BM56" s="14" t="s">
        <v>15</v>
      </c>
      <c r="BN56" s="37"/>
      <c r="BP56" s="27">
        <v>53</v>
      </c>
      <c r="BQ56" s="27" t="s">
        <v>53</v>
      </c>
      <c r="BR56" s="29">
        <f ca="1">SUMIF(OFFSET($E$4:$BM$9,ROWS($1:53)*6-6,),BR$2,OFFSET($F$4:$BN$9,ROWS($1:53)*6-6,))</f>
        <v>128</v>
      </c>
      <c r="BS56" s="29">
        <f ca="1">SUMIF(OFFSET($E$4:$BM$9,ROWS($1:53)*6-6,),BS$2,OFFSET($F$4:$BN$9,ROWS($1:53)*6-6,))</f>
        <v>47.5</v>
      </c>
      <c r="BT56" s="29">
        <f ca="1">SUMIF(OFFSET($E$4:$BM$9,ROWS($1:53)*6-6,),BT$2,OFFSET($F$4:$BN$9,ROWS($1:53)*6-6,))</f>
        <v>16</v>
      </c>
      <c r="BU56" s="29">
        <f ca="1">SUMIF(OFFSET($E$4:$BM$9,ROWS($1:53)*6-6,),BU$2,OFFSET($F$4:$BN$9,ROWS($1:53)*6-6,))</f>
        <v>8</v>
      </c>
      <c r="BV56" s="29">
        <f ca="1">SUMIF(OFFSET($E$4:$BM$9,ROWS($1:53)*6-6,),BV$2,OFFSET($F$4:$BN$9,ROWS($1:53)*6-6,))</f>
        <v>24</v>
      </c>
      <c r="BW56" s="29">
        <f ca="1">SUMIF(OFFSET($E$4:$BM$9,ROWS($1:53)*6-6,),BW$2,OFFSET($F$4:$BN$9,ROWS($1:53)*6-6,))</f>
        <v>0</v>
      </c>
      <c r="BX56" s="29">
        <f ca="1">SUMIF(OFFSET($E$4:$BM$9,ROWS($1:53)*6-6,),BX$2,OFFSET($F$4:$BN$9,ROWS($1:53)*6-6,))</f>
        <v>0</v>
      </c>
      <c r="BY56" s="29">
        <f ca="1">SUMIF(OFFSET($E$4:$BM$9,ROWS($1:53)*6-6,),BY$2,OFFSET($F$4:$BN$9,ROWS($1:53)*6-6,))</f>
        <v>0</v>
      </c>
      <c r="BZ56" s="29">
        <f ca="1">SUMIF(OFFSET($E$4:$BM$9,ROWS($1:53)*6-6,),BZ$2,OFFSET($F$4:$BN$9,ROWS($1:53)*6-6,))</f>
        <v>0</v>
      </c>
      <c r="CA56" s="29">
        <f ca="1">SUMIF(OFFSET($E$4:$BM$9,ROWS($1:53)*6-6,),CA$2,OFFSET($F$4:$BN$9,ROWS($1:53)*6-6,))</f>
        <v>0</v>
      </c>
      <c r="CB56" s="29">
        <f ca="1">SUMIF(OFFSET($E$4:$BM$9,ROWS($1:53)*6-6,),CB$2,OFFSET($F$4:$BN$9,ROWS($1:53)*6-6,))</f>
        <v>0</v>
      </c>
      <c r="CC56" s="43">
        <f ca="1">SUMIF(OFFSET($E$4:$BM$9,ROWS($1:53)*6-6,),CC$2,OFFSET($F$4:$BN$9,ROWS($1:53)*6-6,))</f>
        <v>0</v>
      </c>
      <c r="CD56" s="44" t="str">
        <f t="shared" si="4"/>
        <v>杨月英</v>
      </c>
      <c r="CE56" s="44">
        <f ca="1">INDEX(FREQUENCY(MMULT({1,1},SUBTOTAL(9,OFFSET($E$1,MATCH($CD56,$C:$C,)+{3;4},INT(COLUMN($A:$AE)*2)-1))),{3.9,7.9,11.9}),COLUMN(B53))</f>
        <v>9</v>
      </c>
      <c r="CF56" s="44">
        <f ca="1">INDEX(FREQUENCY(MMULT({1,1},SUBTOTAL(9,OFFSET($E$1,MATCH($CD56,$C:$C,)+{3;4},INT(COLUMN($A:$AE)*2)-1))),{3.9,7.9,11.9}),COLUMN(C53))</f>
        <v>0</v>
      </c>
      <c r="CG56" s="44">
        <f ca="1">INDEX(FREQUENCY(MMULT({1,1},SUBTOTAL(9,OFFSET($E$1,MATCH($CD56,$C:$C,)+{3;4},INT(COLUMN($A:$AE)*2)-1))),{3.9,7.9,11.9}),COLUMN(D53))</f>
        <v>0</v>
      </c>
    </row>
    <row r="57" spans="1:85" ht="17.25" customHeight="1" thickBot="1" x14ac:dyDescent="0.2">
      <c r="A57" s="86"/>
      <c r="B57" s="50"/>
      <c r="C57" s="50"/>
      <c r="D57" s="5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38"/>
      <c r="BP57" s="27">
        <v>54</v>
      </c>
      <c r="BQ57" s="27" t="s">
        <v>80</v>
      </c>
      <c r="BR57" s="29">
        <f ca="1">SUMIF(OFFSET($E$4:$BM$9,ROWS($1:54)*6-6,),BR$2,OFFSET($F$4:$BN$9,ROWS($1:54)*6-6,))</f>
        <v>136</v>
      </c>
      <c r="BS57" s="29">
        <f ca="1">SUMIF(OFFSET($E$4:$BM$9,ROWS($1:54)*6-6,),BS$2,OFFSET($F$4:$BN$9,ROWS($1:54)*6-6,))</f>
        <v>50.5</v>
      </c>
      <c r="BT57" s="29">
        <f ca="1">SUMIF(OFFSET($E$4:$BM$9,ROWS($1:54)*6-6,),BT$2,OFFSET($F$4:$BN$9,ROWS($1:54)*6-6,))</f>
        <v>16</v>
      </c>
      <c r="BU57" s="29">
        <f ca="1">SUMIF(OFFSET($E$4:$BM$9,ROWS($1:54)*6-6,),BU$2,OFFSET($F$4:$BN$9,ROWS($1:54)*6-6,))</f>
        <v>0</v>
      </c>
      <c r="BV57" s="29">
        <f ca="1">SUMIF(OFFSET($E$4:$BM$9,ROWS($1:54)*6-6,),BV$2,OFFSET($F$4:$BN$9,ROWS($1:54)*6-6,))</f>
        <v>24</v>
      </c>
      <c r="BW57" s="29">
        <f ca="1">SUMIF(OFFSET($E$4:$BM$9,ROWS($1:54)*6-6,),BW$2,OFFSET($F$4:$BN$9,ROWS($1:54)*6-6,))</f>
        <v>0</v>
      </c>
      <c r="BX57" s="29">
        <f ca="1">SUMIF(OFFSET($E$4:$BM$9,ROWS($1:54)*6-6,),BX$2,OFFSET($F$4:$BN$9,ROWS($1:54)*6-6,))</f>
        <v>0</v>
      </c>
      <c r="BY57" s="29">
        <f ca="1">SUMIF(OFFSET($E$4:$BM$9,ROWS($1:54)*6-6,),BY$2,OFFSET($F$4:$BN$9,ROWS($1:54)*6-6,))</f>
        <v>0</v>
      </c>
      <c r="BZ57" s="29">
        <f ca="1">SUMIF(OFFSET($E$4:$BM$9,ROWS($1:54)*6-6,),BZ$2,OFFSET($F$4:$BN$9,ROWS($1:54)*6-6,))</f>
        <v>0</v>
      </c>
      <c r="CA57" s="29">
        <f ca="1">SUMIF(OFFSET($E$4:$BM$9,ROWS($1:54)*6-6,),CA$2,OFFSET($F$4:$BN$9,ROWS($1:54)*6-6,))</f>
        <v>0</v>
      </c>
      <c r="CB57" s="29">
        <f ca="1">SUMIF(OFFSET($E$4:$BM$9,ROWS($1:54)*6-6,),CB$2,OFFSET($F$4:$BN$9,ROWS($1:54)*6-6,))</f>
        <v>0</v>
      </c>
      <c r="CC57" s="43">
        <f ca="1">SUMIF(OFFSET($E$4:$BM$9,ROWS($1:54)*6-6,),CC$2,OFFSET($F$4:$BN$9,ROWS($1:54)*6-6,))</f>
        <v>0</v>
      </c>
      <c r="CD57" s="44" t="str">
        <f t="shared" si="4"/>
        <v>李敏</v>
      </c>
      <c r="CE57" s="44">
        <f ca="1">INDEX(FREQUENCY(MMULT({1,1},SUBTOTAL(9,OFFSET($E$1,MATCH($CD57,$C:$C,)+{3;4},INT(COLUMN($A:$AE)*2)-1))),{3.9,7.9,11.9}),COLUMN(B54))</f>
        <v>9</v>
      </c>
      <c r="CF57" s="44">
        <f ca="1">INDEX(FREQUENCY(MMULT({1,1},SUBTOTAL(9,OFFSET($E$1,MATCH($CD57,$C:$C,)+{3;4},INT(COLUMN($A:$AE)*2)-1))),{3.9,7.9,11.9}),COLUMN(C54))</f>
        <v>0</v>
      </c>
      <c r="CG57" s="44">
        <f ca="1">INDEX(FREQUENCY(MMULT({1,1},SUBTOTAL(9,OFFSET($E$1,MATCH($CD57,$C:$C,)+{3;4},INT(COLUMN($A:$AE)*2)-1))),{3.9,7.9,11.9}),COLUMN(D54))</f>
        <v>0</v>
      </c>
    </row>
    <row r="58" spans="1:85" ht="17.25" customHeight="1" x14ac:dyDescent="0.15">
      <c r="A58" s="84" t="s">
        <v>154</v>
      </c>
      <c r="B58" s="48" t="s">
        <v>107</v>
      </c>
      <c r="C58" s="48" t="s">
        <v>155</v>
      </c>
      <c r="D58" s="51" t="s">
        <v>45</v>
      </c>
      <c r="E58" s="11"/>
      <c r="F58" s="11"/>
      <c r="G58" s="11"/>
      <c r="H58" s="11"/>
      <c r="I58" s="11"/>
      <c r="J58" s="11"/>
      <c r="K58" s="11" t="s">
        <v>14</v>
      </c>
      <c r="L58" s="11">
        <v>2</v>
      </c>
      <c r="M58" s="11" t="s">
        <v>14</v>
      </c>
      <c r="N58" s="11">
        <v>2</v>
      </c>
      <c r="O58" s="11" t="s">
        <v>14</v>
      </c>
      <c r="P58" s="11">
        <v>2</v>
      </c>
      <c r="Q58" s="11" t="s">
        <v>14</v>
      </c>
      <c r="R58" s="11">
        <v>2</v>
      </c>
      <c r="S58" s="11"/>
      <c r="T58" s="11"/>
      <c r="U58" s="11" t="s">
        <v>14</v>
      </c>
      <c r="V58" s="11">
        <v>2</v>
      </c>
      <c r="W58" s="11" t="s">
        <v>14</v>
      </c>
      <c r="X58" s="11">
        <v>2</v>
      </c>
      <c r="Y58" s="11" t="s">
        <v>14</v>
      </c>
      <c r="Z58" s="11">
        <v>2</v>
      </c>
      <c r="AA58" s="11" t="s">
        <v>14</v>
      </c>
      <c r="AB58" s="11">
        <v>2</v>
      </c>
      <c r="AC58" s="11" t="s">
        <v>14</v>
      </c>
      <c r="AD58" s="11">
        <v>2</v>
      </c>
      <c r="AE58" s="11" t="s">
        <v>14</v>
      </c>
      <c r="AF58" s="11">
        <v>2</v>
      </c>
      <c r="AG58" s="11"/>
      <c r="AH58" s="11"/>
      <c r="AI58" s="11" t="s">
        <v>14</v>
      </c>
      <c r="AJ58" s="11">
        <v>2</v>
      </c>
      <c r="AK58" s="11" t="s">
        <v>14</v>
      </c>
      <c r="AL58" s="11">
        <v>2</v>
      </c>
      <c r="AM58" s="11" t="s">
        <v>14</v>
      </c>
      <c r="AN58" s="11">
        <v>2</v>
      </c>
      <c r="AO58" s="11" t="s">
        <v>14</v>
      </c>
      <c r="AP58" s="11">
        <v>2</v>
      </c>
      <c r="AQ58" s="11" t="s">
        <v>14</v>
      </c>
      <c r="AR58" s="11">
        <v>2</v>
      </c>
      <c r="AS58" s="11" t="s">
        <v>14</v>
      </c>
      <c r="AT58" s="11">
        <v>2</v>
      </c>
      <c r="AU58" s="11"/>
      <c r="AV58" s="11"/>
      <c r="AW58" s="11" t="s">
        <v>14</v>
      </c>
      <c r="AX58" s="11">
        <v>2</v>
      </c>
      <c r="AY58" s="11" t="s">
        <v>14</v>
      </c>
      <c r="AZ58" s="11">
        <v>2</v>
      </c>
      <c r="BA58" s="11" t="s">
        <v>14</v>
      </c>
      <c r="BB58" s="11">
        <v>2</v>
      </c>
      <c r="BC58" s="11" t="s">
        <v>14</v>
      </c>
      <c r="BD58" s="11">
        <v>2</v>
      </c>
      <c r="BE58" s="11" t="s">
        <v>14</v>
      </c>
      <c r="BF58" s="11">
        <v>2</v>
      </c>
      <c r="BG58" s="11" t="s">
        <v>14</v>
      </c>
      <c r="BH58" s="11">
        <v>2</v>
      </c>
      <c r="BI58" s="11"/>
      <c r="BJ58" s="11"/>
      <c r="BK58" s="11" t="s">
        <v>14</v>
      </c>
      <c r="BL58" s="11">
        <v>2</v>
      </c>
      <c r="BM58" s="11" t="s">
        <v>14</v>
      </c>
      <c r="BN58" s="34">
        <v>2</v>
      </c>
      <c r="BP58" s="27">
        <v>55</v>
      </c>
      <c r="BQ58" s="27" t="s">
        <v>146</v>
      </c>
      <c r="BR58" s="29">
        <f ca="1">SUMIF(OFFSET($E$4:$BM$9,ROWS($1:55)*6-6,),BR$2,OFFSET($F$4:$BN$9,ROWS($1:55)*6-6,))</f>
        <v>0</v>
      </c>
      <c r="BS58" s="29">
        <f ca="1">SUMIF(OFFSET($E$4:$BM$9,ROWS($1:55)*6-6,),BS$2,OFFSET($F$4:$BN$9,ROWS($1:55)*6-6,))</f>
        <v>0</v>
      </c>
      <c r="BT58" s="29">
        <f ca="1">SUMIF(OFFSET($E$4:$BM$9,ROWS($1:55)*6-6,),BT$2,OFFSET($F$4:$BN$9,ROWS($1:55)*6-6,))</f>
        <v>0</v>
      </c>
      <c r="BU58" s="29">
        <f ca="1">SUMIF(OFFSET($E$4:$BM$9,ROWS($1:55)*6-6,),BU$2,OFFSET($F$4:$BN$9,ROWS($1:55)*6-6,))</f>
        <v>0</v>
      </c>
      <c r="BV58" s="29">
        <f ca="1">SUMIF(OFFSET($E$4:$BM$9,ROWS($1:55)*6-6,),BV$2,OFFSET($F$4:$BN$9,ROWS($1:55)*6-6,))</f>
        <v>0</v>
      </c>
      <c r="BW58" s="29">
        <f ca="1">SUMIF(OFFSET($E$4:$BM$9,ROWS($1:55)*6-6,),BW$2,OFFSET($F$4:$BN$9,ROWS($1:55)*6-6,))</f>
        <v>0</v>
      </c>
      <c r="BX58" s="29">
        <f ca="1">SUMIF(OFFSET($E$4:$BM$9,ROWS($1:55)*6-6,),BX$2,OFFSET($F$4:$BN$9,ROWS($1:55)*6-6,))</f>
        <v>0</v>
      </c>
      <c r="BY58" s="29">
        <f ca="1">SUMIF(OFFSET($E$4:$BM$9,ROWS($1:55)*6-6,),BY$2,OFFSET($F$4:$BN$9,ROWS($1:55)*6-6,))</f>
        <v>0</v>
      </c>
      <c r="BZ58" s="29">
        <f ca="1">SUMIF(OFFSET($E$4:$BM$9,ROWS($1:55)*6-6,),BZ$2,OFFSET($F$4:$BN$9,ROWS($1:55)*6-6,))</f>
        <v>0</v>
      </c>
      <c r="CA58" s="29">
        <f ca="1">SUMIF(OFFSET($E$4:$BM$9,ROWS($1:55)*6-6,),CA$2,OFFSET($F$4:$BN$9,ROWS($1:55)*6-6,))</f>
        <v>0</v>
      </c>
      <c r="CB58" s="29">
        <f ca="1">SUMIF(OFFSET($E$4:$BM$9,ROWS($1:55)*6-6,),CB$2,OFFSET($F$4:$BN$9,ROWS($1:55)*6-6,))</f>
        <v>0</v>
      </c>
      <c r="CC58" s="43">
        <f ca="1">SUMIF(OFFSET($E$4:$BM$9,ROWS($1:55)*6-6,),CC$2,OFFSET($F$4:$BN$9,ROWS($1:55)*6-6,))</f>
        <v>0</v>
      </c>
      <c r="CD58" s="44" t="str">
        <f t="shared" si="4"/>
        <v>张清泉</v>
      </c>
      <c r="CE58" s="44">
        <f ca="1">INDEX(FREQUENCY(MMULT({1,1},SUBTOTAL(9,OFFSET($E$1,MATCH($CD58,$C:$C,)+{3;4},INT(COLUMN($A:$AE)*2)-1))),{3.9,7.9,11.9}),COLUMN(B55))</f>
        <v>0</v>
      </c>
      <c r="CF58" s="44">
        <f ca="1">INDEX(FREQUENCY(MMULT({1,1},SUBTOTAL(9,OFFSET($E$1,MATCH($CD58,$C:$C,)+{3;4},INT(COLUMN($A:$AE)*2)-1))),{3.9,7.9,11.9}),COLUMN(C55))</f>
        <v>0</v>
      </c>
      <c r="CG58" s="44">
        <f ca="1">INDEX(FREQUENCY(MMULT({1,1},SUBTOTAL(9,OFFSET($E$1,MATCH($CD58,$C:$C,)+{3;4},INT(COLUMN($A:$AE)*2)-1))),{3.9,7.9,11.9}),COLUMN(D55))</f>
        <v>0</v>
      </c>
    </row>
    <row r="59" spans="1:85" ht="17.25" customHeight="1" x14ac:dyDescent="0.15">
      <c r="A59" s="85"/>
      <c r="B59" s="49"/>
      <c r="C59" s="49"/>
      <c r="D59" s="52"/>
      <c r="E59" s="12"/>
      <c r="F59" s="12"/>
      <c r="G59" s="12"/>
      <c r="H59" s="12"/>
      <c r="I59" s="12"/>
      <c r="J59" s="12"/>
      <c r="K59" s="12" t="s">
        <v>14</v>
      </c>
      <c r="L59" s="12">
        <v>2</v>
      </c>
      <c r="M59" s="12" t="s">
        <v>14</v>
      </c>
      <c r="N59" s="12">
        <v>2</v>
      </c>
      <c r="O59" s="12" t="s">
        <v>14</v>
      </c>
      <c r="P59" s="12">
        <v>2</v>
      </c>
      <c r="Q59" s="12" t="s">
        <v>14</v>
      </c>
      <c r="R59" s="12">
        <v>2</v>
      </c>
      <c r="S59" s="12"/>
      <c r="T59" s="12"/>
      <c r="U59" s="12" t="s">
        <v>14</v>
      </c>
      <c r="V59" s="12">
        <v>2</v>
      </c>
      <c r="W59" s="12" t="s">
        <v>14</v>
      </c>
      <c r="X59" s="12">
        <v>2</v>
      </c>
      <c r="Y59" s="12" t="s">
        <v>14</v>
      </c>
      <c r="Z59" s="12">
        <v>2</v>
      </c>
      <c r="AA59" s="12" t="s">
        <v>14</v>
      </c>
      <c r="AB59" s="12">
        <v>2</v>
      </c>
      <c r="AC59" s="12" t="s">
        <v>14</v>
      </c>
      <c r="AD59" s="12">
        <v>2</v>
      </c>
      <c r="AE59" s="12" t="s">
        <v>14</v>
      </c>
      <c r="AF59" s="12">
        <v>2</v>
      </c>
      <c r="AG59" s="12"/>
      <c r="AH59" s="12"/>
      <c r="AI59" s="12" t="s">
        <v>14</v>
      </c>
      <c r="AJ59" s="12">
        <v>2</v>
      </c>
      <c r="AK59" s="12" t="s">
        <v>14</v>
      </c>
      <c r="AL59" s="12">
        <v>2</v>
      </c>
      <c r="AM59" s="12" t="s">
        <v>14</v>
      </c>
      <c r="AN59" s="12">
        <v>2</v>
      </c>
      <c r="AO59" s="12" t="s">
        <v>14</v>
      </c>
      <c r="AP59" s="12">
        <v>2</v>
      </c>
      <c r="AQ59" s="12" t="s">
        <v>14</v>
      </c>
      <c r="AR59" s="12">
        <v>2</v>
      </c>
      <c r="AS59" s="12" t="s">
        <v>14</v>
      </c>
      <c r="AT59" s="12">
        <v>2</v>
      </c>
      <c r="AU59" s="12"/>
      <c r="AV59" s="12"/>
      <c r="AW59" s="12" t="s">
        <v>14</v>
      </c>
      <c r="AX59" s="12">
        <v>2</v>
      </c>
      <c r="AY59" s="12" t="s">
        <v>14</v>
      </c>
      <c r="AZ59" s="12">
        <v>2</v>
      </c>
      <c r="BA59" s="12" t="s">
        <v>14</v>
      </c>
      <c r="BB59" s="12">
        <v>2</v>
      </c>
      <c r="BC59" s="12" t="s">
        <v>14</v>
      </c>
      <c r="BD59" s="12">
        <v>2</v>
      </c>
      <c r="BE59" s="12" t="s">
        <v>14</v>
      </c>
      <c r="BF59" s="12">
        <v>2</v>
      </c>
      <c r="BG59" s="12" t="s">
        <v>14</v>
      </c>
      <c r="BH59" s="12">
        <v>2</v>
      </c>
      <c r="BI59" s="12"/>
      <c r="BJ59" s="12"/>
      <c r="BK59" s="12" t="s">
        <v>14</v>
      </c>
      <c r="BL59" s="12">
        <v>2</v>
      </c>
      <c r="BM59" s="12" t="s">
        <v>14</v>
      </c>
      <c r="BN59" s="35">
        <v>2</v>
      </c>
      <c r="BP59" s="27">
        <v>56</v>
      </c>
      <c r="BQ59" s="27" t="s">
        <v>92</v>
      </c>
      <c r="BR59" s="29">
        <f ca="1">SUMIF(OFFSET($E$4:$BM$9,ROWS($1:56)*6-6,),BR$2,OFFSET($F$4:$BN$9,ROWS($1:56)*6-6,))</f>
        <v>0</v>
      </c>
      <c r="BS59" s="29">
        <f ca="1">SUMIF(OFFSET($E$4:$BM$9,ROWS($1:56)*6-6,),BS$2,OFFSET($F$4:$BN$9,ROWS($1:56)*6-6,))</f>
        <v>0</v>
      </c>
      <c r="BT59" s="29">
        <f ca="1">SUMIF(OFFSET($E$4:$BM$9,ROWS($1:56)*6-6,),BT$2,OFFSET($F$4:$BN$9,ROWS($1:56)*6-6,))</f>
        <v>0</v>
      </c>
      <c r="BU59" s="29">
        <f ca="1">SUMIF(OFFSET($E$4:$BM$9,ROWS($1:56)*6-6,),BU$2,OFFSET($F$4:$BN$9,ROWS($1:56)*6-6,))</f>
        <v>0</v>
      </c>
      <c r="BV59" s="29">
        <f ca="1">SUMIF(OFFSET($E$4:$BM$9,ROWS($1:56)*6-6,),BV$2,OFFSET($F$4:$BN$9,ROWS($1:56)*6-6,))</f>
        <v>0</v>
      </c>
      <c r="BW59" s="29">
        <f ca="1">SUMIF(OFFSET($E$4:$BM$9,ROWS($1:56)*6-6,),BW$2,OFFSET($F$4:$BN$9,ROWS($1:56)*6-6,))</f>
        <v>0</v>
      </c>
      <c r="BX59" s="29">
        <f ca="1">SUMIF(OFFSET($E$4:$BM$9,ROWS($1:56)*6-6,),BX$2,OFFSET($F$4:$BN$9,ROWS($1:56)*6-6,))</f>
        <v>0</v>
      </c>
      <c r="BY59" s="29">
        <f ca="1">SUMIF(OFFSET($E$4:$BM$9,ROWS($1:56)*6-6,),BY$2,OFFSET($F$4:$BN$9,ROWS($1:56)*6-6,))</f>
        <v>0</v>
      </c>
      <c r="BZ59" s="29">
        <f ca="1">SUMIF(OFFSET($E$4:$BM$9,ROWS($1:56)*6-6,),BZ$2,OFFSET($F$4:$BN$9,ROWS($1:56)*6-6,))</f>
        <v>0</v>
      </c>
      <c r="CA59" s="29">
        <f ca="1">SUMIF(OFFSET($E$4:$BM$9,ROWS($1:56)*6-6,),CA$2,OFFSET($F$4:$BN$9,ROWS($1:56)*6-6,))</f>
        <v>0</v>
      </c>
      <c r="CB59" s="29">
        <f ca="1">SUMIF(OFFSET($E$4:$BM$9,ROWS($1:56)*6-6,),CB$2,OFFSET($F$4:$BN$9,ROWS($1:56)*6-6,))</f>
        <v>0</v>
      </c>
      <c r="CC59" s="43">
        <f ca="1">SUMIF(OFFSET($E$4:$BM$9,ROWS($1:56)*6-6,),CC$2,OFFSET($F$4:$BN$9,ROWS($1:56)*6-6,))</f>
        <v>0</v>
      </c>
      <c r="CD59" s="44" t="str">
        <f t="shared" si="4"/>
        <v>徐昌菊</v>
      </c>
      <c r="CE59" s="44">
        <f ca="1">INDEX(FREQUENCY(MMULT({1,1},SUBTOTAL(9,OFFSET($E$1,MATCH($CD59,$C:$C,)+{3;4},INT(COLUMN($A:$AE)*2)-1))),{3.9,7.9,11.9}),COLUMN(B56))</f>
        <v>0</v>
      </c>
      <c r="CF59" s="44">
        <f ca="1">INDEX(FREQUENCY(MMULT({1,1},SUBTOTAL(9,OFFSET($E$1,MATCH($CD59,$C:$C,)+{3;4},INT(COLUMN($A:$AE)*2)-1))),{3.9,7.9,11.9}),COLUMN(C56))</f>
        <v>0</v>
      </c>
      <c r="CG59" s="44">
        <f ca="1">INDEX(FREQUENCY(MMULT({1,1},SUBTOTAL(9,OFFSET($E$1,MATCH($CD59,$C:$C,)+{3;4},INT(COLUMN($A:$AE)*2)-1))),{3.9,7.9,11.9}),COLUMN(D56))</f>
        <v>0</v>
      </c>
    </row>
    <row r="60" spans="1:85" ht="17.25" customHeight="1" x14ac:dyDescent="0.15">
      <c r="A60" s="85"/>
      <c r="B60" s="49"/>
      <c r="C60" s="49"/>
      <c r="D60" s="53" t="s">
        <v>47</v>
      </c>
      <c r="E60" s="13"/>
      <c r="F60" s="13"/>
      <c r="G60" s="13"/>
      <c r="H60" s="13"/>
      <c r="I60" s="13"/>
      <c r="J60" s="13"/>
      <c r="K60" s="13" t="s">
        <v>14</v>
      </c>
      <c r="L60" s="13">
        <v>2</v>
      </c>
      <c r="M60" s="13" t="s">
        <v>14</v>
      </c>
      <c r="N60" s="13">
        <v>2</v>
      </c>
      <c r="O60" s="13" t="s">
        <v>14</v>
      </c>
      <c r="P60" s="13">
        <v>2</v>
      </c>
      <c r="Q60" s="13" t="s">
        <v>14</v>
      </c>
      <c r="R60" s="13">
        <v>2</v>
      </c>
      <c r="S60" s="13"/>
      <c r="T60" s="13"/>
      <c r="U60" s="13" t="s">
        <v>14</v>
      </c>
      <c r="V60" s="13">
        <v>2</v>
      </c>
      <c r="W60" s="13" t="s">
        <v>14</v>
      </c>
      <c r="X60" s="13">
        <v>2</v>
      </c>
      <c r="Y60" s="13" t="s">
        <v>14</v>
      </c>
      <c r="Z60" s="13">
        <v>2</v>
      </c>
      <c r="AA60" s="13" t="s">
        <v>14</v>
      </c>
      <c r="AB60" s="13">
        <v>2</v>
      </c>
      <c r="AC60" s="13" t="s">
        <v>14</v>
      </c>
      <c r="AD60" s="13">
        <v>2</v>
      </c>
      <c r="AE60" s="13" t="s">
        <v>14</v>
      </c>
      <c r="AF60" s="13">
        <v>2</v>
      </c>
      <c r="AG60" s="13"/>
      <c r="AH60" s="13"/>
      <c r="AI60" s="13" t="s">
        <v>14</v>
      </c>
      <c r="AJ60" s="13">
        <v>2</v>
      </c>
      <c r="AK60" s="13" t="s">
        <v>14</v>
      </c>
      <c r="AL60" s="13">
        <v>2</v>
      </c>
      <c r="AM60" s="13" t="s">
        <v>14</v>
      </c>
      <c r="AN60" s="13">
        <v>2</v>
      </c>
      <c r="AO60" s="13" t="s">
        <v>14</v>
      </c>
      <c r="AP60" s="13">
        <v>2</v>
      </c>
      <c r="AQ60" s="13" t="s">
        <v>14</v>
      </c>
      <c r="AR60" s="13">
        <v>2</v>
      </c>
      <c r="AS60" s="13" t="s">
        <v>14</v>
      </c>
      <c r="AT60" s="13">
        <v>2</v>
      </c>
      <c r="AU60" s="13"/>
      <c r="AV60" s="13"/>
      <c r="AW60" s="13" t="s">
        <v>14</v>
      </c>
      <c r="AX60" s="13">
        <v>2</v>
      </c>
      <c r="AY60" s="13" t="s">
        <v>14</v>
      </c>
      <c r="AZ60" s="13">
        <v>2</v>
      </c>
      <c r="BA60" s="13" t="s">
        <v>14</v>
      </c>
      <c r="BB60" s="13">
        <v>2</v>
      </c>
      <c r="BC60" s="13" t="s">
        <v>14</v>
      </c>
      <c r="BD60" s="13">
        <v>2</v>
      </c>
      <c r="BE60" s="13" t="s">
        <v>14</v>
      </c>
      <c r="BF60" s="13">
        <v>2</v>
      </c>
      <c r="BG60" s="13" t="s">
        <v>14</v>
      </c>
      <c r="BH60" s="13">
        <v>2</v>
      </c>
      <c r="BI60" s="13"/>
      <c r="BJ60" s="13"/>
      <c r="BK60" s="13" t="s">
        <v>14</v>
      </c>
      <c r="BL60" s="13">
        <v>2</v>
      </c>
      <c r="BM60" s="13" t="s">
        <v>14</v>
      </c>
      <c r="BN60" s="36">
        <v>2</v>
      </c>
      <c r="BP60" s="27">
        <v>57</v>
      </c>
      <c r="BQ60" s="27" t="s">
        <v>124</v>
      </c>
      <c r="BR60" s="29">
        <f ca="1">SUMIF(OFFSET($E$4:$BM$9,ROWS($1:57)*6-6,),BR$2,OFFSET($F$4:$BN$9,ROWS($1:57)*6-6,))</f>
        <v>32</v>
      </c>
      <c r="BS60" s="29">
        <f ca="1">SUMIF(OFFSET($E$4:$BM$9,ROWS($1:57)*6-6,),BS$2,OFFSET($F$4:$BN$9,ROWS($1:57)*6-6,))</f>
        <v>16.5</v>
      </c>
      <c r="BT60" s="29">
        <f ca="1">SUMIF(OFFSET($E$4:$BM$9,ROWS($1:57)*6-6,),BT$2,OFFSET($F$4:$BN$9,ROWS($1:57)*6-6,))</f>
        <v>8</v>
      </c>
      <c r="BU60" s="29">
        <f ca="1">SUMIF(OFFSET($E$4:$BM$9,ROWS($1:57)*6-6,),BU$2,OFFSET($F$4:$BN$9,ROWS($1:57)*6-6,))</f>
        <v>128</v>
      </c>
      <c r="BV60" s="29">
        <f ca="1">SUMIF(OFFSET($E$4:$BM$9,ROWS($1:57)*6-6,),BV$2,OFFSET($F$4:$BN$9,ROWS($1:57)*6-6,))</f>
        <v>0</v>
      </c>
      <c r="BW60" s="29">
        <f ca="1">SUMIF(OFFSET($E$4:$BM$9,ROWS($1:57)*6-6,),BW$2,OFFSET($F$4:$BN$9,ROWS($1:57)*6-6,))</f>
        <v>0</v>
      </c>
      <c r="BX60" s="29">
        <f ca="1">SUMIF(OFFSET($E$4:$BM$9,ROWS($1:57)*6-6,),BX$2,OFFSET($F$4:$BN$9,ROWS($1:57)*6-6,))</f>
        <v>0</v>
      </c>
      <c r="BY60" s="29">
        <f ca="1">SUMIF(OFFSET($E$4:$BM$9,ROWS($1:57)*6-6,),BY$2,OFFSET($F$4:$BN$9,ROWS($1:57)*6-6,))</f>
        <v>0</v>
      </c>
      <c r="BZ60" s="29">
        <f ca="1">SUMIF(OFFSET($E$4:$BM$9,ROWS($1:57)*6-6,),BZ$2,OFFSET($F$4:$BN$9,ROWS($1:57)*6-6,))</f>
        <v>0</v>
      </c>
      <c r="CA60" s="29">
        <f ca="1">SUMIF(OFFSET($E$4:$BM$9,ROWS($1:57)*6-6,),CA$2,OFFSET($F$4:$BN$9,ROWS($1:57)*6-6,))</f>
        <v>0</v>
      </c>
      <c r="CB60" s="29">
        <f ca="1">SUMIF(OFFSET($E$4:$BM$9,ROWS($1:57)*6-6,),CB$2,OFFSET($F$4:$BN$9,ROWS($1:57)*6-6,))</f>
        <v>0</v>
      </c>
      <c r="CC60" s="43">
        <f ca="1">SUMIF(OFFSET($E$4:$BM$9,ROWS($1:57)*6-6,),CC$2,OFFSET($F$4:$BN$9,ROWS($1:57)*6-6,))</f>
        <v>0</v>
      </c>
      <c r="CD60" s="44" t="str">
        <f t="shared" si="4"/>
        <v>蒋素琼</v>
      </c>
      <c r="CE60" s="44">
        <f ca="1">INDEX(FREQUENCY(MMULT({1,1},SUBTOTAL(9,OFFSET($E$1,MATCH($CD60,$C:$C,)+{3;4},INT(COLUMN($A:$AE)*2)-1))),{3.9,7.9,11.9}),COLUMN(B57))</f>
        <v>3</v>
      </c>
      <c r="CF60" s="44">
        <f ca="1">INDEX(FREQUENCY(MMULT({1,1},SUBTOTAL(9,OFFSET($E$1,MATCH($CD60,$C:$C,)+{3;4},INT(COLUMN($A:$AE)*2)-1))),{3.9,7.9,11.9}),COLUMN(C57))</f>
        <v>0</v>
      </c>
      <c r="CG60" s="44">
        <f ca="1">INDEX(FREQUENCY(MMULT({1,1},SUBTOTAL(9,OFFSET($E$1,MATCH($CD60,$C:$C,)+{3;4},INT(COLUMN($A:$AE)*2)-1))),{3.9,7.9,11.9}),COLUMN(D57))</f>
        <v>0</v>
      </c>
    </row>
    <row r="61" spans="1:85" ht="17.25" customHeight="1" x14ac:dyDescent="0.15">
      <c r="A61" s="85"/>
      <c r="B61" s="49"/>
      <c r="C61" s="49"/>
      <c r="D61" s="52"/>
      <c r="E61" s="12"/>
      <c r="F61" s="12"/>
      <c r="G61" s="12"/>
      <c r="H61" s="12"/>
      <c r="I61" s="12"/>
      <c r="J61" s="12"/>
      <c r="K61" s="12" t="s">
        <v>14</v>
      </c>
      <c r="L61" s="12">
        <v>2</v>
      </c>
      <c r="M61" s="12" t="s">
        <v>14</v>
      </c>
      <c r="N61" s="12">
        <v>2</v>
      </c>
      <c r="O61" s="12" t="s">
        <v>14</v>
      </c>
      <c r="P61" s="12">
        <v>2</v>
      </c>
      <c r="Q61" s="12" t="s">
        <v>14</v>
      </c>
      <c r="R61" s="12">
        <v>2</v>
      </c>
      <c r="S61" s="12"/>
      <c r="T61" s="12"/>
      <c r="U61" s="12" t="s">
        <v>14</v>
      </c>
      <c r="V61" s="12">
        <v>2</v>
      </c>
      <c r="W61" s="12" t="s">
        <v>14</v>
      </c>
      <c r="X61" s="12">
        <v>2</v>
      </c>
      <c r="Y61" s="12" t="s">
        <v>14</v>
      </c>
      <c r="Z61" s="12">
        <v>2</v>
      </c>
      <c r="AA61" s="12" t="s">
        <v>14</v>
      </c>
      <c r="AB61" s="12">
        <v>2</v>
      </c>
      <c r="AC61" s="12" t="s">
        <v>14</v>
      </c>
      <c r="AD61" s="12">
        <v>2</v>
      </c>
      <c r="AE61" s="12" t="s">
        <v>14</v>
      </c>
      <c r="AF61" s="12">
        <v>2</v>
      </c>
      <c r="AG61" s="12"/>
      <c r="AH61" s="12"/>
      <c r="AI61" s="12" t="s">
        <v>14</v>
      </c>
      <c r="AJ61" s="12">
        <v>2</v>
      </c>
      <c r="AK61" s="12" t="s">
        <v>14</v>
      </c>
      <c r="AL61" s="12">
        <v>2</v>
      </c>
      <c r="AM61" s="12" t="s">
        <v>14</v>
      </c>
      <c r="AN61" s="12">
        <v>2</v>
      </c>
      <c r="AO61" s="12" t="s">
        <v>14</v>
      </c>
      <c r="AP61" s="12">
        <v>2</v>
      </c>
      <c r="AQ61" s="12" t="s">
        <v>14</v>
      </c>
      <c r="AR61" s="12">
        <v>2</v>
      </c>
      <c r="AS61" s="12" t="s">
        <v>14</v>
      </c>
      <c r="AT61" s="12">
        <v>2</v>
      </c>
      <c r="AU61" s="12"/>
      <c r="AV61" s="12"/>
      <c r="AW61" s="12" t="s">
        <v>14</v>
      </c>
      <c r="AX61" s="12">
        <v>2</v>
      </c>
      <c r="AY61" s="12" t="s">
        <v>14</v>
      </c>
      <c r="AZ61" s="12">
        <v>2</v>
      </c>
      <c r="BA61" s="12" t="s">
        <v>14</v>
      </c>
      <c r="BB61" s="12">
        <v>2</v>
      </c>
      <c r="BC61" s="12" t="s">
        <v>14</v>
      </c>
      <c r="BD61" s="12">
        <v>2</v>
      </c>
      <c r="BE61" s="12" t="s">
        <v>14</v>
      </c>
      <c r="BF61" s="12">
        <v>2</v>
      </c>
      <c r="BG61" s="12" t="s">
        <v>14</v>
      </c>
      <c r="BH61" s="12">
        <v>2</v>
      </c>
      <c r="BI61" s="12"/>
      <c r="BJ61" s="12"/>
      <c r="BK61" s="12" t="s">
        <v>14</v>
      </c>
      <c r="BL61" s="12">
        <v>2</v>
      </c>
      <c r="BM61" s="12" t="s">
        <v>14</v>
      </c>
      <c r="BN61" s="35">
        <v>2</v>
      </c>
      <c r="BP61" s="27">
        <v>58</v>
      </c>
      <c r="BQ61" s="27" t="s">
        <v>125</v>
      </c>
      <c r="BR61" s="29">
        <f ca="1">SUMIF(OFFSET($E$4:$BM$9,ROWS($1:58)*6-6,),BR$2,OFFSET($F$4:$BN$9,ROWS($1:58)*6-6,))</f>
        <v>72</v>
      </c>
      <c r="BS61" s="29">
        <f ca="1">SUMIF(OFFSET($E$4:$BM$9,ROWS($1:58)*6-6,),BS$2,OFFSET($F$4:$BN$9,ROWS($1:58)*6-6,))</f>
        <v>33.5</v>
      </c>
      <c r="BT61" s="29">
        <f ca="1">SUMIF(OFFSET($E$4:$BM$9,ROWS($1:58)*6-6,),BT$2,OFFSET($F$4:$BN$9,ROWS($1:58)*6-6,))</f>
        <v>16</v>
      </c>
      <c r="BU61" s="29">
        <f ca="1">SUMIF(OFFSET($E$4:$BM$9,ROWS($1:58)*6-6,),BU$2,OFFSET($F$4:$BN$9,ROWS($1:58)*6-6,))</f>
        <v>88</v>
      </c>
      <c r="BV61" s="29">
        <f ca="1">SUMIF(OFFSET($E$4:$BM$9,ROWS($1:58)*6-6,),BV$2,OFFSET($F$4:$BN$9,ROWS($1:58)*6-6,))</f>
        <v>0</v>
      </c>
      <c r="BW61" s="29">
        <f ca="1">SUMIF(OFFSET($E$4:$BM$9,ROWS($1:58)*6-6,),BW$2,OFFSET($F$4:$BN$9,ROWS($1:58)*6-6,))</f>
        <v>0</v>
      </c>
      <c r="BX61" s="29">
        <f ca="1">SUMIF(OFFSET($E$4:$BM$9,ROWS($1:58)*6-6,),BX$2,OFFSET($F$4:$BN$9,ROWS($1:58)*6-6,))</f>
        <v>0</v>
      </c>
      <c r="BY61" s="29">
        <f ca="1">SUMIF(OFFSET($E$4:$BM$9,ROWS($1:58)*6-6,),BY$2,OFFSET($F$4:$BN$9,ROWS($1:58)*6-6,))</f>
        <v>0</v>
      </c>
      <c r="BZ61" s="29">
        <f ca="1">SUMIF(OFFSET($E$4:$BM$9,ROWS($1:58)*6-6,),BZ$2,OFFSET($F$4:$BN$9,ROWS($1:58)*6-6,))</f>
        <v>0</v>
      </c>
      <c r="CA61" s="29">
        <f ca="1">SUMIF(OFFSET($E$4:$BM$9,ROWS($1:58)*6-6,),CA$2,OFFSET($F$4:$BN$9,ROWS($1:58)*6-6,))</f>
        <v>0</v>
      </c>
      <c r="CB61" s="29">
        <f ca="1">SUMIF(OFFSET($E$4:$BM$9,ROWS($1:58)*6-6,),CB$2,OFFSET($F$4:$BN$9,ROWS($1:58)*6-6,))</f>
        <v>0</v>
      </c>
      <c r="CC61" s="43">
        <f ca="1">SUMIF(OFFSET($E$4:$BM$9,ROWS($1:58)*6-6,),CC$2,OFFSET($F$4:$BN$9,ROWS($1:58)*6-6,))</f>
        <v>0</v>
      </c>
      <c r="CD61" s="44" t="str">
        <f t="shared" si="4"/>
        <v>周惠英</v>
      </c>
      <c r="CE61" s="44">
        <f ca="1">INDEX(FREQUENCY(MMULT({1,1},SUBTOTAL(9,OFFSET($E$1,MATCH($CD61,$C:$C,)+{3;4},INT(COLUMN($A:$AE)*2)-1))),{3.9,7.9,11.9}),COLUMN(B58))</f>
        <v>7</v>
      </c>
      <c r="CF61" s="44">
        <f ca="1">INDEX(FREQUENCY(MMULT({1,1},SUBTOTAL(9,OFFSET($E$1,MATCH($CD61,$C:$C,)+{3;4},INT(COLUMN($A:$AE)*2)-1))),{3.9,7.9,11.9}),COLUMN(C58))</f>
        <v>0</v>
      </c>
      <c r="CG61" s="44">
        <f ca="1">INDEX(FREQUENCY(MMULT({1,1},SUBTOTAL(9,OFFSET($E$1,MATCH($CD61,$C:$C,)+{3;4},INT(COLUMN($A:$AE)*2)-1))),{3.9,7.9,11.9}),COLUMN(D58))</f>
        <v>0</v>
      </c>
    </row>
    <row r="62" spans="1:85" ht="17.25" customHeight="1" x14ac:dyDescent="0.15">
      <c r="A62" s="85"/>
      <c r="B62" s="49"/>
      <c r="C62" s="49"/>
      <c r="D62" s="53" t="s">
        <v>49</v>
      </c>
      <c r="E62" s="14"/>
      <c r="F62" s="14"/>
      <c r="G62" s="14"/>
      <c r="H62" s="14"/>
      <c r="I62" s="14"/>
      <c r="J62" s="14"/>
      <c r="K62" s="14" t="s">
        <v>15</v>
      </c>
      <c r="L62" s="14"/>
      <c r="M62" s="14" t="s">
        <v>15</v>
      </c>
      <c r="N62" s="14"/>
      <c r="O62" s="14" t="s">
        <v>15</v>
      </c>
      <c r="P62" s="14"/>
      <c r="Q62" s="14" t="s">
        <v>15</v>
      </c>
      <c r="R62" s="14"/>
      <c r="S62" s="14"/>
      <c r="T62" s="14"/>
      <c r="U62" s="14" t="s">
        <v>15</v>
      </c>
      <c r="V62" s="14"/>
      <c r="W62" s="14" t="s">
        <v>15</v>
      </c>
      <c r="X62" s="14"/>
      <c r="Y62" s="14" t="s">
        <v>15</v>
      </c>
      <c r="Z62" s="14"/>
      <c r="AA62" s="14" t="s">
        <v>15</v>
      </c>
      <c r="AB62" s="14"/>
      <c r="AC62" s="14" t="s">
        <v>15</v>
      </c>
      <c r="AD62" s="14"/>
      <c r="AE62" s="14" t="s">
        <v>15</v>
      </c>
      <c r="AF62" s="14"/>
      <c r="AG62" s="14"/>
      <c r="AH62" s="14"/>
      <c r="AI62" s="14" t="s">
        <v>15</v>
      </c>
      <c r="AJ62" s="14"/>
      <c r="AK62" s="14" t="s">
        <v>15</v>
      </c>
      <c r="AL62" s="14"/>
      <c r="AM62" s="14" t="s">
        <v>15</v>
      </c>
      <c r="AN62" s="14"/>
      <c r="AO62" s="14" t="s">
        <v>15</v>
      </c>
      <c r="AP62" s="14"/>
      <c r="AQ62" s="14" t="s">
        <v>15</v>
      </c>
      <c r="AR62" s="14"/>
      <c r="AS62" s="14" t="s">
        <v>15</v>
      </c>
      <c r="AT62" s="14"/>
      <c r="AU62" s="14"/>
      <c r="AV62" s="14"/>
      <c r="AW62" s="14" t="s">
        <v>15</v>
      </c>
      <c r="AX62" s="14"/>
      <c r="AY62" s="14" t="s">
        <v>15</v>
      </c>
      <c r="AZ62" s="14"/>
      <c r="BA62" s="14" t="s">
        <v>15</v>
      </c>
      <c r="BB62" s="14"/>
      <c r="BC62" s="14" t="s">
        <v>15</v>
      </c>
      <c r="BD62" s="14"/>
      <c r="BE62" s="14" t="s">
        <v>15</v>
      </c>
      <c r="BF62" s="14"/>
      <c r="BG62" s="14" t="s">
        <v>15</v>
      </c>
      <c r="BH62" s="14"/>
      <c r="BI62" s="14"/>
      <c r="BJ62" s="14"/>
      <c r="BK62" s="14" t="s">
        <v>15</v>
      </c>
      <c r="BL62" s="14"/>
      <c r="BM62" s="14" t="s">
        <v>15</v>
      </c>
      <c r="BN62" s="37"/>
      <c r="BP62" s="27">
        <v>59</v>
      </c>
      <c r="BQ62" s="27" t="s">
        <v>126</v>
      </c>
      <c r="BR62" s="29">
        <f ca="1">SUMIF(OFFSET($E$4:$BM$9,ROWS($1:59)*6-6,),BR$2,OFFSET($F$4:$BN$9,ROWS($1:59)*6-6,))</f>
        <v>136</v>
      </c>
      <c r="BS62" s="29">
        <f ca="1">SUMIF(OFFSET($E$4:$BM$9,ROWS($1:59)*6-6,),BS$2,OFFSET($F$4:$BN$9,ROWS($1:59)*6-6,))</f>
        <v>47.5</v>
      </c>
      <c r="BT62" s="29">
        <f ca="1">SUMIF(OFFSET($E$4:$BM$9,ROWS($1:59)*6-6,),BT$2,OFFSET($F$4:$BN$9,ROWS($1:59)*6-6,))</f>
        <v>16</v>
      </c>
      <c r="BU62" s="29">
        <f ca="1">SUMIF(OFFSET($E$4:$BM$9,ROWS($1:59)*6-6,),BU$2,OFFSET($F$4:$BN$9,ROWS($1:59)*6-6,))</f>
        <v>0</v>
      </c>
      <c r="BV62" s="29">
        <f ca="1">SUMIF(OFFSET($E$4:$BM$9,ROWS($1:59)*6-6,),BV$2,OFFSET($F$4:$BN$9,ROWS($1:59)*6-6,))</f>
        <v>24</v>
      </c>
      <c r="BW62" s="29">
        <f ca="1">SUMIF(OFFSET($E$4:$BM$9,ROWS($1:59)*6-6,),BW$2,OFFSET($F$4:$BN$9,ROWS($1:59)*6-6,))</f>
        <v>0</v>
      </c>
      <c r="BX62" s="29">
        <f ca="1">SUMIF(OFFSET($E$4:$BM$9,ROWS($1:59)*6-6,),BX$2,OFFSET($F$4:$BN$9,ROWS($1:59)*6-6,))</f>
        <v>0</v>
      </c>
      <c r="BY62" s="29">
        <f ca="1">SUMIF(OFFSET($E$4:$BM$9,ROWS($1:59)*6-6,),BY$2,OFFSET($F$4:$BN$9,ROWS($1:59)*6-6,))</f>
        <v>0</v>
      </c>
      <c r="BZ62" s="29">
        <f ca="1">SUMIF(OFFSET($E$4:$BM$9,ROWS($1:59)*6-6,),BZ$2,OFFSET($F$4:$BN$9,ROWS($1:59)*6-6,))</f>
        <v>0</v>
      </c>
      <c r="CA62" s="29">
        <f ca="1">SUMIF(OFFSET($E$4:$BM$9,ROWS($1:59)*6-6,),CA$2,OFFSET($F$4:$BN$9,ROWS($1:59)*6-6,))</f>
        <v>0</v>
      </c>
      <c r="CB62" s="29">
        <f ca="1">SUMIF(OFFSET($E$4:$BM$9,ROWS($1:59)*6-6,),CB$2,OFFSET($F$4:$BN$9,ROWS($1:59)*6-6,))</f>
        <v>0</v>
      </c>
      <c r="CC62" s="43">
        <f ca="1">SUMIF(OFFSET($E$4:$BM$9,ROWS($1:59)*6-6,),CC$2,OFFSET($F$4:$BN$9,ROWS($1:59)*6-6,))</f>
        <v>0</v>
      </c>
      <c r="CD62" s="44" t="str">
        <f t="shared" si="4"/>
        <v>诺顺芳</v>
      </c>
      <c r="CE62" s="44">
        <f ca="1">INDEX(FREQUENCY(MMULT({1,1},SUBTOTAL(9,OFFSET($E$1,MATCH($CD62,$C:$C,)+{3;4},INT(COLUMN($A:$AE)*2)-1))),{3.9,7.9,11.9}),COLUMN(B59))</f>
        <v>9</v>
      </c>
      <c r="CF62" s="44">
        <f ca="1">INDEX(FREQUENCY(MMULT({1,1},SUBTOTAL(9,OFFSET($E$1,MATCH($CD62,$C:$C,)+{3;4},INT(COLUMN($A:$AE)*2)-1))),{3.9,7.9,11.9}),COLUMN(C59))</f>
        <v>0</v>
      </c>
      <c r="CG62" s="44">
        <f ca="1">INDEX(FREQUENCY(MMULT({1,1},SUBTOTAL(9,OFFSET($E$1,MATCH($CD62,$C:$C,)+{3;4},INT(COLUMN($A:$AE)*2)-1))),{3.9,7.9,11.9}),COLUMN(D59))</f>
        <v>0</v>
      </c>
    </row>
    <row r="63" spans="1:85" ht="17.25" customHeight="1" thickBot="1" x14ac:dyDescent="0.2">
      <c r="A63" s="86"/>
      <c r="B63" s="50"/>
      <c r="C63" s="50"/>
      <c r="D63" s="54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38"/>
      <c r="BP63" s="27">
        <v>60</v>
      </c>
      <c r="BQ63" s="27" t="s">
        <v>127</v>
      </c>
      <c r="BR63" s="29">
        <f ca="1">SUMIF(OFFSET($E$4:$BM$9,ROWS($1:60)*6-6,),BR$2,OFFSET($F$4:$BN$9,ROWS($1:60)*6-6,))</f>
        <v>136</v>
      </c>
      <c r="BS63" s="29">
        <f ca="1">SUMIF(OFFSET($E$4:$BM$9,ROWS($1:60)*6-6,),BS$2,OFFSET($F$4:$BN$9,ROWS($1:60)*6-6,))</f>
        <v>47.5</v>
      </c>
      <c r="BT63" s="29">
        <f ca="1">SUMIF(OFFSET($E$4:$BM$9,ROWS($1:60)*6-6,),BT$2,OFFSET($F$4:$BN$9,ROWS($1:60)*6-6,))</f>
        <v>16</v>
      </c>
      <c r="BU63" s="29">
        <f ca="1">SUMIF(OFFSET($E$4:$BM$9,ROWS($1:60)*6-6,),BU$2,OFFSET($F$4:$BN$9,ROWS($1:60)*6-6,))</f>
        <v>0</v>
      </c>
      <c r="BV63" s="29">
        <f ca="1">SUMIF(OFFSET($E$4:$BM$9,ROWS($1:60)*6-6,),BV$2,OFFSET($F$4:$BN$9,ROWS($1:60)*6-6,))</f>
        <v>24</v>
      </c>
      <c r="BW63" s="29">
        <f ca="1">SUMIF(OFFSET($E$4:$BM$9,ROWS($1:60)*6-6,),BW$2,OFFSET($F$4:$BN$9,ROWS($1:60)*6-6,))</f>
        <v>0</v>
      </c>
      <c r="BX63" s="29">
        <f ca="1">SUMIF(OFFSET($E$4:$BM$9,ROWS($1:60)*6-6,),BX$2,OFFSET($F$4:$BN$9,ROWS($1:60)*6-6,))</f>
        <v>0</v>
      </c>
      <c r="BY63" s="29">
        <f ca="1">SUMIF(OFFSET($E$4:$BM$9,ROWS($1:60)*6-6,),BY$2,OFFSET($F$4:$BN$9,ROWS($1:60)*6-6,))</f>
        <v>0</v>
      </c>
      <c r="BZ63" s="29">
        <f ca="1">SUMIF(OFFSET($E$4:$BM$9,ROWS($1:60)*6-6,),BZ$2,OFFSET($F$4:$BN$9,ROWS($1:60)*6-6,))</f>
        <v>0</v>
      </c>
      <c r="CA63" s="29">
        <f ca="1">SUMIF(OFFSET($E$4:$BM$9,ROWS($1:60)*6-6,),CA$2,OFFSET($F$4:$BN$9,ROWS($1:60)*6-6,))</f>
        <v>0</v>
      </c>
      <c r="CB63" s="29">
        <f ca="1">SUMIF(OFFSET($E$4:$BM$9,ROWS($1:60)*6-6,),CB$2,OFFSET($F$4:$BN$9,ROWS($1:60)*6-6,))</f>
        <v>0</v>
      </c>
      <c r="CC63" s="43">
        <f ca="1">SUMIF(OFFSET($E$4:$BM$9,ROWS($1:60)*6-6,),CC$2,OFFSET($F$4:$BN$9,ROWS($1:60)*6-6,))</f>
        <v>0</v>
      </c>
      <c r="CD63" s="44" t="str">
        <f t="shared" si="4"/>
        <v>奎凤英</v>
      </c>
      <c r="CE63" s="44">
        <f ca="1">INDEX(FREQUENCY(MMULT({1,1},SUBTOTAL(9,OFFSET($E$1,MATCH($CD63,$C:$C,)+{3;4},INT(COLUMN($A:$AE)*2)-1))),{3.9,7.9,11.9}),COLUMN(B60))</f>
        <v>9</v>
      </c>
      <c r="CF63" s="44">
        <f ca="1">INDEX(FREQUENCY(MMULT({1,1},SUBTOTAL(9,OFFSET($E$1,MATCH($CD63,$C:$C,)+{3;4},INT(COLUMN($A:$AE)*2)-1))),{3.9,7.9,11.9}),COLUMN(C60))</f>
        <v>0</v>
      </c>
      <c r="CG63" s="44">
        <f ca="1">INDEX(FREQUENCY(MMULT({1,1},SUBTOTAL(9,OFFSET($E$1,MATCH($CD63,$C:$C,)+{3;4},INT(COLUMN($A:$AE)*2)-1))),{3.9,7.9,11.9}),COLUMN(D60))</f>
        <v>0</v>
      </c>
    </row>
    <row r="64" spans="1:85" ht="17.25" customHeight="1" x14ac:dyDescent="0.15">
      <c r="A64" s="84" t="s">
        <v>89</v>
      </c>
      <c r="B64" s="48" t="s">
        <v>107</v>
      </c>
      <c r="C64" s="48" t="s">
        <v>94</v>
      </c>
      <c r="D64" s="51" t="s">
        <v>45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14</v>
      </c>
      <c r="V64" s="11">
        <v>2</v>
      </c>
      <c r="W64" s="11" t="s">
        <v>14</v>
      </c>
      <c r="X64" s="11">
        <v>2</v>
      </c>
      <c r="Y64" s="11" t="s">
        <v>14</v>
      </c>
      <c r="Z64" s="11">
        <v>2</v>
      </c>
      <c r="AA64" s="11" t="s">
        <v>14</v>
      </c>
      <c r="AB64" s="11">
        <v>2</v>
      </c>
      <c r="AC64" s="11" t="s">
        <v>14</v>
      </c>
      <c r="AD64" s="11">
        <v>2</v>
      </c>
      <c r="AE64" s="11" t="s">
        <v>14</v>
      </c>
      <c r="AF64" s="11">
        <v>2</v>
      </c>
      <c r="AG64" s="11"/>
      <c r="AH64" s="11"/>
      <c r="AI64" s="11" t="s">
        <v>14</v>
      </c>
      <c r="AJ64" s="11">
        <v>2</v>
      </c>
      <c r="AK64" s="11" t="s">
        <v>14</v>
      </c>
      <c r="AL64" s="11">
        <v>2</v>
      </c>
      <c r="AM64" s="11" t="s">
        <v>14</v>
      </c>
      <c r="AN64" s="11">
        <v>2</v>
      </c>
      <c r="AO64" s="11" t="s">
        <v>14</v>
      </c>
      <c r="AP64" s="11">
        <v>2</v>
      </c>
      <c r="AQ64" s="11" t="s">
        <v>14</v>
      </c>
      <c r="AR64" s="11">
        <v>2</v>
      </c>
      <c r="AS64" s="11" t="s">
        <v>14</v>
      </c>
      <c r="AT64" s="11">
        <v>2</v>
      </c>
      <c r="AU64" s="11"/>
      <c r="AV64" s="11"/>
      <c r="AW64" s="11" t="s">
        <v>14</v>
      </c>
      <c r="AX64" s="11">
        <v>2</v>
      </c>
      <c r="AY64" s="11" t="s">
        <v>14</v>
      </c>
      <c r="AZ64" s="11">
        <v>2</v>
      </c>
      <c r="BA64" s="11" t="s">
        <v>14</v>
      </c>
      <c r="BB64" s="11">
        <v>2</v>
      </c>
      <c r="BC64" s="11" t="s">
        <v>14</v>
      </c>
      <c r="BD64" s="11">
        <v>2</v>
      </c>
      <c r="BE64" s="11" t="s">
        <v>14</v>
      </c>
      <c r="BF64" s="11">
        <v>2</v>
      </c>
      <c r="BG64" s="11" t="s">
        <v>14</v>
      </c>
      <c r="BH64" s="11">
        <v>2</v>
      </c>
      <c r="BI64" s="11" t="s">
        <v>16</v>
      </c>
      <c r="BJ64" s="11">
        <v>2</v>
      </c>
      <c r="BK64" s="11" t="s">
        <v>14</v>
      </c>
      <c r="BL64" s="11">
        <v>2</v>
      </c>
      <c r="BM64" s="11" t="s">
        <v>14</v>
      </c>
      <c r="BN64" s="34">
        <v>2</v>
      </c>
      <c r="BP64" s="27">
        <v>61</v>
      </c>
      <c r="BQ64" s="27" t="s">
        <v>128</v>
      </c>
      <c r="BR64" s="29">
        <f ca="1">SUMIF(OFFSET($E$4:$BM$9,ROWS($1:61)*6-6,),BR$2,OFFSET($F$4:$BN$9,ROWS($1:61)*6-6,))</f>
        <v>136</v>
      </c>
      <c r="BS64" s="29">
        <f ca="1">SUMIF(OFFSET($E$4:$BM$9,ROWS($1:61)*6-6,),BS$2,OFFSET($F$4:$BN$9,ROWS($1:61)*6-6,))</f>
        <v>47.5</v>
      </c>
      <c r="BT64" s="29">
        <f ca="1">SUMIF(OFFSET($E$4:$BM$9,ROWS($1:61)*6-6,),BT$2,OFFSET($F$4:$BN$9,ROWS($1:61)*6-6,))</f>
        <v>16</v>
      </c>
      <c r="BU64" s="29">
        <f ca="1">SUMIF(OFFSET($E$4:$BM$9,ROWS($1:61)*6-6,),BU$2,OFFSET($F$4:$BN$9,ROWS($1:61)*6-6,))</f>
        <v>0</v>
      </c>
      <c r="BV64" s="29">
        <f ca="1">SUMIF(OFFSET($E$4:$BM$9,ROWS($1:61)*6-6,),BV$2,OFFSET($F$4:$BN$9,ROWS($1:61)*6-6,))</f>
        <v>24</v>
      </c>
      <c r="BW64" s="29">
        <f ca="1">SUMIF(OFFSET($E$4:$BM$9,ROWS($1:61)*6-6,),BW$2,OFFSET($F$4:$BN$9,ROWS($1:61)*6-6,))</f>
        <v>0</v>
      </c>
      <c r="BX64" s="29">
        <f ca="1">SUMIF(OFFSET($E$4:$BM$9,ROWS($1:61)*6-6,),BX$2,OFFSET($F$4:$BN$9,ROWS($1:61)*6-6,))</f>
        <v>0</v>
      </c>
      <c r="BY64" s="29">
        <f ca="1">SUMIF(OFFSET($E$4:$BM$9,ROWS($1:61)*6-6,),BY$2,OFFSET($F$4:$BN$9,ROWS($1:61)*6-6,))</f>
        <v>0</v>
      </c>
      <c r="BZ64" s="29">
        <f ca="1">SUMIF(OFFSET($E$4:$BM$9,ROWS($1:61)*6-6,),BZ$2,OFFSET($F$4:$BN$9,ROWS($1:61)*6-6,))</f>
        <v>0</v>
      </c>
      <c r="CA64" s="29">
        <f ca="1">SUMIF(OFFSET($E$4:$BM$9,ROWS($1:61)*6-6,),CA$2,OFFSET($F$4:$BN$9,ROWS($1:61)*6-6,))</f>
        <v>0</v>
      </c>
      <c r="CB64" s="29">
        <f ca="1">SUMIF(OFFSET($E$4:$BM$9,ROWS($1:61)*6-6,),CB$2,OFFSET($F$4:$BN$9,ROWS($1:61)*6-6,))</f>
        <v>0</v>
      </c>
      <c r="CC64" s="43">
        <f ca="1">SUMIF(OFFSET($E$4:$BM$9,ROWS($1:61)*6-6,),CC$2,OFFSET($F$4:$BN$9,ROWS($1:61)*6-6,))</f>
        <v>0</v>
      </c>
      <c r="CD64" s="44" t="str">
        <f t="shared" si="3"/>
        <v>谭周香</v>
      </c>
      <c r="CE64" s="44">
        <f ca="1">INDEX(FREQUENCY(MMULT({1,1},SUBTOTAL(9,OFFSET($E$1,MATCH($CD64,$C:$C,)+{3;4},INT(COLUMN($A:$AE)*2)-1))),{3.9,7.9,11.9}),COLUMN(B43))</f>
        <v>9</v>
      </c>
      <c r="CF64" s="44">
        <f ca="1">INDEX(FREQUENCY(MMULT({1,1},SUBTOTAL(9,OFFSET($E$1,MATCH($CD64,$C:$C,)+{3;4},INT(COLUMN($A:$AE)*2)-1))),{3.9,7.9,11.9}),COLUMN(C43))</f>
        <v>0</v>
      </c>
      <c r="CG64" s="44">
        <f ca="1">INDEX(FREQUENCY(MMULT({1,1},SUBTOTAL(9,OFFSET($E$1,MATCH($CD64,$C:$C,)+{3;4},INT(COLUMN($A:$AE)*2)-1))),{3.9,7.9,11.9}),COLUMN(D43))</f>
        <v>0</v>
      </c>
    </row>
    <row r="65" spans="1:85" ht="17.25" customHeight="1" x14ac:dyDescent="0.15">
      <c r="A65" s="85"/>
      <c r="B65" s="49"/>
      <c r="C65" s="49"/>
      <c r="D65" s="5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 t="s">
        <v>14</v>
      </c>
      <c r="V65" s="12">
        <v>2</v>
      </c>
      <c r="W65" s="12" t="s">
        <v>14</v>
      </c>
      <c r="X65" s="12">
        <v>2</v>
      </c>
      <c r="Y65" s="12" t="s">
        <v>14</v>
      </c>
      <c r="Z65" s="12">
        <v>2</v>
      </c>
      <c r="AA65" s="12" t="s">
        <v>14</v>
      </c>
      <c r="AB65" s="12">
        <v>2</v>
      </c>
      <c r="AC65" s="12" t="s">
        <v>14</v>
      </c>
      <c r="AD65" s="12">
        <v>2</v>
      </c>
      <c r="AE65" s="12" t="s">
        <v>14</v>
      </c>
      <c r="AF65" s="12">
        <v>2</v>
      </c>
      <c r="AG65" s="12"/>
      <c r="AH65" s="12"/>
      <c r="AI65" s="12" t="s">
        <v>14</v>
      </c>
      <c r="AJ65" s="12">
        <v>2</v>
      </c>
      <c r="AK65" s="12" t="s">
        <v>14</v>
      </c>
      <c r="AL65" s="12">
        <v>2</v>
      </c>
      <c r="AM65" s="12" t="s">
        <v>14</v>
      </c>
      <c r="AN65" s="12">
        <v>2</v>
      </c>
      <c r="AO65" s="12" t="s">
        <v>14</v>
      </c>
      <c r="AP65" s="12">
        <v>2</v>
      </c>
      <c r="AQ65" s="12" t="s">
        <v>14</v>
      </c>
      <c r="AR65" s="12">
        <v>2</v>
      </c>
      <c r="AS65" s="12" t="s">
        <v>14</v>
      </c>
      <c r="AT65" s="12">
        <v>2</v>
      </c>
      <c r="AU65" s="12"/>
      <c r="AV65" s="12"/>
      <c r="AW65" s="12" t="s">
        <v>14</v>
      </c>
      <c r="AX65" s="12">
        <v>2</v>
      </c>
      <c r="AY65" s="12" t="s">
        <v>14</v>
      </c>
      <c r="AZ65" s="12">
        <v>2</v>
      </c>
      <c r="BA65" s="12" t="s">
        <v>14</v>
      </c>
      <c r="BB65" s="12">
        <v>2</v>
      </c>
      <c r="BC65" s="12" t="s">
        <v>14</v>
      </c>
      <c r="BD65" s="12">
        <v>2</v>
      </c>
      <c r="BE65" s="12" t="s">
        <v>14</v>
      </c>
      <c r="BF65" s="12">
        <v>2</v>
      </c>
      <c r="BG65" s="12" t="s">
        <v>14</v>
      </c>
      <c r="BH65" s="12">
        <v>2</v>
      </c>
      <c r="BI65" s="12" t="s">
        <v>16</v>
      </c>
      <c r="BJ65" s="12">
        <v>2</v>
      </c>
      <c r="BK65" s="12" t="s">
        <v>14</v>
      </c>
      <c r="BL65" s="12">
        <v>2</v>
      </c>
      <c r="BM65" s="12" t="s">
        <v>14</v>
      </c>
      <c r="BN65" s="35">
        <v>2</v>
      </c>
      <c r="BP65" s="27">
        <v>62</v>
      </c>
      <c r="BQ65" s="27" t="s">
        <v>129</v>
      </c>
      <c r="BR65" s="29">
        <f ca="1">SUMIF(OFFSET($E$4:$BM$9,ROWS($1:62)*6-6,),BR$2,OFFSET($F$4:$BN$9,ROWS($1:62)*6-6,))</f>
        <v>136</v>
      </c>
      <c r="BS65" s="29">
        <f ca="1">SUMIF(OFFSET($E$4:$BM$9,ROWS($1:62)*6-6,),BS$2,OFFSET($F$4:$BN$9,ROWS($1:62)*6-6,))</f>
        <v>43.5</v>
      </c>
      <c r="BT65" s="29">
        <f ca="1">SUMIF(OFFSET($E$4:$BM$9,ROWS($1:62)*6-6,),BT$2,OFFSET($F$4:$BN$9,ROWS($1:62)*6-6,))</f>
        <v>16</v>
      </c>
      <c r="BU65" s="29">
        <f ca="1">SUMIF(OFFSET($E$4:$BM$9,ROWS($1:62)*6-6,),BU$2,OFFSET($F$4:$BN$9,ROWS($1:62)*6-6,))</f>
        <v>0</v>
      </c>
      <c r="BV65" s="29">
        <f ca="1">SUMIF(OFFSET($E$4:$BM$9,ROWS($1:62)*6-6,),BV$2,OFFSET($F$4:$BN$9,ROWS($1:62)*6-6,))</f>
        <v>24</v>
      </c>
      <c r="BW65" s="29">
        <f ca="1">SUMIF(OFFSET($E$4:$BM$9,ROWS($1:62)*6-6,),BW$2,OFFSET($F$4:$BN$9,ROWS($1:62)*6-6,))</f>
        <v>0</v>
      </c>
      <c r="BX65" s="29">
        <f ca="1">SUMIF(OFFSET($E$4:$BM$9,ROWS($1:62)*6-6,),BX$2,OFFSET($F$4:$BN$9,ROWS($1:62)*6-6,))</f>
        <v>0</v>
      </c>
      <c r="BY65" s="29">
        <f ca="1">SUMIF(OFFSET($E$4:$BM$9,ROWS($1:62)*6-6,),BY$2,OFFSET($F$4:$BN$9,ROWS($1:62)*6-6,))</f>
        <v>0</v>
      </c>
      <c r="BZ65" s="29">
        <f ca="1">SUMIF(OFFSET($E$4:$BM$9,ROWS($1:62)*6-6,),BZ$2,OFFSET($F$4:$BN$9,ROWS($1:62)*6-6,))</f>
        <v>0</v>
      </c>
      <c r="CA65" s="29">
        <f ca="1">SUMIF(OFFSET($E$4:$BM$9,ROWS($1:62)*6-6,),CA$2,OFFSET($F$4:$BN$9,ROWS($1:62)*6-6,))</f>
        <v>0</v>
      </c>
      <c r="CB65" s="29">
        <f ca="1">SUMIF(OFFSET($E$4:$BM$9,ROWS($1:62)*6-6,),CB$2,OFFSET($F$4:$BN$9,ROWS($1:62)*6-6,))</f>
        <v>0</v>
      </c>
      <c r="CC65" s="43">
        <f ca="1">SUMIF(OFFSET($E$4:$BM$9,ROWS($1:62)*6-6,),CC$2,OFFSET($F$4:$BN$9,ROWS($1:62)*6-6,))</f>
        <v>0</v>
      </c>
      <c r="CD65" s="44" t="str">
        <f t="shared" si="3"/>
        <v>卢朝琴</v>
      </c>
      <c r="CE65" s="44">
        <f ca="1">INDEX(FREQUENCY(MMULT({1,1},SUBTOTAL(9,OFFSET($E$1,MATCH($CD65,$C:$C,)+{3;4},INT(COLUMN($A:$AE)*2)-1))),{3.9,7.9,11.9}),COLUMN(B44))</f>
        <v>8</v>
      </c>
      <c r="CF65" s="44">
        <f ca="1">INDEX(FREQUENCY(MMULT({1,1},SUBTOTAL(9,OFFSET($E$1,MATCH($CD65,$C:$C,)+{3;4},INT(COLUMN($A:$AE)*2)-1))),{3.9,7.9,11.9}),COLUMN(C44))</f>
        <v>0</v>
      </c>
      <c r="CG65" s="44">
        <f ca="1">INDEX(FREQUENCY(MMULT({1,1},SUBTOTAL(9,OFFSET($E$1,MATCH($CD65,$C:$C,)+{3;4},INT(COLUMN($A:$AE)*2)-1))),{3.9,7.9,11.9}),COLUMN(D44))</f>
        <v>0</v>
      </c>
    </row>
    <row r="66" spans="1:85" ht="17.25" customHeight="1" x14ac:dyDescent="0.15">
      <c r="A66" s="85"/>
      <c r="B66" s="49"/>
      <c r="C66" s="49"/>
      <c r="D66" s="53" t="s">
        <v>47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 t="s">
        <v>14</v>
      </c>
      <c r="V66" s="13">
        <v>2</v>
      </c>
      <c r="W66" s="13" t="s">
        <v>14</v>
      </c>
      <c r="X66" s="13">
        <v>2</v>
      </c>
      <c r="Y66" s="13" t="s">
        <v>14</v>
      </c>
      <c r="Z66" s="13">
        <v>2</v>
      </c>
      <c r="AA66" s="13" t="s">
        <v>14</v>
      </c>
      <c r="AB66" s="13">
        <v>2</v>
      </c>
      <c r="AC66" s="13" t="s">
        <v>14</v>
      </c>
      <c r="AD66" s="13">
        <v>2</v>
      </c>
      <c r="AE66" s="13" t="s">
        <v>14</v>
      </c>
      <c r="AF66" s="13">
        <v>2</v>
      </c>
      <c r="AG66" s="13"/>
      <c r="AH66" s="13"/>
      <c r="AI66" s="13" t="s">
        <v>14</v>
      </c>
      <c r="AJ66" s="13">
        <v>2</v>
      </c>
      <c r="AK66" s="13" t="s">
        <v>14</v>
      </c>
      <c r="AL66" s="13">
        <v>2</v>
      </c>
      <c r="AM66" s="13" t="s">
        <v>14</v>
      </c>
      <c r="AN66" s="13">
        <v>2</v>
      </c>
      <c r="AO66" s="13" t="s">
        <v>14</v>
      </c>
      <c r="AP66" s="13">
        <v>2</v>
      </c>
      <c r="AQ66" s="13" t="s">
        <v>14</v>
      </c>
      <c r="AR66" s="13">
        <v>2</v>
      </c>
      <c r="AS66" s="13" t="s">
        <v>14</v>
      </c>
      <c r="AT66" s="13">
        <v>2</v>
      </c>
      <c r="AU66" s="13"/>
      <c r="AV66" s="13"/>
      <c r="AW66" s="13" t="s">
        <v>14</v>
      </c>
      <c r="AX66" s="13">
        <v>2</v>
      </c>
      <c r="AY66" s="13" t="s">
        <v>14</v>
      </c>
      <c r="AZ66" s="13">
        <v>2</v>
      </c>
      <c r="BA66" s="13" t="s">
        <v>14</v>
      </c>
      <c r="BB66" s="13">
        <v>2</v>
      </c>
      <c r="BC66" s="13" t="s">
        <v>14</v>
      </c>
      <c r="BD66" s="13">
        <v>2</v>
      </c>
      <c r="BE66" s="13" t="s">
        <v>14</v>
      </c>
      <c r="BF66" s="13">
        <v>2</v>
      </c>
      <c r="BG66" s="13" t="s">
        <v>14</v>
      </c>
      <c r="BH66" s="13">
        <v>2</v>
      </c>
      <c r="BI66" s="13" t="s">
        <v>16</v>
      </c>
      <c r="BJ66" s="13">
        <v>2</v>
      </c>
      <c r="BK66" s="13" t="s">
        <v>14</v>
      </c>
      <c r="BL66" s="13">
        <v>2</v>
      </c>
      <c r="BM66" s="13" t="s">
        <v>14</v>
      </c>
      <c r="BN66" s="36">
        <v>2</v>
      </c>
      <c r="BP66" s="27">
        <v>63</v>
      </c>
      <c r="BQ66" s="27" t="s">
        <v>130</v>
      </c>
      <c r="BR66" s="29">
        <f ca="1">SUMIF(OFFSET($E$4:$BM$9,ROWS($1:63)*6-6,),BR$2,OFFSET($F$4:$BN$9,ROWS($1:63)*6-6,))</f>
        <v>96</v>
      </c>
      <c r="BS66" s="29">
        <f ca="1">SUMIF(OFFSET($E$4:$BM$9,ROWS($1:63)*6-6,),BS$2,OFFSET($F$4:$BN$9,ROWS($1:63)*6-6,))</f>
        <v>43.5</v>
      </c>
      <c r="BT66" s="29">
        <f ca="1">SUMIF(OFFSET($E$4:$BM$9,ROWS($1:63)*6-6,),BT$2,OFFSET($F$4:$BN$9,ROWS($1:63)*6-6,))</f>
        <v>16</v>
      </c>
      <c r="BU66" s="29">
        <f ca="1">SUMIF(OFFSET($E$4:$BM$9,ROWS($1:63)*6-6,),BU$2,OFFSET($F$4:$BN$9,ROWS($1:63)*6-6,))</f>
        <v>64</v>
      </c>
      <c r="BV66" s="29">
        <f ca="1">SUMIF(OFFSET($E$4:$BM$9,ROWS($1:63)*6-6,),BV$2,OFFSET($F$4:$BN$9,ROWS($1:63)*6-6,))</f>
        <v>0</v>
      </c>
      <c r="BW66" s="29">
        <f ca="1">SUMIF(OFFSET($E$4:$BM$9,ROWS($1:63)*6-6,),BW$2,OFFSET($F$4:$BN$9,ROWS($1:63)*6-6,))</f>
        <v>0</v>
      </c>
      <c r="BX66" s="29">
        <f ca="1">SUMIF(OFFSET($E$4:$BM$9,ROWS($1:63)*6-6,),BX$2,OFFSET($F$4:$BN$9,ROWS($1:63)*6-6,))</f>
        <v>0</v>
      </c>
      <c r="BY66" s="29">
        <f ca="1">SUMIF(OFFSET($E$4:$BM$9,ROWS($1:63)*6-6,),BY$2,OFFSET($F$4:$BN$9,ROWS($1:63)*6-6,))</f>
        <v>0</v>
      </c>
      <c r="BZ66" s="29">
        <f ca="1">SUMIF(OFFSET($E$4:$BM$9,ROWS($1:63)*6-6,),BZ$2,OFFSET($F$4:$BN$9,ROWS($1:63)*6-6,))</f>
        <v>0</v>
      </c>
      <c r="CA66" s="29">
        <f ca="1">SUMIF(OFFSET($E$4:$BM$9,ROWS($1:63)*6-6,),CA$2,OFFSET($F$4:$BN$9,ROWS($1:63)*6-6,))</f>
        <v>0</v>
      </c>
      <c r="CB66" s="29">
        <f ca="1">SUMIF(OFFSET($E$4:$BM$9,ROWS($1:63)*6-6,),CB$2,OFFSET($F$4:$BN$9,ROWS($1:63)*6-6,))</f>
        <v>0</v>
      </c>
      <c r="CC66" s="43">
        <f ca="1">SUMIF(OFFSET($E$4:$BM$9,ROWS($1:63)*6-6,),CC$2,OFFSET($F$4:$BN$9,ROWS($1:63)*6-6,))</f>
        <v>0</v>
      </c>
      <c r="CD66" s="44" t="str">
        <f t="shared" si="3"/>
        <v>余润花</v>
      </c>
      <c r="CE66" s="44">
        <f ca="1">INDEX(FREQUENCY(MMULT({1,1},SUBTOTAL(9,OFFSET($E$1,MATCH($CD66,$C:$C,)+{3;4},INT(COLUMN($A:$AE)*2)-1))),{3.9,7.9,11.9}),COLUMN(B45))</f>
        <v>8</v>
      </c>
      <c r="CF66" s="44">
        <f ca="1">INDEX(FREQUENCY(MMULT({1,1},SUBTOTAL(9,OFFSET($E$1,MATCH($CD66,$C:$C,)+{3;4},INT(COLUMN($A:$AE)*2)-1))),{3.9,7.9,11.9}),COLUMN(C45))</f>
        <v>0</v>
      </c>
      <c r="CG66" s="44">
        <f ca="1">INDEX(FREQUENCY(MMULT({1,1},SUBTOTAL(9,OFFSET($E$1,MATCH($CD66,$C:$C,)+{3;4},INT(COLUMN($A:$AE)*2)-1))),{3.9,7.9,11.9}),COLUMN(D45))</f>
        <v>0</v>
      </c>
    </row>
    <row r="67" spans="1:85" ht="17.25" customHeight="1" x14ac:dyDescent="0.15">
      <c r="A67" s="85"/>
      <c r="B67" s="49"/>
      <c r="C67" s="49"/>
      <c r="D67" s="5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 t="s">
        <v>14</v>
      </c>
      <c r="V67" s="12">
        <v>2</v>
      </c>
      <c r="W67" s="12" t="s">
        <v>14</v>
      </c>
      <c r="X67" s="12">
        <v>2</v>
      </c>
      <c r="Y67" s="12" t="s">
        <v>14</v>
      </c>
      <c r="Z67" s="12">
        <v>2</v>
      </c>
      <c r="AA67" s="12" t="s">
        <v>14</v>
      </c>
      <c r="AB67" s="12">
        <v>2</v>
      </c>
      <c r="AC67" s="12" t="s">
        <v>14</v>
      </c>
      <c r="AD67" s="12">
        <v>2</v>
      </c>
      <c r="AE67" s="12" t="s">
        <v>14</v>
      </c>
      <c r="AF67" s="12">
        <v>2</v>
      </c>
      <c r="AG67" s="12"/>
      <c r="AH67" s="12"/>
      <c r="AI67" s="12" t="s">
        <v>14</v>
      </c>
      <c r="AJ67" s="12">
        <v>2</v>
      </c>
      <c r="AK67" s="12" t="s">
        <v>14</v>
      </c>
      <c r="AL67" s="12">
        <v>2</v>
      </c>
      <c r="AM67" s="12" t="s">
        <v>14</v>
      </c>
      <c r="AN67" s="12">
        <v>2</v>
      </c>
      <c r="AO67" s="12" t="s">
        <v>14</v>
      </c>
      <c r="AP67" s="12">
        <v>2</v>
      </c>
      <c r="AQ67" s="12" t="s">
        <v>14</v>
      </c>
      <c r="AR67" s="12">
        <v>2</v>
      </c>
      <c r="AS67" s="12" t="s">
        <v>14</v>
      </c>
      <c r="AT67" s="12">
        <v>2</v>
      </c>
      <c r="AU67" s="12"/>
      <c r="AV67" s="12"/>
      <c r="AW67" s="12" t="s">
        <v>14</v>
      </c>
      <c r="AX67" s="12">
        <v>2</v>
      </c>
      <c r="AY67" s="12" t="s">
        <v>14</v>
      </c>
      <c r="AZ67" s="12">
        <v>2</v>
      </c>
      <c r="BA67" s="12" t="s">
        <v>14</v>
      </c>
      <c r="BB67" s="12">
        <v>2</v>
      </c>
      <c r="BC67" s="12" t="s">
        <v>14</v>
      </c>
      <c r="BD67" s="12">
        <v>2</v>
      </c>
      <c r="BE67" s="12" t="s">
        <v>14</v>
      </c>
      <c r="BF67" s="12">
        <v>2</v>
      </c>
      <c r="BG67" s="12" t="s">
        <v>14</v>
      </c>
      <c r="BH67" s="12">
        <v>2</v>
      </c>
      <c r="BI67" s="12" t="s">
        <v>16</v>
      </c>
      <c r="BJ67" s="12">
        <v>2</v>
      </c>
      <c r="BK67" s="12" t="s">
        <v>14</v>
      </c>
      <c r="BL67" s="12">
        <v>2</v>
      </c>
      <c r="BM67" s="12" t="s">
        <v>14</v>
      </c>
      <c r="BN67" s="35">
        <v>2</v>
      </c>
      <c r="BP67" s="27">
        <v>64</v>
      </c>
      <c r="BQ67" s="27" t="s">
        <v>131</v>
      </c>
      <c r="BR67" s="29">
        <f ca="1">SUMIF(OFFSET($E$4:$BM$9,ROWS($1:64)*6-6,),BR$2,OFFSET($F$4:$BN$9,ROWS($1:64)*6-6,))</f>
        <v>136</v>
      </c>
      <c r="BS67" s="29">
        <f ca="1">SUMIF(OFFSET($E$4:$BM$9,ROWS($1:64)*6-6,),BS$2,OFFSET($F$4:$BN$9,ROWS($1:64)*6-6,))</f>
        <v>50.5</v>
      </c>
      <c r="BT67" s="29">
        <f ca="1">SUMIF(OFFSET($E$4:$BM$9,ROWS($1:64)*6-6,),BT$2,OFFSET($F$4:$BN$9,ROWS($1:64)*6-6,))</f>
        <v>16</v>
      </c>
      <c r="BU67" s="29">
        <f ca="1">SUMIF(OFFSET($E$4:$BM$9,ROWS($1:64)*6-6,),BU$2,OFFSET($F$4:$BN$9,ROWS($1:64)*6-6,))</f>
        <v>0</v>
      </c>
      <c r="BV67" s="29">
        <f ca="1">SUMIF(OFFSET($E$4:$BM$9,ROWS($1:64)*6-6,),BV$2,OFFSET($F$4:$BN$9,ROWS($1:64)*6-6,))</f>
        <v>24</v>
      </c>
      <c r="BW67" s="29">
        <f ca="1">SUMIF(OFFSET($E$4:$BM$9,ROWS($1:64)*6-6,),BW$2,OFFSET($F$4:$BN$9,ROWS($1:64)*6-6,))</f>
        <v>0</v>
      </c>
      <c r="BX67" s="29">
        <f ca="1">SUMIF(OFFSET($E$4:$BM$9,ROWS($1:64)*6-6,),BX$2,OFFSET($F$4:$BN$9,ROWS($1:64)*6-6,))</f>
        <v>0</v>
      </c>
      <c r="BY67" s="29">
        <f ca="1">SUMIF(OFFSET($E$4:$BM$9,ROWS($1:64)*6-6,),BY$2,OFFSET($F$4:$BN$9,ROWS($1:64)*6-6,))</f>
        <v>0</v>
      </c>
      <c r="BZ67" s="29">
        <f ca="1">SUMIF(OFFSET($E$4:$BM$9,ROWS($1:64)*6-6,),BZ$2,OFFSET($F$4:$BN$9,ROWS($1:64)*6-6,))</f>
        <v>0</v>
      </c>
      <c r="CA67" s="29">
        <f ca="1">SUMIF(OFFSET($E$4:$BM$9,ROWS($1:64)*6-6,),CA$2,OFFSET($F$4:$BN$9,ROWS($1:64)*6-6,))</f>
        <v>0</v>
      </c>
      <c r="CB67" s="29">
        <f ca="1">SUMIF(OFFSET($E$4:$BM$9,ROWS($1:64)*6-6,),CB$2,OFFSET($F$4:$BN$9,ROWS($1:64)*6-6,))</f>
        <v>0</v>
      </c>
      <c r="CC67" s="43">
        <f ca="1">SUMIF(OFFSET($E$4:$BM$9,ROWS($1:64)*6-6,),CC$2,OFFSET($F$4:$BN$9,ROWS($1:64)*6-6,))</f>
        <v>0</v>
      </c>
      <c r="CD67" s="44" t="str">
        <f t="shared" si="3"/>
        <v>王晓连</v>
      </c>
      <c r="CE67" s="44">
        <f ca="1">INDEX(FREQUENCY(MMULT({1,1},SUBTOTAL(9,OFFSET($E$1,MATCH($CD67,$C:$C,)+{3;4},INT(COLUMN($A:$AE)*2)-1))),{3.9,7.9,11.9}),COLUMN(B64))</f>
        <v>9</v>
      </c>
      <c r="CF67" s="44">
        <f ca="1">INDEX(FREQUENCY(MMULT({1,1},SUBTOTAL(9,OFFSET($E$1,MATCH($CD67,$C:$C,)+{3;4},INT(COLUMN($A:$AE)*2)-1))),{3.9,7.9,11.9}),COLUMN(C64))</f>
        <v>0</v>
      </c>
      <c r="CG67" s="44">
        <f ca="1">INDEX(FREQUENCY(MMULT({1,1},SUBTOTAL(9,OFFSET($E$1,MATCH($CD67,$C:$C,)+{3;4},INT(COLUMN($A:$AE)*2)-1))),{3.9,7.9,11.9}),COLUMN(D64))</f>
        <v>0</v>
      </c>
    </row>
    <row r="68" spans="1:85" ht="17.25" customHeight="1" x14ac:dyDescent="0.15">
      <c r="A68" s="85"/>
      <c r="B68" s="49"/>
      <c r="C68" s="49"/>
      <c r="D68" s="53" t="s">
        <v>49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 t="s">
        <v>15</v>
      </c>
      <c r="V68" s="14"/>
      <c r="W68" s="14" t="s">
        <v>15</v>
      </c>
      <c r="X68" s="14">
        <v>3</v>
      </c>
      <c r="Y68" s="14" t="s">
        <v>15</v>
      </c>
      <c r="Z68" s="14">
        <v>3</v>
      </c>
      <c r="AA68" s="14" t="s">
        <v>15</v>
      </c>
      <c r="AB68" s="14">
        <v>3</v>
      </c>
      <c r="AC68" s="14" t="s">
        <v>15</v>
      </c>
      <c r="AD68" s="14">
        <v>3</v>
      </c>
      <c r="AE68" s="14" t="s">
        <v>15</v>
      </c>
      <c r="AF68" s="14"/>
      <c r="AG68" s="14"/>
      <c r="AH68" s="14"/>
      <c r="AI68" s="14" t="s">
        <v>15</v>
      </c>
      <c r="AJ68" s="14">
        <v>1.5</v>
      </c>
      <c r="AK68" s="14" t="s">
        <v>15</v>
      </c>
      <c r="AL68" s="14">
        <v>3</v>
      </c>
      <c r="AM68" s="14" t="s">
        <v>15</v>
      </c>
      <c r="AN68" s="14">
        <v>3</v>
      </c>
      <c r="AO68" s="14" t="s">
        <v>15</v>
      </c>
      <c r="AP68" s="14">
        <v>3</v>
      </c>
      <c r="AQ68" s="14" t="s">
        <v>15</v>
      </c>
      <c r="AR68" s="14">
        <v>3</v>
      </c>
      <c r="AS68" s="14" t="s">
        <v>15</v>
      </c>
      <c r="AT68" s="14"/>
      <c r="AU68" s="14"/>
      <c r="AV68" s="14"/>
      <c r="AW68" s="14" t="s">
        <v>15</v>
      </c>
      <c r="AX68" s="14">
        <v>3</v>
      </c>
      <c r="AY68" s="14" t="s">
        <v>15</v>
      </c>
      <c r="AZ68" s="14">
        <v>4</v>
      </c>
      <c r="BA68" s="14" t="s">
        <v>15</v>
      </c>
      <c r="BB68" s="14">
        <v>3</v>
      </c>
      <c r="BC68" s="14" t="s">
        <v>15</v>
      </c>
      <c r="BD68" s="14">
        <v>3</v>
      </c>
      <c r="BE68" s="14" t="s">
        <v>15</v>
      </c>
      <c r="BF68" s="14">
        <v>4</v>
      </c>
      <c r="BG68" s="14" t="s">
        <v>15</v>
      </c>
      <c r="BH68" s="14">
        <v>4</v>
      </c>
      <c r="BI68" s="14"/>
      <c r="BJ68" s="14"/>
      <c r="BK68" s="14" t="s">
        <v>15</v>
      </c>
      <c r="BL68" s="14">
        <v>3</v>
      </c>
      <c r="BM68" s="14" t="s">
        <v>15</v>
      </c>
      <c r="BN68" s="37">
        <v>3</v>
      </c>
      <c r="BP68" s="27">
        <v>65</v>
      </c>
      <c r="BQ68" s="27" t="s">
        <v>132</v>
      </c>
      <c r="BR68" s="29">
        <f ca="1">SUMIF(OFFSET($E$4:$BM$9,ROWS($1:65)*6-6,),BR$2,OFFSET($F$4:$BN$9,ROWS($1:65)*6-6,))</f>
        <v>136</v>
      </c>
      <c r="BS68" s="29">
        <f ca="1">SUMIF(OFFSET($E$4:$BM$9,ROWS($1:65)*6-6,),BS$2,OFFSET($F$4:$BN$9,ROWS($1:65)*6-6,))</f>
        <v>50.5</v>
      </c>
      <c r="BT68" s="29">
        <f ca="1">SUMIF(OFFSET($E$4:$BM$9,ROWS($1:65)*6-6,),BT$2,OFFSET($F$4:$BN$9,ROWS($1:65)*6-6,))</f>
        <v>16</v>
      </c>
      <c r="BU68" s="29">
        <f ca="1">SUMIF(OFFSET($E$4:$BM$9,ROWS($1:65)*6-6,),BU$2,OFFSET($F$4:$BN$9,ROWS($1:65)*6-6,))</f>
        <v>0</v>
      </c>
      <c r="BV68" s="29">
        <f ca="1">SUMIF(OFFSET($E$4:$BM$9,ROWS($1:65)*6-6,),BV$2,OFFSET($F$4:$BN$9,ROWS($1:65)*6-6,))</f>
        <v>24</v>
      </c>
      <c r="BW68" s="29">
        <f ca="1">SUMIF(OFFSET($E$4:$BM$9,ROWS($1:65)*6-6,),BW$2,OFFSET($F$4:$BN$9,ROWS($1:65)*6-6,))</f>
        <v>0</v>
      </c>
      <c r="BX68" s="29">
        <f ca="1">SUMIF(OFFSET($E$4:$BM$9,ROWS($1:65)*6-6,),BX$2,OFFSET($F$4:$BN$9,ROWS($1:65)*6-6,))</f>
        <v>0</v>
      </c>
      <c r="BY68" s="29">
        <f ca="1">SUMIF(OFFSET($E$4:$BM$9,ROWS($1:65)*6-6,),BY$2,OFFSET($F$4:$BN$9,ROWS($1:65)*6-6,))</f>
        <v>0</v>
      </c>
      <c r="BZ68" s="29">
        <f ca="1">SUMIF(OFFSET($E$4:$BM$9,ROWS($1:65)*6-6,),BZ$2,OFFSET($F$4:$BN$9,ROWS($1:65)*6-6,))</f>
        <v>0</v>
      </c>
      <c r="CA68" s="29">
        <f ca="1">SUMIF(OFFSET($E$4:$BM$9,ROWS($1:65)*6-6,),CA$2,OFFSET($F$4:$BN$9,ROWS($1:65)*6-6,))</f>
        <v>0</v>
      </c>
      <c r="CB68" s="29">
        <f ca="1">SUMIF(OFFSET($E$4:$BM$9,ROWS($1:65)*6-6,),CB$2,OFFSET($F$4:$BN$9,ROWS($1:65)*6-6,))</f>
        <v>0</v>
      </c>
      <c r="CC68" s="43">
        <f ca="1">SUMIF(OFFSET($E$4:$BM$9,ROWS($1:65)*6-6,),CC$2,OFFSET($F$4:$BN$9,ROWS($1:65)*6-6,))</f>
        <v>0</v>
      </c>
      <c r="CD68" s="44" t="str">
        <f t="shared" si="3"/>
        <v>贲贤</v>
      </c>
      <c r="CE68" s="44">
        <f ca="1">INDEX(FREQUENCY(MMULT({1,1},SUBTOTAL(9,OFFSET($E$1,MATCH($CD68,$C:$C,)+{3;4},INT(COLUMN($A:$AE)*2)-1))),{3.9,7.9,11.9}),COLUMN(B65))</f>
        <v>9</v>
      </c>
      <c r="CF68" s="44">
        <f ca="1">INDEX(FREQUENCY(MMULT({1,1},SUBTOTAL(9,OFFSET($E$1,MATCH($CD68,$C:$C,)+{3;4},INT(COLUMN($A:$AE)*2)-1))),{3.9,7.9,11.9}),COLUMN(C65))</f>
        <v>0</v>
      </c>
      <c r="CG68" s="44">
        <f ca="1">INDEX(FREQUENCY(MMULT({1,1},SUBTOTAL(9,OFFSET($E$1,MATCH($CD68,$C:$C,)+{3;4},INT(COLUMN($A:$AE)*2)-1))),{3.9,7.9,11.9}),COLUMN(D65))</f>
        <v>0</v>
      </c>
    </row>
    <row r="69" spans="1:85" ht="17.25" customHeight="1" thickBot="1" x14ac:dyDescent="0.2">
      <c r="A69" s="86"/>
      <c r="B69" s="50"/>
      <c r="C69" s="50"/>
      <c r="D69" s="5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38"/>
      <c r="BP69" s="27">
        <v>66</v>
      </c>
      <c r="BQ69" s="27" t="s">
        <v>70</v>
      </c>
      <c r="BR69" s="29">
        <f ca="1">SUMIF(OFFSET($E$4:$BM$9,ROWS($1:66)*6-6,),BR$2,OFFSET($F$4:$BN$9,ROWS($1:66)*6-6,))</f>
        <v>136</v>
      </c>
      <c r="BS69" s="29">
        <f ca="1">SUMIF(OFFSET($E$4:$BM$9,ROWS($1:66)*6-6,),BS$2,OFFSET($F$4:$BN$9,ROWS($1:66)*6-6,))</f>
        <v>47.5</v>
      </c>
      <c r="BT69" s="29">
        <f ca="1">SUMIF(OFFSET($E$4:$BM$9,ROWS($1:66)*6-6,),BT$2,OFFSET($F$4:$BN$9,ROWS($1:66)*6-6,))</f>
        <v>16</v>
      </c>
      <c r="BU69" s="29">
        <f ca="1">SUMIF(OFFSET($E$4:$BM$9,ROWS($1:66)*6-6,),BU$2,OFFSET($F$4:$BN$9,ROWS($1:66)*6-6,))</f>
        <v>0</v>
      </c>
      <c r="BV69" s="29">
        <f ca="1">SUMIF(OFFSET($E$4:$BM$9,ROWS($1:66)*6-6,),BV$2,OFFSET($F$4:$BN$9,ROWS($1:66)*6-6,))</f>
        <v>24</v>
      </c>
      <c r="BW69" s="29">
        <f ca="1">SUMIF(OFFSET($E$4:$BM$9,ROWS($1:66)*6-6,),BW$2,OFFSET($F$4:$BN$9,ROWS($1:66)*6-6,))</f>
        <v>0</v>
      </c>
      <c r="BX69" s="29">
        <f ca="1">SUMIF(OFFSET($E$4:$BM$9,ROWS($1:66)*6-6,),BX$2,OFFSET($F$4:$BN$9,ROWS($1:66)*6-6,))</f>
        <v>0</v>
      </c>
      <c r="BY69" s="29">
        <f ca="1">SUMIF(OFFSET($E$4:$BM$9,ROWS($1:66)*6-6,),BY$2,OFFSET($F$4:$BN$9,ROWS($1:66)*6-6,))</f>
        <v>0</v>
      </c>
      <c r="BZ69" s="29">
        <f ca="1">SUMIF(OFFSET($E$4:$BM$9,ROWS($1:66)*6-6,),BZ$2,OFFSET($F$4:$BN$9,ROWS($1:66)*6-6,))</f>
        <v>0</v>
      </c>
      <c r="CA69" s="29">
        <f ca="1">SUMIF(OFFSET($E$4:$BM$9,ROWS($1:66)*6-6,),CA$2,OFFSET($F$4:$BN$9,ROWS($1:66)*6-6,))</f>
        <v>0</v>
      </c>
      <c r="CB69" s="29">
        <f ca="1">SUMIF(OFFSET($E$4:$BM$9,ROWS($1:66)*6-6,),CB$2,OFFSET($F$4:$BN$9,ROWS($1:66)*6-6,))</f>
        <v>0</v>
      </c>
      <c r="CC69" s="43">
        <f ca="1">SUMIF(OFFSET($E$4:$BM$9,ROWS($1:66)*6-6,),CC$2,OFFSET($F$4:$BN$9,ROWS($1:66)*6-6,))</f>
        <v>0</v>
      </c>
      <c r="CD69" s="44" t="str">
        <f t="shared" si="3"/>
        <v>杨进彬</v>
      </c>
      <c r="CE69" s="44">
        <f ca="1">INDEX(FREQUENCY(MMULT({1,1},SUBTOTAL(9,OFFSET($E$1,MATCH($CD69,$C:$C,)+{3;4},INT(COLUMN($A:$AE)*2)-1))),{3.9,7.9,11.9}),COLUMN(B66))</f>
        <v>9</v>
      </c>
      <c r="CF69" s="44">
        <f ca="1">INDEX(FREQUENCY(MMULT({1,1},SUBTOTAL(9,OFFSET($E$1,MATCH($CD69,$C:$C,)+{3;4},INT(COLUMN($A:$AE)*2)-1))),{3.9,7.9,11.9}),COLUMN(C66))</f>
        <v>0</v>
      </c>
      <c r="CG69" s="44">
        <f ca="1">INDEX(FREQUENCY(MMULT({1,1},SUBTOTAL(9,OFFSET($E$1,MATCH($CD69,$C:$C,)+{3;4},INT(COLUMN($A:$AE)*2)-1))),{3.9,7.9,11.9}),COLUMN(D66))</f>
        <v>0</v>
      </c>
    </row>
    <row r="70" spans="1:85" ht="17.25" customHeight="1" x14ac:dyDescent="0.15">
      <c r="A70" s="84" t="s">
        <v>89</v>
      </c>
      <c r="B70" s="48" t="s">
        <v>107</v>
      </c>
      <c r="C70" s="48" t="s">
        <v>119</v>
      </c>
      <c r="D70" s="51" t="s">
        <v>45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14</v>
      </c>
      <c r="V70" s="11">
        <v>2</v>
      </c>
      <c r="W70" s="11" t="s">
        <v>14</v>
      </c>
      <c r="X70" s="11">
        <v>2</v>
      </c>
      <c r="Y70" s="11" t="s">
        <v>14</v>
      </c>
      <c r="Z70" s="11">
        <v>2</v>
      </c>
      <c r="AA70" s="11" t="s">
        <v>14</v>
      </c>
      <c r="AB70" s="11">
        <v>2</v>
      </c>
      <c r="AC70" s="11" t="s">
        <v>14</v>
      </c>
      <c r="AD70" s="11">
        <v>2</v>
      </c>
      <c r="AE70" s="11" t="s">
        <v>14</v>
      </c>
      <c r="AF70" s="11">
        <v>2</v>
      </c>
      <c r="AG70" s="11"/>
      <c r="AH70" s="11"/>
      <c r="AI70" s="11" t="s">
        <v>14</v>
      </c>
      <c r="AJ70" s="11">
        <v>2</v>
      </c>
      <c r="AK70" s="11" t="s">
        <v>14</v>
      </c>
      <c r="AL70" s="11">
        <v>2</v>
      </c>
      <c r="AM70" s="11" t="s">
        <v>14</v>
      </c>
      <c r="AN70" s="11">
        <v>2</v>
      </c>
      <c r="AO70" s="11" t="s">
        <v>14</v>
      </c>
      <c r="AP70" s="11">
        <v>2</v>
      </c>
      <c r="AQ70" s="11" t="s">
        <v>14</v>
      </c>
      <c r="AR70" s="11">
        <v>2</v>
      </c>
      <c r="AS70" s="11" t="s">
        <v>14</v>
      </c>
      <c r="AT70" s="11">
        <v>2</v>
      </c>
      <c r="AU70" s="11"/>
      <c r="AV70" s="11"/>
      <c r="AW70" s="11" t="s">
        <v>14</v>
      </c>
      <c r="AX70" s="11">
        <v>2</v>
      </c>
      <c r="AY70" s="11" t="s">
        <v>14</v>
      </c>
      <c r="AZ70" s="11">
        <v>2</v>
      </c>
      <c r="BA70" s="11" t="s">
        <v>14</v>
      </c>
      <c r="BB70" s="11">
        <v>2</v>
      </c>
      <c r="BC70" s="11" t="s">
        <v>14</v>
      </c>
      <c r="BD70" s="11">
        <v>2</v>
      </c>
      <c r="BE70" s="11" t="s">
        <v>14</v>
      </c>
      <c r="BF70" s="11">
        <v>2</v>
      </c>
      <c r="BG70" s="11" t="s">
        <v>14</v>
      </c>
      <c r="BH70" s="11">
        <v>2</v>
      </c>
      <c r="BI70" s="11" t="s">
        <v>16</v>
      </c>
      <c r="BJ70" s="11">
        <v>2</v>
      </c>
      <c r="BK70" s="11" t="s">
        <v>14</v>
      </c>
      <c r="BL70" s="11">
        <v>2</v>
      </c>
      <c r="BM70" s="11" t="s">
        <v>14</v>
      </c>
      <c r="BN70" s="34">
        <v>2</v>
      </c>
      <c r="BP70" s="27">
        <v>67</v>
      </c>
      <c r="BQ70" s="27" t="s">
        <v>71</v>
      </c>
      <c r="BR70" s="29">
        <f ca="1">SUMIF(OFFSET($E$4:$BM$9,ROWS($1:67)*6-6,),BR$2,OFFSET($F$4:$BN$9,ROWS($1:67)*6-6,))</f>
        <v>136</v>
      </c>
      <c r="BS70" s="29">
        <f ca="1">SUMIF(OFFSET($E$4:$BM$9,ROWS($1:67)*6-6,),BS$2,OFFSET($F$4:$BN$9,ROWS($1:67)*6-6,))</f>
        <v>47.5</v>
      </c>
      <c r="BT70" s="29">
        <f ca="1">SUMIF(OFFSET($E$4:$BM$9,ROWS($1:67)*6-6,),BT$2,OFFSET($F$4:$BN$9,ROWS($1:67)*6-6,))</f>
        <v>16</v>
      </c>
      <c r="BU70" s="29">
        <f ca="1">SUMIF(OFFSET($E$4:$BM$9,ROWS($1:67)*6-6,),BU$2,OFFSET($F$4:$BN$9,ROWS($1:67)*6-6,))</f>
        <v>0</v>
      </c>
      <c r="BV70" s="29">
        <f ca="1">SUMIF(OFFSET($E$4:$BM$9,ROWS($1:67)*6-6,),BV$2,OFFSET($F$4:$BN$9,ROWS($1:67)*6-6,))</f>
        <v>24</v>
      </c>
      <c r="BW70" s="29">
        <f ca="1">SUMIF(OFFSET($E$4:$BM$9,ROWS($1:67)*6-6,),BW$2,OFFSET($F$4:$BN$9,ROWS($1:67)*6-6,))</f>
        <v>0</v>
      </c>
      <c r="BX70" s="29">
        <f ca="1">SUMIF(OFFSET($E$4:$BM$9,ROWS($1:67)*6-6,),BX$2,OFFSET($F$4:$BN$9,ROWS($1:67)*6-6,))</f>
        <v>0</v>
      </c>
      <c r="BY70" s="29">
        <f ca="1">SUMIF(OFFSET($E$4:$BM$9,ROWS($1:67)*6-6,),BY$2,OFFSET($F$4:$BN$9,ROWS($1:67)*6-6,))</f>
        <v>0</v>
      </c>
      <c r="BZ70" s="29">
        <f ca="1">SUMIF(OFFSET($E$4:$BM$9,ROWS($1:67)*6-6,),BZ$2,OFFSET($F$4:$BN$9,ROWS($1:67)*6-6,))</f>
        <v>0</v>
      </c>
      <c r="CA70" s="29">
        <f ca="1">SUMIF(OFFSET($E$4:$BM$9,ROWS($1:67)*6-6,),CA$2,OFFSET($F$4:$BN$9,ROWS($1:67)*6-6,))</f>
        <v>0</v>
      </c>
      <c r="CB70" s="29">
        <f ca="1">SUMIF(OFFSET($E$4:$BM$9,ROWS($1:67)*6-6,),CB$2,OFFSET($F$4:$BN$9,ROWS($1:67)*6-6,))</f>
        <v>0</v>
      </c>
      <c r="CC70" s="43">
        <f ca="1">SUMIF(OFFSET($E$4:$BM$9,ROWS($1:67)*6-6,),CC$2,OFFSET($F$4:$BN$9,ROWS($1:67)*6-6,))</f>
        <v>0</v>
      </c>
      <c r="CD70" s="44" t="str">
        <f t="shared" si="3"/>
        <v>桂辉定</v>
      </c>
      <c r="CE70" s="44">
        <f ca="1">INDEX(FREQUENCY(MMULT({1,1},SUBTOTAL(9,OFFSET($E$1,MATCH($CD70,$C:$C,)+{3;4},INT(COLUMN($A:$AE)*2)-1))),{3.9,7.9,11.9}),COLUMN(B67))</f>
        <v>9</v>
      </c>
      <c r="CF70" s="44">
        <f ca="1">INDEX(FREQUENCY(MMULT({1,1},SUBTOTAL(9,OFFSET($E$1,MATCH($CD70,$C:$C,)+{3;4},INT(COLUMN($A:$AE)*2)-1))),{3.9,7.9,11.9}),COLUMN(C67))</f>
        <v>0</v>
      </c>
      <c r="CG70" s="44">
        <f ca="1">INDEX(FREQUENCY(MMULT({1,1},SUBTOTAL(9,OFFSET($E$1,MATCH($CD70,$C:$C,)+{3;4},INT(COLUMN($A:$AE)*2)-1))),{3.9,7.9,11.9}),COLUMN(D67))</f>
        <v>0</v>
      </c>
    </row>
    <row r="71" spans="1:85" ht="17.25" customHeight="1" x14ac:dyDescent="0.15">
      <c r="A71" s="85"/>
      <c r="B71" s="49"/>
      <c r="C71" s="49"/>
      <c r="D71" s="5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 t="s">
        <v>14</v>
      </c>
      <c r="V71" s="12">
        <v>2</v>
      </c>
      <c r="W71" s="12" t="s">
        <v>14</v>
      </c>
      <c r="X71" s="12">
        <v>2</v>
      </c>
      <c r="Y71" s="12" t="s">
        <v>14</v>
      </c>
      <c r="Z71" s="12">
        <v>2</v>
      </c>
      <c r="AA71" s="12" t="s">
        <v>14</v>
      </c>
      <c r="AB71" s="12">
        <v>2</v>
      </c>
      <c r="AC71" s="12" t="s">
        <v>14</v>
      </c>
      <c r="AD71" s="12">
        <v>2</v>
      </c>
      <c r="AE71" s="12" t="s">
        <v>14</v>
      </c>
      <c r="AF71" s="12">
        <v>2</v>
      </c>
      <c r="AG71" s="12"/>
      <c r="AH71" s="12"/>
      <c r="AI71" s="12" t="s">
        <v>14</v>
      </c>
      <c r="AJ71" s="12">
        <v>2</v>
      </c>
      <c r="AK71" s="12" t="s">
        <v>14</v>
      </c>
      <c r="AL71" s="12">
        <v>2</v>
      </c>
      <c r="AM71" s="12" t="s">
        <v>14</v>
      </c>
      <c r="AN71" s="12">
        <v>2</v>
      </c>
      <c r="AO71" s="12" t="s">
        <v>14</v>
      </c>
      <c r="AP71" s="12">
        <v>2</v>
      </c>
      <c r="AQ71" s="12" t="s">
        <v>14</v>
      </c>
      <c r="AR71" s="12">
        <v>2</v>
      </c>
      <c r="AS71" s="12" t="s">
        <v>14</v>
      </c>
      <c r="AT71" s="12">
        <v>2</v>
      </c>
      <c r="AU71" s="12"/>
      <c r="AV71" s="12"/>
      <c r="AW71" s="12" t="s">
        <v>14</v>
      </c>
      <c r="AX71" s="12">
        <v>2</v>
      </c>
      <c r="AY71" s="12" t="s">
        <v>14</v>
      </c>
      <c r="AZ71" s="12">
        <v>2</v>
      </c>
      <c r="BA71" s="12" t="s">
        <v>14</v>
      </c>
      <c r="BB71" s="12">
        <v>2</v>
      </c>
      <c r="BC71" s="12" t="s">
        <v>14</v>
      </c>
      <c r="BD71" s="12">
        <v>2</v>
      </c>
      <c r="BE71" s="12" t="s">
        <v>14</v>
      </c>
      <c r="BF71" s="12">
        <v>2</v>
      </c>
      <c r="BG71" s="12" t="s">
        <v>14</v>
      </c>
      <c r="BH71" s="12">
        <v>2</v>
      </c>
      <c r="BI71" s="12" t="s">
        <v>16</v>
      </c>
      <c r="BJ71" s="12">
        <v>2</v>
      </c>
      <c r="BK71" s="12" t="s">
        <v>14</v>
      </c>
      <c r="BL71" s="12">
        <v>2</v>
      </c>
      <c r="BM71" s="12" t="s">
        <v>14</v>
      </c>
      <c r="BN71" s="35">
        <v>2</v>
      </c>
      <c r="BP71" s="27">
        <v>68</v>
      </c>
      <c r="BQ71" s="27" t="s">
        <v>58</v>
      </c>
      <c r="BR71" s="29">
        <f ca="1">SUMIF(OFFSET($E$4:$BM$9,ROWS($1:68)*6-6,),BR$2,OFFSET($F$4:$BN$9,ROWS($1:68)*6-6,))</f>
        <v>112</v>
      </c>
      <c r="BS71" s="29">
        <f ca="1">SUMIF(OFFSET($E$4:$BM$9,ROWS($1:68)*6-6,),BS$2,OFFSET($F$4:$BN$9,ROWS($1:68)*6-6,))</f>
        <v>38</v>
      </c>
      <c r="BT71" s="29">
        <f ca="1">SUMIF(OFFSET($E$4:$BM$9,ROWS($1:68)*6-6,),BT$2,OFFSET($F$4:$BN$9,ROWS($1:68)*6-6,))</f>
        <v>16</v>
      </c>
      <c r="BU71" s="29">
        <f ca="1">SUMIF(OFFSET($E$4:$BM$9,ROWS($1:68)*6-6,),BU$2,OFFSET($F$4:$BN$9,ROWS($1:68)*6-6,))</f>
        <v>48</v>
      </c>
      <c r="BV71" s="29">
        <f ca="1">SUMIF(OFFSET($E$4:$BM$9,ROWS($1:68)*6-6,),BV$2,OFFSET($F$4:$BN$9,ROWS($1:68)*6-6,))</f>
        <v>0</v>
      </c>
      <c r="BW71" s="29">
        <f ca="1">SUMIF(OFFSET($E$4:$BM$9,ROWS($1:68)*6-6,),BW$2,OFFSET($F$4:$BN$9,ROWS($1:68)*6-6,))</f>
        <v>0</v>
      </c>
      <c r="BX71" s="29">
        <f ca="1">SUMIF(OFFSET($E$4:$BM$9,ROWS($1:68)*6-6,),BX$2,OFFSET($F$4:$BN$9,ROWS($1:68)*6-6,))</f>
        <v>0</v>
      </c>
      <c r="BY71" s="29">
        <f ca="1">SUMIF(OFFSET($E$4:$BM$9,ROWS($1:68)*6-6,),BY$2,OFFSET($F$4:$BN$9,ROWS($1:68)*6-6,))</f>
        <v>0</v>
      </c>
      <c r="BZ71" s="29">
        <f ca="1">SUMIF(OFFSET($E$4:$BM$9,ROWS($1:68)*6-6,),BZ$2,OFFSET($F$4:$BN$9,ROWS($1:68)*6-6,))</f>
        <v>0</v>
      </c>
      <c r="CA71" s="29">
        <f ca="1">SUMIF(OFFSET($E$4:$BM$9,ROWS($1:68)*6-6,),CA$2,OFFSET($F$4:$BN$9,ROWS($1:68)*6-6,))</f>
        <v>0</v>
      </c>
      <c r="CB71" s="29">
        <f ca="1">SUMIF(OFFSET($E$4:$BM$9,ROWS($1:68)*6-6,),CB$2,OFFSET($F$4:$BN$9,ROWS($1:68)*6-6,))</f>
        <v>0</v>
      </c>
      <c r="CC71" s="43">
        <f ca="1">SUMIF(OFFSET($E$4:$BM$9,ROWS($1:68)*6-6,),CC$2,OFFSET($F$4:$BN$9,ROWS($1:68)*6-6,))</f>
        <v>0</v>
      </c>
      <c r="CD71" s="44" t="str">
        <f t="shared" si="3"/>
        <v>桂艳芳</v>
      </c>
      <c r="CE71" s="44">
        <f ca="1">INDEX(FREQUENCY(MMULT({1,1},SUBTOTAL(9,OFFSET($E$1,MATCH($CD71,$C:$C,)+{3;4},INT(COLUMN($A:$AE)*2)-1))),{3.9,7.9,11.9}),COLUMN(B68))</f>
        <v>3</v>
      </c>
      <c r="CF71" s="44">
        <f ca="1">INDEX(FREQUENCY(MMULT({1,1},SUBTOTAL(9,OFFSET($E$1,MATCH($CD71,$C:$C,)+{3;4},INT(COLUMN($A:$AE)*2)-1))),{3.9,7.9,11.9}),COLUMN(C68))</f>
        <v>0</v>
      </c>
      <c r="CG71" s="44">
        <f ca="1">INDEX(FREQUENCY(MMULT({1,1},SUBTOTAL(9,OFFSET($E$1,MATCH($CD71,$C:$C,)+{3;4},INT(COLUMN($A:$AE)*2)-1))),{3.9,7.9,11.9}),COLUMN(D68))</f>
        <v>0</v>
      </c>
    </row>
    <row r="72" spans="1:85" ht="17.25" customHeight="1" x14ac:dyDescent="0.15">
      <c r="A72" s="85"/>
      <c r="B72" s="49"/>
      <c r="C72" s="49"/>
      <c r="D72" s="53" t="s">
        <v>47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 t="s">
        <v>14</v>
      </c>
      <c r="V72" s="13">
        <v>2</v>
      </c>
      <c r="W72" s="13" t="s">
        <v>14</v>
      </c>
      <c r="X72" s="13">
        <v>2</v>
      </c>
      <c r="Y72" s="13" t="s">
        <v>14</v>
      </c>
      <c r="Z72" s="13">
        <v>2</v>
      </c>
      <c r="AA72" s="13" t="s">
        <v>14</v>
      </c>
      <c r="AB72" s="13">
        <v>2</v>
      </c>
      <c r="AC72" s="13" t="s">
        <v>14</v>
      </c>
      <c r="AD72" s="13">
        <v>2</v>
      </c>
      <c r="AE72" s="13" t="s">
        <v>14</v>
      </c>
      <c r="AF72" s="13">
        <v>2</v>
      </c>
      <c r="AG72" s="13"/>
      <c r="AH72" s="13"/>
      <c r="AI72" s="13" t="s">
        <v>14</v>
      </c>
      <c r="AJ72" s="13">
        <v>2</v>
      </c>
      <c r="AK72" s="13" t="s">
        <v>14</v>
      </c>
      <c r="AL72" s="13">
        <v>2</v>
      </c>
      <c r="AM72" s="13" t="s">
        <v>14</v>
      </c>
      <c r="AN72" s="13">
        <v>2</v>
      </c>
      <c r="AO72" s="13" t="s">
        <v>14</v>
      </c>
      <c r="AP72" s="13">
        <v>2</v>
      </c>
      <c r="AQ72" s="13" t="s">
        <v>14</v>
      </c>
      <c r="AR72" s="13">
        <v>2</v>
      </c>
      <c r="AS72" s="13" t="s">
        <v>14</v>
      </c>
      <c r="AT72" s="13">
        <v>2</v>
      </c>
      <c r="AU72" s="13"/>
      <c r="AV72" s="13"/>
      <c r="AW72" s="13" t="s">
        <v>14</v>
      </c>
      <c r="AX72" s="13">
        <v>2</v>
      </c>
      <c r="AY72" s="13" t="s">
        <v>14</v>
      </c>
      <c r="AZ72" s="13">
        <v>2</v>
      </c>
      <c r="BA72" s="13" t="s">
        <v>14</v>
      </c>
      <c r="BB72" s="13">
        <v>2</v>
      </c>
      <c r="BC72" s="13" t="s">
        <v>14</v>
      </c>
      <c r="BD72" s="13">
        <v>2</v>
      </c>
      <c r="BE72" s="13" t="s">
        <v>14</v>
      </c>
      <c r="BF72" s="13">
        <v>2</v>
      </c>
      <c r="BG72" s="13" t="s">
        <v>14</v>
      </c>
      <c r="BH72" s="13">
        <v>2</v>
      </c>
      <c r="BI72" s="13" t="s">
        <v>16</v>
      </c>
      <c r="BJ72" s="13">
        <v>2</v>
      </c>
      <c r="BK72" s="13" t="s">
        <v>14</v>
      </c>
      <c r="BL72" s="13">
        <v>2</v>
      </c>
      <c r="BM72" s="13" t="s">
        <v>14</v>
      </c>
      <c r="BN72" s="36">
        <v>2</v>
      </c>
      <c r="BP72" s="27">
        <v>69</v>
      </c>
      <c r="BQ72" s="27" t="s">
        <v>66</v>
      </c>
      <c r="BR72" s="29">
        <f ca="1">SUMIF(OFFSET($E$4:$BM$9,ROWS($1:69)*6-6,),BR$2,OFFSET($F$4:$BN$9,ROWS($1:69)*6-6,))</f>
        <v>112</v>
      </c>
      <c r="BS72" s="29">
        <f ca="1">SUMIF(OFFSET($E$4:$BM$9,ROWS($1:69)*6-6,),BS$2,OFFSET($F$4:$BN$9,ROWS($1:69)*6-6,))</f>
        <v>38</v>
      </c>
      <c r="BT72" s="29">
        <f ca="1">SUMIF(OFFSET($E$4:$BM$9,ROWS($1:69)*6-6,),BT$2,OFFSET($F$4:$BN$9,ROWS($1:69)*6-6,))</f>
        <v>16</v>
      </c>
      <c r="BU72" s="29">
        <f ca="1">SUMIF(OFFSET($E$4:$BM$9,ROWS($1:69)*6-6,),BU$2,OFFSET($F$4:$BN$9,ROWS($1:69)*6-6,))</f>
        <v>48</v>
      </c>
      <c r="BV72" s="29">
        <f ca="1">SUMIF(OFFSET($E$4:$BM$9,ROWS($1:69)*6-6,),BV$2,OFFSET($F$4:$BN$9,ROWS($1:69)*6-6,))</f>
        <v>0</v>
      </c>
      <c r="BW72" s="29">
        <f ca="1">SUMIF(OFFSET($E$4:$BM$9,ROWS($1:69)*6-6,),BW$2,OFFSET($F$4:$BN$9,ROWS($1:69)*6-6,))</f>
        <v>0</v>
      </c>
      <c r="BX72" s="29">
        <f ca="1">SUMIF(OFFSET($E$4:$BM$9,ROWS($1:69)*6-6,),BX$2,OFFSET($F$4:$BN$9,ROWS($1:69)*6-6,))</f>
        <v>0</v>
      </c>
      <c r="BY72" s="29">
        <f ca="1">SUMIF(OFFSET($E$4:$BM$9,ROWS($1:69)*6-6,),BY$2,OFFSET($F$4:$BN$9,ROWS($1:69)*6-6,))</f>
        <v>0</v>
      </c>
      <c r="BZ72" s="29">
        <f ca="1">SUMIF(OFFSET($E$4:$BM$9,ROWS($1:69)*6-6,),BZ$2,OFFSET($F$4:$BN$9,ROWS($1:69)*6-6,))</f>
        <v>0</v>
      </c>
      <c r="CA72" s="29">
        <f ca="1">SUMIF(OFFSET($E$4:$BM$9,ROWS($1:69)*6-6,),CA$2,OFFSET($F$4:$BN$9,ROWS($1:69)*6-6,))</f>
        <v>0</v>
      </c>
      <c r="CB72" s="29">
        <f ca="1">SUMIF(OFFSET($E$4:$BM$9,ROWS($1:69)*6-6,),CB$2,OFFSET($F$4:$BN$9,ROWS($1:69)*6-6,))</f>
        <v>0</v>
      </c>
      <c r="CC72" s="43">
        <f ca="1">SUMIF(OFFSET($E$4:$BM$9,ROWS($1:69)*6-6,),CC$2,OFFSET($F$4:$BN$9,ROWS($1:69)*6-6,))</f>
        <v>0</v>
      </c>
      <c r="CD72" s="44" t="str">
        <f t="shared" si="3"/>
        <v>桂秀花</v>
      </c>
      <c r="CE72" s="44">
        <f ca="1">INDEX(FREQUENCY(MMULT({1,1},SUBTOTAL(9,OFFSET($E$1,MATCH($CD72,$C:$C,)+{3;4},INT(COLUMN($A:$AE)*2)-1))),{3.9,7.9,11.9}),COLUMN(B69))</f>
        <v>3</v>
      </c>
      <c r="CF72" s="44">
        <f ca="1">INDEX(FREQUENCY(MMULT({1,1},SUBTOTAL(9,OFFSET($E$1,MATCH($CD72,$C:$C,)+{3;4},INT(COLUMN($A:$AE)*2)-1))),{3.9,7.9,11.9}),COLUMN(C69))</f>
        <v>0</v>
      </c>
      <c r="CG72" s="44">
        <f ca="1">INDEX(FREQUENCY(MMULT({1,1},SUBTOTAL(9,OFFSET($E$1,MATCH($CD72,$C:$C,)+{3;4},INT(COLUMN($A:$AE)*2)-1))),{3.9,7.9,11.9}),COLUMN(D69))</f>
        <v>0</v>
      </c>
    </row>
    <row r="73" spans="1:85" ht="17.25" customHeight="1" x14ac:dyDescent="0.15">
      <c r="A73" s="85"/>
      <c r="B73" s="49"/>
      <c r="C73" s="49"/>
      <c r="D73" s="5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14</v>
      </c>
      <c r="V73" s="12">
        <v>2</v>
      </c>
      <c r="W73" s="12" t="s">
        <v>14</v>
      </c>
      <c r="X73" s="12">
        <v>2</v>
      </c>
      <c r="Y73" s="12" t="s">
        <v>14</v>
      </c>
      <c r="Z73" s="12">
        <v>2</v>
      </c>
      <c r="AA73" s="12" t="s">
        <v>14</v>
      </c>
      <c r="AB73" s="12">
        <v>2</v>
      </c>
      <c r="AC73" s="12" t="s">
        <v>14</v>
      </c>
      <c r="AD73" s="12">
        <v>2</v>
      </c>
      <c r="AE73" s="12" t="s">
        <v>14</v>
      </c>
      <c r="AF73" s="12">
        <v>2</v>
      </c>
      <c r="AG73" s="12"/>
      <c r="AH73" s="12"/>
      <c r="AI73" s="12" t="s">
        <v>14</v>
      </c>
      <c r="AJ73" s="12">
        <v>2</v>
      </c>
      <c r="AK73" s="12" t="s">
        <v>14</v>
      </c>
      <c r="AL73" s="12">
        <v>2</v>
      </c>
      <c r="AM73" s="12" t="s">
        <v>14</v>
      </c>
      <c r="AN73" s="12">
        <v>2</v>
      </c>
      <c r="AO73" s="12" t="s">
        <v>14</v>
      </c>
      <c r="AP73" s="12">
        <v>2</v>
      </c>
      <c r="AQ73" s="12" t="s">
        <v>14</v>
      </c>
      <c r="AR73" s="12">
        <v>2</v>
      </c>
      <c r="AS73" s="12" t="s">
        <v>14</v>
      </c>
      <c r="AT73" s="12">
        <v>2</v>
      </c>
      <c r="AU73" s="12"/>
      <c r="AV73" s="12"/>
      <c r="AW73" s="12" t="s">
        <v>14</v>
      </c>
      <c r="AX73" s="12">
        <v>2</v>
      </c>
      <c r="AY73" s="12" t="s">
        <v>14</v>
      </c>
      <c r="AZ73" s="12">
        <v>2</v>
      </c>
      <c r="BA73" s="12" t="s">
        <v>14</v>
      </c>
      <c r="BB73" s="12">
        <v>2</v>
      </c>
      <c r="BC73" s="12" t="s">
        <v>14</v>
      </c>
      <c r="BD73" s="12">
        <v>2</v>
      </c>
      <c r="BE73" s="12" t="s">
        <v>14</v>
      </c>
      <c r="BF73" s="12">
        <v>2</v>
      </c>
      <c r="BG73" s="12" t="s">
        <v>14</v>
      </c>
      <c r="BH73" s="12">
        <v>2</v>
      </c>
      <c r="BI73" s="12" t="s">
        <v>16</v>
      </c>
      <c r="BJ73" s="12">
        <v>2</v>
      </c>
      <c r="BK73" s="12" t="s">
        <v>14</v>
      </c>
      <c r="BL73" s="12">
        <v>2</v>
      </c>
      <c r="BM73" s="12" t="s">
        <v>14</v>
      </c>
      <c r="BN73" s="35">
        <v>2</v>
      </c>
      <c r="BP73" s="27">
        <v>70</v>
      </c>
      <c r="BQ73" s="27" t="s">
        <v>64</v>
      </c>
      <c r="BR73" s="29">
        <f ca="1">SUMIF(OFFSET($E$4:$BM$9,ROWS($1:70)*6-6,),BR$2,OFFSET($F$4:$BN$9,ROWS($1:70)*6-6,))</f>
        <v>0</v>
      </c>
      <c r="BS73" s="29">
        <f ca="1">SUMIF(OFFSET($E$4:$BM$9,ROWS($1:70)*6-6,),BS$2,OFFSET($F$4:$BN$9,ROWS($1:70)*6-6,))</f>
        <v>0</v>
      </c>
      <c r="BT73" s="29">
        <f ca="1">SUMIF(OFFSET($E$4:$BM$9,ROWS($1:70)*6-6,),BT$2,OFFSET($F$4:$BN$9,ROWS($1:70)*6-6,))</f>
        <v>0</v>
      </c>
      <c r="BU73" s="29">
        <f ca="1">SUMIF(OFFSET($E$4:$BM$9,ROWS($1:70)*6-6,),BU$2,OFFSET($F$4:$BN$9,ROWS($1:70)*6-6,))</f>
        <v>0</v>
      </c>
      <c r="BV73" s="29">
        <f ca="1">SUMIF(OFFSET($E$4:$BM$9,ROWS($1:70)*6-6,),BV$2,OFFSET($F$4:$BN$9,ROWS($1:70)*6-6,))</f>
        <v>0</v>
      </c>
      <c r="BW73" s="29">
        <f ca="1">SUMIF(OFFSET($E$4:$BM$9,ROWS($1:70)*6-6,),BW$2,OFFSET($F$4:$BN$9,ROWS($1:70)*6-6,))</f>
        <v>0</v>
      </c>
      <c r="BX73" s="29">
        <f ca="1">SUMIF(OFFSET($E$4:$BM$9,ROWS($1:70)*6-6,),BX$2,OFFSET($F$4:$BN$9,ROWS($1:70)*6-6,))</f>
        <v>0</v>
      </c>
      <c r="BY73" s="29">
        <f ca="1">SUMIF(OFFSET($E$4:$BM$9,ROWS($1:70)*6-6,),BY$2,OFFSET($F$4:$BN$9,ROWS($1:70)*6-6,))</f>
        <v>0</v>
      </c>
      <c r="BZ73" s="29">
        <f ca="1">SUMIF(OFFSET($E$4:$BM$9,ROWS($1:70)*6-6,),BZ$2,OFFSET($F$4:$BN$9,ROWS($1:70)*6-6,))</f>
        <v>0</v>
      </c>
      <c r="CA73" s="29">
        <f ca="1">SUMIF(OFFSET($E$4:$BM$9,ROWS($1:70)*6-6,),CA$2,OFFSET($F$4:$BN$9,ROWS($1:70)*6-6,))</f>
        <v>0</v>
      </c>
      <c r="CB73" s="29">
        <f ca="1">SUMIF(OFFSET($E$4:$BM$9,ROWS($1:70)*6-6,),CB$2,OFFSET($F$4:$BN$9,ROWS($1:70)*6-6,))</f>
        <v>0</v>
      </c>
      <c r="CC73" s="43">
        <f ca="1">SUMIF(OFFSET($E$4:$BM$9,ROWS($1:70)*6-6,),CC$2,OFFSET($F$4:$BN$9,ROWS($1:70)*6-6,))</f>
        <v>0</v>
      </c>
      <c r="CD73" s="44" t="str">
        <f t="shared" si="3"/>
        <v>张学六</v>
      </c>
      <c r="CE73" s="44">
        <f ca="1">INDEX(FREQUENCY(MMULT({1,1},SUBTOTAL(9,OFFSET($E$1,MATCH($CD73,$C:$C,)+{3;4},INT(COLUMN($A:$AE)*2)-1))),{3.9,7.9,11.9}),COLUMN(B70))</f>
        <v>0</v>
      </c>
      <c r="CF73" s="44">
        <f ca="1">INDEX(FREQUENCY(MMULT({1,1},SUBTOTAL(9,OFFSET($E$1,MATCH($CD73,$C:$C,)+{3;4},INT(COLUMN($A:$AE)*2)-1))),{3.9,7.9,11.9}),COLUMN(C70))</f>
        <v>0</v>
      </c>
      <c r="CG73" s="44">
        <f ca="1">INDEX(FREQUENCY(MMULT({1,1},SUBTOTAL(9,OFFSET($E$1,MATCH($CD73,$C:$C,)+{3;4},INT(COLUMN($A:$AE)*2)-1))),{3.9,7.9,11.9}),COLUMN(D70))</f>
        <v>0</v>
      </c>
    </row>
    <row r="74" spans="1:85" ht="17.25" customHeight="1" x14ac:dyDescent="0.15">
      <c r="A74" s="85"/>
      <c r="B74" s="49"/>
      <c r="C74" s="49"/>
      <c r="D74" s="53" t="s">
        <v>49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 t="s">
        <v>15</v>
      </c>
      <c r="V74" s="14"/>
      <c r="W74" s="14" t="s">
        <v>15</v>
      </c>
      <c r="X74" s="14">
        <v>3</v>
      </c>
      <c r="Y74" s="14" t="s">
        <v>15</v>
      </c>
      <c r="Z74" s="14">
        <v>3</v>
      </c>
      <c r="AA74" s="14" t="s">
        <v>15</v>
      </c>
      <c r="AB74" s="14">
        <v>3</v>
      </c>
      <c r="AC74" s="14" t="s">
        <v>15</v>
      </c>
      <c r="AD74" s="14">
        <v>3</v>
      </c>
      <c r="AE74" s="14" t="s">
        <v>15</v>
      </c>
      <c r="AF74" s="14"/>
      <c r="AG74" s="14"/>
      <c r="AH74" s="14"/>
      <c r="AI74" s="14" t="s">
        <v>15</v>
      </c>
      <c r="AJ74" s="14">
        <v>3</v>
      </c>
      <c r="AK74" s="14" t="s">
        <v>15</v>
      </c>
      <c r="AL74" s="14">
        <v>3</v>
      </c>
      <c r="AM74" s="14" t="s">
        <v>15</v>
      </c>
      <c r="AN74" s="14">
        <v>3</v>
      </c>
      <c r="AO74" s="14" t="s">
        <v>15</v>
      </c>
      <c r="AP74" s="14">
        <v>3</v>
      </c>
      <c r="AQ74" s="14" t="s">
        <v>15</v>
      </c>
      <c r="AR74" s="14">
        <v>3</v>
      </c>
      <c r="AS74" s="14" t="s">
        <v>15</v>
      </c>
      <c r="AT74" s="14"/>
      <c r="AU74" s="14"/>
      <c r="AV74" s="14"/>
      <c r="AW74" s="14" t="s">
        <v>15</v>
      </c>
      <c r="AX74" s="14">
        <v>3</v>
      </c>
      <c r="AY74" s="14" t="s">
        <v>15</v>
      </c>
      <c r="AZ74" s="14">
        <v>3</v>
      </c>
      <c r="BA74" s="14" t="s">
        <v>15</v>
      </c>
      <c r="BB74" s="14">
        <v>3</v>
      </c>
      <c r="BC74" s="14" t="s">
        <v>15</v>
      </c>
      <c r="BD74" s="14"/>
      <c r="BE74" s="14" t="s">
        <v>15</v>
      </c>
      <c r="BF74" s="14"/>
      <c r="BG74" s="14" t="s">
        <v>15</v>
      </c>
      <c r="BH74" s="14"/>
      <c r="BI74" s="14"/>
      <c r="BJ74" s="14"/>
      <c r="BK74" s="14" t="s">
        <v>15</v>
      </c>
      <c r="BL74" s="14">
        <v>3</v>
      </c>
      <c r="BM74" s="14" t="s">
        <v>15</v>
      </c>
      <c r="BN74" s="37"/>
      <c r="BP74" s="27">
        <v>71</v>
      </c>
      <c r="BQ74" s="27" t="s">
        <v>63</v>
      </c>
      <c r="BR74" s="29">
        <f ca="1">SUMIF(OFFSET($E$4:$BM$9,ROWS($1:71)*6-6,),BR$2,OFFSET($F$4:$BN$9,ROWS($1:71)*6-6,))</f>
        <v>0</v>
      </c>
      <c r="BS74" s="29">
        <f ca="1">SUMIF(OFFSET($E$4:$BM$9,ROWS($1:71)*6-6,),BS$2,OFFSET($F$4:$BN$9,ROWS($1:71)*6-6,))</f>
        <v>0</v>
      </c>
      <c r="BT74" s="29">
        <f ca="1">SUMIF(OFFSET($E$4:$BM$9,ROWS($1:71)*6-6,),BT$2,OFFSET($F$4:$BN$9,ROWS($1:71)*6-6,))</f>
        <v>0</v>
      </c>
      <c r="BU74" s="29">
        <f ca="1">SUMIF(OFFSET($E$4:$BM$9,ROWS($1:71)*6-6,),BU$2,OFFSET($F$4:$BN$9,ROWS($1:71)*6-6,))</f>
        <v>0</v>
      </c>
      <c r="BV74" s="29">
        <f ca="1">SUMIF(OFFSET($E$4:$BM$9,ROWS($1:71)*6-6,),BV$2,OFFSET($F$4:$BN$9,ROWS($1:71)*6-6,))</f>
        <v>0</v>
      </c>
      <c r="BW74" s="29">
        <f ca="1">SUMIF(OFFSET($E$4:$BM$9,ROWS($1:71)*6-6,),BW$2,OFFSET($F$4:$BN$9,ROWS($1:71)*6-6,))</f>
        <v>0</v>
      </c>
      <c r="BX74" s="29">
        <f ca="1">SUMIF(OFFSET($E$4:$BM$9,ROWS($1:71)*6-6,),BX$2,OFFSET($F$4:$BN$9,ROWS($1:71)*6-6,))</f>
        <v>0</v>
      </c>
      <c r="BY74" s="29">
        <f ca="1">SUMIF(OFFSET($E$4:$BM$9,ROWS($1:71)*6-6,),BY$2,OFFSET($F$4:$BN$9,ROWS($1:71)*6-6,))</f>
        <v>0</v>
      </c>
      <c r="BZ74" s="29">
        <f ca="1">SUMIF(OFFSET($E$4:$BM$9,ROWS($1:71)*6-6,),BZ$2,OFFSET($F$4:$BN$9,ROWS($1:71)*6-6,))</f>
        <v>0</v>
      </c>
      <c r="CA74" s="29">
        <f ca="1">SUMIF(OFFSET($E$4:$BM$9,ROWS($1:71)*6-6,),CA$2,OFFSET($F$4:$BN$9,ROWS($1:71)*6-6,))</f>
        <v>0</v>
      </c>
      <c r="CB74" s="29">
        <f ca="1">SUMIF(OFFSET($E$4:$BM$9,ROWS($1:71)*6-6,),CB$2,OFFSET($F$4:$BN$9,ROWS($1:71)*6-6,))</f>
        <v>0</v>
      </c>
      <c r="CC74" s="43">
        <f ca="1">SUMIF(OFFSET($E$4:$BM$9,ROWS($1:71)*6-6,),CC$2,OFFSET($F$4:$BN$9,ROWS($1:71)*6-6,))</f>
        <v>0</v>
      </c>
      <c r="CD74" s="44" t="str">
        <f t="shared" si="3"/>
        <v>陈梅</v>
      </c>
      <c r="CE74" s="44">
        <f ca="1">INDEX(FREQUENCY(MMULT({1,1},SUBTOTAL(9,OFFSET($E$1,MATCH($CD74,$C:$C,)+{3;4},INT(COLUMN($A:$AE)*2)-1))),{3.9,7.9,11.9}),COLUMN(B71))</f>
        <v>0</v>
      </c>
      <c r="CF74" s="44">
        <f ca="1">INDEX(FREQUENCY(MMULT({1,1},SUBTOTAL(9,OFFSET($E$1,MATCH($CD74,$C:$C,)+{3;4},INT(COLUMN($A:$AE)*2)-1))),{3.9,7.9,11.9}),COLUMN(C71))</f>
        <v>0</v>
      </c>
      <c r="CG74" s="44">
        <f ca="1">INDEX(FREQUENCY(MMULT({1,1},SUBTOTAL(9,OFFSET($E$1,MATCH($CD74,$C:$C,)+{3;4},INT(COLUMN($A:$AE)*2)-1))),{3.9,7.9,11.9}),COLUMN(D71))</f>
        <v>0</v>
      </c>
    </row>
    <row r="75" spans="1:85" ht="17.25" customHeight="1" thickBot="1" x14ac:dyDescent="0.2">
      <c r="A75" s="86"/>
      <c r="B75" s="50"/>
      <c r="C75" s="50"/>
      <c r="D75" s="5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38"/>
      <c r="BP75" s="27">
        <v>72</v>
      </c>
      <c r="BQ75" s="27" t="s">
        <v>148</v>
      </c>
      <c r="BR75" s="29">
        <f ca="1">SUMIF(OFFSET($E$4:$BM$9,ROWS($1:72)*6-6,),BR$2,OFFSET($F$4:$BN$9,ROWS($1:72)*6-6,))</f>
        <v>160</v>
      </c>
      <c r="BS75" s="29">
        <f ca="1">SUMIF(OFFSET($E$4:$BM$9,ROWS($1:72)*6-6,),BS$2,OFFSET($F$4:$BN$9,ROWS($1:72)*6-6,))</f>
        <v>41</v>
      </c>
      <c r="BT75" s="29">
        <f ca="1">SUMIF(OFFSET($E$4:$BM$9,ROWS($1:72)*6-6,),BT$2,OFFSET($F$4:$BN$9,ROWS($1:72)*6-6,))</f>
        <v>16</v>
      </c>
      <c r="BU75" s="29">
        <f ca="1">SUMIF(OFFSET($E$4:$BM$9,ROWS($1:72)*6-6,),BU$2,OFFSET($F$4:$BN$9,ROWS($1:72)*6-6,))</f>
        <v>0</v>
      </c>
      <c r="BV75" s="29">
        <f ca="1">SUMIF(OFFSET($E$4:$BM$9,ROWS($1:72)*6-6,),BV$2,OFFSET($F$4:$BN$9,ROWS($1:72)*6-6,))</f>
        <v>0</v>
      </c>
      <c r="BW75" s="29">
        <f ca="1">SUMIF(OFFSET($E$4:$BM$9,ROWS($1:72)*6-6,),BW$2,OFFSET($F$4:$BN$9,ROWS($1:72)*6-6,))</f>
        <v>0</v>
      </c>
      <c r="BX75" s="29">
        <f ca="1">SUMIF(OFFSET($E$4:$BM$9,ROWS($1:72)*6-6,),BX$2,OFFSET($F$4:$BN$9,ROWS($1:72)*6-6,))</f>
        <v>0</v>
      </c>
      <c r="BY75" s="29">
        <f ca="1">SUMIF(OFFSET($E$4:$BM$9,ROWS($1:72)*6-6,),BY$2,OFFSET($F$4:$BN$9,ROWS($1:72)*6-6,))</f>
        <v>0</v>
      </c>
      <c r="BZ75" s="29">
        <f ca="1">SUMIF(OFFSET($E$4:$BM$9,ROWS($1:72)*6-6,),BZ$2,OFFSET($F$4:$BN$9,ROWS($1:72)*6-6,))</f>
        <v>0</v>
      </c>
      <c r="CA75" s="29">
        <f ca="1">SUMIF(OFFSET($E$4:$BM$9,ROWS($1:72)*6-6,),CA$2,OFFSET($F$4:$BN$9,ROWS($1:72)*6-6,))</f>
        <v>0</v>
      </c>
      <c r="CB75" s="29">
        <f ca="1">SUMIF(OFFSET($E$4:$BM$9,ROWS($1:72)*6-6,),CB$2,OFFSET($F$4:$BN$9,ROWS($1:72)*6-6,))</f>
        <v>0</v>
      </c>
      <c r="CC75" s="43">
        <f ca="1">SUMIF(OFFSET($E$4:$BM$9,ROWS($1:72)*6-6,),CC$2,OFFSET($F$4:$BN$9,ROWS($1:72)*6-6,))</f>
        <v>0</v>
      </c>
      <c r="CD75" s="44" t="str">
        <f t="shared" si="3"/>
        <v>席金鹏</v>
      </c>
      <c r="CE75" s="44">
        <f ca="1">INDEX(FREQUENCY(MMULT({1,1},SUBTOTAL(9,OFFSET($E$1,MATCH($CD75,$C:$C,)+{3;4},INT(COLUMN($A:$AE)*2)-1))),{3.9,7.9,11.9}),COLUMN(B72))</f>
        <v>3</v>
      </c>
      <c r="CF75" s="44">
        <f ca="1">INDEX(FREQUENCY(MMULT({1,1},SUBTOTAL(9,OFFSET($E$1,MATCH($CD75,$C:$C,)+{3;4},INT(COLUMN($A:$AE)*2)-1))),{3.9,7.9,11.9}),COLUMN(C72))</f>
        <v>0</v>
      </c>
      <c r="CG75" s="44">
        <f ca="1">INDEX(FREQUENCY(MMULT({1,1},SUBTOTAL(9,OFFSET($E$1,MATCH($CD75,$C:$C,)+{3;4},INT(COLUMN($A:$AE)*2)-1))),{3.9,7.9,11.9}),COLUMN(D72))</f>
        <v>0</v>
      </c>
    </row>
    <row r="76" spans="1:85" ht="17.25" customHeight="1" x14ac:dyDescent="0.15">
      <c r="A76" s="84" t="s">
        <v>89</v>
      </c>
      <c r="B76" s="48" t="s">
        <v>107</v>
      </c>
      <c r="C76" s="48" t="s">
        <v>120</v>
      </c>
      <c r="D76" s="55" t="s">
        <v>45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14</v>
      </c>
      <c r="V76" s="11">
        <v>2</v>
      </c>
      <c r="W76" s="11" t="s">
        <v>14</v>
      </c>
      <c r="X76" s="11">
        <v>2</v>
      </c>
      <c r="Y76" s="11" t="s">
        <v>14</v>
      </c>
      <c r="Z76" s="11">
        <v>2</v>
      </c>
      <c r="AA76" s="11" t="s">
        <v>14</v>
      </c>
      <c r="AB76" s="11">
        <v>2</v>
      </c>
      <c r="AC76" s="11" t="s">
        <v>14</v>
      </c>
      <c r="AD76" s="11">
        <v>2</v>
      </c>
      <c r="AE76" s="11" t="s">
        <v>14</v>
      </c>
      <c r="AF76" s="11">
        <v>2</v>
      </c>
      <c r="AG76" s="11"/>
      <c r="AH76" s="11"/>
      <c r="AI76" s="11" t="s">
        <v>14</v>
      </c>
      <c r="AJ76" s="11">
        <v>2</v>
      </c>
      <c r="AK76" s="11" t="s">
        <v>14</v>
      </c>
      <c r="AL76" s="11">
        <v>2</v>
      </c>
      <c r="AM76" s="11" t="s">
        <v>14</v>
      </c>
      <c r="AN76" s="11">
        <v>2</v>
      </c>
      <c r="AO76" s="11" t="s">
        <v>14</v>
      </c>
      <c r="AP76" s="11">
        <v>2</v>
      </c>
      <c r="AQ76" s="11" t="s">
        <v>14</v>
      </c>
      <c r="AR76" s="11">
        <v>2</v>
      </c>
      <c r="AS76" s="11" t="s">
        <v>14</v>
      </c>
      <c r="AT76" s="11">
        <v>2</v>
      </c>
      <c r="AU76" s="11"/>
      <c r="AV76" s="11"/>
      <c r="AW76" s="11" t="s">
        <v>14</v>
      </c>
      <c r="AX76" s="11">
        <v>2</v>
      </c>
      <c r="AY76" s="11" t="s">
        <v>14</v>
      </c>
      <c r="AZ76" s="11">
        <v>2</v>
      </c>
      <c r="BA76" s="11" t="s">
        <v>14</v>
      </c>
      <c r="BB76" s="11">
        <v>2</v>
      </c>
      <c r="BC76" s="11" t="s">
        <v>14</v>
      </c>
      <c r="BD76" s="11">
        <v>2</v>
      </c>
      <c r="BE76" s="11" t="s">
        <v>14</v>
      </c>
      <c r="BF76" s="11">
        <v>2</v>
      </c>
      <c r="BG76" s="11" t="s">
        <v>14</v>
      </c>
      <c r="BH76" s="11">
        <v>2</v>
      </c>
      <c r="BI76" s="11" t="s">
        <v>16</v>
      </c>
      <c r="BJ76" s="11">
        <v>2</v>
      </c>
      <c r="BK76" s="11" t="s">
        <v>14</v>
      </c>
      <c r="BL76" s="11">
        <v>2</v>
      </c>
      <c r="BM76" s="11" t="s">
        <v>14</v>
      </c>
      <c r="BN76" s="34">
        <v>2</v>
      </c>
      <c r="BP76" s="27">
        <v>73</v>
      </c>
      <c r="BQ76" s="27" t="s">
        <v>69</v>
      </c>
      <c r="BR76" s="29">
        <f ca="1">SUMIF(OFFSET($E$4:$BM$9,ROWS($1:73)*6-6,),BR$2,OFFSET($F$4:$BN$9,ROWS($1:73)*6-6,))</f>
        <v>160</v>
      </c>
      <c r="BS76" s="29">
        <f ca="1">SUMIF(OFFSET($E$4:$BM$9,ROWS($1:73)*6-6,),BS$2,OFFSET($F$4:$BN$9,ROWS($1:73)*6-6,))</f>
        <v>42.5</v>
      </c>
      <c r="BT76" s="29">
        <f ca="1">SUMIF(OFFSET($E$4:$BM$9,ROWS($1:73)*6-6,),BT$2,OFFSET($F$4:$BN$9,ROWS($1:73)*6-6,))</f>
        <v>16</v>
      </c>
      <c r="BU76" s="29">
        <f ca="1">SUMIF(OFFSET($E$4:$BM$9,ROWS($1:73)*6-6,),BU$2,OFFSET($F$4:$BN$9,ROWS($1:73)*6-6,))</f>
        <v>0</v>
      </c>
      <c r="BV76" s="29">
        <f ca="1">SUMIF(OFFSET($E$4:$BM$9,ROWS($1:73)*6-6,),BV$2,OFFSET($F$4:$BN$9,ROWS($1:73)*6-6,))</f>
        <v>0</v>
      </c>
      <c r="BW76" s="29">
        <f ca="1">SUMIF(OFFSET($E$4:$BM$9,ROWS($1:73)*6-6,),BW$2,OFFSET($F$4:$BN$9,ROWS($1:73)*6-6,))</f>
        <v>0</v>
      </c>
      <c r="BX76" s="29">
        <f ca="1">SUMIF(OFFSET($E$4:$BM$9,ROWS($1:73)*6-6,),BX$2,OFFSET($F$4:$BN$9,ROWS($1:73)*6-6,))</f>
        <v>0</v>
      </c>
      <c r="BY76" s="29">
        <f ca="1">SUMIF(OFFSET($E$4:$BM$9,ROWS($1:73)*6-6,),BY$2,OFFSET($F$4:$BN$9,ROWS($1:73)*6-6,))</f>
        <v>0</v>
      </c>
      <c r="BZ76" s="29">
        <f ca="1">SUMIF(OFFSET($E$4:$BM$9,ROWS($1:73)*6-6,),BZ$2,OFFSET($F$4:$BN$9,ROWS($1:73)*6-6,))</f>
        <v>0</v>
      </c>
      <c r="CA76" s="29">
        <f ca="1">SUMIF(OFFSET($E$4:$BM$9,ROWS($1:73)*6-6,),CA$2,OFFSET($F$4:$BN$9,ROWS($1:73)*6-6,))</f>
        <v>0</v>
      </c>
      <c r="CB76" s="29">
        <f ca="1">SUMIF(OFFSET($E$4:$BM$9,ROWS($1:73)*6-6,),CB$2,OFFSET($F$4:$BN$9,ROWS($1:73)*6-6,))</f>
        <v>0</v>
      </c>
      <c r="CC76" s="43">
        <f ca="1">SUMIF(OFFSET($E$4:$BM$9,ROWS($1:73)*6-6,),CC$2,OFFSET($F$4:$BN$9,ROWS($1:73)*6-6,))</f>
        <v>0</v>
      </c>
      <c r="CD76" s="44" t="str">
        <f t="shared" si="3"/>
        <v>涂海清</v>
      </c>
      <c r="CE76" s="44">
        <f ca="1">INDEX(FREQUENCY(MMULT({1,1},SUBTOTAL(9,OFFSET($E$1,MATCH($CD76,$C:$C,)+{3;4},INT(COLUMN($A:$AE)*2)-1))),{3.9,7.9,11.9}),COLUMN(B73))</f>
        <v>7</v>
      </c>
      <c r="CF76" s="44">
        <f ca="1">INDEX(FREQUENCY(MMULT({1,1},SUBTOTAL(9,OFFSET($E$1,MATCH($CD76,$C:$C,)+{3;4},INT(COLUMN($A:$AE)*2)-1))),{3.9,7.9,11.9}),COLUMN(C73))</f>
        <v>0</v>
      </c>
      <c r="CG76" s="44">
        <f ca="1">INDEX(FREQUENCY(MMULT({1,1},SUBTOTAL(9,OFFSET($E$1,MATCH($CD76,$C:$C,)+{3;4},INT(COLUMN($A:$AE)*2)-1))),{3.9,7.9,11.9}),COLUMN(D73))</f>
        <v>0</v>
      </c>
    </row>
    <row r="77" spans="1:85" ht="17.25" customHeight="1" x14ac:dyDescent="0.15">
      <c r="A77" s="85"/>
      <c r="B77" s="49"/>
      <c r="C77" s="49"/>
      <c r="D77" s="56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 t="s">
        <v>14</v>
      </c>
      <c r="V77" s="12">
        <v>2</v>
      </c>
      <c r="W77" s="12" t="s">
        <v>14</v>
      </c>
      <c r="X77" s="12">
        <v>2</v>
      </c>
      <c r="Y77" s="12" t="s">
        <v>14</v>
      </c>
      <c r="Z77" s="12">
        <v>2</v>
      </c>
      <c r="AA77" s="12" t="s">
        <v>14</v>
      </c>
      <c r="AB77" s="12">
        <v>2</v>
      </c>
      <c r="AC77" s="12" t="s">
        <v>14</v>
      </c>
      <c r="AD77" s="12">
        <v>2</v>
      </c>
      <c r="AE77" s="12" t="s">
        <v>14</v>
      </c>
      <c r="AF77" s="12">
        <v>2</v>
      </c>
      <c r="AG77" s="12"/>
      <c r="AH77" s="12"/>
      <c r="AI77" s="12" t="s">
        <v>14</v>
      </c>
      <c r="AJ77" s="12">
        <v>2</v>
      </c>
      <c r="AK77" s="12" t="s">
        <v>14</v>
      </c>
      <c r="AL77" s="12">
        <v>2</v>
      </c>
      <c r="AM77" s="12" t="s">
        <v>14</v>
      </c>
      <c r="AN77" s="12">
        <v>2</v>
      </c>
      <c r="AO77" s="12" t="s">
        <v>14</v>
      </c>
      <c r="AP77" s="12">
        <v>2</v>
      </c>
      <c r="AQ77" s="12" t="s">
        <v>14</v>
      </c>
      <c r="AR77" s="12">
        <v>2</v>
      </c>
      <c r="AS77" s="12" t="s">
        <v>14</v>
      </c>
      <c r="AT77" s="12">
        <v>2</v>
      </c>
      <c r="AU77" s="12"/>
      <c r="AV77" s="12"/>
      <c r="AW77" s="12" t="s">
        <v>14</v>
      </c>
      <c r="AX77" s="12">
        <v>2</v>
      </c>
      <c r="AY77" s="12" t="s">
        <v>14</v>
      </c>
      <c r="AZ77" s="12">
        <v>2</v>
      </c>
      <c r="BA77" s="12" t="s">
        <v>14</v>
      </c>
      <c r="BB77" s="12">
        <v>2</v>
      </c>
      <c r="BC77" s="12" t="s">
        <v>14</v>
      </c>
      <c r="BD77" s="12">
        <v>2</v>
      </c>
      <c r="BE77" s="12" t="s">
        <v>14</v>
      </c>
      <c r="BF77" s="12">
        <v>2</v>
      </c>
      <c r="BG77" s="12" t="s">
        <v>14</v>
      </c>
      <c r="BH77" s="12">
        <v>2</v>
      </c>
      <c r="BI77" s="12" t="s">
        <v>16</v>
      </c>
      <c r="BJ77" s="12">
        <v>2</v>
      </c>
      <c r="BK77" s="12" t="s">
        <v>14</v>
      </c>
      <c r="BL77" s="12">
        <v>2</v>
      </c>
      <c r="BM77" s="12" t="s">
        <v>14</v>
      </c>
      <c r="BN77" s="35">
        <v>2</v>
      </c>
      <c r="BP77" s="27">
        <v>74</v>
      </c>
      <c r="BQ77" s="27" t="s">
        <v>149</v>
      </c>
      <c r="BR77" s="29">
        <f ca="1">SUMIF(OFFSET($E$4:$BM$9,ROWS($1:74)*6-6,),BR$2,OFFSET($F$4:$BN$9,ROWS($1:74)*6-6,))</f>
        <v>152</v>
      </c>
      <c r="BS77" s="29">
        <f ca="1">SUMIF(OFFSET($E$4:$BM$9,ROWS($1:74)*6-6,),BS$2,OFFSET($F$4:$BN$9,ROWS($1:74)*6-6,))</f>
        <v>28</v>
      </c>
      <c r="BT77" s="29">
        <f ca="1">SUMIF(OFFSET($E$4:$BM$9,ROWS($1:74)*6-6,),BT$2,OFFSET($F$4:$BN$9,ROWS($1:74)*6-6,))</f>
        <v>0</v>
      </c>
      <c r="BU77" s="29">
        <f ca="1">SUMIF(OFFSET($E$4:$BM$9,ROWS($1:74)*6-6,),BU$2,OFFSET($F$4:$BN$9,ROWS($1:74)*6-6,))</f>
        <v>8</v>
      </c>
      <c r="BV77" s="29">
        <f ca="1">SUMIF(OFFSET($E$4:$BM$9,ROWS($1:74)*6-6,),BV$2,OFFSET($F$4:$BN$9,ROWS($1:74)*6-6,))</f>
        <v>0</v>
      </c>
      <c r="BW77" s="29">
        <f ca="1">SUMIF(OFFSET($E$4:$BM$9,ROWS($1:74)*6-6,),BW$2,OFFSET($F$4:$BN$9,ROWS($1:74)*6-6,))</f>
        <v>0</v>
      </c>
      <c r="BX77" s="29">
        <f ca="1">SUMIF(OFFSET($E$4:$BM$9,ROWS($1:74)*6-6,),BX$2,OFFSET($F$4:$BN$9,ROWS($1:74)*6-6,))</f>
        <v>0</v>
      </c>
      <c r="BY77" s="29">
        <f ca="1">SUMIF(OFFSET($E$4:$BM$9,ROWS($1:74)*6-6,),BY$2,OFFSET($F$4:$BN$9,ROWS($1:74)*6-6,))</f>
        <v>0</v>
      </c>
      <c r="BZ77" s="29">
        <f ca="1">SUMIF(OFFSET($E$4:$BM$9,ROWS($1:74)*6-6,),BZ$2,OFFSET($F$4:$BN$9,ROWS($1:74)*6-6,))</f>
        <v>0</v>
      </c>
      <c r="CA77" s="29">
        <f ca="1">SUMIF(OFFSET($E$4:$BM$9,ROWS($1:74)*6-6,),CA$2,OFFSET($F$4:$BN$9,ROWS($1:74)*6-6,))</f>
        <v>0</v>
      </c>
      <c r="CB77" s="29">
        <f ca="1">SUMIF(OFFSET($E$4:$BM$9,ROWS($1:74)*6-6,),CB$2,OFFSET($F$4:$BN$9,ROWS($1:74)*6-6,))</f>
        <v>0</v>
      </c>
      <c r="CC77" s="43">
        <f ca="1">SUMIF(OFFSET($E$4:$BM$9,ROWS($1:74)*6-6,),CC$2,OFFSET($F$4:$BN$9,ROWS($1:74)*6-6,))</f>
        <v>0</v>
      </c>
      <c r="CD77" s="44" t="str">
        <f t="shared" si="3"/>
        <v>敬伟</v>
      </c>
      <c r="CE77" s="44">
        <f ca="1">INDEX(FREQUENCY(MMULT({1,1},SUBTOTAL(9,OFFSET($E$1,MATCH($CD77,$C:$C,)+{3;4},INT(COLUMN($A:$AE)*2)-1))),{3.9,7.9,11.9}),COLUMN(B74))</f>
        <v>5</v>
      </c>
      <c r="CF77" s="44">
        <f ca="1">INDEX(FREQUENCY(MMULT({1,1},SUBTOTAL(9,OFFSET($E$1,MATCH($CD77,$C:$C,)+{3;4},INT(COLUMN($A:$AE)*2)-1))),{3.9,7.9,11.9}),COLUMN(C74))</f>
        <v>0</v>
      </c>
      <c r="CG77" s="44">
        <f ca="1">INDEX(FREQUENCY(MMULT({1,1},SUBTOTAL(9,OFFSET($E$1,MATCH($CD77,$C:$C,)+{3;4},INT(COLUMN($A:$AE)*2)-1))),{3.9,7.9,11.9}),COLUMN(D74))</f>
        <v>0</v>
      </c>
    </row>
    <row r="78" spans="1:85" ht="17.25" customHeight="1" x14ac:dyDescent="0.15">
      <c r="A78" s="85"/>
      <c r="B78" s="49"/>
      <c r="C78" s="49"/>
      <c r="D78" s="57" t="s">
        <v>47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 t="s">
        <v>14</v>
      </c>
      <c r="V78" s="13">
        <v>2</v>
      </c>
      <c r="W78" s="13" t="s">
        <v>14</v>
      </c>
      <c r="X78" s="13">
        <v>2</v>
      </c>
      <c r="Y78" s="13" t="s">
        <v>14</v>
      </c>
      <c r="Z78" s="13">
        <v>2</v>
      </c>
      <c r="AA78" s="13" t="s">
        <v>14</v>
      </c>
      <c r="AB78" s="13">
        <v>2</v>
      </c>
      <c r="AC78" s="13" t="s">
        <v>14</v>
      </c>
      <c r="AD78" s="13">
        <v>2</v>
      </c>
      <c r="AE78" s="13" t="s">
        <v>14</v>
      </c>
      <c r="AF78" s="13">
        <v>2</v>
      </c>
      <c r="AG78" s="13"/>
      <c r="AH78" s="13"/>
      <c r="AI78" s="13" t="s">
        <v>14</v>
      </c>
      <c r="AJ78" s="13">
        <v>2</v>
      </c>
      <c r="AK78" s="13" t="s">
        <v>14</v>
      </c>
      <c r="AL78" s="13">
        <v>2</v>
      </c>
      <c r="AM78" s="13" t="s">
        <v>14</v>
      </c>
      <c r="AN78" s="13">
        <v>2</v>
      </c>
      <c r="AO78" s="13" t="s">
        <v>14</v>
      </c>
      <c r="AP78" s="13">
        <v>2</v>
      </c>
      <c r="AQ78" s="13" t="s">
        <v>14</v>
      </c>
      <c r="AR78" s="13">
        <v>2</v>
      </c>
      <c r="AS78" s="13" t="s">
        <v>14</v>
      </c>
      <c r="AT78" s="13">
        <v>2</v>
      </c>
      <c r="AU78" s="13"/>
      <c r="AV78" s="13"/>
      <c r="AW78" s="13" t="s">
        <v>14</v>
      </c>
      <c r="AX78" s="13">
        <v>2</v>
      </c>
      <c r="AY78" s="13" t="s">
        <v>14</v>
      </c>
      <c r="AZ78" s="13">
        <v>2</v>
      </c>
      <c r="BA78" s="13" t="s">
        <v>14</v>
      </c>
      <c r="BB78" s="13">
        <v>2</v>
      </c>
      <c r="BC78" s="13" t="s">
        <v>14</v>
      </c>
      <c r="BD78" s="13">
        <v>2</v>
      </c>
      <c r="BE78" s="13" t="s">
        <v>14</v>
      </c>
      <c r="BF78" s="13">
        <v>2</v>
      </c>
      <c r="BG78" s="13" t="s">
        <v>14</v>
      </c>
      <c r="BH78" s="13">
        <v>2</v>
      </c>
      <c r="BI78" s="13" t="s">
        <v>16</v>
      </c>
      <c r="BJ78" s="13">
        <v>2</v>
      </c>
      <c r="BK78" s="13" t="s">
        <v>14</v>
      </c>
      <c r="BL78" s="13">
        <v>2</v>
      </c>
      <c r="BM78" s="13" t="s">
        <v>14</v>
      </c>
      <c r="BN78" s="36">
        <v>2</v>
      </c>
      <c r="BP78" s="27">
        <v>75</v>
      </c>
      <c r="BQ78" s="27" t="s">
        <v>150</v>
      </c>
      <c r="BR78" s="29">
        <f ca="1">SUMIF(OFFSET($E$4:$BM$9,ROWS($1:75)*6-6,),BR$2,OFFSET($F$4:$BN$9,ROWS($1:75)*6-6,))</f>
        <v>160</v>
      </c>
      <c r="BS78" s="29">
        <f ca="1">SUMIF(OFFSET($E$4:$BM$9,ROWS($1:75)*6-6,),BS$2,OFFSET($F$4:$BN$9,ROWS($1:75)*6-6,))</f>
        <v>56</v>
      </c>
      <c r="BT78" s="29">
        <f ca="1">SUMIF(OFFSET($E$4:$BM$9,ROWS($1:75)*6-6,),BT$2,OFFSET($F$4:$BN$9,ROWS($1:75)*6-6,))</f>
        <v>16</v>
      </c>
      <c r="BU78" s="29">
        <f ca="1">SUMIF(OFFSET($E$4:$BM$9,ROWS($1:75)*6-6,),BU$2,OFFSET($F$4:$BN$9,ROWS($1:75)*6-6,))</f>
        <v>0</v>
      </c>
      <c r="BV78" s="29">
        <f ca="1">SUMIF(OFFSET($E$4:$BM$9,ROWS($1:75)*6-6,),BV$2,OFFSET($F$4:$BN$9,ROWS($1:75)*6-6,))</f>
        <v>0</v>
      </c>
      <c r="BW78" s="29">
        <f ca="1">SUMIF(OFFSET($E$4:$BM$9,ROWS($1:75)*6-6,),BW$2,OFFSET($F$4:$BN$9,ROWS($1:75)*6-6,))</f>
        <v>0</v>
      </c>
      <c r="BX78" s="29">
        <f ca="1">SUMIF(OFFSET($E$4:$BM$9,ROWS($1:75)*6-6,),BX$2,OFFSET($F$4:$BN$9,ROWS($1:75)*6-6,))</f>
        <v>0</v>
      </c>
      <c r="BY78" s="29">
        <f ca="1">SUMIF(OFFSET($E$4:$BM$9,ROWS($1:75)*6-6,),BY$2,OFFSET($F$4:$BN$9,ROWS($1:75)*6-6,))</f>
        <v>0</v>
      </c>
      <c r="BZ78" s="29">
        <f ca="1">SUMIF(OFFSET($E$4:$BM$9,ROWS($1:75)*6-6,),BZ$2,OFFSET($F$4:$BN$9,ROWS($1:75)*6-6,))</f>
        <v>0</v>
      </c>
      <c r="CA78" s="29">
        <f ca="1">SUMIF(OFFSET($E$4:$BM$9,ROWS($1:75)*6-6,),CA$2,OFFSET($F$4:$BN$9,ROWS($1:75)*6-6,))</f>
        <v>0</v>
      </c>
      <c r="CB78" s="29">
        <f ca="1">SUMIF(OFFSET($E$4:$BM$9,ROWS($1:75)*6-6,),CB$2,OFFSET($F$4:$BN$9,ROWS($1:75)*6-6,))</f>
        <v>0</v>
      </c>
      <c r="CC78" s="43">
        <f ca="1">SUMIF(OFFSET($E$4:$BM$9,ROWS($1:75)*6-6,),CC$2,OFFSET($F$4:$BN$9,ROWS($1:75)*6-6,))</f>
        <v>0</v>
      </c>
      <c r="CD78" s="44" t="str">
        <f t="shared" si="3"/>
        <v>李建新</v>
      </c>
      <c r="CE78" s="44">
        <f ca="1">INDEX(FREQUENCY(MMULT({1,1},SUBTOTAL(9,OFFSET($E$1,MATCH($CD78,$C:$C,)+{3;4},INT(COLUMN($A:$AE)*2)-1))),{3.9,7.9,11.9}),COLUMN(B75))</f>
        <v>9</v>
      </c>
      <c r="CF78" s="44">
        <f ca="1">INDEX(FREQUENCY(MMULT({1,1},SUBTOTAL(9,OFFSET($E$1,MATCH($CD78,$C:$C,)+{3;4},INT(COLUMN($A:$AE)*2)-1))),{3.9,7.9,11.9}),COLUMN(C75))</f>
        <v>0</v>
      </c>
      <c r="CG78" s="44">
        <f ca="1">INDEX(FREQUENCY(MMULT({1,1},SUBTOTAL(9,OFFSET($E$1,MATCH($CD78,$C:$C,)+{3;4},INT(COLUMN($A:$AE)*2)-1))),{3.9,7.9,11.9}),COLUMN(D75))</f>
        <v>0</v>
      </c>
    </row>
    <row r="79" spans="1:85" ht="17.25" customHeight="1" x14ac:dyDescent="0.15">
      <c r="A79" s="85"/>
      <c r="B79" s="49"/>
      <c r="C79" s="49"/>
      <c r="D79" s="56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14</v>
      </c>
      <c r="V79" s="12">
        <v>2</v>
      </c>
      <c r="W79" s="12" t="s">
        <v>14</v>
      </c>
      <c r="X79" s="12">
        <v>2</v>
      </c>
      <c r="Y79" s="12" t="s">
        <v>14</v>
      </c>
      <c r="Z79" s="12">
        <v>2</v>
      </c>
      <c r="AA79" s="12" t="s">
        <v>14</v>
      </c>
      <c r="AB79" s="12">
        <v>2</v>
      </c>
      <c r="AC79" s="12" t="s">
        <v>14</v>
      </c>
      <c r="AD79" s="12">
        <v>2</v>
      </c>
      <c r="AE79" s="12" t="s">
        <v>14</v>
      </c>
      <c r="AF79" s="12">
        <v>2</v>
      </c>
      <c r="AG79" s="12"/>
      <c r="AH79" s="12"/>
      <c r="AI79" s="12" t="s">
        <v>14</v>
      </c>
      <c r="AJ79" s="12">
        <v>2</v>
      </c>
      <c r="AK79" s="12" t="s">
        <v>14</v>
      </c>
      <c r="AL79" s="12">
        <v>2</v>
      </c>
      <c r="AM79" s="12" t="s">
        <v>14</v>
      </c>
      <c r="AN79" s="12">
        <v>2</v>
      </c>
      <c r="AO79" s="12" t="s">
        <v>14</v>
      </c>
      <c r="AP79" s="12">
        <v>2</v>
      </c>
      <c r="AQ79" s="12" t="s">
        <v>14</v>
      </c>
      <c r="AR79" s="12">
        <v>2</v>
      </c>
      <c r="AS79" s="12" t="s">
        <v>14</v>
      </c>
      <c r="AT79" s="12">
        <v>2</v>
      </c>
      <c r="AU79" s="12"/>
      <c r="AV79" s="12"/>
      <c r="AW79" s="12" t="s">
        <v>14</v>
      </c>
      <c r="AX79" s="12">
        <v>2</v>
      </c>
      <c r="AY79" s="12" t="s">
        <v>14</v>
      </c>
      <c r="AZ79" s="12">
        <v>2</v>
      </c>
      <c r="BA79" s="12" t="s">
        <v>14</v>
      </c>
      <c r="BB79" s="12">
        <v>2</v>
      </c>
      <c r="BC79" s="12" t="s">
        <v>14</v>
      </c>
      <c r="BD79" s="12">
        <v>2</v>
      </c>
      <c r="BE79" s="12" t="s">
        <v>14</v>
      </c>
      <c r="BF79" s="12">
        <v>2</v>
      </c>
      <c r="BG79" s="12" t="s">
        <v>14</v>
      </c>
      <c r="BH79" s="12">
        <v>2</v>
      </c>
      <c r="BI79" s="12" t="s">
        <v>16</v>
      </c>
      <c r="BJ79" s="12">
        <v>2</v>
      </c>
      <c r="BK79" s="12" t="s">
        <v>14</v>
      </c>
      <c r="BL79" s="12">
        <v>2</v>
      </c>
      <c r="BM79" s="12" t="s">
        <v>14</v>
      </c>
      <c r="BN79" s="35">
        <v>2</v>
      </c>
      <c r="BP79" s="27">
        <v>76</v>
      </c>
      <c r="BQ79" s="27" t="s">
        <v>77</v>
      </c>
      <c r="BR79" s="29">
        <f ca="1">SUMIF(OFFSET($E$4:$BM$9,ROWS($1:76)*6-6,),BR$2,OFFSET($F$4:$BN$9,ROWS($1:76)*6-6,))</f>
        <v>112</v>
      </c>
      <c r="BS79" s="29">
        <f ca="1">SUMIF(OFFSET($E$4:$BM$9,ROWS($1:76)*6-6,),BS$2,OFFSET($F$4:$BN$9,ROWS($1:76)*6-6,))</f>
        <v>39</v>
      </c>
      <c r="BT79" s="29">
        <f ca="1">SUMIF(OFFSET($E$4:$BM$9,ROWS($1:76)*6-6,),BT$2,OFFSET($F$4:$BN$9,ROWS($1:76)*6-6,))</f>
        <v>16</v>
      </c>
      <c r="BU79" s="29">
        <f ca="1">SUMIF(OFFSET($E$4:$BM$9,ROWS($1:76)*6-6,),BU$2,OFFSET($F$4:$BN$9,ROWS($1:76)*6-6,))</f>
        <v>48</v>
      </c>
      <c r="BV79" s="29">
        <f ca="1">SUMIF(OFFSET($E$4:$BM$9,ROWS($1:76)*6-6,),BV$2,OFFSET($F$4:$BN$9,ROWS($1:76)*6-6,))</f>
        <v>0</v>
      </c>
      <c r="BW79" s="29">
        <f ca="1">SUMIF(OFFSET($E$4:$BM$9,ROWS($1:76)*6-6,),BW$2,OFFSET($F$4:$BN$9,ROWS($1:76)*6-6,))</f>
        <v>0</v>
      </c>
      <c r="BX79" s="29">
        <f ca="1">SUMIF(OFFSET($E$4:$BM$9,ROWS($1:76)*6-6,),BX$2,OFFSET($F$4:$BN$9,ROWS($1:76)*6-6,))</f>
        <v>0</v>
      </c>
      <c r="BY79" s="29">
        <f ca="1">SUMIF(OFFSET($E$4:$BM$9,ROWS($1:76)*6-6,),BY$2,OFFSET($F$4:$BN$9,ROWS($1:76)*6-6,))</f>
        <v>0</v>
      </c>
      <c r="BZ79" s="29">
        <f ca="1">SUMIF(OFFSET($E$4:$BM$9,ROWS($1:76)*6-6,),BZ$2,OFFSET($F$4:$BN$9,ROWS($1:76)*6-6,))</f>
        <v>0</v>
      </c>
      <c r="CA79" s="29">
        <f ca="1">SUMIF(OFFSET($E$4:$BM$9,ROWS($1:76)*6-6,),CA$2,OFFSET($F$4:$BN$9,ROWS($1:76)*6-6,))</f>
        <v>0</v>
      </c>
      <c r="CB79" s="29">
        <f ca="1">SUMIF(OFFSET($E$4:$BM$9,ROWS($1:76)*6-6,),CB$2,OFFSET($F$4:$BN$9,ROWS($1:76)*6-6,))</f>
        <v>0</v>
      </c>
      <c r="CC79" s="43">
        <f ca="1">SUMIF(OFFSET($E$4:$BM$9,ROWS($1:76)*6-6,),CC$2,OFFSET($F$4:$BN$9,ROWS($1:76)*6-6,))</f>
        <v>0</v>
      </c>
      <c r="CD79" s="44" t="str">
        <f t="shared" si="3"/>
        <v>丁章帅</v>
      </c>
      <c r="CE79" s="44">
        <f ca="1">INDEX(FREQUENCY(MMULT({1,1},SUBTOTAL(9,OFFSET($E$1,MATCH($CD79,$C:$C,)+{3;4},INT(COLUMN($A:$AE)*2)-1))),{3.9,7.9,11.9}),COLUMN(B76))</f>
        <v>2</v>
      </c>
      <c r="CF79" s="44">
        <f ca="1">INDEX(FREQUENCY(MMULT({1,1},SUBTOTAL(9,OFFSET($E$1,MATCH($CD79,$C:$C,)+{3;4},INT(COLUMN($A:$AE)*2)-1))),{3.9,7.9,11.9}),COLUMN(C76))</f>
        <v>0</v>
      </c>
      <c r="CG79" s="44">
        <f ca="1">INDEX(FREQUENCY(MMULT({1,1},SUBTOTAL(9,OFFSET($E$1,MATCH($CD79,$C:$C,)+{3;4},INT(COLUMN($A:$AE)*2)-1))),{3.9,7.9,11.9}),COLUMN(D76))</f>
        <v>0</v>
      </c>
    </row>
    <row r="80" spans="1:85" ht="17.25" customHeight="1" x14ac:dyDescent="0.15">
      <c r="A80" s="85"/>
      <c r="B80" s="49"/>
      <c r="C80" s="49"/>
      <c r="D80" s="58" t="s">
        <v>49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 t="s">
        <v>15</v>
      </c>
      <c r="V80" s="14"/>
      <c r="W80" s="14" t="s">
        <v>15</v>
      </c>
      <c r="X80" s="14">
        <v>3</v>
      </c>
      <c r="Y80" s="14" t="s">
        <v>15</v>
      </c>
      <c r="Z80" s="14">
        <v>3</v>
      </c>
      <c r="AA80" s="14" t="s">
        <v>15</v>
      </c>
      <c r="AB80" s="14">
        <v>3</v>
      </c>
      <c r="AC80" s="14" t="s">
        <v>15</v>
      </c>
      <c r="AD80" s="14">
        <v>3</v>
      </c>
      <c r="AE80" s="14" t="s">
        <v>15</v>
      </c>
      <c r="AF80" s="14"/>
      <c r="AG80" s="14"/>
      <c r="AH80" s="14"/>
      <c r="AI80" s="14" t="s">
        <v>15</v>
      </c>
      <c r="AJ80" s="14">
        <v>3</v>
      </c>
      <c r="AK80" s="14" t="s">
        <v>15</v>
      </c>
      <c r="AL80" s="14">
        <v>3</v>
      </c>
      <c r="AM80" s="14" t="s">
        <v>15</v>
      </c>
      <c r="AN80" s="14">
        <v>3</v>
      </c>
      <c r="AO80" s="14" t="s">
        <v>15</v>
      </c>
      <c r="AP80" s="14">
        <v>3</v>
      </c>
      <c r="AQ80" s="14" t="s">
        <v>15</v>
      </c>
      <c r="AR80" s="14">
        <v>3</v>
      </c>
      <c r="AS80" s="14" t="s">
        <v>15</v>
      </c>
      <c r="AT80" s="14"/>
      <c r="AU80" s="14"/>
      <c r="AV80" s="14"/>
      <c r="AW80" s="14" t="s">
        <v>15</v>
      </c>
      <c r="AX80" s="14">
        <v>3</v>
      </c>
      <c r="AY80" s="14" t="s">
        <v>15</v>
      </c>
      <c r="AZ80" s="14">
        <v>3</v>
      </c>
      <c r="BA80" s="14" t="s">
        <v>15</v>
      </c>
      <c r="BB80" s="14">
        <v>3</v>
      </c>
      <c r="BC80" s="14" t="s">
        <v>15</v>
      </c>
      <c r="BD80" s="14"/>
      <c r="BE80" s="14" t="s">
        <v>15</v>
      </c>
      <c r="BF80" s="14"/>
      <c r="BG80" s="14" t="s">
        <v>15</v>
      </c>
      <c r="BH80" s="14"/>
      <c r="BI80" s="14"/>
      <c r="BJ80" s="14"/>
      <c r="BK80" s="14" t="s">
        <v>15</v>
      </c>
      <c r="BL80" s="14">
        <v>3</v>
      </c>
      <c r="BM80" s="14" t="s">
        <v>15</v>
      </c>
      <c r="BN80" s="37"/>
      <c r="BP80" s="27">
        <v>77</v>
      </c>
      <c r="BQ80" s="27" t="s">
        <v>151</v>
      </c>
      <c r="BR80" s="29">
        <f ca="1">SUMIF(OFFSET($E$4:$BM$9,ROWS($1:77)*6-6,),BR$2,OFFSET($F$4:$BN$9,ROWS($1:77)*6-6,))</f>
        <v>160</v>
      </c>
      <c r="BS80" s="29">
        <f ca="1">SUMIF(OFFSET($E$4:$BM$9,ROWS($1:77)*6-6,),BS$2,OFFSET($F$4:$BN$9,ROWS($1:77)*6-6,))</f>
        <v>44.5</v>
      </c>
      <c r="BT80" s="29">
        <f ca="1">SUMIF(OFFSET($E$4:$BM$9,ROWS($1:77)*6-6,),BT$2,OFFSET($F$4:$BN$9,ROWS($1:77)*6-6,))</f>
        <v>16</v>
      </c>
      <c r="BU80" s="29">
        <f ca="1">SUMIF(OFFSET($E$4:$BM$9,ROWS($1:77)*6-6,),BU$2,OFFSET($F$4:$BN$9,ROWS($1:77)*6-6,))</f>
        <v>0</v>
      </c>
      <c r="BV80" s="29">
        <f ca="1">SUMIF(OFFSET($E$4:$BM$9,ROWS($1:77)*6-6,),BV$2,OFFSET($F$4:$BN$9,ROWS($1:77)*6-6,))</f>
        <v>0</v>
      </c>
      <c r="BW80" s="29">
        <f ca="1">SUMIF(OFFSET($E$4:$BM$9,ROWS($1:77)*6-6,),BW$2,OFFSET($F$4:$BN$9,ROWS($1:77)*6-6,))</f>
        <v>0</v>
      </c>
      <c r="BX80" s="29">
        <f ca="1">SUMIF(OFFSET($E$4:$BM$9,ROWS($1:77)*6-6,),BX$2,OFFSET($F$4:$BN$9,ROWS($1:77)*6-6,))</f>
        <v>0</v>
      </c>
      <c r="BY80" s="29">
        <f ca="1">SUMIF(OFFSET($E$4:$BM$9,ROWS($1:77)*6-6,),BY$2,OFFSET($F$4:$BN$9,ROWS($1:77)*6-6,))</f>
        <v>0</v>
      </c>
      <c r="BZ80" s="29">
        <f ca="1">SUMIF(OFFSET($E$4:$BM$9,ROWS($1:77)*6-6,),BZ$2,OFFSET($F$4:$BN$9,ROWS($1:77)*6-6,))</f>
        <v>0</v>
      </c>
      <c r="CA80" s="29">
        <f ca="1">SUMIF(OFFSET($E$4:$BM$9,ROWS($1:77)*6-6,),CA$2,OFFSET($F$4:$BN$9,ROWS($1:77)*6-6,))</f>
        <v>0</v>
      </c>
      <c r="CB80" s="29">
        <f ca="1">SUMIF(OFFSET($E$4:$BM$9,ROWS($1:77)*6-6,),CB$2,OFFSET($F$4:$BN$9,ROWS($1:77)*6-6,))</f>
        <v>0</v>
      </c>
      <c r="CC80" s="43">
        <f ca="1">SUMIF(OFFSET($E$4:$BM$9,ROWS($1:77)*6-6,),CC$2,OFFSET($F$4:$BN$9,ROWS($1:77)*6-6,))</f>
        <v>0</v>
      </c>
      <c r="CD80" s="44" t="str">
        <f t="shared" si="3"/>
        <v>徐昌萍</v>
      </c>
      <c r="CE80" s="44">
        <f ca="1">INDEX(FREQUENCY(MMULT({1,1},SUBTOTAL(9,OFFSET($E$1,MATCH($CD80,$C:$C,)+{3;4},INT(COLUMN($A:$AE)*2)-1))),{3.9,7.9,11.9}),COLUMN(B77))</f>
        <v>7</v>
      </c>
      <c r="CF80" s="44">
        <f ca="1">INDEX(FREQUENCY(MMULT({1,1},SUBTOTAL(9,OFFSET($E$1,MATCH($CD80,$C:$C,)+{3;4},INT(COLUMN($A:$AE)*2)-1))),{3.9,7.9,11.9}),COLUMN(C77))</f>
        <v>0</v>
      </c>
      <c r="CG80" s="44">
        <f ca="1">INDEX(FREQUENCY(MMULT({1,1},SUBTOTAL(9,OFFSET($E$1,MATCH($CD80,$C:$C,)+{3;4},INT(COLUMN($A:$AE)*2)-1))),{3.9,7.9,11.9}),COLUMN(D77))</f>
        <v>0</v>
      </c>
    </row>
    <row r="81" spans="1:85" ht="17.25" customHeight="1" thickBot="1" x14ac:dyDescent="0.2">
      <c r="A81" s="86"/>
      <c r="B81" s="50"/>
      <c r="C81" s="50"/>
      <c r="D81" s="59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38"/>
      <c r="BP81" s="27">
        <v>78</v>
      </c>
      <c r="BQ81" s="27" t="s">
        <v>170</v>
      </c>
      <c r="BR81" s="29">
        <f ca="1">SUMIF(OFFSET($E$4:$BM$9,ROWS($1:78)*6-6,),BR$2,OFFSET($F$4:$BN$9,ROWS($1:78)*6-6,))</f>
        <v>136</v>
      </c>
      <c r="BS81" s="29">
        <f ca="1">SUMIF(OFFSET($E$4:$BM$9,ROWS($1:78)*6-6,),BS$2,OFFSET($F$4:$BN$9,ROWS($1:78)*6-6,))</f>
        <v>23</v>
      </c>
      <c r="BT81" s="29">
        <f ca="1">SUMIF(OFFSET($E$4:$BM$9,ROWS($1:78)*6-6,),BT$2,OFFSET($F$4:$BN$9,ROWS($1:78)*6-6,))</f>
        <v>0</v>
      </c>
      <c r="BU81" s="29">
        <f ca="1">SUMIF(OFFSET($E$4:$BM$9,ROWS($1:78)*6-6,),BU$2,OFFSET($F$4:$BN$9,ROWS($1:78)*6-6,))</f>
        <v>0</v>
      </c>
      <c r="BV81" s="29">
        <f ca="1">SUMIF(OFFSET($E$4:$BM$9,ROWS($1:78)*6-6,),BV$2,OFFSET($F$4:$BN$9,ROWS($1:78)*6-6,))</f>
        <v>24</v>
      </c>
      <c r="BW81" s="29">
        <f ca="1">SUMIF(OFFSET($E$4:$BM$9,ROWS($1:78)*6-6,),BW$2,OFFSET($F$4:$BN$9,ROWS($1:78)*6-6,))</f>
        <v>0</v>
      </c>
      <c r="BX81" s="29">
        <f ca="1">SUMIF(OFFSET($E$4:$BM$9,ROWS($1:78)*6-6,),BX$2,OFFSET($F$4:$BN$9,ROWS($1:78)*6-6,))</f>
        <v>0</v>
      </c>
      <c r="BY81" s="29">
        <f ca="1">SUMIF(OFFSET($E$4:$BM$9,ROWS($1:78)*6-6,),BY$2,OFFSET($F$4:$BN$9,ROWS($1:78)*6-6,))</f>
        <v>0</v>
      </c>
      <c r="BZ81" s="29">
        <f ca="1">SUMIF(OFFSET($E$4:$BM$9,ROWS($1:78)*6-6,),BZ$2,OFFSET($F$4:$BN$9,ROWS($1:78)*6-6,))</f>
        <v>0</v>
      </c>
      <c r="CA81" s="29">
        <f ca="1">SUMIF(OFFSET($E$4:$BM$9,ROWS($1:78)*6-6,),CA$2,OFFSET($F$4:$BN$9,ROWS($1:78)*6-6,))</f>
        <v>0</v>
      </c>
      <c r="CB81" s="29">
        <f ca="1">SUMIF(OFFSET($E$4:$BM$9,ROWS($1:78)*6-6,),CB$2,OFFSET($F$4:$BN$9,ROWS($1:78)*6-6,))</f>
        <v>0</v>
      </c>
      <c r="CC81" s="43">
        <f ca="1">SUMIF(OFFSET($E$4:$BM$9,ROWS($1:78)*6-6,),CC$2,OFFSET($F$4:$BN$9,ROWS($1:78)*6-6,))</f>
        <v>0</v>
      </c>
      <c r="CD81" s="44" t="str">
        <f t="shared" si="3"/>
        <v>许进凤</v>
      </c>
      <c r="CE81" s="44">
        <f ca="1">INDEX(FREQUENCY(MMULT({1,1},SUBTOTAL(9,OFFSET($E$1,MATCH($CD81,$C:$C,)+{3;4},INT(COLUMN($A:$AE)*2)-1))),{3.9,7.9,11.9}),COLUMN(B78))</f>
        <v>0</v>
      </c>
      <c r="CF81" s="44">
        <f ca="1">INDEX(FREQUENCY(MMULT({1,1},SUBTOTAL(9,OFFSET($E$1,MATCH($CD81,$C:$C,)+{3;4},INT(COLUMN($A:$AE)*2)-1))),{3.9,7.9,11.9}),COLUMN(C78))</f>
        <v>0</v>
      </c>
      <c r="CG81" s="44">
        <f ca="1">INDEX(FREQUENCY(MMULT({1,1},SUBTOTAL(9,OFFSET($E$1,MATCH($CD81,$C:$C,)+{3;4},INT(COLUMN($A:$AE)*2)-1))),{3.9,7.9,11.9}),COLUMN(D78))</f>
        <v>0</v>
      </c>
    </row>
    <row r="82" spans="1:85" ht="17.25" customHeight="1" x14ac:dyDescent="0.15">
      <c r="A82" s="84" t="s">
        <v>89</v>
      </c>
      <c r="B82" s="48" t="s">
        <v>107</v>
      </c>
      <c r="C82" s="48" t="s">
        <v>121</v>
      </c>
      <c r="D82" s="55" t="s">
        <v>45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14</v>
      </c>
      <c r="V82" s="11">
        <v>2</v>
      </c>
      <c r="W82" s="11" t="s">
        <v>14</v>
      </c>
      <c r="X82" s="11">
        <v>2</v>
      </c>
      <c r="Y82" s="11" t="s">
        <v>14</v>
      </c>
      <c r="Z82" s="11">
        <v>2</v>
      </c>
      <c r="AA82" s="11" t="s">
        <v>14</v>
      </c>
      <c r="AB82" s="11">
        <v>2</v>
      </c>
      <c r="AC82" s="11" t="s">
        <v>14</v>
      </c>
      <c r="AD82" s="11">
        <v>2</v>
      </c>
      <c r="AE82" s="11" t="s">
        <v>14</v>
      </c>
      <c r="AF82" s="11">
        <v>2</v>
      </c>
      <c r="AG82" s="11"/>
      <c r="AH82" s="11"/>
      <c r="AI82" s="11" t="s">
        <v>14</v>
      </c>
      <c r="AJ82" s="11">
        <v>2</v>
      </c>
      <c r="AK82" s="11" t="s">
        <v>14</v>
      </c>
      <c r="AL82" s="11">
        <v>2</v>
      </c>
      <c r="AM82" s="11" t="s">
        <v>14</v>
      </c>
      <c r="AN82" s="11">
        <v>2</v>
      </c>
      <c r="AO82" s="11" t="s">
        <v>14</v>
      </c>
      <c r="AP82" s="11">
        <v>2</v>
      </c>
      <c r="AQ82" s="11" t="s">
        <v>14</v>
      </c>
      <c r="AR82" s="11">
        <v>2</v>
      </c>
      <c r="AS82" s="11" t="s">
        <v>14</v>
      </c>
      <c r="AT82" s="11">
        <v>2</v>
      </c>
      <c r="AU82" s="11"/>
      <c r="AV82" s="11"/>
      <c r="AW82" s="11" t="s">
        <v>14</v>
      </c>
      <c r="AX82" s="11">
        <v>2</v>
      </c>
      <c r="AY82" s="11" t="s">
        <v>14</v>
      </c>
      <c r="AZ82" s="11">
        <v>2</v>
      </c>
      <c r="BA82" s="11" t="s">
        <v>14</v>
      </c>
      <c r="BB82" s="11">
        <v>2</v>
      </c>
      <c r="BC82" s="11" t="s">
        <v>14</v>
      </c>
      <c r="BD82" s="11">
        <v>2</v>
      </c>
      <c r="BE82" s="11" t="s">
        <v>14</v>
      </c>
      <c r="BF82" s="11">
        <v>2</v>
      </c>
      <c r="BG82" s="11" t="s">
        <v>14</v>
      </c>
      <c r="BH82" s="11">
        <v>2</v>
      </c>
      <c r="BI82" s="11" t="s">
        <v>16</v>
      </c>
      <c r="BJ82" s="11">
        <v>2</v>
      </c>
      <c r="BK82" s="11" t="s">
        <v>14</v>
      </c>
      <c r="BL82" s="11">
        <v>2</v>
      </c>
      <c r="BM82" s="11" t="s">
        <v>14</v>
      </c>
      <c r="BN82" s="34">
        <v>2</v>
      </c>
      <c r="BP82" s="27">
        <v>79</v>
      </c>
      <c r="BQ82" s="27" t="s">
        <v>171</v>
      </c>
      <c r="BR82" s="29">
        <f ca="1">SUMIF(OFFSET($E$4:$BM$9,ROWS($1:79)*6-6,),BR$2,OFFSET($F$4:$BN$9,ROWS($1:79)*6-6,))</f>
        <v>136</v>
      </c>
      <c r="BS82" s="29">
        <f ca="1">SUMIF(OFFSET($E$4:$BM$9,ROWS($1:79)*6-6,),BS$2,OFFSET($F$4:$BN$9,ROWS($1:79)*6-6,))</f>
        <v>8</v>
      </c>
      <c r="BT82" s="29">
        <f ca="1">SUMIF(OFFSET($E$4:$BM$9,ROWS($1:79)*6-6,),BT$2,OFFSET($F$4:$BN$9,ROWS($1:79)*6-6,))</f>
        <v>0</v>
      </c>
      <c r="BU82" s="29">
        <f ca="1">SUMIF(OFFSET($E$4:$BM$9,ROWS($1:79)*6-6,),BU$2,OFFSET($F$4:$BN$9,ROWS($1:79)*6-6,))</f>
        <v>0</v>
      </c>
      <c r="BV82" s="29">
        <f ca="1">SUMIF(OFFSET($E$4:$BM$9,ROWS($1:79)*6-6,),BV$2,OFFSET($F$4:$BN$9,ROWS($1:79)*6-6,))</f>
        <v>24</v>
      </c>
      <c r="BW82" s="29">
        <f ca="1">SUMIF(OFFSET($E$4:$BM$9,ROWS($1:79)*6-6,),BW$2,OFFSET($F$4:$BN$9,ROWS($1:79)*6-6,))</f>
        <v>0</v>
      </c>
      <c r="BX82" s="29">
        <f ca="1">SUMIF(OFFSET($E$4:$BM$9,ROWS($1:79)*6-6,),BX$2,OFFSET($F$4:$BN$9,ROWS($1:79)*6-6,))</f>
        <v>0</v>
      </c>
      <c r="BY82" s="29">
        <f ca="1">SUMIF(OFFSET($E$4:$BM$9,ROWS($1:79)*6-6,),BY$2,OFFSET($F$4:$BN$9,ROWS($1:79)*6-6,))</f>
        <v>0</v>
      </c>
      <c r="BZ82" s="29">
        <f ca="1">SUMIF(OFFSET($E$4:$BM$9,ROWS($1:79)*6-6,),BZ$2,OFFSET($F$4:$BN$9,ROWS($1:79)*6-6,))</f>
        <v>0</v>
      </c>
      <c r="CA82" s="29">
        <f ca="1">SUMIF(OFFSET($E$4:$BM$9,ROWS($1:79)*6-6,),CA$2,OFFSET($F$4:$BN$9,ROWS($1:79)*6-6,))</f>
        <v>0</v>
      </c>
      <c r="CB82" s="29">
        <f ca="1">SUMIF(OFFSET($E$4:$BM$9,ROWS($1:79)*6-6,),CB$2,OFFSET($F$4:$BN$9,ROWS($1:79)*6-6,))</f>
        <v>0</v>
      </c>
      <c r="CC82" s="43">
        <f ca="1">SUMIF(OFFSET($E$4:$BM$9,ROWS($1:79)*6-6,),CC$2,OFFSET($F$4:$BN$9,ROWS($1:79)*6-6,))</f>
        <v>0</v>
      </c>
      <c r="CD82" s="44" t="str">
        <f t="shared" si="3"/>
        <v>李文禄</v>
      </c>
      <c r="CE82" s="44">
        <f ca="1">INDEX(FREQUENCY(MMULT({1,1},SUBTOTAL(9,OFFSET($E$1,MATCH($CD82,$C:$C,)+{3;4},INT(COLUMN($A:$AE)*2)-1))),{3.9,7.9,11.9}),COLUMN(B79))</f>
        <v>0</v>
      </c>
      <c r="CF82" s="44">
        <f ca="1">INDEX(FREQUENCY(MMULT({1,1},SUBTOTAL(9,OFFSET($E$1,MATCH($CD82,$C:$C,)+{3;4},INT(COLUMN($A:$AE)*2)-1))),{3.9,7.9,11.9}),COLUMN(C79))</f>
        <v>0</v>
      </c>
      <c r="CG82" s="44">
        <f ca="1">INDEX(FREQUENCY(MMULT({1,1},SUBTOTAL(9,OFFSET($E$1,MATCH($CD82,$C:$C,)+{3;4},INT(COLUMN($A:$AE)*2)-1))),{3.9,7.9,11.9}),COLUMN(D79))</f>
        <v>0</v>
      </c>
    </row>
    <row r="83" spans="1:85" ht="17.25" customHeight="1" x14ac:dyDescent="0.15">
      <c r="A83" s="85"/>
      <c r="B83" s="49"/>
      <c r="C83" s="49"/>
      <c r="D83" s="56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 t="s">
        <v>14</v>
      </c>
      <c r="V83" s="12">
        <v>2</v>
      </c>
      <c r="W83" s="12" t="s">
        <v>14</v>
      </c>
      <c r="X83" s="12">
        <v>2</v>
      </c>
      <c r="Y83" s="12" t="s">
        <v>14</v>
      </c>
      <c r="Z83" s="12">
        <v>2</v>
      </c>
      <c r="AA83" s="12" t="s">
        <v>14</v>
      </c>
      <c r="AB83" s="12">
        <v>2</v>
      </c>
      <c r="AC83" s="12" t="s">
        <v>14</v>
      </c>
      <c r="AD83" s="12">
        <v>2</v>
      </c>
      <c r="AE83" s="12" t="s">
        <v>14</v>
      </c>
      <c r="AF83" s="12">
        <v>2</v>
      </c>
      <c r="AG83" s="12"/>
      <c r="AH83" s="12"/>
      <c r="AI83" s="12" t="s">
        <v>14</v>
      </c>
      <c r="AJ83" s="12">
        <v>2</v>
      </c>
      <c r="AK83" s="12" t="s">
        <v>14</v>
      </c>
      <c r="AL83" s="12">
        <v>2</v>
      </c>
      <c r="AM83" s="12" t="s">
        <v>14</v>
      </c>
      <c r="AN83" s="12">
        <v>2</v>
      </c>
      <c r="AO83" s="12" t="s">
        <v>14</v>
      </c>
      <c r="AP83" s="12">
        <v>2</v>
      </c>
      <c r="AQ83" s="12" t="s">
        <v>14</v>
      </c>
      <c r="AR83" s="12">
        <v>2</v>
      </c>
      <c r="AS83" s="12" t="s">
        <v>14</v>
      </c>
      <c r="AT83" s="12">
        <v>2</v>
      </c>
      <c r="AU83" s="12"/>
      <c r="AV83" s="12"/>
      <c r="AW83" s="12" t="s">
        <v>14</v>
      </c>
      <c r="AX83" s="12">
        <v>2</v>
      </c>
      <c r="AY83" s="12" t="s">
        <v>14</v>
      </c>
      <c r="AZ83" s="12">
        <v>2</v>
      </c>
      <c r="BA83" s="12" t="s">
        <v>14</v>
      </c>
      <c r="BB83" s="12">
        <v>2</v>
      </c>
      <c r="BC83" s="12" t="s">
        <v>14</v>
      </c>
      <c r="BD83" s="12">
        <v>2</v>
      </c>
      <c r="BE83" s="12" t="s">
        <v>14</v>
      </c>
      <c r="BF83" s="12">
        <v>2</v>
      </c>
      <c r="BG83" s="12" t="s">
        <v>14</v>
      </c>
      <c r="BH83" s="12">
        <v>2</v>
      </c>
      <c r="BI83" s="12" t="s">
        <v>16</v>
      </c>
      <c r="BJ83" s="12">
        <v>2</v>
      </c>
      <c r="BK83" s="12" t="s">
        <v>14</v>
      </c>
      <c r="BL83" s="12">
        <v>2</v>
      </c>
      <c r="BM83" s="12" t="s">
        <v>14</v>
      </c>
      <c r="BN83" s="35">
        <v>2</v>
      </c>
      <c r="BP83" s="27">
        <v>80</v>
      </c>
      <c r="BQ83" s="27" t="s">
        <v>174</v>
      </c>
      <c r="BR83" s="29">
        <f ca="1">SUMIF(OFFSET($E$4:$BM$9,ROWS($1:80)*6-6,),BR$2,OFFSET($F$4:$BN$9,ROWS($1:80)*6-6,))</f>
        <v>160</v>
      </c>
      <c r="BS83" s="29">
        <f ca="1">SUMIF(OFFSET($E$4:$BM$9,ROWS($1:80)*6-6,),BS$2,OFFSET($F$4:$BN$9,ROWS($1:80)*6-6,))</f>
        <v>0</v>
      </c>
      <c r="BT83" s="29">
        <f ca="1">SUMIF(OFFSET($E$4:$BM$9,ROWS($1:80)*6-6,),BT$2,OFFSET($F$4:$BN$9,ROWS($1:80)*6-6,))</f>
        <v>0</v>
      </c>
      <c r="BU83" s="29">
        <f ca="1">SUMIF(OFFSET($E$4:$BM$9,ROWS($1:80)*6-6,),BU$2,OFFSET($F$4:$BN$9,ROWS($1:80)*6-6,))</f>
        <v>0</v>
      </c>
      <c r="BV83" s="29">
        <f ca="1">SUMIF(OFFSET($E$4:$BM$9,ROWS($1:80)*6-6,),BV$2,OFFSET($F$4:$BN$9,ROWS($1:80)*6-6,))</f>
        <v>0</v>
      </c>
      <c r="BW83" s="29">
        <f ca="1">SUMIF(OFFSET($E$4:$BM$9,ROWS($1:80)*6-6,),BW$2,OFFSET($F$4:$BN$9,ROWS($1:80)*6-6,))</f>
        <v>0</v>
      </c>
      <c r="BX83" s="29">
        <f ca="1">SUMIF(OFFSET($E$4:$BM$9,ROWS($1:80)*6-6,),BX$2,OFFSET($F$4:$BN$9,ROWS($1:80)*6-6,))</f>
        <v>0</v>
      </c>
      <c r="BY83" s="29">
        <f ca="1">SUMIF(OFFSET($E$4:$BM$9,ROWS($1:80)*6-6,),BY$2,OFFSET($F$4:$BN$9,ROWS($1:80)*6-6,))</f>
        <v>0</v>
      </c>
      <c r="BZ83" s="29">
        <f ca="1">SUMIF(OFFSET($E$4:$BM$9,ROWS($1:80)*6-6,),BZ$2,OFFSET($F$4:$BN$9,ROWS($1:80)*6-6,))</f>
        <v>0</v>
      </c>
      <c r="CA83" s="29">
        <f ca="1">SUMIF(OFFSET($E$4:$BM$9,ROWS($1:80)*6-6,),CA$2,OFFSET($F$4:$BN$9,ROWS($1:80)*6-6,))</f>
        <v>0</v>
      </c>
      <c r="CB83" s="29">
        <f ca="1">SUMIF(OFFSET($E$4:$BM$9,ROWS($1:80)*6-6,),CB$2,OFFSET($F$4:$BN$9,ROWS($1:80)*6-6,))</f>
        <v>0</v>
      </c>
      <c r="CC83" s="43">
        <f ca="1">SUMIF(OFFSET($E$4:$BM$9,ROWS($1:80)*6-6,),CC$2,OFFSET($F$4:$BN$9,ROWS($1:80)*6-6,))</f>
        <v>0</v>
      </c>
      <c r="CD83" s="44" t="str">
        <f t="shared" si="3"/>
        <v>黄川平</v>
      </c>
      <c r="CE83" s="44">
        <f ca="1">INDEX(FREQUENCY(MMULT({1,1},SUBTOTAL(9,OFFSET($E$1,MATCH($CD83,$C:$C,)+{3;4},INT(COLUMN($A:$AE)*2)-1))),{3.9,7.9,11.9}),COLUMN(B80))</f>
        <v>0</v>
      </c>
      <c r="CF83" s="44">
        <f ca="1">INDEX(FREQUENCY(MMULT({1,1},SUBTOTAL(9,OFFSET($E$1,MATCH($CD83,$C:$C,)+{3;4},INT(COLUMN($A:$AE)*2)-1))),{3.9,7.9,11.9}),COLUMN(C80))</f>
        <v>0</v>
      </c>
      <c r="CG83" s="44">
        <f ca="1">INDEX(FREQUENCY(MMULT({1,1},SUBTOTAL(9,OFFSET($E$1,MATCH($CD83,$C:$C,)+{3;4},INT(COLUMN($A:$AE)*2)-1))),{3.9,7.9,11.9}),COLUMN(D80))</f>
        <v>0</v>
      </c>
    </row>
    <row r="84" spans="1:85" ht="17.25" customHeight="1" x14ac:dyDescent="0.15">
      <c r="A84" s="85"/>
      <c r="B84" s="49"/>
      <c r="C84" s="49"/>
      <c r="D84" s="57" t="s">
        <v>47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 t="s">
        <v>14</v>
      </c>
      <c r="V84" s="13">
        <v>2</v>
      </c>
      <c r="W84" s="13" t="s">
        <v>14</v>
      </c>
      <c r="X84" s="13">
        <v>2</v>
      </c>
      <c r="Y84" s="13" t="s">
        <v>14</v>
      </c>
      <c r="Z84" s="13">
        <v>2</v>
      </c>
      <c r="AA84" s="13" t="s">
        <v>14</v>
      </c>
      <c r="AB84" s="13">
        <v>2</v>
      </c>
      <c r="AC84" s="13" t="s">
        <v>14</v>
      </c>
      <c r="AD84" s="13">
        <v>2</v>
      </c>
      <c r="AE84" s="13" t="s">
        <v>14</v>
      </c>
      <c r="AF84" s="13">
        <v>2</v>
      </c>
      <c r="AG84" s="13"/>
      <c r="AH84" s="13"/>
      <c r="AI84" s="13" t="s">
        <v>14</v>
      </c>
      <c r="AJ84" s="13">
        <v>2</v>
      </c>
      <c r="AK84" s="13" t="s">
        <v>14</v>
      </c>
      <c r="AL84" s="13">
        <v>2</v>
      </c>
      <c r="AM84" s="13" t="s">
        <v>14</v>
      </c>
      <c r="AN84" s="13">
        <v>2</v>
      </c>
      <c r="AO84" s="13" t="s">
        <v>14</v>
      </c>
      <c r="AP84" s="13">
        <v>2</v>
      </c>
      <c r="AQ84" s="13" t="s">
        <v>14</v>
      </c>
      <c r="AR84" s="13">
        <v>2</v>
      </c>
      <c r="AS84" s="13" t="s">
        <v>14</v>
      </c>
      <c r="AT84" s="13">
        <v>2</v>
      </c>
      <c r="AU84" s="13"/>
      <c r="AV84" s="13"/>
      <c r="AW84" s="13" t="s">
        <v>14</v>
      </c>
      <c r="AX84" s="13">
        <v>2</v>
      </c>
      <c r="AY84" s="13" t="s">
        <v>14</v>
      </c>
      <c r="AZ84" s="13">
        <v>2</v>
      </c>
      <c r="BA84" s="13" t="s">
        <v>14</v>
      </c>
      <c r="BB84" s="13">
        <v>2</v>
      </c>
      <c r="BC84" s="13" t="s">
        <v>14</v>
      </c>
      <c r="BD84" s="13">
        <v>2</v>
      </c>
      <c r="BE84" s="13" t="s">
        <v>14</v>
      </c>
      <c r="BF84" s="13">
        <v>2</v>
      </c>
      <c r="BG84" s="13" t="s">
        <v>14</v>
      </c>
      <c r="BH84" s="13">
        <v>2</v>
      </c>
      <c r="BI84" s="13" t="s">
        <v>16</v>
      </c>
      <c r="BJ84" s="13">
        <v>2</v>
      </c>
      <c r="BK84" s="13" t="s">
        <v>14</v>
      </c>
      <c r="BL84" s="13">
        <v>2</v>
      </c>
      <c r="BM84" s="13" t="s">
        <v>14</v>
      </c>
      <c r="BN84" s="36">
        <v>2</v>
      </c>
      <c r="BP84" s="27">
        <v>81</v>
      </c>
      <c r="BQ84" s="27"/>
      <c r="BR84" s="29">
        <f ca="1">SUMIF(OFFSET($E$4:$BM$9,ROWS($1:81)*6-6,),BR$2,OFFSET($F$4:$BN$9,ROWS($1:81)*6-6,))</f>
        <v>0</v>
      </c>
      <c r="BS84" s="29">
        <f ca="1">SUMIF(OFFSET($E$4:$BM$9,ROWS($1:81)*6-6,),BS$2,OFFSET($F$4:$BN$9,ROWS($1:81)*6-6,))</f>
        <v>0</v>
      </c>
      <c r="BT84" s="29">
        <f ca="1">SUMIF(OFFSET($E$4:$BM$9,ROWS($1:81)*6-6,),BT$2,OFFSET($F$4:$BN$9,ROWS($1:81)*6-6,))</f>
        <v>0</v>
      </c>
      <c r="BU84" s="29">
        <f ca="1">SUMIF(OFFSET($E$4:$BM$9,ROWS($1:81)*6-6,),BU$2,OFFSET($F$4:$BN$9,ROWS($1:81)*6-6,))</f>
        <v>0</v>
      </c>
      <c r="BV84" s="29">
        <f ca="1">SUMIF(OFFSET($E$4:$BM$9,ROWS($1:81)*6-6,),BV$2,OFFSET($F$4:$BN$9,ROWS($1:81)*6-6,))</f>
        <v>0</v>
      </c>
      <c r="BW84" s="29">
        <f ca="1">SUMIF(OFFSET($E$4:$BM$9,ROWS($1:81)*6-6,),BW$2,OFFSET($F$4:$BN$9,ROWS($1:81)*6-6,))</f>
        <v>0</v>
      </c>
      <c r="BX84" s="29">
        <f ca="1">SUMIF(OFFSET($E$4:$BM$9,ROWS($1:81)*6-6,),BX$2,OFFSET($F$4:$BN$9,ROWS($1:81)*6-6,))</f>
        <v>0</v>
      </c>
      <c r="BY84" s="29">
        <f ca="1">SUMIF(OFFSET($E$4:$BM$9,ROWS($1:81)*6-6,),BY$2,OFFSET($F$4:$BN$9,ROWS($1:81)*6-6,))</f>
        <v>0</v>
      </c>
      <c r="BZ84" s="29">
        <f ca="1">SUMIF(OFFSET($E$4:$BM$9,ROWS($1:81)*6-6,),BZ$2,OFFSET($F$4:$BN$9,ROWS($1:81)*6-6,))</f>
        <v>0</v>
      </c>
      <c r="CA84" s="29">
        <f ca="1">SUMIF(OFFSET($E$4:$BM$9,ROWS($1:81)*6-6,),CA$2,OFFSET($F$4:$BN$9,ROWS($1:81)*6-6,))</f>
        <v>0</v>
      </c>
      <c r="CB84" s="29">
        <f ca="1">SUMIF(OFFSET($E$4:$BM$9,ROWS($1:81)*6-6,),CB$2,OFFSET($F$4:$BN$9,ROWS($1:81)*6-6,))</f>
        <v>0</v>
      </c>
      <c r="CC84" s="43">
        <f ca="1">SUMIF(OFFSET($E$4:$BM$9,ROWS($1:81)*6-6,),CC$2,OFFSET($F$4:$BN$9,ROWS($1:81)*6-6,))</f>
        <v>0</v>
      </c>
      <c r="CD84" s="44">
        <f t="shared" si="3"/>
        <v>0</v>
      </c>
      <c r="CE84" s="44" t="e">
        <f ca="1">INDEX(FREQUENCY(MMULT({1,1},SUBTOTAL(9,OFFSET($E$1,MATCH($CD84,$C:$C,)+{3;4},INT(COLUMN($A:$AE)*2)-1))),{3.9,7.9,11.9}),COLUMN(B81))</f>
        <v>#N/A</v>
      </c>
      <c r="CF84" s="44" t="e">
        <f ca="1">INDEX(FREQUENCY(MMULT({1,1},SUBTOTAL(9,OFFSET($E$1,MATCH($CD84,$C:$C,)+{3;4},INT(COLUMN($A:$AE)*2)-1))),{3.9,7.9,11.9}),COLUMN(C81))</f>
        <v>#N/A</v>
      </c>
      <c r="CG84" s="44" t="e">
        <f ca="1">INDEX(FREQUENCY(MMULT({1,1},SUBTOTAL(9,OFFSET($E$1,MATCH($CD84,$C:$C,)+{3;4},INT(COLUMN($A:$AE)*2)-1))),{3.9,7.9,11.9}),COLUMN(D81))</f>
        <v>#N/A</v>
      </c>
    </row>
    <row r="85" spans="1:85" ht="17.25" customHeight="1" x14ac:dyDescent="0.15">
      <c r="A85" s="85"/>
      <c r="B85" s="49"/>
      <c r="C85" s="49"/>
      <c r="D85" s="56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 t="s">
        <v>14</v>
      </c>
      <c r="V85" s="12">
        <v>2</v>
      </c>
      <c r="W85" s="12" t="s">
        <v>14</v>
      </c>
      <c r="X85" s="12">
        <v>2</v>
      </c>
      <c r="Y85" s="12" t="s">
        <v>14</v>
      </c>
      <c r="Z85" s="12">
        <v>2</v>
      </c>
      <c r="AA85" s="12" t="s">
        <v>14</v>
      </c>
      <c r="AB85" s="12">
        <v>2</v>
      </c>
      <c r="AC85" s="12" t="s">
        <v>14</v>
      </c>
      <c r="AD85" s="12">
        <v>2</v>
      </c>
      <c r="AE85" s="12" t="s">
        <v>14</v>
      </c>
      <c r="AF85" s="12">
        <v>2</v>
      </c>
      <c r="AG85" s="12"/>
      <c r="AH85" s="12"/>
      <c r="AI85" s="12" t="s">
        <v>14</v>
      </c>
      <c r="AJ85" s="12">
        <v>2</v>
      </c>
      <c r="AK85" s="12" t="s">
        <v>14</v>
      </c>
      <c r="AL85" s="12">
        <v>2</v>
      </c>
      <c r="AM85" s="12" t="s">
        <v>14</v>
      </c>
      <c r="AN85" s="12">
        <v>2</v>
      </c>
      <c r="AO85" s="12" t="s">
        <v>14</v>
      </c>
      <c r="AP85" s="12">
        <v>2</v>
      </c>
      <c r="AQ85" s="12" t="s">
        <v>14</v>
      </c>
      <c r="AR85" s="12">
        <v>2</v>
      </c>
      <c r="AS85" s="12" t="s">
        <v>14</v>
      </c>
      <c r="AT85" s="12">
        <v>2</v>
      </c>
      <c r="AU85" s="12"/>
      <c r="AV85" s="12"/>
      <c r="AW85" s="12" t="s">
        <v>14</v>
      </c>
      <c r="AX85" s="12">
        <v>2</v>
      </c>
      <c r="AY85" s="12" t="s">
        <v>14</v>
      </c>
      <c r="AZ85" s="12">
        <v>2</v>
      </c>
      <c r="BA85" s="12" t="s">
        <v>14</v>
      </c>
      <c r="BB85" s="12">
        <v>2</v>
      </c>
      <c r="BC85" s="12" t="s">
        <v>14</v>
      </c>
      <c r="BD85" s="12">
        <v>2</v>
      </c>
      <c r="BE85" s="12" t="s">
        <v>14</v>
      </c>
      <c r="BF85" s="12">
        <v>2</v>
      </c>
      <c r="BG85" s="12" t="s">
        <v>14</v>
      </c>
      <c r="BH85" s="12">
        <v>2</v>
      </c>
      <c r="BI85" s="12" t="s">
        <v>16</v>
      </c>
      <c r="BJ85" s="12">
        <v>2</v>
      </c>
      <c r="BK85" s="12" t="s">
        <v>14</v>
      </c>
      <c r="BL85" s="12">
        <v>2</v>
      </c>
      <c r="BM85" s="12" t="s">
        <v>14</v>
      </c>
      <c r="BN85" s="35">
        <v>2</v>
      </c>
      <c r="BP85" s="27">
        <v>82</v>
      </c>
      <c r="BQ85" s="27"/>
      <c r="BR85" s="29">
        <f ca="1">SUMIF(OFFSET($E$4:$BM$9,ROWS($1:82)*6-6,),BR$2,OFFSET($F$4:$BN$9,ROWS($1:82)*6-6,))</f>
        <v>0</v>
      </c>
      <c r="BS85" s="29">
        <f ca="1">SUMIF(OFFSET($E$4:$BM$9,ROWS($1:82)*6-6,),BS$2,OFFSET($F$4:$BN$9,ROWS($1:82)*6-6,))</f>
        <v>0</v>
      </c>
      <c r="BT85" s="29">
        <f ca="1">SUMIF(OFFSET($E$4:$BM$9,ROWS($1:82)*6-6,),BT$2,OFFSET($F$4:$BN$9,ROWS($1:82)*6-6,))</f>
        <v>0</v>
      </c>
      <c r="BU85" s="29">
        <f ca="1">SUMIF(OFFSET($E$4:$BM$9,ROWS($1:82)*6-6,),BU$2,OFFSET($F$4:$BN$9,ROWS($1:82)*6-6,))</f>
        <v>0</v>
      </c>
      <c r="BV85" s="29">
        <f ca="1">SUMIF(OFFSET($E$4:$BM$9,ROWS($1:82)*6-6,),BV$2,OFFSET($F$4:$BN$9,ROWS($1:82)*6-6,))</f>
        <v>0</v>
      </c>
      <c r="BW85" s="29">
        <f ca="1">SUMIF(OFFSET($E$4:$BM$9,ROWS($1:82)*6-6,),BW$2,OFFSET($F$4:$BN$9,ROWS($1:82)*6-6,))</f>
        <v>0</v>
      </c>
      <c r="BX85" s="29">
        <f ca="1">SUMIF(OFFSET($E$4:$BM$9,ROWS($1:82)*6-6,),BX$2,OFFSET($F$4:$BN$9,ROWS($1:82)*6-6,))</f>
        <v>0</v>
      </c>
      <c r="BY85" s="29">
        <f ca="1">SUMIF(OFFSET($E$4:$BM$9,ROWS($1:82)*6-6,),BY$2,OFFSET($F$4:$BN$9,ROWS($1:82)*6-6,))</f>
        <v>0</v>
      </c>
      <c r="BZ85" s="29">
        <f ca="1">SUMIF(OFFSET($E$4:$BM$9,ROWS($1:82)*6-6,),BZ$2,OFFSET($F$4:$BN$9,ROWS($1:82)*6-6,))</f>
        <v>0</v>
      </c>
      <c r="CA85" s="29">
        <f ca="1">SUMIF(OFFSET($E$4:$BM$9,ROWS($1:82)*6-6,),CA$2,OFFSET($F$4:$BN$9,ROWS($1:82)*6-6,))</f>
        <v>0</v>
      </c>
      <c r="CB85" s="29">
        <f ca="1">SUMIF(OFFSET($E$4:$BM$9,ROWS($1:82)*6-6,),CB$2,OFFSET($F$4:$BN$9,ROWS($1:82)*6-6,))</f>
        <v>0</v>
      </c>
      <c r="CC85" s="43">
        <f ca="1">SUMIF(OFFSET($E$4:$BM$9,ROWS($1:82)*6-6,),CC$2,OFFSET($F$4:$BN$9,ROWS($1:82)*6-6,))</f>
        <v>0</v>
      </c>
      <c r="CD85" s="44">
        <f t="shared" si="3"/>
        <v>0</v>
      </c>
      <c r="CE85" s="44" t="e">
        <f ca="1">INDEX(FREQUENCY(MMULT({1,1},SUBTOTAL(9,OFFSET($E$1,MATCH($CD85,$C:$C,)+{3;4},INT(COLUMN($A:$AE)*2)-1))),{3.9,7.9,11.9}),COLUMN(B82))</f>
        <v>#N/A</v>
      </c>
      <c r="CF85" s="44" t="e">
        <f ca="1">INDEX(FREQUENCY(MMULT({1,1},SUBTOTAL(9,OFFSET($E$1,MATCH($CD85,$C:$C,)+{3;4},INT(COLUMN($A:$AE)*2)-1))),{3.9,7.9,11.9}),COLUMN(C82))</f>
        <v>#N/A</v>
      </c>
      <c r="CG85" s="44" t="e">
        <f ca="1">INDEX(FREQUENCY(MMULT({1,1},SUBTOTAL(9,OFFSET($E$1,MATCH($CD85,$C:$C,)+{3;4},INT(COLUMN($A:$AE)*2)-1))),{3.9,7.9,11.9}),COLUMN(D82))</f>
        <v>#N/A</v>
      </c>
    </row>
    <row r="86" spans="1:85" ht="17.25" customHeight="1" x14ac:dyDescent="0.15">
      <c r="A86" s="85"/>
      <c r="B86" s="49"/>
      <c r="C86" s="49"/>
      <c r="D86" s="58" t="s">
        <v>49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 t="s">
        <v>15</v>
      </c>
      <c r="V86" s="14"/>
      <c r="W86" s="14" t="s">
        <v>15</v>
      </c>
      <c r="X86" s="14">
        <v>3</v>
      </c>
      <c r="Y86" s="14" t="s">
        <v>15</v>
      </c>
      <c r="Z86" s="14">
        <v>3</v>
      </c>
      <c r="AA86" s="14" t="s">
        <v>15</v>
      </c>
      <c r="AB86" s="14">
        <v>3</v>
      </c>
      <c r="AC86" s="14" t="s">
        <v>15</v>
      </c>
      <c r="AD86" s="14">
        <v>3</v>
      </c>
      <c r="AE86" s="14" t="s">
        <v>15</v>
      </c>
      <c r="AF86" s="14"/>
      <c r="AG86" s="14"/>
      <c r="AH86" s="14"/>
      <c r="AI86" s="14" t="s">
        <v>15</v>
      </c>
      <c r="AJ86" s="14">
        <v>3</v>
      </c>
      <c r="AK86" s="14" t="s">
        <v>15</v>
      </c>
      <c r="AL86" s="14">
        <v>3</v>
      </c>
      <c r="AM86" s="14" t="s">
        <v>15</v>
      </c>
      <c r="AN86" s="14">
        <v>3</v>
      </c>
      <c r="AO86" s="14" t="s">
        <v>15</v>
      </c>
      <c r="AP86" s="14">
        <v>3</v>
      </c>
      <c r="AQ86" s="14" t="s">
        <v>15</v>
      </c>
      <c r="AR86" s="14">
        <v>3</v>
      </c>
      <c r="AS86" s="14" t="s">
        <v>15</v>
      </c>
      <c r="AT86" s="14"/>
      <c r="AU86" s="14"/>
      <c r="AV86" s="14"/>
      <c r="AW86" s="14" t="s">
        <v>15</v>
      </c>
      <c r="AX86" s="14">
        <v>3</v>
      </c>
      <c r="AY86" s="14" t="s">
        <v>15</v>
      </c>
      <c r="AZ86" s="14">
        <v>3</v>
      </c>
      <c r="BA86" s="14" t="s">
        <v>15</v>
      </c>
      <c r="BB86" s="14"/>
      <c r="BC86" s="14" t="s">
        <v>15</v>
      </c>
      <c r="BD86" s="14"/>
      <c r="BE86" s="14" t="s">
        <v>15</v>
      </c>
      <c r="BF86" s="14">
        <v>3</v>
      </c>
      <c r="BG86" s="14" t="s">
        <v>15</v>
      </c>
      <c r="BH86" s="14"/>
      <c r="BI86" s="14"/>
      <c r="BJ86" s="14"/>
      <c r="BK86" s="14" t="s">
        <v>15</v>
      </c>
      <c r="BL86" s="14"/>
      <c r="BM86" s="14" t="s">
        <v>15</v>
      </c>
      <c r="BN86" s="37"/>
      <c r="BP86" s="27">
        <v>83</v>
      </c>
      <c r="BQ86" s="27"/>
      <c r="BR86" s="29">
        <f ca="1">SUMIF(OFFSET($E$4:$BM$9,ROWS($1:83)*6-6,),BR$2,OFFSET($F$4:$BN$9,ROWS($1:83)*6-6,))</f>
        <v>0</v>
      </c>
      <c r="BS86" s="29">
        <f ca="1">SUMIF(OFFSET($E$4:$BM$9,ROWS($1:83)*6-6,),BS$2,OFFSET($F$4:$BN$9,ROWS($1:83)*6-6,))</f>
        <v>0</v>
      </c>
      <c r="BT86" s="29">
        <f ca="1">SUMIF(OFFSET($E$4:$BM$9,ROWS($1:83)*6-6,),BT$2,OFFSET($F$4:$BN$9,ROWS($1:83)*6-6,))</f>
        <v>0</v>
      </c>
      <c r="BU86" s="29">
        <f ca="1">SUMIF(OFFSET($E$4:$BM$9,ROWS($1:83)*6-6,),BU$2,OFFSET($F$4:$BN$9,ROWS($1:83)*6-6,))</f>
        <v>0</v>
      </c>
      <c r="BV86" s="29">
        <f ca="1">SUMIF(OFFSET($E$4:$BM$9,ROWS($1:83)*6-6,),BV$2,OFFSET($F$4:$BN$9,ROWS($1:83)*6-6,))</f>
        <v>0</v>
      </c>
      <c r="BW86" s="29">
        <f ca="1">SUMIF(OFFSET($E$4:$BM$9,ROWS($1:83)*6-6,),BW$2,OFFSET($F$4:$BN$9,ROWS($1:83)*6-6,))</f>
        <v>0</v>
      </c>
      <c r="BX86" s="29">
        <f ca="1">SUMIF(OFFSET($E$4:$BM$9,ROWS($1:83)*6-6,),BX$2,OFFSET($F$4:$BN$9,ROWS($1:83)*6-6,))</f>
        <v>0</v>
      </c>
      <c r="BY86" s="29">
        <f ca="1">SUMIF(OFFSET($E$4:$BM$9,ROWS($1:83)*6-6,),BY$2,OFFSET($F$4:$BN$9,ROWS($1:83)*6-6,))</f>
        <v>0</v>
      </c>
      <c r="BZ86" s="29">
        <f ca="1">SUMIF(OFFSET($E$4:$BM$9,ROWS($1:83)*6-6,),BZ$2,OFFSET($F$4:$BN$9,ROWS($1:83)*6-6,))</f>
        <v>0</v>
      </c>
      <c r="CA86" s="29">
        <f ca="1">SUMIF(OFFSET($E$4:$BM$9,ROWS($1:83)*6-6,),CA$2,OFFSET($F$4:$BN$9,ROWS($1:83)*6-6,))</f>
        <v>0</v>
      </c>
      <c r="CB86" s="29">
        <f ca="1">SUMIF(OFFSET($E$4:$BM$9,ROWS($1:83)*6-6,),CB$2,OFFSET($F$4:$BN$9,ROWS($1:83)*6-6,))</f>
        <v>0</v>
      </c>
      <c r="CC86" s="43">
        <f ca="1">SUMIF(OFFSET($E$4:$BM$9,ROWS($1:83)*6-6,),CC$2,OFFSET($F$4:$BN$9,ROWS($1:83)*6-6,))</f>
        <v>0</v>
      </c>
      <c r="CD86" s="44">
        <f t="shared" si="3"/>
        <v>0</v>
      </c>
      <c r="CE86" s="44" t="e">
        <f ca="1">INDEX(FREQUENCY(MMULT({1,1},SUBTOTAL(9,OFFSET($E$1,MATCH($CD86,$C:$C,)+{3;4},INT(COLUMN($A:$AE)*2)-1))),{3.9,7.9,11.9}),COLUMN(B83))</f>
        <v>#N/A</v>
      </c>
      <c r="CF86" s="44" t="e">
        <f ca="1">INDEX(FREQUENCY(MMULT({1,1},SUBTOTAL(9,OFFSET($E$1,MATCH($CD86,$C:$C,)+{3;4},INT(COLUMN($A:$AE)*2)-1))),{3.9,7.9,11.9}),COLUMN(C83))</f>
        <v>#N/A</v>
      </c>
      <c r="CG86" s="44" t="e">
        <f ca="1">INDEX(FREQUENCY(MMULT({1,1},SUBTOTAL(9,OFFSET($E$1,MATCH($CD86,$C:$C,)+{3;4},INT(COLUMN($A:$AE)*2)-1))),{3.9,7.9,11.9}),COLUMN(D83))</f>
        <v>#N/A</v>
      </c>
    </row>
    <row r="87" spans="1:85" ht="17.25" customHeight="1" thickBot="1" x14ac:dyDescent="0.2">
      <c r="A87" s="86"/>
      <c r="B87" s="50"/>
      <c r="C87" s="50"/>
      <c r="D87" s="59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38"/>
      <c r="BP87" s="27">
        <v>84</v>
      </c>
      <c r="BQ87" s="27"/>
      <c r="BR87" s="29">
        <f ca="1">SUMIF(OFFSET($E$4:$BM$9,ROWS($1:84)*6-6,),BR$2,OFFSET($F$4:$BN$9,ROWS($1:84)*6-6,))</f>
        <v>0</v>
      </c>
      <c r="BS87" s="29">
        <f ca="1">SUMIF(OFFSET($E$4:$BM$9,ROWS($1:84)*6-6,),BS$2,OFFSET($F$4:$BN$9,ROWS($1:84)*6-6,))</f>
        <v>0</v>
      </c>
      <c r="BT87" s="29">
        <f ca="1">SUMIF(OFFSET($E$4:$BM$9,ROWS($1:84)*6-6,),BT$2,OFFSET($F$4:$BN$9,ROWS($1:84)*6-6,))</f>
        <v>0</v>
      </c>
      <c r="BU87" s="29">
        <f ca="1">SUMIF(OFFSET($E$4:$BM$9,ROWS($1:84)*6-6,),BU$2,OFFSET($F$4:$BN$9,ROWS($1:84)*6-6,))</f>
        <v>0</v>
      </c>
      <c r="BV87" s="29">
        <f ca="1">SUMIF(OFFSET($E$4:$BM$9,ROWS($1:84)*6-6,),BV$2,OFFSET($F$4:$BN$9,ROWS($1:84)*6-6,))</f>
        <v>0</v>
      </c>
      <c r="BW87" s="29">
        <f ca="1">SUMIF(OFFSET($E$4:$BM$9,ROWS($1:84)*6-6,),BW$2,OFFSET($F$4:$BN$9,ROWS($1:84)*6-6,))</f>
        <v>0</v>
      </c>
      <c r="BX87" s="29">
        <f ca="1">SUMIF(OFFSET($E$4:$BM$9,ROWS($1:84)*6-6,),BX$2,OFFSET($F$4:$BN$9,ROWS($1:84)*6-6,))</f>
        <v>0</v>
      </c>
      <c r="BY87" s="29">
        <f ca="1">SUMIF(OFFSET($E$4:$BM$9,ROWS($1:84)*6-6,),BY$2,OFFSET($F$4:$BN$9,ROWS($1:84)*6-6,))</f>
        <v>0</v>
      </c>
      <c r="BZ87" s="29">
        <f ca="1">SUMIF(OFFSET($E$4:$BM$9,ROWS($1:84)*6-6,),BZ$2,OFFSET($F$4:$BN$9,ROWS($1:84)*6-6,))</f>
        <v>0</v>
      </c>
      <c r="CA87" s="29">
        <f ca="1">SUMIF(OFFSET($E$4:$BM$9,ROWS($1:84)*6-6,),CA$2,OFFSET($F$4:$BN$9,ROWS($1:84)*6-6,))</f>
        <v>0</v>
      </c>
      <c r="CB87" s="29">
        <f ca="1">SUMIF(OFFSET($E$4:$BM$9,ROWS($1:84)*6-6,),CB$2,OFFSET($F$4:$BN$9,ROWS($1:84)*6-6,))</f>
        <v>0</v>
      </c>
      <c r="CC87" s="43">
        <f ca="1">SUMIF(OFFSET($E$4:$BM$9,ROWS($1:84)*6-6,),CC$2,OFFSET($F$4:$BN$9,ROWS($1:84)*6-6,))</f>
        <v>0</v>
      </c>
      <c r="CD87" s="44">
        <f t="shared" ref="CD87:CD150" si="5">BQ87</f>
        <v>0</v>
      </c>
      <c r="CE87" s="44" t="e">
        <f ca="1">INDEX(FREQUENCY(MMULT({1,1},SUBTOTAL(9,OFFSET($E$1,MATCH($CD87,$C:$C,)+{3;4},INT(COLUMN($A:$AE)*2)-1))),{3.9,7.9,11.9}),COLUMN(B84))</f>
        <v>#N/A</v>
      </c>
      <c r="CF87" s="44" t="e">
        <f ca="1">INDEX(FREQUENCY(MMULT({1,1},SUBTOTAL(9,OFFSET($E$1,MATCH($CD87,$C:$C,)+{3;4},INT(COLUMN($A:$AE)*2)-1))),{3.9,7.9,11.9}),COLUMN(C84))</f>
        <v>#N/A</v>
      </c>
      <c r="CG87" s="44" t="e">
        <f ca="1">INDEX(FREQUENCY(MMULT({1,1},SUBTOTAL(9,OFFSET($E$1,MATCH($CD87,$C:$C,)+{3;4},INT(COLUMN($A:$AE)*2)-1))),{3.9,7.9,11.9}),COLUMN(D84))</f>
        <v>#N/A</v>
      </c>
    </row>
    <row r="88" spans="1:85" ht="17.25" customHeight="1" x14ac:dyDescent="0.15">
      <c r="A88" s="84" t="s">
        <v>89</v>
      </c>
      <c r="B88" s="48" t="s">
        <v>107</v>
      </c>
      <c r="C88" s="48" t="s">
        <v>98</v>
      </c>
      <c r="D88" s="55" t="s">
        <v>45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14</v>
      </c>
      <c r="V88" s="11">
        <v>2</v>
      </c>
      <c r="W88" s="11" t="s">
        <v>14</v>
      </c>
      <c r="X88" s="11">
        <v>2</v>
      </c>
      <c r="Y88" s="11" t="s">
        <v>14</v>
      </c>
      <c r="Z88" s="11">
        <v>2</v>
      </c>
      <c r="AA88" s="11" t="s">
        <v>14</v>
      </c>
      <c r="AB88" s="11">
        <v>2</v>
      </c>
      <c r="AC88" s="11" t="s">
        <v>14</v>
      </c>
      <c r="AD88" s="11">
        <v>2</v>
      </c>
      <c r="AE88" s="11" t="s">
        <v>14</v>
      </c>
      <c r="AF88" s="11">
        <v>2</v>
      </c>
      <c r="AG88" s="11"/>
      <c r="AH88" s="11"/>
      <c r="AI88" s="11" t="s">
        <v>14</v>
      </c>
      <c r="AJ88" s="11">
        <v>2</v>
      </c>
      <c r="AK88" s="11" t="s">
        <v>14</v>
      </c>
      <c r="AL88" s="11">
        <v>2</v>
      </c>
      <c r="AM88" s="11" t="s">
        <v>14</v>
      </c>
      <c r="AN88" s="11">
        <v>2</v>
      </c>
      <c r="AO88" s="11" t="s">
        <v>14</v>
      </c>
      <c r="AP88" s="11">
        <v>2</v>
      </c>
      <c r="AQ88" s="11" t="s">
        <v>14</v>
      </c>
      <c r="AR88" s="11">
        <v>2</v>
      </c>
      <c r="AS88" s="11" t="s">
        <v>14</v>
      </c>
      <c r="AT88" s="11">
        <v>2</v>
      </c>
      <c r="AU88" s="11"/>
      <c r="AV88" s="11"/>
      <c r="AW88" s="11" t="s">
        <v>14</v>
      </c>
      <c r="AX88" s="11">
        <v>2</v>
      </c>
      <c r="AY88" s="11" t="s">
        <v>14</v>
      </c>
      <c r="AZ88" s="11">
        <v>2</v>
      </c>
      <c r="BA88" s="11" t="s">
        <v>14</v>
      </c>
      <c r="BB88" s="11">
        <v>2</v>
      </c>
      <c r="BC88" s="11" t="s">
        <v>14</v>
      </c>
      <c r="BD88" s="11">
        <v>2</v>
      </c>
      <c r="BE88" s="11" t="s">
        <v>14</v>
      </c>
      <c r="BF88" s="11">
        <v>2</v>
      </c>
      <c r="BG88" s="11" t="s">
        <v>14</v>
      </c>
      <c r="BH88" s="11">
        <v>2</v>
      </c>
      <c r="BI88" s="11" t="s">
        <v>16</v>
      </c>
      <c r="BJ88" s="11">
        <v>2</v>
      </c>
      <c r="BK88" s="11" t="s">
        <v>14</v>
      </c>
      <c r="BL88" s="11">
        <v>2</v>
      </c>
      <c r="BM88" s="11" t="s">
        <v>14</v>
      </c>
      <c r="BN88" s="34">
        <v>2</v>
      </c>
      <c r="BP88" s="27">
        <v>85</v>
      </c>
      <c r="BQ88" s="27"/>
      <c r="BR88" s="29">
        <f ca="1">SUMIF(OFFSET($E$4:$BM$9,ROWS($1:85)*6-6,),BR$2,OFFSET($F$4:$BN$9,ROWS($1:85)*6-6,))</f>
        <v>0</v>
      </c>
      <c r="BS88" s="29">
        <f ca="1">SUMIF(OFFSET($E$4:$BM$9,ROWS($1:85)*6-6,),BS$2,OFFSET($F$4:$BN$9,ROWS($1:85)*6-6,))</f>
        <v>0</v>
      </c>
      <c r="BT88" s="29">
        <f ca="1">SUMIF(OFFSET($E$4:$BM$9,ROWS($1:85)*6-6,),BT$2,OFFSET($F$4:$BN$9,ROWS($1:85)*6-6,))</f>
        <v>0</v>
      </c>
      <c r="BU88" s="29">
        <f ca="1">SUMIF(OFFSET($E$4:$BM$9,ROWS($1:85)*6-6,),BU$2,OFFSET($F$4:$BN$9,ROWS($1:85)*6-6,))</f>
        <v>0</v>
      </c>
      <c r="BV88" s="29">
        <f ca="1">SUMIF(OFFSET($E$4:$BM$9,ROWS($1:85)*6-6,),BV$2,OFFSET($F$4:$BN$9,ROWS($1:85)*6-6,))</f>
        <v>0</v>
      </c>
      <c r="BW88" s="29">
        <f ca="1">SUMIF(OFFSET($E$4:$BM$9,ROWS($1:85)*6-6,),BW$2,OFFSET($F$4:$BN$9,ROWS($1:85)*6-6,))</f>
        <v>0</v>
      </c>
      <c r="BX88" s="29">
        <f ca="1">SUMIF(OFFSET($E$4:$BM$9,ROWS($1:85)*6-6,),BX$2,OFFSET($F$4:$BN$9,ROWS($1:85)*6-6,))</f>
        <v>0</v>
      </c>
      <c r="BY88" s="29">
        <f ca="1">SUMIF(OFFSET($E$4:$BM$9,ROWS($1:85)*6-6,),BY$2,OFFSET($F$4:$BN$9,ROWS($1:85)*6-6,))</f>
        <v>0</v>
      </c>
      <c r="BZ88" s="29">
        <f ca="1">SUMIF(OFFSET($E$4:$BM$9,ROWS($1:85)*6-6,),BZ$2,OFFSET($F$4:$BN$9,ROWS($1:85)*6-6,))</f>
        <v>0</v>
      </c>
      <c r="CA88" s="29">
        <f ca="1">SUMIF(OFFSET($E$4:$BM$9,ROWS($1:85)*6-6,),CA$2,OFFSET($F$4:$BN$9,ROWS($1:85)*6-6,))</f>
        <v>0</v>
      </c>
      <c r="CB88" s="29">
        <f ca="1">SUMIF(OFFSET($E$4:$BM$9,ROWS($1:85)*6-6,),CB$2,OFFSET($F$4:$BN$9,ROWS($1:85)*6-6,))</f>
        <v>0</v>
      </c>
      <c r="CC88" s="43">
        <f ca="1">SUMIF(OFFSET($E$4:$BM$9,ROWS($1:85)*6-6,),CC$2,OFFSET($F$4:$BN$9,ROWS($1:85)*6-6,))</f>
        <v>0</v>
      </c>
      <c r="CD88" s="44">
        <f t="shared" si="5"/>
        <v>0</v>
      </c>
      <c r="CE88" s="44" t="e">
        <f ca="1">INDEX(FREQUENCY(MMULT({1,1},SUBTOTAL(9,OFFSET($E$1,MATCH($CD88,$C:$C,)+{3;4},INT(COLUMN($A:$AE)*2)-1))),{3.9,7.9,11.9}),COLUMN(B85))</f>
        <v>#N/A</v>
      </c>
      <c r="CF88" s="44" t="e">
        <f ca="1">INDEX(FREQUENCY(MMULT({1,1},SUBTOTAL(9,OFFSET($E$1,MATCH($CD88,$C:$C,)+{3;4},INT(COLUMN($A:$AE)*2)-1))),{3.9,7.9,11.9}),COLUMN(C85))</f>
        <v>#N/A</v>
      </c>
      <c r="CG88" s="44" t="e">
        <f ca="1">INDEX(FREQUENCY(MMULT({1,1},SUBTOTAL(9,OFFSET($E$1,MATCH($CD88,$C:$C,)+{3;4},INT(COLUMN($A:$AE)*2)-1))),{3.9,7.9,11.9}),COLUMN(D85))</f>
        <v>#N/A</v>
      </c>
    </row>
    <row r="89" spans="1:85" ht="17.25" customHeight="1" x14ac:dyDescent="0.15">
      <c r="A89" s="85"/>
      <c r="B89" s="49"/>
      <c r="C89" s="49"/>
      <c r="D89" s="56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14</v>
      </c>
      <c r="V89" s="12">
        <v>2</v>
      </c>
      <c r="W89" s="12" t="s">
        <v>14</v>
      </c>
      <c r="X89" s="12">
        <v>2</v>
      </c>
      <c r="Y89" s="12" t="s">
        <v>14</v>
      </c>
      <c r="Z89" s="12">
        <v>2</v>
      </c>
      <c r="AA89" s="12" t="s">
        <v>14</v>
      </c>
      <c r="AB89" s="12">
        <v>2</v>
      </c>
      <c r="AC89" s="12" t="s">
        <v>14</v>
      </c>
      <c r="AD89" s="12">
        <v>2</v>
      </c>
      <c r="AE89" s="12" t="s">
        <v>14</v>
      </c>
      <c r="AF89" s="12">
        <v>2</v>
      </c>
      <c r="AG89" s="12"/>
      <c r="AH89" s="12"/>
      <c r="AI89" s="12" t="s">
        <v>14</v>
      </c>
      <c r="AJ89" s="12">
        <v>2</v>
      </c>
      <c r="AK89" s="12" t="s">
        <v>14</v>
      </c>
      <c r="AL89" s="12">
        <v>2</v>
      </c>
      <c r="AM89" s="12" t="s">
        <v>14</v>
      </c>
      <c r="AN89" s="12">
        <v>2</v>
      </c>
      <c r="AO89" s="12" t="s">
        <v>14</v>
      </c>
      <c r="AP89" s="12">
        <v>2</v>
      </c>
      <c r="AQ89" s="12" t="s">
        <v>14</v>
      </c>
      <c r="AR89" s="12">
        <v>2</v>
      </c>
      <c r="AS89" s="12" t="s">
        <v>14</v>
      </c>
      <c r="AT89" s="12">
        <v>2</v>
      </c>
      <c r="AU89" s="12"/>
      <c r="AV89" s="12"/>
      <c r="AW89" s="12" t="s">
        <v>14</v>
      </c>
      <c r="AX89" s="12">
        <v>2</v>
      </c>
      <c r="AY89" s="12" t="s">
        <v>14</v>
      </c>
      <c r="AZ89" s="12">
        <v>2</v>
      </c>
      <c r="BA89" s="12" t="s">
        <v>14</v>
      </c>
      <c r="BB89" s="12">
        <v>2</v>
      </c>
      <c r="BC89" s="12" t="s">
        <v>14</v>
      </c>
      <c r="BD89" s="12">
        <v>2</v>
      </c>
      <c r="BE89" s="12" t="s">
        <v>14</v>
      </c>
      <c r="BF89" s="12">
        <v>2</v>
      </c>
      <c r="BG89" s="12" t="s">
        <v>14</v>
      </c>
      <c r="BH89" s="12">
        <v>2</v>
      </c>
      <c r="BI89" s="12" t="s">
        <v>16</v>
      </c>
      <c r="BJ89" s="12">
        <v>2</v>
      </c>
      <c r="BK89" s="12" t="s">
        <v>14</v>
      </c>
      <c r="BL89" s="12">
        <v>2</v>
      </c>
      <c r="BM89" s="12" t="s">
        <v>14</v>
      </c>
      <c r="BN89" s="35">
        <v>2</v>
      </c>
      <c r="BP89" s="27">
        <v>86</v>
      </c>
      <c r="BQ89" s="27"/>
      <c r="BR89" s="29">
        <f ca="1">SUMIF(OFFSET($E$4:$BM$9,ROWS($1:86)*6-6,),BR$2,OFFSET($F$4:$BN$9,ROWS($1:86)*6-6,))</f>
        <v>0</v>
      </c>
      <c r="BS89" s="29">
        <f ca="1">SUMIF(OFFSET($E$4:$BM$9,ROWS($1:86)*6-6,),BS$2,OFFSET($F$4:$BN$9,ROWS($1:86)*6-6,))</f>
        <v>0</v>
      </c>
      <c r="BT89" s="29">
        <f ca="1">SUMIF(OFFSET($E$4:$BM$9,ROWS($1:86)*6-6,),BT$2,OFFSET($F$4:$BN$9,ROWS($1:86)*6-6,))</f>
        <v>0</v>
      </c>
      <c r="BU89" s="29">
        <f ca="1">SUMIF(OFFSET($E$4:$BM$9,ROWS($1:86)*6-6,),BU$2,OFFSET($F$4:$BN$9,ROWS($1:86)*6-6,))</f>
        <v>0</v>
      </c>
      <c r="BV89" s="29">
        <f ca="1">SUMIF(OFFSET($E$4:$BM$9,ROWS($1:86)*6-6,),BV$2,OFFSET($F$4:$BN$9,ROWS($1:86)*6-6,))</f>
        <v>0</v>
      </c>
      <c r="BW89" s="29">
        <f ca="1">SUMIF(OFFSET($E$4:$BM$9,ROWS($1:86)*6-6,),BW$2,OFFSET($F$4:$BN$9,ROWS($1:86)*6-6,))</f>
        <v>0</v>
      </c>
      <c r="BX89" s="29">
        <f ca="1">SUMIF(OFFSET($E$4:$BM$9,ROWS($1:86)*6-6,),BX$2,OFFSET($F$4:$BN$9,ROWS($1:86)*6-6,))</f>
        <v>0</v>
      </c>
      <c r="BY89" s="29">
        <f ca="1">SUMIF(OFFSET($E$4:$BM$9,ROWS($1:86)*6-6,),BY$2,OFFSET($F$4:$BN$9,ROWS($1:86)*6-6,))</f>
        <v>0</v>
      </c>
      <c r="BZ89" s="29">
        <f ca="1">SUMIF(OFFSET($E$4:$BM$9,ROWS($1:86)*6-6,),BZ$2,OFFSET($F$4:$BN$9,ROWS($1:86)*6-6,))</f>
        <v>0</v>
      </c>
      <c r="CA89" s="29">
        <f ca="1">SUMIF(OFFSET($E$4:$BM$9,ROWS($1:86)*6-6,),CA$2,OFFSET($F$4:$BN$9,ROWS($1:86)*6-6,))</f>
        <v>0</v>
      </c>
      <c r="CB89" s="29">
        <f ca="1">SUMIF(OFFSET($E$4:$BM$9,ROWS($1:86)*6-6,),CB$2,OFFSET($F$4:$BN$9,ROWS($1:86)*6-6,))</f>
        <v>0</v>
      </c>
      <c r="CC89" s="43">
        <f ca="1">SUMIF(OFFSET($E$4:$BM$9,ROWS($1:86)*6-6,),CC$2,OFFSET($F$4:$BN$9,ROWS($1:86)*6-6,))</f>
        <v>0</v>
      </c>
      <c r="CD89" s="44">
        <f t="shared" si="5"/>
        <v>0</v>
      </c>
      <c r="CE89" s="44" t="e">
        <f ca="1">INDEX(FREQUENCY(MMULT({1,1},SUBTOTAL(9,OFFSET($E$1,MATCH($CD89,$C:$C,)+{3;4},INT(COLUMN($A:$AE)*2)-1))),{3.9,7.9,11.9}),COLUMN(B86))</f>
        <v>#N/A</v>
      </c>
      <c r="CF89" s="44" t="e">
        <f ca="1">INDEX(FREQUENCY(MMULT({1,1},SUBTOTAL(9,OFFSET($E$1,MATCH($CD89,$C:$C,)+{3;4},INT(COLUMN($A:$AE)*2)-1))),{3.9,7.9,11.9}),COLUMN(C86))</f>
        <v>#N/A</v>
      </c>
      <c r="CG89" s="44" t="e">
        <f ca="1">INDEX(FREQUENCY(MMULT({1,1},SUBTOTAL(9,OFFSET($E$1,MATCH($CD89,$C:$C,)+{3;4},INT(COLUMN($A:$AE)*2)-1))),{3.9,7.9,11.9}),COLUMN(D86))</f>
        <v>#N/A</v>
      </c>
    </row>
    <row r="90" spans="1:85" ht="17.25" customHeight="1" x14ac:dyDescent="0.15">
      <c r="A90" s="85"/>
      <c r="B90" s="49"/>
      <c r="C90" s="49"/>
      <c r="D90" s="57" t="s">
        <v>47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 t="s">
        <v>14</v>
      </c>
      <c r="V90" s="13">
        <v>2</v>
      </c>
      <c r="W90" s="13" t="s">
        <v>14</v>
      </c>
      <c r="X90" s="13">
        <v>2</v>
      </c>
      <c r="Y90" s="13" t="s">
        <v>14</v>
      </c>
      <c r="Z90" s="13">
        <v>2</v>
      </c>
      <c r="AA90" s="13" t="s">
        <v>14</v>
      </c>
      <c r="AB90" s="13">
        <v>2</v>
      </c>
      <c r="AC90" s="13" t="s">
        <v>14</v>
      </c>
      <c r="AD90" s="13">
        <v>2</v>
      </c>
      <c r="AE90" s="13" t="s">
        <v>14</v>
      </c>
      <c r="AF90" s="13">
        <v>2</v>
      </c>
      <c r="AG90" s="13"/>
      <c r="AH90" s="13"/>
      <c r="AI90" s="13" t="s">
        <v>14</v>
      </c>
      <c r="AJ90" s="13">
        <v>2</v>
      </c>
      <c r="AK90" s="13" t="s">
        <v>14</v>
      </c>
      <c r="AL90" s="13">
        <v>2</v>
      </c>
      <c r="AM90" s="13" t="s">
        <v>14</v>
      </c>
      <c r="AN90" s="13">
        <v>2</v>
      </c>
      <c r="AO90" s="13" t="s">
        <v>14</v>
      </c>
      <c r="AP90" s="13">
        <v>2</v>
      </c>
      <c r="AQ90" s="13" t="s">
        <v>14</v>
      </c>
      <c r="AR90" s="13">
        <v>2</v>
      </c>
      <c r="AS90" s="13" t="s">
        <v>14</v>
      </c>
      <c r="AT90" s="13">
        <v>2</v>
      </c>
      <c r="AU90" s="13"/>
      <c r="AV90" s="13"/>
      <c r="AW90" s="13" t="s">
        <v>14</v>
      </c>
      <c r="AX90" s="13">
        <v>2</v>
      </c>
      <c r="AY90" s="13" t="s">
        <v>14</v>
      </c>
      <c r="AZ90" s="13">
        <v>2</v>
      </c>
      <c r="BA90" s="13" t="s">
        <v>14</v>
      </c>
      <c r="BB90" s="13">
        <v>2</v>
      </c>
      <c r="BC90" s="13" t="s">
        <v>14</v>
      </c>
      <c r="BD90" s="13">
        <v>2</v>
      </c>
      <c r="BE90" s="13" t="s">
        <v>14</v>
      </c>
      <c r="BF90" s="13">
        <v>2</v>
      </c>
      <c r="BG90" s="13" t="s">
        <v>14</v>
      </c>
      <c r="BH90" s="13">
        <v>2</v>
      </c>
      <c r="BI90" s="13" t="s">
        <v>16</v>
      </c>
      <c r="BJ90" s="13">
        <v>2</v>
      </c>
      <c r="BK90" s="13" t="s">
        <v>14</v>
      </c>
      <c r="BL90" s="13">
        <v>2</v>
      </c>
      <c r="BM90" s="13" t="s">
        <v>14</v>
      </c>
      <c r="BN90" s="36">
        <v>2</v>
      </c>
      <c r="BP90" s="27">
        <v>87</v>
      </c>
      <c r="BQ90" s="27"/>
      <c r="BR90" s="29">
        <f ca="1">SUMIF(OFFSET($E$4:$BM$9,ROWS($1:87)*6-6,),BR$2,OFFSET($F$4:$BN$9,ROWS($1:87)*6-6,))</f>
        <v>0</v>
      </c>
      <c r="BS90" s="29">
        <f ca="1">SUMIF(OFFSET($E$4:$BM$9,ROWS($1:87)*6-6,),BS$2,OFFSET($F$4:$BN$9,ROWS($1:87)*6-6,))</f>
        <v>0</v>
      </c>
      <c r="BT90" s="29">
        <f ca="1">SUMIF(OFFSET($E$4:$BM$9,ROWS($1:87)*6-6,),BT$2,OFFSET($F$4:$BN$9,ROWS($1:87)*6-6,))</f>
        <v>0</v>
      </c>
      <c r="BU90" s="29">
        <f ca="1">SUMIF(OFFSET($E$4:$BM$9,ROWS($1:87)*6-6,),BU$2,OFFSET($F$4:$BN$9,ROWS($1:87)*6-6,))</f>
        <v>0</v>
      </c>
      <c r="BV90" s="29">
        <f ca="1">SUMIF(OFFSET($E$4:$BM$9,ROWS($1:87)*6-6,),BV$2,OFFSET($F$4:$BN$9,ROWS($1:87)*6-6,))</f>
        <v>0</v>
      </c>
      <c r="BW90" s="29">
        <f ca="1">SUMIF(OFFSET($E$4:$BM$9,ROWS($1:87)*6-6,),BW$2,OFFSET($F$4:$BN$9,ROWS($1:87)*6-6,))</f>
        <v>0</v>
      </c>
      <c r="BX90" s="29">
        <f ca="1">SUMIF(OFFSET($E$4:$BM$9,ROWS($1:87)*6-6,),BX$2,OFFSET($F$4:$BN$9,ROWS($1:87)*6-6,))</f>
        <v>0</v>
      </c>
      <c r="BY90" s="29">
        <f ca="1">SUMIF(OFFSET($E$4:$BM$9,ROWS($1:87)*6-6,),BY$2,OFFSET($F$4:$BN$9,ROWS($1:87)*6-6,))</f>
        <v>0</v>
      </c>
      <c r="BZ90" s="29">
        <f ca="1">SUMIF(OFFSET($E$4:$BM$9,ROWS($1:87)*6-6,),BZ$2,OFFSET($F$4:$BN$9,ROWS($1:87)*6-6,))</f>
        <v>0</v>
      </c>
      <c r="CA90" s="29">
        <f ca="1">SUMIF(OFFSET($E$4:$BM$9,ROWS($1:87)*6-6,),CA$2,OFFSET($F$4:$BN$9,ROWS($1:87)*6-6,))</f>
        <v>0</v>
      </c>
      <c r="CB90" s="29">
        <f ca="1">SUMIF(OFFSET($E$4:$BM$9,ROWS($1:87)*6-6,),CB$2,OFFSET($F$4:$BN$9,ROWS($1:87)*6-6,))</f>
        <v>0</v>
      </c>
      <c r="CC90" s="43">
        <f ca="1">SUMIF(OFFSET($E$4:$BM$9,ROWS($1:87)*6-6,),CC$2,OFFSET($F$4:$BN$9,ROWS($1:87)*6-6,))</f>
        <v>0</v>
      </c>
      <c r="CD90" s="44">
        <f t="shared" si="5"/>
        <v>0</v>
      </c>
      <c r="CE90" s="44" t="e">
        <f ca="1">INDEX(FREQUENCY(MMULT({1,1},SUBTOTAL(9,OFFSET($E$1,MATCH($CD90,$C:$C,)+{3;4},INT(COLUMN($A:$AE)*2)-1))),{3.9,7.9,11.9}),COLUMN(B87))</f>
        <v>#N/A</v>
      </c>
      <c r="CF90" s="44" t="e">
        <f ca="1">INDEX(FREQUENCY(MMULT({1,1},SUBTOTAL(9,OFFSET($E$1,MATCH($CD90,$C:$C,)+{3;4},INT(COLUMN($A:$AE)*2)-1))),{3.9,7.9,11.9}),COLUMN(C87))</f>
        <v>#N/A</v>
      </c>
      <c r="CG90" s="44" t="e">
        <f ca="1">INDEX(FREQUENCY(MMULT({1,1},SUBTOTAL(9,OFFSET($E$1,MATCH($CD90,$C:$C,)+{3;4},INT(COLUMN($A:$AE)*2)-1))),{3.9,7.9,11.9}),COLUMN(D87))</f>
        <v>#N/A</v>
      </c>
    </row>
    <row r="91" spans="1:85" ht="17.25" customHeight="1" x14ac:dyDescent="0.15">
      <c r="A91" s="85"/>
      <c r="B91" s="49"/>
      <c r="C91" s="49"/>
      <c r="D91" s="56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 t="s">
        <v>14</v>
      </c>
      <c r="V91" s="12">
        <v>2</v>
      </c>
      <c r="W91" s="12" t="s">
        <v>14</v>
      </c>
      <c r="X91" s="12">
        <v>2</v>
      </c>
      <c r="Y91" s="12" t="s">
        <v>14</v>
      </c>
      <c r="Z91" s="12">
        <v>2</v>
      </c>
      <c r="AA91" s="12" t="s">
        <v>14</v>
      </c>
      <c r="AB91" s="12">
        <v>2</v>
      </c>
      <c r="AC91" s="12" t="s">
        <v>14</v>
      </c>
      <c r="AD91" s="12">
        <v>2</v>
      </c>
      <c r="AE91" s="12" t="s">
        <v>14</v>
      </c>
      <c r="AF91" s="12">
        <v>2</v>
      </c>
      <c r="AG91" s="12"/>
      <c r="AH91" s="12"/>
      <c r="AI91" s="12" t="s">
        <v>14</v>
      </c>
      <c r="AJ91" s="12">
        <v>2</v>
      </c>
      <c r="AK91" s="12" t="s">
        <v>14</v>
      </c>
      <c r="AL91" s="12">
        <v>2</v>
      </c>
      <c r="AM91" s="12" t="s">
        <v>14</v>
      </c>
      <c r="AN91" s="12">
        <v>2</v>
      </c>
      <c r="AO91" s="12" t="s">
        <v>14</v>
      </c>
      <c r="AP91" s="12">
        <v>2</v>
      </c>
      <c r="AQ91" s="12" t="s">
        <v>14</v>
      </c>
      <c r="AR91" s="12">
        <v>2</v>
      </c>
      <c r="AS91" s="12" t="s">
        <v>14</v>
      </c>
      <c r="AT91" s="12">
        <v>2</v>
      </c>
      <c r="AU91" s="12"/>
      <c r="AV91" s="12"/>
      <c r="AW91" s="12" t="s">
        <v>14</v>
      </c>
      <c r="AX91" s="12">
        <v>2</v>
      </c>
      <c r="AY91" s="12" t="s">
        <v>14</v>
      </c>
      <c r="AZ91" s="12">
        <v>2</v>
      </c>
      <c r="BA91" s="12" t="s">
        <v>14</v>
      </c>
      <c r="BB91" s="12">
        <v>2</v>
      </c>
      <c r="BC91" s="12" t="s">
        <v>14</v>
      </c>
      <c r="BD91" s="12">
        <v>2</v>
      </c>
      <c r="BE91" s="12" t="s">
        <v>14</v>
      </c>
      <c r="BF91" s="12">
        <v>2</v>
      </c>
      <c r="BG91" s="12" t="s">
        <v>14</v>
      </c>
      <c r="BH91" s="12">
        <v>2</v>
      </c>
      <c r="BI91" s="12" t="s">
        <v>16</v>
      </c>
      <c r="BJ91" s="12">
        <v>2</v>
      </c>
      <c r="BK91" s="12" t="s">
        <v>14</v>
      </c>
      <c r="BL91" s="12">
        <v>2</v>
      </c>
      <c r="BM91" s="12" t="s">
        <v>14</v>
      </c>
      <c r="BN91" s="35">
        <v>2</v>
      </c>
      <c r="BP91" s="27">
        <v>88</v>
      </c>
      <c r="BQ91" s="27"/>
      <c r="BR91" s="29">
        <f ca="1">SUMIF(OFFSET($E$4:$BM$9,ROWS($1:88)*6-6,),BR$2,OFFSET($F$4:$BN$9,ROWS($1:88)*6-6,))</f>
        <v>0</v>
      </c>
      <c r="BS91" s="29">
        <f ca="1">SUMIF(OFFSET($E$4:$BM$9,ROWS($1:88)*6-6,),BS$2,OFFSET($F$4:$BN$9,ROWS($1:88)*6-6,))</f>
        <v>0</v>
      </c>
      <c r="BT91" s="29">
        <f ca="1">SUMIF(OFFSET($E$4:$BM$9,ROWS($1:88)*6-6,),BT$2,OFFSET($F$4:$BN$9,ROWS($1:88)*6-6,))</f>
        <v>0</v>
      </c>
      <c r="BU91" s="29">
        <f ca="1">SUMIF(OFFSET($E$4:$BM$9,ROWS($1:88)*6-6,),BU$2,OFFSET($F$4:$BN$9,ROWS($1:88)*6-6,))</f>
        <v>0</v>
      </c>
      <c r="BV91" s="29">
        <f ca="1">SUMIF(OFFSET($E$4:$BM$9,ROWS($1:88)*6-6,),BV$2,OFFSET($F$4:$BN$9,ROWS($1:88)*6-6,))</f>
        <v>0</v>
      </c>
      <c r="BW91" s="29">
        <f ca="1">SUMIF(OFFSET($E$4:$BM$9,ROWS($1:88)*6-6,),BW$2,OFFSET($F$4:$BN$9,ROWS($1:88)*6-6,))</f>
        <v>0</v>
      </c>
      <c r="BX91" s="29">
        <f ca="1">SUMIF(OFFSET($E$4:$BM$9,ROWS($1:88)*6-6,),BX$2,OFFSET($F$4:$BN$9,ROWS($1:88)*6-6,))</f>
        <v>0</v>
      </c>
      <c r="BY91" s="29">
        <f ca="1">SUMIF(OFFSET($E$4:$BM$9,ROWS($1:88)*6-6,),BY$2,OFFSET($F$4:$BN$9,ROWS($1:88)*6-6,))</f>
        <v>0</v>
      </c>
      <c r="BZ91" s="29">
        <f ca="1">SUMIF(OFFSET($E$4:$BM$9,ROWS($1:88)*6-6,),BZ$2,OFFSET($F$4:$BN$9,ROWS($1:88)*6-6,))</f>
        <v>0</v>
      </c>
      <c r="CA91" s="29">
        <f ca="1">SUMIF(OFFSET($E$4:$BM$9,ROWS($1:88)*6-6,),CA$2,OFFSET($F$4:$BN$9,ROWS($1:88)*6-6,))</f>
        <v>0</v>
      </c>
      <c r="CB91" s="29">
        <f ca="1">SUMIF(OFFSET($E$4:$BM$9,ROWS($1:88)*6-6,),CB$2,OFFSET($F$4:$BN$9,ROWS($1:88)*6-6,))</f>
        <v>0</v>
      </c>
      <c r="CC91" s="43">
        <f ca="1">SUMIF(OFFSET($E$4:$BM$9,ROWS($1:88)*6-6,),CC$2,OFFSET($F$4:$BN$9,ROWS($1:88)*6-6,))</f>
        <v>0</v>
      </c>
      <c r="CD91" s="44">
        <f t="shared" si="5"/>
        <v>0</v>
      </c>
      <c r="CE91" s="44" t="e">
        <f ca="1">INDEX(FREQUENCY(MMULT({1,1},SUBTOTAL(9,OFFSET($E$1,MATCH($CD91,$C:$C,)+{3;4},INT(COLUMN($A:$AE)*2)-1))),{3.9,7.9,11.9}),COLUMN(B88))</f>
        <v>#N/A</v>
      </c>
      <c r="CF91" s="44" t="e">
        <f ca="1">INDEX(FREQUENCY(MMULT({1,1},SUBTOTAL(9,OFFSET($E$1,MATCH($CD91,$C:$C,)+{3;4},INT(COLUMN($A:$AE)*2)-1))),{3.9,7.9,11.9}),COLUMN(C88))</f>
        <v>#N/A</v>
      </c>
      <c r="CG91" s="44" t="e">
        <f ca="1">INDEX(FREQUENCY(MMULT({1,1},SUBTOTAL(9,OFFSET($E$1,MATCH($CD91,$C:$C,)+{3;4},INT(COLUMN($A:$AE)*2)-1))),{3.9,7.9,11.9}),COLUMN(D88))</f>
        <v>#N/A</v>
      </c>
    </row>
    <row r="92" spans="1:85" ht="17.25" customHeight="1" x14ac:dyDescent="0.15">
      <c r="A92" s="85"/>
      <c r="B92" s="49"/>
      <c r="C92" s="49"/>
      <c r="D92" s="58" t="s">
        <v>49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 t="s">
        <v>15</v>
      </c>
      <c r="V92" s="14"/>
      <c r="W92" s="14" t="s">
        <v>15</v>
      </c>
      <c r="X92" s="14"/>
      <c r="Y92" s="14" t="s">
        <v>15</v>
      </c>
      <c r="Z92" s="14"/>
      <c r="AA92" s="14" t="s">
        <v>15</v>
      </c>
      <c r="AB92" s="14"/>
      <c r="AC92" s="14" t="s">
        <v>15</v>
      </c>
      <c r="AD92" s="14"/>
      <c r="AE92" s="14" t="s">
        <v>15</v>
      </c>
      <c r="AF92" s="14"/>
      <c r="AG92" s="14"/>
      <c r="AH92" s="14"/>
      <c r="AI92" s="14" t="s">
        <v>15</v>
      </c>
      <c r="AJ92" s="14"/>
      <c r="AK92" s="14" t="s">
        <v>15</v>
      </c>
      <c r="AL92" s="14"/>
      <c r="AM92" s="14" t="s">
        <v>15</v>
      </c>
      <c r="AN92" s="14"/>
      <c r="AO92" s="14" t="s">
        <v>15</v>
      </c>
      <c r="AP92" s="14">
        <v>3</v>
      </c>
      <c r="AQ92" s="14" t="s">
        <v>15</v>
      </c>
      <c r="AR92" s="14">
        <v>3</v>
      </c>
      <c r="AS92" s="14" t="s">
        <v>15</v>
      </c>
      <c r="AT92" s="14"/>
      <c r="AU92" s="14"/>
      <c r="AV92" s="14"/>
      <c r="AW92" s="14" t="s">
        <v>15</v>
      </c>
      <c r="AX92" s="14">
        <v>2</v>
      </c>
      <c r="AY92" s="14" t="s">
        <v>15</v>
      </c>
      <c r="AZ92" s="14"/>
      <c r="BA92" s="14" t="s">
        <v>15</v>
      </c>
      <c r="BB92" s="14"/>
      <c r="BC92" s="14" t="s">
        <v>15</v>
      </c>
      <c r="BD92" s="14">
        <v>1</v>
      </c>
      <c r="BE92" s="14" t="s">
        <v>15</v>
      </c>
      <c r="BF92" s="14">
        <v>3</v>
      </c>
      <c r="BG92" s="14" t="s">
        <v>15</v>
      </c>
      <c r="BH92" s="14"/>
      <c r="BI92" s="14"/>
      <c r="BJ92" s="14"/>
      <c r="BK92" s="14" t="s">
        <v>15</v>
      </c>
      <c r="BL92" s="14"/>
      <c r="BM92" s="14" t="s">
        <v>15</v>
      </c>
      <c r="BN92" s="37"/>
      <c r="BP92" s="27">
        <v>89</v>
      </c>
      <c r="BQ92" s="27"/>
      <c r="BR92" s="29">
        <f ca="1">SUMIF(OFFSET($E$4:$BM$9,ROWS($1:89)*6-6,),BR$2,OFFSET($F$4:$BN$9,ROWS($1:89)*6-6,))</f>
        <v>0</v>
      </c>
      <c r="BS92" s="29">
        <f ca="1">SUMIF(OFFSET($E$4:$BM$9,ROWS($1:89)*6-6,),BS$2,OFFSET($F$4:$BN$9,ROWS($1:89)*6-6,))</f>
        <v>0</v>
      </c>
      <c r="BT92" s="29">
        <f ca="1">SUMIF(OFFSET($E$4:$BM$9,ROWS($1:89)*6-6,),BT$2,OFFSET($F$4:$BN$9,ROWS($1:89)*6-6,))</f>
        <v>0</v>
      </c>
      <c r="BU92" s="29">
        <f ca="1">SUMIF(OFFSET($E$4:$BM$9,ROWS($1:89)*6-6,),BU$2,OFFSET($F$4:$BN$9,ROWS($1:89)*6-6,))</f>
        <v>0</v>
      </c>
      <c r="BV92" s="29">
        <f ca="1">SUMIF(OFFSET($E$4:$BM$9,ROWS($1:89)*6-6,),BV$2,OFFSET($F$4:$BN$9,ROWS($1:89)*6-6,))</f>
        <v>0</v>
      </c>
      <c r="BW92" s="29">
        <f ca="1">SUMIF(OFFSET($E$4:$BM$9,ROWS($1:89)*6-6,),BW$2,OFFSET($F$4:$BN$9,ROWS($1:89)*6-6,))</f>
        <v>0</v>
      </c>
      <c r="BX92" s="29">
        <f ca="1">SUMIF(OFFSET($E$4:$BM$9,ROWS($1:89)*6-6,),BX$2,OFFSET($F$4:$BN$9,ROWS($1:89)*6-6,))</f>
        <v>0</v>
      </c>
      <c r="BY92" s="29">
        <f ca="1">SUMIF(OFFSET($E$4:$BM$9,ROWS($1:89)*6-6,),BY$2,OFFSET($F$4:$BN$9,ROWS($1:89)*6-6,))</f>
        <v>0</v>
      </c>
      <c r="BZ92" s="29">
        <f ca="1">SUMIF(OFFSET($E$4:$BM$9,ROWS($1:89)*6-6,),BZ$2,OFFSET($F$4:$BN$9,ROWS($1:89)*6-6,))</f>
        <v>0</v>
      </c>
      <c r="CA92" s="29">
        <f ca="1">SUMIF(OFFSET($E$4:$BM$9,ROWS($1:89)*6-6,),CA$2,OFFSET($F$4:$BN$9,ROWS($1:89)*6-6,))</f>
        <v>0</v>
      </c>
      <c r="CB92" s="29">
        <f ca="1">SUMIF(OFFSET($E$4:$BM$9,ROWS($1:89)*6-6,),CB$2,OFFSET($F$4:$BN$9,ROWS($1:89)*6-6,))</f>
        <v>0</v>
      </c>
      <c r="CC92" s="43">
        <f ca="1">SUMIF(OFFSET($E$4:$BM$9,ROWS($1:89)*6-6,),CC$2,OFFSET($F$4:$BN$9,ROWS($1:89)*6-6,))</f>
        <v>0</v>
      </c>
      <c r="CD92" s="44">
        <f t="shared" si="5"/>
        <v>0</v>
      </c>
      <c r="CE92" s="44" t="e">
        <f ca="1">INDEX(FREQUENCY(MMULT({1,1},SUBTOTAL(9,OFFSET($E$1,MATCH($CD92,$C:$C,)+{3;4},INT(COLUMN($A:$AE)*2)-1))),{3.9,7.9,11.9}),COLUMN(B89))</f>
        <v>#N/A</v>
      </c>
      <c r="CF92" s="44" t="e">
        <f ca="1">INDEX(FREQUENCY(MMULT({1,1},SUBTOTAL(9,OFFSET($E$1,MATCH($CD92,$C:$C,)+{3;4},INT(COLUMN($A:$AE)*2)-1))),{3.9,7.9,11.9}),COLUMN(C89))</f>
        <v>#N/A</v>
      </c>
      <c r="CG92" s="44" t="e">
        <f ca="1">INDEX(FREQUENCY(MMULT({1,1},SUBTOTAL(9,OFFSET($E$1,MATCH($CD92,$C:$C,)+{3;4},INT(COLUMN($A:$AE)*2)-1))),{3.9,7.9,11.9}),COLUMN(D89))</f>
        <v>#N/A</v>
      </c>
    </row>
    <row r="93" spans="1:85" ht="17.25" customHeight="1" thickBot="1" x14ac:dyDescent="0.2">
      <c r="A93" s="86"/>
      <c r="B93" s="50"/>
      <c r="C93" s="50"/>
      <c r="D93" s="59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38"/>
      <c r="BP93" s="27">
        <v>90</v>
      </c>
      <c r="BQ93" s="27"/>
      <c r="BR93" s="29">
        <f ca="1">SUMIF(OFFSET($E$4:$BM$9,ROWS($1:90)*6-6,),BR$2,OFFSET($F$4:$BN$9,ROWS($1:90)*6-6,))</f>
        <v>0</v>
      </c>
      <c r="BS93" s="29">
        <f ca="1">SUMIF(OFFSET($E$4:$BM$9,ROWS($1:90)*6-6,),BS$2,OFFSET($F$4:$BN$9,ROWS($1:90)*6-6,))</f>
        <v>0</v>
      </c>
      <c r="BT93" s="29">
        <f ca="1">SUMIF(OFFSET($E$4:$BM$9,ROWS($1:90)*6-6,),BT$2,OFFSET($F$4:$BN$9,ROWS($1:90)*6-6,))</f>
        <v>0</v>
      </c>
      <c r="BU93" s="29">
        <f ca="1">SUMIF(OFFSET($E$4:$BM$9,ROWS($1:90)*6-6,),BU$2,OFFSET($F$4:$BN$9,ROWS($1:90)*6-6,))</f>
        <v>0</v>
      </c>
      <c r="BV93" s="29">
        <f ca="1">SUMIF(OFFSET($E$4:$BM$9,ROWS($1:90)*6-6,),BV$2,OFFSET($F$4:$BN$9,ROWS($1:90)*6-6,))</f>
        <v>0</v>
      </c>
      <c r="BW93" s="29">
        <f ca="1">SUMIF(OFFSET($E$4:$BM$9,ROWS($1:90)*6-6,),BW$2,OFFSET($F$4:$BN$9,ROWS($1:90)*6-6,))</f>
        <v>0</v>
      </c>
      <c r="BX93" s="29">
        <f ca="1">SUMIF(OFFSET($E$4:$BM$9,ROWS($1:90)*6-6,),BX$2,OFFSET($F$4:$BN$9,ROWS($1:90)*6-6,))</f>
        <v>0</v>
      </c>
      <c r="BY93" s="29">
        <f ca="1">SUMIF(OFFSET($E$4:$BM$9,ROWS($1:90)*6-6,),BY$2,OFFSET($F$4:$BN$9,ROWS($1:90)*6-6,))</f>
        <v>0</v>
      </c>
      <c r="BZ93" s="29">
        <f ca="1">SUMIF(OFFSET($E$4:$BM$9,ROWS($1:90)*6-6,),BZ$2,OFFSET($F$4:$BN$9,ROWS($1:90)*6-6,))</f>
        <v>0</v>
      </c>
      <c r="CA93" s="29">
        <f ca="1">SUMIF(OFFSET($E$4:$BM$9,ROWS($1:90)*6-6,),CA$2,OFFSET($F$4:$BN$9,ROWS($1:90)*6-6,))</f>
        <v>0</v>
      </c>
      <c r="CB93" s="29">
        <f ca="1">SUMIF(OFFSET($E$4:$BM$9,ROWS($1:90)*6-6,),CB$2,OFFSET($F$4:$BN$9,ROWS($1:90)*6-6,))</f>
        <v>0</v>
      </c>
      <c r="CC93" s="43">
        <f ca="1">SUMIF(OFFSET($E$4:$BM$9,ROWS($1:90)*6-6,),CC$2,OFFSET($F$4:$BN$9,ROWS($1:90)*6-6,))</f>
        <v>0</v>
      </c>
      <c r="CD93" s="44">
        <f t="shared" si="5"/>
        <v>0</v>
      </c>
      <c r="CE93" s="44" t="e">
        <f ca="1">INDEX(FREQUENCY(MMULT({1,1},SUBTOTAL(9,OFFSET($E$1,MATCH($CD93,$C:$C,)+{3;4},INT(COLUMN($A:$AE)*2)-1))),{3.9,7.9,11.9}),COLUMN(B90))</f>
        <v>#N/A</v>
      </c>
      <c r="CF93" s="44" t="e">
        <f ca="1">INDEX(FREQUENCY(MMULT({1,1},SUBTOTAL(9,OFFSET($E$1,MATCH($CD93,$C:$C,)+{3;4},INT(COLUMN($A:$AE)*2)-1))),{3.9,7.9,11.9}),COLUMN(C90))</f>
        <v>#N/A</v>
      </c>
      <c r="CG93" s="44" t="e">
        <f ca="1">INDEX(FREQUENCY(MMULT({1,1},SUBTOTAL(9,OFFSET($E$1,MATCH($CD93,$C:$C,)+{3;4},INT(COLUMN($A:$AE)*2)-1))),{3.9,7.9,11.9}),COLUMN(D90))</f>
        <v>#N/A</v>
      </c>
    </row>
    <row r="94" spans="1:85" ht="17.25" customHeight="1" x14ac:dyDescent="0.15">
      <c r="A94" s="84" t="s">
        <v>89</v>
      </c>
      <c r="B94" s="48" t="s">
        <v>107</v>
      </c>
      <c r="C94" s="48" t="s">
        <v>95</v>
      </c>
      <c r="D94" s="55" t="s">
        <v>45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17</v>
      </c>
      <c r="V94" s="11">
        <v>2</v>
      </c>
      <c r="W94" s="11" t="s">
        <v>17</v>
      </c>
      <c r="X94" s="11">
        <v>2</v>
      </c>
      <c r="Y94" s="11" t="s">
        <v>17</v>
      </c>
      <c r="Z94" s="11">
        <v>2</v>
      </c>
      <c r="AA94" s="11" t="s">
        <v>17</v>
      </c>
      <c r="AB94" s="11">
        <v>2</v>
      </c>
      <c r="AC94" s="11" t="s">
        <v>17</v>
      </c>
      <c r="AD94" s="11">
        <v>2</v>
      </c>
      <c r="AE94" s="11" t="s">
        <v>17</v>
      </c>
      <c r="AF94" s="11">
        <v>2</v>
      </c>
      <c r="AG94" s="11"/>
      <c r="AH94" s="11"/>
      <c r="AI94" s="11" t="s">
        <v>14</v>
      </c>
      <c r="AJ94" s="11">
        <v>2</v>
      </c>
      <c r="AK94" s="11" t="s">
        <v>14</v>
      </c>
      <c r="AL94" s="11">
        <v>2</v>
      </c>
      <c r="AM94" s="11" t="s">
        <v>14</v>
      </c>
      <c r="AN94" s="11">
        <v>2</v>
      </c>
      <c r="AO94" s="11" t="s">
        <v>14</v>
      </c>
      <c r="AP94" s="11">
        <v>2</v>
      </c>
      <c r="AQ94" s="11" t="s">
        <v>14</v>
      </c>
      <c r="AR94" s="11">
        <v>2</v>
      </c>
      <c r="AS94" s="11" t="s">
        <v>14</v>
      </c>
      <c r="AT94" s="11">
        <v>2</v>
      </c>
      <c r="AU94" s="11"/>
      <c r="AV94" s="11"/>
      <c r="AW94" s="11" t="s">
        <v>14</v>
      </c>
      <c r="AX94" s="11">
        <v>2</v>
      </c>
      <c r="AY94" s="11" t="s">
        <v>14</v>
      </c>
      <c r="AZ94" s="11">
        <v>2</v>
      </c>
      <c r="BA94" s="11" t="s">
        <v>14</v>
      </c>
      <c r="BB94" s="11">
        <v>2</v>
      </c>
      <c r="BC94" s="11" t="s">
        <v>14</v>
      </c>
      <c r="BD94" s="11">
        <v>2</v>
      </c>
      <c r="BE94" s="11" t="s">
        <v>14</v>
      </c>
      <c r="BF94" s="11">
        <v>2</v>
      </c>
      <c r="BG94" s="11" t="s">
        <v>14</v>
      </c>
      <c r="BH94" s="11">
        <v>2</v>
      </c>
      <c r="BI94" s="11" t="s">
        <v>16</v>
      </c>
      <c r="BJ94" s="11">
        <v>2</v>
      </c>
      <c r="BK94" s="11" t="s">
        <v>14</v>
      </c>
      <c r="BL94" s="11">
        <v>2</v>
      </c>
      <c r="BM94" s="11" t="s">
        <v>14</v>
      </c>
      <c r="BN94" s="34">
        <v>2</v>
      </c>
      <c r="BP94" s="27">
        <v>91</v>
      </c>
      <c r="BQ94" s="27"/>
      <c r="BR94" s="29">
        <f ca="1">SUMIF(OFFSET($E$4:$BM$9,ROWS($1:91)*6-6,),BR$2,OFFSET($F$4:$BN$9,ROWS($1:91)*6-6,))</f>
        <v>0</v>
      </c>
      <c r="BS94" s="29">
        <f ca="1">SUMIF(OFFSET($E$4:$BM$9,ROWS($1:91)*6-6,),BS$2,OFFSET($F$4:$BN$9,ROWS($1:91)*6-6,))</f>
        <v>0</v>
      </c>
      <c r="BT94" s="29">
        <f ca="1">SUMIF(OFFSET($E$4:$BM$9,ROWS($1:91)*6-6,),BT$2,OFFSET($F$4:$BN$9,ROWS($1:91)*6-6,))</f>
        <v>0</v>
      </c>
      <c r="BU94" s="29">
        <f ca="1">SUMIF(OFFSET($E$4:$BM$9,ROWS($1:91)*6-6,),BU$2,OFFSET($F$4:$BN$9,ROWS($1:91)*6-6,))</f>
        <v>0</v>
      </c>
      <c r="BV94" s="29">
        <f ca="1">SUMIF(OFFSET($E$4:$BM$9,ROWS($1:91)*6-6,),BV$2,OFFSET($F$4:$BN$9,ROWS($1:91)*6-6,))</f>
        <v>0</v>
      </c>
      <c r="BW94" s="29">
        <f ca="1">SUMIF(OFFSET($E$4:$BM$9,ROWS($1:91)*6-6,),BW$2,OFFSET($F$4:$BN$9,ROWS($1:91)*6-6,))</f>
        <v>0</v>
      </c>
      <c r="BX94" s="29">
        <f ca="1">SUMIF(OFFSET($E$4:$BM$9,ROWS($1:91)*6-6,),BX$2,OFFSET($F$4:$BN$9,ROWS($1:91)*6-6,))</f>
        <v>0</v>
      </c>
      <c r="BY94" s="29">
        <f ca="1">SUMIF(OFFSET($E$4:$BM$9,ROWS($1:91)*6-6,),BY$2,OFFSET($F$4:$BN$9,ROWS($1:91)*6-6,))</f>
        <v>0</v>
      </c>
      <c r="BZ94" s="29">
        <f ca="1">SUMIF(OFFSET($E$4:$BM$9,ROWS($1:91)*6-6,),BZ$2,OFFSET($F$4:$BN$9,ROWS($1:91)*6-6,))</f>
        <v>0</v>
      </c>
      <c r="CA94" s="29">
        <f ca="1">SUMIF(OFFSET($E$4:$BM$9,ROWS($1:91)*6-6,),CA$2,OFFSET($F$4:$BN$9,ROWS($1:91)*6-6,))</f>
        <v>0</v>
      </c>
      <c r="CB94" s="29">
        <f ca="1">SUMIF(OFFSET($E$4:$BM$9,ROWS($1:91)*6-6,),CB$2,OFFSET($F$4:$BN$9,ROWS($1:91)*6-6,))</f>
        <v>0</v>
      </c>
      <c r="CC94" s="43">
        <f ca="1">SUMIF(OFFSET($E$4:$BM$9,ROWS($1:91)*6-6,),CC$2,OFFSET($F$4:$BN$9,ROWS($1:91)*6-6,))</f>
        <v>0</v>
      </c>
      <c r="CD94" s="44">
        <f t="shared" si="5"/>
        <v>0</v>
      </c>
      <c r="CE94" s="44" t="e">
        <f ca="1">INDEX(FREQUENCY(MMULT({1,1},SUBTOTAL(9,OFFSET($E$1,MATCH($CD94,$C:$C,)+{3;4},INT(COLUMN($A:$AE)*2)-1))),{3.9,7.9,11.9}),COLUMN(B91))</f>
        <v>#N/A</v>
      </c>
      <c r="CF94" s="44" t="e">
        <f ca="1">INDEX(FREQUENCY(MMULT({1,1},SUBTOTAL(9,OFFSET($E$1,MATCH($CD94,$C:$C,)+{3;4},INT(COLUMN($A:$AE)*2)-1))),{3.9,7.9,11.9}),COLUMN(C91))</f>
        <v>#N/A</v>
      </c>
      <c r="CG94" s="44" t="e">
        <f ca="1">INDEX(FREQUENCY(MMULT({1,1},SUBTOTAL(9,OFFSET($E$1,MATCH($CD94,$C:$C,)+{3;4},INT(COLUMN($A:$AE)*2)-1))),{3.9,7.9,11.9}),COLUMN(D91))</f>
        <v>#N/A</v>
      </c>
    </row>
    <row r="95" spans="1:85" ht="17.25" customHeight="1" x14ac:dyDescent="0.15">
      <c r="A95" s="85"/>
      <c r="B95" s="49"/>
      <c r="C95" s="49"/>
      <c r="D95" s="56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 t="s">
        <v>17</v>
      </c>
      <c r="V95" s="12">
        <v>2</v>
      </c>
      <c r="W95" s="12" t="s">
        <v>17</v>
      </c>
      <c r="X95" s="12">
        <v>2</v>
      </c>
      <c r="Y95" s="12" t="s">
        <v>17</v>
      </c>
      <c r="Z95" s="12">
        <v>2</v>
      </c>
      <c r="AA95" s="12" t="s">
        <v>17</v>
      </c>
      <c r="AB95" s="12">
        <v>2</v>
      </c>
      <c r="AC95" s="12" t="s">
        <v>17</v>
      </c>
      <c r="AD95" s="12">
        <v>2</v>
      </c>
      <c r="AE95" s="12" t="s">
        <v>17</v>
      </c>
      <c r="AF95" s="12">
        <v>2</v>
      </c>
      <c r="AG95" s="12"/>
      <c r="AH95" s="12"/>
      <c r="AI95" s="12" t="s">
        <v>14</v>
      </c>
      <c r="AJ95" s="12">
        <v>2</v>
      </c>
      <c r="AK95" s="12" t="s">
        <v>14</v>
      </c>
      <c r="AL95" s="12">
        <v>2</v>
      </c>
      <c r="AM95" s="12" t="s">
        <v>14</v>
      </c>
      <c r="AN95" s="12">
        <v>2</v>
      </c>
      <c r="AO95" s="12" t="s">
        <v>14</v>
      </c>
      <c r="AP95" s="12">
        <v>2</v>
      </c>
      <c r="AQ95" s="12" t="s">
        <v>14</v>
      </c>
      <c r="AR95" s="12">
        <v>2</v>
      </c>
      <c r="AS95" s="12" t="s">
        <v>14</v>
      </c>
      <c r="AT95" s="12">
        <v>2</v>
      </c>
      <c r="AU95" s="12"/>
      <c r="AV95" s="12"/>
      <c r="AW95" s="12" t="s">
        <v>14</v>
      </c>
      <c r="AX95" s="12">
        <v>2</v>
      </c>
      <c r="AY95" s="12" t="s">
        <v>14</v>
      </c>
      <c r="AZ95" s="12">
        <v>2</v>
      </c>
      <c r="BA95" s="12" t="s">
        <v>14</v>
      </c>
      <c r="BB95" s="12">
        <v>2</v>
      </c>
      <c r="BC95" s="12" t="s">
        <v>14</v>
      </c>
      <c r="BD95" s="12">
        <v>2</v>
      </c>
      <c r="BE95" s="12" t="s">
        <v>14</v>
      </c>
      <c r="BF95" s="12">
        <v>2</v>
      </c>
      <c r="BG95" s="12" t="s">
        <v>14</v>
      </c>
      <c r="BH95" s="12">
        <v>2</v>
      </c>
      <c r="BI95" s="12" t="s">
        <v>16</v>
      </c>
      <c r="BJ95" s="12">
        <v>2</v>
      </c>
      <c r="BK95" s="12" t="s">
        <v>14</v>
      </c>
      <c r="BL95" s="12">
        <v>2</v>
      </c>
      <c r="BM95" s="12" t="s">
        <v>14</v>
      </c>
      <c r="BN95" s="35">
        <v>2</v>
      </c>
      <c r="BP95" s="27">
        <v>92</v>
      </c>
      <c r="BQ95" s="27"/>
      <c r="BR95" s="29">
        <f ca="1">SUMIF(OFFSET($E$4:$BM$9,ROWS($1:92)*6-6,),BR$2,OFFSET($F$4:$BN$9,ROWS($1:92)*6-6,))</f>
        <v>0</v>
      </c>
      <c r="BS95" s="29">
        <f ca="1">SUMIF(OFFSET($E$4:$BM$9,ROWS($1:92)*6-6,),BS$2,OFFSET($F$4:$BN$9,ROWS($1:92)*6-6,))</f>
        <v>0</v>
      </c>
      <c r="BT95" s="29">
        <f ca="1">SUMIF(OFFSET($E$4:$BM$9,ROWS($1:92)*6-6,),BT$2,OFFSET($F$4:$BN$9,ROWS($1:92)*6-6,))</f>
        <v>0</v>
      </c>
      <c r="BU95" s="29">
        <f ca="1">SUMIF(OFFSET($E$4:$BM$9,ROWS($1:92)*6-6,),BU$2,OFFSET($F$4:$BN$9,ROWS($1:92)*6-6,))</f>
        <v>0</v>
      </c>
      <c r="BV95" s="29">
        <f ca="1">SUMIF(OFFSET($E$4:$BM$9,ROWS($1:92)*6-6,),BV$2,OFFSET($F$4:$BN$9,ROWS($1:92)*6-6,))</f>
        <v>0</v>
      </c>
      <c r="BW95" s="29">
        <f ca="1">SUMIF(OFFSET($E$4:$BM$9,ROWS($1:92)*6-6,),BW$2,OFFSET($F$4:$BN$9,ROWS($1:92)*6-6,))</f>
        <v>0</v>
      </c>
      <c r="BX95" s="29">
        <f ca="1">SUMIF(OFFSET($E$4:$BM$9,ROWS($1:92)*6-6,),BX$2,OFFSET($F$4:$BN$9,ROWS($1:92)*6-6,))</f>
        <v>0</v>
      </c>
      <c r="BY95" s="29">
        <f ca="1">SUMIF(OFFSET($E$4:$BM$9,ROWS($1:92)*6-6,),BY$2,OFFSET($F$4:$BN$9,ROWS($1:92)*6-6,))</f>
        <v>0</v>
      </c>
      <c r="BZ95" s="29">
        <f ca="1">SUMIF(OFFSET($E$4:$BM$9,ROWS($1:92)*6-6,),BZ$2,OFFSET($F$4:$BN$9,ROWS($1:92)*6-6,))</f>
        <v>0</v>
      </c>
      <c r="CA95" s="29">
        <f ca="1">SUMIF(OFFSET($E$4:$BM$9,ROWS($1:92)*6-6,),CA$2,OFFSET($F$4:$BN$9,ROWS($1:92)*6-6,))</f>
        <v>0</v>
      </c>
      <c r="CB95" s="29">
        <f ca="1">SUMIF(OFFSET($E$4:$BM$9,ROWS($1:92)*6-6,),CB$2,OFFSET($F$4:$BN$9,ROWS($1:92)*6-6,))</f>
        <v>0</v>
      </c>
      <c r="CC95" s="43">
        <f ca="1">SUMIF(OFFSET($E$4:$BM$9,ROWS($1:92)*6-6,),CC$2,OFFSET($F$4:$BN$9,ROWS($1:92)*6-6,))</f>
        <v>0</v>
      </c>
      <c r="CD95" s="44">
        <f t="shared" si="5"/>
        <v>0</v>
      </c>
      <c r="CE95" s="44" t="e">
        <f ca="1">INDEX(FREQUENCY(MMULT({1,1},SUBTOTAL(9,OFFSET($E$1,MATCH($CD95,$C:$C,)+{3;4},INT(COLUMN($A:$AE)*2)-1))),{3.9,7.9,11.9}),COLUMN(B92))</f>
        <v>#N/A</v>
      </c>
      <c r="CF95" s="44" t="e">
        <f ca="1">INDEX(FREQUENCY(MMULT({1,1},SUBTOTAL(9,OFFSET($E$1,MATCH($CD95,$C:$C,)+{3;4},INT(COLUMN($A:$AE)*2)-1))),{3.9,7.9,11.9}),COLUMN(C92))</f>
        <v>#N/A</v>
      </c>
      <c r="CG95" s="44" t="e">
        <f ca="1">INDEX(FREQUENCY(MMULT({1,1},SUBTOTAL(9,OFFSET($E$1,MATCH($CD95,$C:$C,)+{3;4},INT(COLUMN($A:$AE)*2)-1))),{3.9,7.9,11.9}),COLUMN(D92))</f>
        <v>#N/A</v>
      </c>
    </row>
    <row r="96" spans="1:85" ht="17.25" customHeight="1" x14ac:dyDescent="0.15">
      <c r="A96" s="85"/>
      <c r="B96" s="49"/>
      <c r="C96" s="49"/>
      <c r="D96" s="57" t="s">
        <v>47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 t="s">
        <v>17</v>
      </c>
      <c r="V96" s="13">
        <v>2</v>
      </c>
      <c r="W96" s="13" t="s">
        <v>17</v>
      </c>
      <c r="X96" s="13">
        <v>2</v>
      </c>
      <c r="Y96" s="13" t="s">
        <v>17</v>
      </c>
      <c r="Z96" s="13">
        <v>2</v>
      </c>
      <c r="AA96" s="13" t="s">
        <v>17</v>
      </c>
      <c r="AB96" s="13">
        <v>2</v>
      </c>
      <c r="AC96" s="13" t="s">
        <v>17</v>
      </c>
      <c r="AD96" s="13">
        <v>2</v>
      </c>
      <c r="AE96" s="13" t="s">
        <v>17</v>
      </c>
      <c r="AF96" s="13">
        <v>2</v>
      </c>
      <c r="AG96" s="13"/>
      <c r="AH96" s="13"/>
      <c r="AI96" s="13" t="s">
        <v>14</v>
      </c>
      <c r="AJ96" s="13">
        <v>2</v>
      </c>
      <c r="AK96" s="13" t="s">
        <v>14</v>
      </c>
      <c r="AL96" s="13">
        <v>2</v>
      </c>
      <c r="AM96" s="13" t="s">
        <v>14</v>
      </c>
      <c r="AN96" s="13">
        <v>2</v>
      </c>
      <c r="AO96" s="13" t="s">
        <v>14</v>
      </c>
      <c r="AP96" s="13">
        <v>2</v>
      </c>
      <c r="AQ96" s="13" t="s">
        <v>14</v>
      </c>
      <c r="AR96" s="13">
        <v>2</v>
      </c>
      <c r="AS96" s="13" t="s">
        <v>14</v>
      </c>
      <c r="AT96" s="13">
        <v>2</v>
      </c>
      <c r="AU96" s="13"/>
      <c r="AV96" s="13"/>
      <c r="AW96" s="13" t="s">
        <v>14</v>
      </c>
      <c r="AX96" s="13">
        <v>2</v>
      </c>
      <c r="AY96" s="13" t="s">
        <v>14</v>
      </c>
      <c r="AZ96" s="13">
        <v>2</v>
      </c>
      <c r="BA96" s="13" t="s">
        <v>14</v>
      </c>
      <c r="BB96" s="13">
        <v>2</v>
      </c>
      <c r="BC96" s="13" t="s">
        <v>14</v>
      </c>
      <c r="BD96" s="13">
        <v>2</v>
      </c>
      <c r="BE96" s="13" t="s">
        <v>14</v>
      </c>
      <c r="BF96" s="13">
        <v>2</v>
      </c>
      <c r="BG96" s="13" t="s">
        <v>14</v>
      </c>
      <c r="BH96" s="13">
        <v>2</v>
      </c>
      <c r="BI96" s="13" t="s">
        <v>16</v>
      </c>
      <c r="BJ96" s="13">
        <v>2</v>
      </c>
      <c r="BK96" s="13" t="s">
        <v>14</v>
      </c>
      <c r="BL96" s="13">
        <v>2</v>
      </c>
      <c r="BM96" s="13" t="s">
        <v>14</v>
      </c>
      <c r="BN96" s="36">
        <v>2</v>
      </c>
      <c r="BP96" s="27">
        <v>93</v>
      </c>
      <c r="BQ96" s="27"/>
      <c r="BR96" s="29">
        <f ca="1">SUMIF(OFFSET($E$4:$BM$9,ROWS($1:93)*6-6,),BR$2,OFFSET($F$4:$BN$9,ROWS($1:93)*6-6,))</f>
        <v>0</v>
      </c>
      <c r="BS96" s="29">
        <f ca="1">SUMIF(OFFSET($E$4:$BM$9,ROWS($1:93)*6-6,),BS$2,OFFSET($F$4:$BN$9,ROWS($1:93)*6-6,))</f>
        <v>0</v>
      </c>
      <c r="BT96" s="29">
        <f ca="1">SUMIF(OFFSET($E$4:$BM$9,ROWS($1:93)*6-6,),BT$2,OFFSET($F$4:$BN$9,ROWS($1:93)*6-6,))</f>
        <v>0</v>
      </c>
      <c r="BU96" s="29">
        <f ca="1">SUMIF(OFFSET($E$4:$BM$9,ROWS($1:93)*6-6,),BU$2,OFFSET($F$4:$BN$9,ROWS($1:93)*6-6,))</f>
        <v>0</v>
      </c>
      <c r="BV96" s="29">
        <f ca="1">SUMIF(OFFSET($E$4:$BM$9,ROWS($1:93)*6-6,),BV$2,OFFSET($F$4:$BN$9,ROWS($1:93)*6-6,))</f>
        <v>0</v>
      </c>
      <c r="BW96" s="29">
        <f ca="1">SUMIF(OFFSET($E$4:$BM$9,ROWS($1:93)*6-6,),BW$2,OFFSET($F$4:$BN$9,ROWS($1:93)*6-6,))</f>
        <v>0</v>
      </c>
      <c r="BX96" s="29">
        <f ca="1">SUMIF(OFFSET($E$4:$BM$9,ROWS($1:93)*6-6,),BX$2,OFFSET($F$4:$BN$9,ROWS($1:93)*6-6,))</f>
        <v>0</v>
      </c>
      <c r="BY96" s="29">
        <f ca="1">SUMIF(OFFSET($E$4:$BM$9,ROWS($1:93)*6-6,),BY$2,OFFSET($F$4:$BN$9,ROWS($1:93)*6-6,))</f>
        <v>0</v>
      </c>
      <c r="BZ96" s="29">
        <f ca="1">SUMIF(OFFSET($E$4:$BM$9,ROWS($1:93)*6-6,),BZ$2,OFFSET($F$4:$BN$9,ROWS($1:93)*6-6,))</f>
        <v>0</v>
      </c>
      <c r="CA96" s="29">
        <f ca="1">SUMIF(OFFSET($E$4:$BM$9,ROWS($1:93)*6-6,),CA$2,OFFSET($F$4:$BN$9,ROWS($1:93)*6-6,))</f>
        <v>0</v>
      </c>
      <c r="CB96" s="29">
        <f ca="1">SUMIF(OFFSET($E$4:$BM$9,ROWS($1:93)*6-6,),CB$2,OFFSET($F$4:$BN$9,ROWS($1:93)*6-6,))</f>
        <v>0</v>
      </c>
      <c r="CC96" s="43">
        <f ca="1">SUMIF(OFFSET($E$4:$BM$9,ROWS($1:93)*6-6,),CC$2,OFFSET($F$4:$BN$9,ROWS($1:93)*6-6,))</f>
        <v>0</v>
      </c>
      <c r="CD96" s="44">
        <f t="shared" si="5"/>
        <v>0</v>
      </c>
      <c r="CE96" s="44" t="e">
        <f ca="1">INDEX(FREQUENCY(MMULT({1,1},SUBTOTAL(9,OFFSET($E$1,MATCH($CD96,$C:$C,)+{3;4},INT(COLUMN($A:$AE)*2)-1))),{3.9,7.9,11.9}),COLUMN(B93))</f>
        <v>#N/A</v>
      </c>
      <c r="CF96" s="44" t="e">
        <f ca="1">INDEX(FREQUENCY(MMULT({1,1},SUBTOTAL(9,OFFSET($E$1,MATCH($CD96,$C:$C,)+{3;4},INT(COLUMN($A:$AE)*2)-1))),{3.9,7.9,11.9}),COLUMN(C93))</f>
        <v>#N/A</v>
      </c>
      <c r="CG96" s="44" t="e">
        <f ca="1">INDEX(FREQUENCY(MMULT({1,1},SUBTOTAL(9,OFFSET($E$1,MATCH($CD96,$C:$C,)+{3;4},INT(COLUMN($A:$AE)*2)-1))),{3.9,7.9,11.9}),COLUMN(D93))</f>
        <v>#N/A</v>
      </c>
    </row>
    <row r="97" spans="1:85" ht="17.25" customHeight="1" x14ac:dyDescent="0.15">
      <c r="A97" s="85"/>
      <c r="B97" s="49"/>
      <c r="C97" s="49"/>
      <c r="D97" s="56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17</v>
      </c>
      <c r="V97" s="12">
        <v>2</v>
      </c>
      <c r="W97" s="12" t="s">
        <v>17</v>
      </c>
      <c r="X97" s="12">
        <v>2</v>
      </c>
      <c r="Y97" s="12" t="s">
        <v>17</v>
      </c>
      <c r="Z97" s="12">
        <v>2</v>
      </c>
      <c r="AA97" s="12" t="s">
        <v>17</v>
      </c>
      <c r="AB97" s="12">
        <v>2</v>
      </c>
      <c r="AC97" s="12" t="s">
        <v>17</v>
      </c>
      <c r="AD97" s="12">
        <v>2</v>
      </c>
      <c r="AE97" s="12" t="s">
        <v>17</v>
      </c>
      <c r="AF97" s="12">
        <v>2</v>
      </c>
      <c r="AG97" s="12"/>
      <c r="AH97" s="12"/>
      <c r="AI97" s="12" t="s">
        <v>14</v>
      </c>
      <c r="AJ97" s="12">
        <v>2</v>
      </c>
      <c r="AK97" s="12" t="s">
        <v>14</v>
      </c>
      <c r="AL97" s="12">
        <v>2</v>
      </c>
      <c r="AM97" s="12" t="s">
        <v>14</v>
      </c>
      <c r="AN97" s="12">
        <v>2</v>
      </c>
      <c r="AO97" s="12" t="s">
        <v>14</v>
      </c>
      <c r="AP97" s="12">
        <v>2</v>
      </c>
      <c r="AQ97" s="12" t="s">
        <v>14</v>
      </c>
      <c r="AR97" s="12">
        <v>2</v>
      </c>
      <c r="AS97" s="12" t="s">
        <v>14</v>
      </c>
      <c r="AT97" s="12">
        <v>2</v>
      </c>
      <c r="AU97" s="12"/>
      <c r="AV97" s="12"/>
      <c r="AW97" s="12" t="s">
        <v>14</v>
      </c>
      <c r="AX97" s="12">
        <v>2</v>
      </c>
      <c r="AY97" s="12" t="s">
        <v>14</v>
      </c>
      <c r="AZ97" s="12">
        <v>2</v>
      </c>
      <c r="BA97" s="12" t="s">
        <v>14</v>
      </c>
      <c r="BB97" s="12">
        <v>2</v>
      </c>
      <c r="BC97" s="12" t="s">
        <v>14</v>
      </c>
      <c r="BD97" s="12">
        <v>2</v>
      </c>
      <c r="BE97" s="12" t="s">
        <v>14</v>
      </c>
      <c r="BF97" s="12">
        <v>2</v>
      </c>
      <c r="BG97" s="12" t="s">
        <v>14</v>
      </c>
      <c r="BH97" s="12">
        <v>2</v>
      </c>
      <c r="BI97" s="12" t="s">
        <v>16</v>
      </c>
      <c r="BJ97" s="12">
        <v>2</v>
      </c>
      <c r="BK97" s="12" t="s">
        <v>14</v>
      </c>
      <c r="BL97" s="12">
        <v>2</v>
      </c>
      <c r="BM97" s="12" t="s">
        <v>14</v>
      </c>
      <c r="BN97" s="35">
        <v>2</v>
      </c>
      <c r="BP97" s="27">
        <v>94</v>
      </c>
      <c r="BQ97" s="27"/>
      <c r="BR97" s="29">
        <f ca="1">SUMIF(OFFSET($E$4:$BM$9,ROWS($1:94)*6-6,),BR$2,OFFSET($F$4:$BN$9,ROWS($1:94)*6-6,))</f>
        <v>0</v>
      </c>
      <c r="BS97" s="29">
        <f ca="1">SUMIF(OFFSET($E$4:$BM$9,ROWS($1:94)*6-6,),BS$2,OFFSET($F$4:$BN$9,ROWS($1:94)*6-6,))</f>
        <v>0</v>
      </c>
      <c r="BT97" s="29">
        <f ca="1">SUMIF(OFFSET($E$4:$BM$9,ROWS($1:94)*6-6,),BT$2,OFFSET($F$4:$BN$9,ROWS($1:94)*6-6,))</f>
        <v>0</v>
      </c>
      <c r="BU97" s="29">
        <f ca="1">SUMIF(OFFSET($E$4:$BM$9,ROWS($1:94)*6-6,),BU$2,OFFSET($F$4:$BN$9,ROWS($1:94)*6-6,))</f>
        <v>0</v>
      </c>
      <c r="BV97" s="29">
        <f ca="1">SUMIF(OFFSET($E$4:$BM$9,ROWS($1:94)*6-6,),BV$2,OFFSET($F$4:$BN$9,ROWS($1:94)*6-6,))</f>
        <v>0</v>
      </c>
      <c r="BW97" s="29">
        <f ca="1">SUMIF(OFFSET($E$4:$BM$9,ROWS($1:94)*6-6,),BW$2,OFFSET($F$4:$BN$9,ROWS($1:94)*6-6,))</f>
        <v>0</v>
      </c>
      <c r="BX97" s="29">
        <f ca="1">SUMIF(OFFSET($E$4:$BM$9,ROWS($1:94)*6-6,),BX$2,OFFSET($F$4:$BN$9,ROWS($1:94)*6-6,))</f>
        <v>0</v>
      </c>
      <c r="BY97" s="29">
        <f ca="1">SUMIF(OFFSET($E$4:$BM$9,ROWS($1:94)*6-6,),BY$2,OFFSET($F$4:$BN$9,ROWS($1:94)*6-6,))</f>
        <v>0</v>
      </c>
      <c r="BZ97" s="29">
        <f ca="1">SUMIF(OFFSET($E$4:$BM$9,ROWS($1:94)*6-6,),BZ$2,OFFSET($F$4:$BN$9,ROWS($1:94)*6-6,))</f>
        <v>0</v>
      </c>
      <c r="CA97" s="29">
        <f ca="1">SUMIF(OFFSET($E$4:$BM$9,ROWS($1:94)*6-6,),CA$2,OFFSET($F$4:$BN$9,ROWS($1:94)*6-6,))</f>
        <v>0</v>
      </c>
      <c r="CB97" s="29">
        <f ca="1">SUMIF(OFFSET($E$4:$BM$9,ROWS($1:94)*6-6,),CB$2,OFFSET($F$4:$BN$9,ROWS($1:94)*6-6,))</f>
        <v>0</v>
      </c>
      <c r="CC97" s="43">
        <f ca="1">SUMIF(OFFSET($E$4:$BM$9,ROWS($1:94)*6-6,),CC$2,OFFSET($F$4:$BN$9,ROWS($1:94)*6-6,))</f>
        <v>0</v>
      </c>
      <c r="CD97" s="44">
        <f t="shared" si="5"/>
        <v>0</v>
      </c>
      <c r="CE97" s="44" t="e">
        <f ca="1">INDEX(FREQUENCY(MMULT({1,1},SUBTOTAL(9,OFFSET($E$1,MATCH($CD97,$C:$C,)+{3;4},INT(COLUMN($A:$AE)*2)-1))),{3.9,7.9,11.9}),COLUMN(B94))</f>
        <v>#N/A</v>
      </c>
      <c r="CF97" s="44" t="e">
        <f ca="1">INDEX(FREQUENCY(MMULT({1,1},SUBTOTAL(9,OFFSET($E$1,MATCH($CD97,$C:$C,)+{3;4},INT(COLUMN($A:$AE)*2)-1))),{3.9,7.9,11.9}),COLUMN(C94))</f>
        <v>#N/A</v>
      </c>
      <c r="CG97" s="44" t="e">
        <f ca="1">INDEX(FREQUENCY(MMULT({1,1},SUBTOTAL(9,OFFSET($E$1,MATCH($CD97,$C:$C,)+{3;4},INT(COLUMN($A:$AE)*2)-1))),{3.9,7.9,11.9}),COLUMN(D94))</f>
        <v>#N/A</v>
      </c>
    </row>
    <row r="98" spans="1:85" ht="17.25" customHeight="1" x14ac:dyDescent="0.15">
      <c r="A98" s="85"/>
      <c r="B98" s="49"/>
      <c r="C98" s="49"/>
      <c r="D98" s="58" t="s">
        <v>49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 t="s">
        <v>15</v>
      </c>
      <c r="V98" s="14"/>
      <c r="W98" s="14" t="s">
        <v>15</v>
      </c>
      <c r="X98" s="14"/>
      <c r="Y98" s="14" t="s">
        <v>15</v>
      </c>
      <c r="Z98" s="14"/>
      <c r="AA98" s="14" t="s">
        <v>15</v>
      </c>
      <c r="AB98" s="14"/>
      <c r="AC98" s="14" t="s">
        <v>15</v>
      </c>
      <c r="AD98" s="14"/>
      <c r="AE98" s="14" t="s">
        <v>15</v>
      </c>
      <c r="AF98" s="14"/>
      <c r="AG98" s="14"/>
      <c r="AH98" s="14"/>
      <c r="AI98" s="14" t="s">
        <v>15</v>
      </c>
      <c r="AJ98" s="14">
        <v>2</v>
      </c>
      <c r="AK98" s="14" t="s">
        <v>15</v>
      </c>
      <c r="AL98" s="14">
        <v>3</v>
      </c>
      <c r="AM98" s="14" t="s">
        <v>15</v>
      </c>
      <c r="AN98" s="14">
        <v>3</v>
      </c>
      <c r="AO98" s="14" t="s">
        <v>15</v>
      </c>
      <c r="AP98" s="14">
        <v>3</v>
      </c>
      <c r="AQ98" s="14" t="s">
        <v>15</v>
      </c>
      <c r="AR98" s="14">
        <v>3</v>
      </c>
      <c r="AS98" s="14" t="s">
        <v>15</v>
      </c>
      <c r="AT98" s="14"/>
      <c r="AU98" s="14"/>
      <c r="AV98" s="14"/>
      <c r="AW98" s="14" t="s">
        <v>15</v>
      </c>
      <c r="AX98" s="14">
        <v>3</v>
      </c>
      <c r="AY98" s="14" t="s">
        <v>15</v>
      </c>
      <c r="AZ98" s="14">
        <v>4</v>
      </c>
      <c r="BA98" s="14" t="s">
        <v>15</v>
      </c>
      <c r="BB98" s="14">
        <v>3</v>
      </c>
      <c r="BC98" s="14" t="s">
        <v>15</v>
      </c>
      <c r="BD98" s="14"/>
      <c r="BE98" s="14" t="s">
        <v>15</v>
      </c>
      <c r="BF98" s="14">
        <v>1</v>
      </c>
      <c r="BG98" s="14" t="s">
        <v>15</v>
      </c>
      <c r="BH98" s="14"/>
      <c r="BI98" s="14"/>
      <c r="BJ98" s="14"/>
      <c r="BK98" s="14" t="s">
        <v>15</v>
      </c>
      <c r="BL98" s="14"/>
      <c r="BM98" s="14" t="s">
        <v>15</v>
      </c>
      <c r="BN98" s="37">
        <v>3</v>
      </c>
      <c r="BP98" s="27">
        <v>95</v>
      </c>
      <c r="BQ98" s="27"/>
      <c r="BR98" s="29">
        <f ca="1">SUMIF(OFFSET($E$4:$BM$9,ROWS($1:95)*6-6,),BR$2,OFFSET($F$4:$BN$9,ROWS($1:95)*6-6,))</f>
        <v>0</v>
      </c>
      <c r="BS98" s="29">
        <f ca="1">SUMIF(OFFSET($E$4:$BM$9,ROWS($1:95)*6-6,),BS$2,OFFSET($F$4:$BN$9,ROWS($1:95)*6-6,))</f>
        <v>0</v>
      </c>
      <c r="BT98" s="29">
        <f ca="1">SUMIF(OFFSET($E$4:$BM$9,ROWS($1:95)*6-6,),BT$2,OFFSET($F$4:$BN$9,ROWS($1:95)*6-6,))</f>
        <v>0</v>
      </c>
      <c r="BU98" s="29">
        <f ca="1">SUMIF(OFFSET($E$4:$BM$9,ROWS($1:95)*6-6,),BU$2,OFFSET($F$4:$BN$9,ROWS($1:95)*6-6,))</f>
        <v>0</v>
      </c>
      <c r="BV98" s="29">
        <f ca="1">SUMIF(OFFSET($E$4:$BM$9,ROWS($1:95)*6-6,),BV$2,OFFSET($F$4:$BN$9,ROWS($1:95)*6-6,))</f>
        <v>0</v>
      </c>
      <c r="BW98" s="29">
        <f ca="1">SUMIF(OFFSET($E$4:$BM$9,ROWS($1:95)*6-6,),BW$2,OFFSET($F$4:$BN$9,ROWS($1:95)*6-6,))</f>
        <v>0</v>
      </c>
      <c r="BX98" s="29">
        <f ca="1">SUMIF(OFFSET($E$4:$BM$9,ROWS($1:95)*6-6,),BX$2,OFFSET($F$4:$BN$9,ROWS($1:95)*6-6,))</f>
        <v>0</v>
      </c>
      <c r="BY98" s="29">
        <f ca="1">SUMIF(OFFSET($E$4:$BM$9,ROWS($1:95)*6-6,),BY$2,OFFSET($F$4:$BN$9,ROWS($1:95)*6-6,))</f>
        <v>0</v>
      </c>
      <c r="BZ98" s="29">
        <f ca="1">SUMIF(OFFSET($E$4:$BM$9,ROWS($1:95)*6-6,),BZ$2,OFFSET($F$4:$BN$9,ROWS($1:95)*6-6,))</f>
        <v>0</v>
      </c>
      <c r="CA98" s="29">
        <f ca="1">SUMIF(OFFSET($E$4:$BM$9,ROWS($1:95)*6-6,),CA$2,OFFSET($F$4:$BN$9,ROWS($1:95)*6-6,))</f>
        <v>0</v>
      </c>
      <c r="CB98" s="29">
        <f ca="1">SUMIF(OFFSET($E$4:$BM$9,ROWS($1:95)*6-6,),CB$2,OFFSET($F$4:$BN$9,ROWS($1:95)*6-6,))</f>
        <v>0</v>
      </c>
      <c r="CC98" s="43">
        <f ca="1">SUMIF(OFFSET($E$4:$BM$9,ROWS($1:95)*6-6,),CC$2,OFFSET($F$4:$BN$9,ROWS($1:95)*6-6,))</f>
        <v>0</v>
      </c>
      <c r="CD98" s="44">
        <f t="shared" si="5"/>
        <v>0</v>
      </c>
      <c r="CE98" s="44" t="e">
        <f ca="1">INDEX(FREQUENCY(MMULT({1,1},SUBTOTAL(9,OFFSET($E$1,MATCH($CD98,$C:$C,)+{3;4},INT(COLUMN($A:$AE)*2)-1))),{3.9,7.9,11.9}),COLUMN(B95))</f>
        <v>#N/A</v>
      </c>
      <c r="CF98" s="44" t="e">
        <f ca="1">INDEX(FREQUENCY(MMULT({1,1},SUBTOTAL(9,OFFSET($E$1,MATCH($CD98,$C:$C,)+{3;4},INT(COLUMN($A:$AE)*2)-1))),{3.9,7.9,11.9}),COLUMN(C95))</f>
        <v>#N/A</v>
      </c>
      <c r="CG98" s="44" t="e">
        <f ca="1">INDEX(FREQUENCY(MMULT({1,1},SUBTOTAL(9,OFFSET($E$1,MATCH($CD98,$C:$C,)+{3;4},INT(COLUMN($A:$AE)*2)-1))),{3.9,7.9,11.9}),COLUMN(D95))</f>
        <v>#N/A</v>
      </c>
    </row>
    <row r="99" spans="1:85" ht="17.25" customHeight="1" thickBot="1" x14ac:dyDescent="0.2">
      <c r="A99" s="86"/>
      <c r="B99" s="50"/>
      <c r="C99" s="50"/>
      <c r="D99" s="59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38"/>
      <c r="BP99" s="27">
        <v>96</v>
      </c>
      <c r="BQ99" s="27"/>
      <c r="BR99" s="29">
        <f ca="1">SUMIF(OFFSET($E$4:$BM$9,ROWS($1:96)*6-6,),BR$2,OFFSET($F$4:$BN$9,ROWS($1:96)*6-6,))</f>
        <v>0</v>
      </c>
      <c r="BS99" s="29">
        <f ca="1">SUMIF(OFFSET($E$4:$BM$9,ROWS($1:96)*6-6,),BS$2,OFFSET($F$4:$BN$9,ROWS($1:96)*6-6,))</f>
        <v>0</v>
      </c>
      <c r="BT99" s="29">
        <f ca="1">SUMIF(OFFSET($E$4:$BM$9,ROWS($1:96)*6-6,),BT$2,OFFSET($F$4:$BN$9,ROWS($1:96)*6-6,))</f>
        <v>0</v>
      </c>
      <c r="BU99" s="29">
        <f ca="1">SUMIF(OFFSET($E$4:$BM$9,ROWS($1:96)*6-6,),BU$2,OFFSET($F$4:$BN$9,ROWS($1:96)*6-6,))</f>
        <v>0</v>
      </c>
      <c r="BV99" s="29">
        <f ca="1">SUMIF(OFFSET($E$4:$BM$9,ROWS($1:96)*6-6,),BV$2,OFFSET($F$4:$BN$9,ROWS($1:96)*6-6,))</f>
        <v>0</v>
      </c>
      <c r="BW99" s="29">
        <f ca="1">SUMIF(OFFSET($E$4:$BM$9,ROWS($1:96)*6-6,),BW$2,OFFSET($F$4:$BN$9,ROWS($1:96)*6-6,))</f>
        <v>0</v>
      </c>
      <c r="BX99" s="29">
        <f ca="1">SUMIF(OFFSET($E$4:$BM$9,ROWS($1:96)*6-6,),BX$2,OFFSET($F$4:$BN$9,ROWS($1:96)*6-6,))</f>
        <v>0</v>
      </c>
      <c r="BY99" s="29">
        <f ca="1">SUMIF(OFFSET($E$4:$BM$9,ROWS($1:96)*6-6,),BY$2,OFFSET($F$4:$BN$9,ROWS($1:96)*6-6,))</f>
        <v>0</v>
      </c>
      <c r="BZ99" s="29">
        <f ca="1">SUMIF(OFFSET($E$4:$BM$9,ROWS($1:96)*6-6,),BZ$2,OFFSET($F$4:$BN$9,ROWS($1:96)*6-6,))</f>
        <v>0</v>
      </c>
      <c r="CA99" s="29">
        <f ca="1">SUMIF(OFFSET($E$4:$BM$9,ROWS($1:96)*6-6,),CA$2,OFFSET($F$4:$BN$9,ROWS($1:96)*6-6,))</f>
        <v>0</v>
      </c>
      <c r="CB99" s="29">
        <f ca="1">SUMIF(OFFSET($E$4:$BM$9,ROWS($1:96)*6-6,),CB$2,OFFSET($F$4:$BN$9,ROWS($1:96)*6-6,))</f>
        <v>0</v>
      </c>
      <c r="CC99" s="43">
        <f ca="1">SUMIF(OFFSET($E$4:$BM$9,ROWS($1:96)*6-6,),CC$2,OFFSET($F$4:$BN$9,ROWS($1:96)*6-6,))</f>
        <v>0</v>
      </c>
      <c r="CD99" s="44">
        <f t="shared" si="5"/>
        <v>0</v>
      </c>
      <c r="CE99" s="44" t="e">
        <f ca="1">INDEX(FREQUENCY(MMULT({1,1},SUBTOTAL(9,OFFSET($E$1,MATCH($CD99,$C:$C,)+{3;4},INT(COLUMN($A:$AE)*2)-1))),{3.9,7.9,11.9}),COLUMN(B96))</f>
        <v>#N/A</v>
      </c>
      <c r="CF99" s="44" t="e">
        <f ca="1">INDEX(FREQUENCY(MMULT({1,1},SUBTOTAL(9,OFFSET($E$1,MATCH($CD99,$C:$C,)+{3;4},INT(COLUMN($A:$AE)*2)-1))),{3.9,7.9,11.9}),COLUMN(C96))</f>
        <v>#N/A</v>
      </c>
      <c r="CG99" s="44" t="e">
        <f ca="1">INDEX(FREQUENCY(MMULT({1,1},SUBTOTAL(9,OFFSET($E$1,MATCH($CD99,$C:$C,)+{3;4},INT(COLUMN($A:$AE)*2)-1))),{3.9,7.9,11.9}),COLUMN(D96))</f>
        <v>#N/A</v>
      </c>
    </row>
    <row r="100" spans="1:85" ht="17.25" customHeight="1" x14ac:dyDescent="0.15">
      <c r="A100" s="84" t="s">
        <v>89</v>
      </c>
      <c r="B100" s="48" t="s">
        <v>107</v>
      </c>
      <c r="C100" s="48" t="s">
        <v>96</v>
      </c>
      <c r="D100" s="55" t="s">
        <v>45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14</v>
      </c>
      <c r="V100" s="11">
        <v>2</v>
      </c>
      <c r="W100" s="11" t="s">
        <v>14</v>
      </c>
      <c r="X100" s="11">
        <v>2</v>
      </c>
      <c r="Y100" s="11" t="s">
        <v>14</v>
      </c>
      <c r="Z100" s="11">
        <v>2</v>
      </c>
      <c r="AA100" s="11" t="s">
        <v>14</v>
      </c>
      <c r="AB100" s="11">
        <v>2</v>
      </c>
      <c r="AC100" s="11" t="s">
        <v>14</v>
      </c>
      <c r="AD100" s="11">
        <v>2</v>
      </c>
      <c r="AE100" s="11" t="s">
        <v>14</v>
      </c>
      <c r="AF100" s="11">
        <v>2</v>
      </c>
      <c r="AG100" s="11"/>
      <c r="AH100" s="11"/>
      <c r="AI100" s="11" t="s">
        <v>14</v>
      </c>
      <c r="AJ100" s="11">
        <v>2</v>
      </c>
      <c r="AK100" s="11" t="s">
        <v>14</v>
      </c>
      <c r="AL100" s="11">
        <v>2</v>
      </c>
      <c r="AM100" s="11" t="s">
        <v>14</v>
      </c>
      <c r="AN100" s="11">
        <v>2</v>
      </c>
      <c r="AO100" s="11" t="s">
        <v>14</v>
      </c>
      <c r="AP100" s="11">
        <v>2</v>
      </c>
      <c r="AQ100" s="11" t="s">
        <v>14</v>
      </c>
      <c r="AR100" s="11">
        <v>2</v>
      </c>
      <c r="AS100" s="11" t="s">
        <v>14</v>
      </c>
      <c r="AT100" s="11">
        <v>2</v>
      </c>
      <c r="AU100" s="11" t="s">
        <v>16</v>
      </c>
      <c r="AV100" s="11">
        <v>2</v>
      </c>
      <c r="AW100" s="11" t="s">
        <v>14</v>
      </c>
      <c r="AX100" s="11">
        <v>2</v>
      </c>
      <c r="AY100" s="11" t="s">
        <v>14</v>
      </c>
      <c r="AZ100" s="11">
        <v>2</v>
      </c>
      <c r="BA100" s="11" t="s">
        <v>14</v>
      </c>
      <c r="BB100" s="11">
        <v>2</v>
      </c>
      <c r="BC100" s="11" t="s">
        <v>14</v>
      </c>
      <c r="BD100" s="11">
        <v>2</v>
      </c>
      <c r="BE100" s="11" t="s">
        <v>14</v>
      </c>
      <c r="BF100" s="11">
        <v>2</v>
      </c>
      <c r="BG100" s="11" t="s">
        <v>14</v>
      </c>
      <c r="BH100" s="11">
        <v>2</v>
      </c>
      <c r="BI100" s="11" t="s">
        <v>16</v>
      </c>
      <c r="BJ100" s="11">
        <v>2</v>
      </c>
      <c r="BK100" s="11" t="s">
        <v>14</v>
      </c>
      <c r="BL100" s="11">
        <v>2</v>
      </c>
      <c r="BM100" s="11" t="s">
        <v>14</v>
      </c>
      <c r="BN100" s="34">
        <v>2</v>
      </c>
      <c r="BP100" s="27">
        <v>97</v>
      </c>
      <c r="BQ100" s="27"/>
      <c r="BR100" s="29">
        <f ca="1">SUMIF(OFFSET($E$4:$BM$9,ROWS($1:97)*6-6,),BR$2,OFFSET($F$4:$BN$9,ROWS($1:97)*6-6,))</f>
        <v>0</v>
      </c>
      <c r="BS100" s="29">
        <f ca="1">SUMIF(OFFSET($E$4:$BM$9,ROWS($1:97)*6-6,),BS$2,OFFSET($F$4:$BN$9,ROWS($1:97)*6-6,))</f>
        <v>0</v>
      </c>
      <c r="BT100" s="29">
        <f ca="1">SUMIF(OFFSET($E$4:$BM$9,ROWS($1:97)*6-6,),BT$2,OFFSET($F$4:$BN$9,ROWS($1:97)*6-6,))</f>
        <v>0</v>
      </c>
      <c r="BU100" s="29">
        <f ca="1">SUMIF(OFFSET($E$4:$BM$9,ROWS($1:97)*6-6,),BU$2,OFFSET($F$4:$BN$9,ROWS($1:97)*6-6,))</f>
        <v>0</v>
      </c>
      <c r="BV100" s="29">
        <f ca="1">SUMIF(OFFSET($E$4:$BM$9,ROWS($1:97)*6-6,),BV$2,OFFSET($F$4:$BN$9,ROWS($1:97)*6-6,))</f>
        <v>0</v>
      </c>
      <c r="BW100" s="29">
        <f ca="1">SUMIF(OFFSET($E$4:$BM$9,ROWS($1:97)*6-6,),BW$2,OFFSET($F$4:$BN$9,ROWS($1:97)*6-6,))</f>
        <v>0</v>
      </c>
      <c r="BX100" s="29">
        <f ca="1">SUMIF(OFFSET($E$4:$BM$9,ROWS($1:97)*6-6,),BX$2,OFFSET($F$4:$BN$9,ROWS($1:97)*6-6,))</f>
        <v>0</v>
      </c>
      <c r="BY100" s="29">
        <f ca="1">SUMIF(OFFSET($E$4:$BM$9,ROWS($1:97)*6-6,),BY$2,OFFSET($F$4:$BN$9,ROWS($1:97)*6-6,))</f>
        <v>0</v>
      </c>
      <c r="BZ100" s="29">
        <f ca="1">SUMIF(OFFSET($E$4:$BM$9,ROWS($1:97)*6-6,),BZ$2,OFFSET($F$4:$BN$9,ROWS($1:97)*6-6,))</f>
        <v>0</v>
      </c>
      <c r="CA100" s="29">
        <f ca="1">SUMIF(OFFSET($E$4:$BM$9,ROWS($1:97)*6-6,),CA$2,OFFSET($F$4:$BN$9,ROWS($1:97)*6-6,))</f>
        <v>0</v>
      </c>
      <c r="CB100" s="29">
        <f ca="1">SUMIF(OFFSET($E$4:$BM$9,ROWS($1:97)*6-6,),CB$2,OFFSET($F$4:$BN$9,ROWS($1:97)*6-6,))</f>
        <v>0</v>
      </c>
      <c r="CC100" s="43">
        <f ca="1">SUMIF(OFFSET($E$4:$BM$9,ROWS($1:97)*6-6,),CC$2,OFFSET($F$4:$BN$9,ROWS($1:97)*6-6,))</f>
        <v>0</v>
      </c>
      <c r="CD100" s="44">
        <f t="shared" si="5"/>
        <v>0</v>
      </c>
      <c r="CE100" s="44" t="e">
        <f ca="1">INDEX(FREQUENCY(MMULT({1,1},SUBTOTAL(9,OFFSET($E$1,MATCH($CD100,$C:$C,)+{3;4},INT(COLUMN($A:$AE)*2)-1))),{3.9,7.9,11.9}),COLUMN(B97))</f>
        <v>#N/A</v>
      </c>
      <c r="CF100" s="44" t="e">
        <f ca="1">INDEX(FREQUENCY(MMULT({1,1},SUBTOTAL(9,OFFSET($E$1,MATCH($CD100,$C:$C,)+{3;4},INT(COLUMN($A:$AE)*2)-1))),{3.9,7.9,11.9}),COLUMN(C97))</f>
        <v>#N/A</v>
      </c>
      <c r="CG100" s="44" t="e">
        <f ca="1">INDEX(FREQUENCY(MMULT({1,1},SUBTOTAL(9,OFFSET($E$1,MATCH($CD100,$C:$C,)+{3;4},INT(COLUMN($A:$AE)*2)-1))),{3.9,7.9,11.9}),COLUMN(D97))</f>
        <v>#N/A</v>
      </c>
    </row>
    <row r="101" spans="1:85" ht="17.25" customHeight="1" x14ac:dyDescent="0.15">
      <c r="A101" s="85"/>
      <c r="B101" s="49"/>
      <c r="C101" s="49"/>
      <c r="D101" s="56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 t="s">
        <v>14</v>
      </c>
      <c r="V101" s="12">
        <v>2</v>
      </c>
      <c r="W101" s="12" t="s">
        <v>14</v>
      </c>
      <c r="X101" s="12">
        <v>2</v>
      </c>
      <c r="Y101" s="12" t="s">
        <v>14</v>
      </c>
      <c r="Z101" s="12">
        <v>2</v>
      </c>
      <c r="AA101" s="12" t="s">
        <v>14</v>
      </c>
      <c r="AB101" s="12">
        <v>2</v>
      </c>
      <c r="AC101" s="12" t="s">
        <v>14</v>
      </c>
      <c r="AD101" s="12">
        <v>2</v>
      </c>
      <c r="AE101" s="12" t="s">
        <v>14</v>
      </c>
      <c r="AF101" s="12">
        <v>2</v>
      </c>
      <c r="AG101" s="12"/>
      <c r="AH101" s="12"/>
      <c r="AI101" s="12" t="s">
        <v>14</v>
      </c>
      <c r="AJ101" s="12">
        <v>2</v>
      </c>
      <c r="AK101" s="12" t="s">
        <v>14</v>
      </c>
      <c r="AL101" s="12">
        <v>2</v>
      </c>
      <c r="AM101" s="12" t="s">
        <v>14</v>
      </c>
      <c r="AN101" s="12">
        <v>2</v>
      </c>
      <c r="AO101" s="12" t="s">
        <v>14</v>
      </c>
      <c r="AP101" s="12">
        <v>2</v>
      </c>
      <c r="AQ101" s="12" t="s">
        <v>14</v>
      </c>
      <c r="AR101" s="12">
        <v>2</v>
      </c>
      <c r="AS101" s="12" t="s">
        <v>14</v>
      </c>
      <c r="AT101" s="12">
        <v>2</v>
      </c>
      <c r="AU101" s="12" t="s">
        <v>16</v>
      </c>
      <c r="AV101" s="12">
        <v>2</v>
      </c>
      <c r="AW101" s="12" t="s">
        <v>14</v>
      </c>
      <c r="AX101" s="12">
        <v>2</v>
      </c>
      <c r="AY101" s="12" t="s">
        <v>14</v>
      </c>
      <c r="AZ101" s="12">
        <v>2</v>
      </c>
      <c r="BA101" s="12" t="s">
        <v>14</v>
      </c>
      <c r="BB101" s="12">
        <v>2</v>
      </c>
      <c r="BC101" s="12" t="s">
        <v>14</v>
      </c>
      <c r="BD101" s="12">
        <v>2</v>
      </c>
      <c r="BE101" s="12" t="s">
        <v>14</v>
      </c>
      <c r="BF101" s="12">
        <v>2</v>
      </c>
      <c r="BG101" s="12" t="s">
        <v>14</v>
      </c>
      <c r="BH101" s="12">
        <v>2</v>
      </c>
      <c r="BI101" s="12" t="s">
        <v>16</v>
      </c>
      <c r="BJ101" s="12">
        <v>2</v>
      </c>
      <c r="BK101" s="12" t="s">
        <v>14</v>
      </c>
      <c r="BL101" s="12">
        <v>2</v>
      </c>
      <c r="BM101" s="12" t="s">
        <v>14</v>
      </c>
      <c r="BN101" s="35">
        <v>2</v>
      </c>
      <c r="BP101" s="27">
        <v>98</v>
      </c>
      <c r="BQ101" s="27"/>
      <c r="BR101" s="29">
        <f ca="1">SUMIF(OFFSET($E$4:$BM$9,ROWS($1:98)*6-6,),BR$2,OFFSET($F$4:$BN$9,ROWS($1:98)*6-6,))</f>
        <v>0</v>
      </c>
      <c r="BS101" s="29">
        <f ca="1">SUMIF(OFFSET($E$4:$BM$9,ROWS($1:98)*6-6,),BS$2,OFFSET($F$4:$BN$9,ROWS($1:98)*6-6,))</f>
        <v>0</v>
      </c>
      <c r="BT101" s="29">
        <f ca="1">SUMIF(OFFSET($E$4:$BM$9,ROWS($1:98)*6-6,),BT$2,OFFSET($F$4:$BN$9,ROWS($1:98)*6-6,))</f>
        <v>0</v>
      </c>
      <c r="BU101" s="29">
        <f ca="1">SUMIF(OFFSET($E$4:$BM$9,ROWS($1:98)*6-6,),BU$2,OFFSET($F$4:$BN$9,ROWS($1:98)*6-6,))</f>
        <v>0</v>
      </c>
      <c r="BV101" s="29">
        <f ca="1">SUMIF(OFFSET($E$4:$BM$9,ROWS($1:98)*6-6,),BV$2,OFFSET($F$4:$BN$9,ROWS($1:98)*6-6,))</f>
        <v>0</v>
      </c>
      <c r="BW101" s="29">
        <f ca="1">SUMIF(OFFSET($E$4:$BM$9,ROWS($1:98)*6-6,),BW$2,OFFSET($F$4:$BN$9,ROWS($1:98)*6-6,))</f>
        <v>0</v>
      </c>
      <c r="BX101" s="29">
        <f ca="1">SUMIF(OFFSET($E$4:$BM$9,ROWS($1:98)*6-6,),BX$2,OFFSET($F$4:$BN$9,ROWS($1:98)*6-6,))</f>
        <v>0</v>
      </c>
      <c r="BY101" s="29">
        <f ca="1">SUMIF(OFFSET($E$4:$BM$9,ROWS($1:98)*6-6,),BY$2,OFFSET($F$4:$BN$9,ROWS($1:98)*6-6,))</f>
        <v>0</v>
      </c>
      <c r="BZ101" s="29">
        <f ca="1">SUMIF(OFFSET($E$4:$BM$9,ROWS($1:98)*6-6,),BZ$2,OFFSET($F$4:$BN$9,ROWS($1:98)*6-6,))</f>
        <v>0</v>
      </c>
      <c r="CA101" s="29">
        <f ca="1">SUMIF(OFFSET($E$4:$BM$9,ROWS($1:98)*6-6,),CA$2,OFFSET($F$4:$BN$9,ROWS($1:98)*6-6,))</f>
        <v>0</v>
      </c>
      <c r="CB101" s="29">
        <f ca="1">SUMIF(OFFSET($E$4:$BM$9,ROWS($1:98)*6-6,),CB$2,OFFSET($F$4:$BN$9,ROWS($1:98)*6-6,))</f>
        <v>0</v>
      </c>
      <c r="CC101" s="43">
        <f ca="1">SUMIF(OFFSET($E$4:$BM$9,ROWS($1:98)*6-6,),CC$2,OFFSET($F$4:$BN$9,ROWS($1:98)*6-6,))</f>
        <v>0</v>
      </c>
      <c r="CD101" s="44">
        <f t="shared" si="5"/>
        <v>0</v>
      </c>
      <c r="CE101" s="44" t="e">
        <f ca="1">INDEX(FREQUENCY(MMULT({1,1},SUBTOTAL(9,OFFSET($E$1,MATCH($CD101,$C:$C,)+{3;4},INT(COLUMN($A:$AE)*2)-1))),{3.9,7.9,11.9}),COLUMN(B98))</f>
        <v>#N/A</v>
      </c>
      <c r="CF101" s="44" t="e">
        <f ca="1">INDEX(FREQUENCY(MMULT({1,1},SUBTOTAL(9,OFFSET($E$1,MATCH($CD101,$C:$C,)+{3;4},INT(COLUMN($A:$AE)*2)-1))),{3.9,7.9,11.9}),COLUMN(C98))</f>
        <v>#N/A</v>
      </c>
      <c r="CG101" s="44" t="e">
        <f ca="1">INDEX(FREQUENCY(MMULT({1,1},SUBTOTAL(9,OFFSET($E$1,MATCH($CD101,$C:$C,)+{3;4},INT(COLUMN($A:$AE)*2)-1))),{3.9,7.9,11.9}),COLUMN(D98))</f>
        <v>#N/A</v>
      </c>
    </row>
    <row r="102" spans="1:85" ht="17.25" customHeight="1" x14ac:dyDescent="0.15">
      <c r="A102" s="85"/>
      <c r="B102" s="49"/>
      <c r="C102" s="49"/>
      <c r="D102" s="57" t="s">
        <v>47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 t="s">
        <v>14</v>
      </c>
      <c r="V102" s="13">
        <v>2</v>
      </c>
      <c r="W102" s="13" t="s">
        <v>14</v>
      </c>
      <c r="X102" s="13">
        <v>2</v>
      </c>
      <c r="Y102" s="13" t="s">
        <v>14</v>
      </c>
      <c r="Z102" s="13">
        <v>2</v>
      </c>
      <c r="AA102" s="13" t="s">
        <v>14</v>
      </c>
      <c r="AB102" s="13">
        <v>2</v>
      </c>
      <c r="AC102" s="13" t="s">
        <v>14</v>
      </c>
      <c r="AD102" s="13">
        <v>2</v>
      </c>
      <c r="AE102" s="13" t="s">
        <v>14</v>
      </c>
      <c r="AF102" s="13">
        <v>2</v>
      </c>
      <c r="AG102" s="13"/>
      <c r="AH102" s="13"/>
      <c r="AI102" s="13" t="s">
        <v>14</v>
      </c>
      <c r="AJ102" s="13">
        <v>2</v>
      </c>
      <c r="AK102" s="13" t="s">
        <v>14</v>
      </c>
      <c r="AL102" s="13">
        <v>2</v>
      </c>
      <c r="AM102" s="13" t="s">
        <v>14</v>
      </c>
      <c r="AN102" s="13">
        <v>2</v>
      </c>
      <c r="AO102" s="13" t="s">
        <v>14</v>
      </c>
      <c r="AP102" s="13">
        <v>2</v>
      </c>
      <c r="AQ102" s="13" t="s">
        <v>14</v>
      </c>
      <c r="AR102" s="13">
        <v>2</v>
      </c>
      <c r="AS102" s="13" t="s">
        <v>14</v>
      </c>
      <c r="AT102" s="13">
        <v>2</v>
      </c>
      <c r="AU102" s="13" t="s">
        <v>16</v>
      </c>
      <c r="AV102" s="13">
        <v>2</v>
      </c>
      <c r="AW102" s="13" t="s">
        <v>14</v>
      </c>
      <c r="AX102" s="13">
        <v>2</v>
      </c>
      <c r="AY102" s="13" t="s">
        <v>14</v>
      </c>
      <c r="AZ102" s="13">
        <v>2</v>
      </c>
      <c r="BA102" s="13" t="s">
        <v>14</v>
      </c>
      <c r="BB102" s="13">
        <v>2</v>
      </c>
      <c r="BC102" s="13" t="s">
        <v>14</v>
      </c>
      <c r="BD102" s="13">
        <v>2</v>
      </c>
      <c r="BE102" s="13" t="s">
        <v>14</v>
      </c>
      <c r="BF102" s="13">
        <v>2</v>
      </c>
      <c r="BG102" s="13" t="s">
        <v>14</v>
      </c>
      <c r="BH102" s="13">
        <v>2</v>
      </c>
      <c r="BI102" s="13" t="s">
        <v>16</v>
      </c>
      <c r="BJ102" s="13">
        <v>2</v>
      </c>
      <c r="BK102" s="13" t="s">
        <v>14</v>
      </c>
      <c r="BL102" s="13">
        <v>2</v>
      </c>
      <c r="BM102" s="13" t="s">
        <v>14</v>
      </c>
      <c r="BN102" s="36">
        <v>2</v>
      </c>
      <c r="BP102" s="27">
        <v>99</v>
      </c>
      <c r="BQ102" s="27"/>
      <c r="BR102" s="29">
        <f ca="1">SUMIF(OFFSET($E$4:$BM$9,ROWS($1:99)*6-6,),BR$2,OFFSET($F$4:$BN$9,ROWS($1:99)*6-6,))</f>
        <v>0</v>
      </c>
      <c r="BS102" s="29">
        <f ca="1">SUMIF(OFFSET($E$4:$BM$9,ROWS($1:99)*6-6,),BS$2,OFFSET($F$4:$BN$9,ROWS($1:99)*6-6,))</f>
        <v>0</v>
      </c>
      <c r="BT102" s="29">
        <f ca="1">SUMIF(OFFSET($E$4:$BM$9,ROWS($1:99)*6-6,),BT$2,OFFSET($F$4:$BN$9,ROWS($1:99)*6-6,))</f>
        <v>0</v>
      </c>
      <c r="BU102" s="29">
        <f ca="1">SUMIF(OFFSET($E$4:$BM$9,ROWS($1:99)*6-6,),BU$2,OFFSET($F$4:$BN$9,ROWS($1:99)*6-6,))</f>
        <v>0</v>
      </c>
      <c r="BV102" s="29">
        <f ca="1">SUMIF(OFFSET($E$4:$BM$9,ROWS($1:99)*6-6,),BV$2,OFFSET($F$4:$BN$9,ROWS($1:99)*6-6,))</f>
        <v>0</v>
      </c>
      <c r="BW102" s="29">
        <f ca="1">SUMIF(OFFSET($E$4:$BM$9,ROWS($1:99)*6-6,),BW$2,OFFSET($F$4:$BN$9,ROWS($1:99)*6-6,))</f>
        <v>0</v>
      </c>
      <c r="BX102" s="29">
        <f ca="1">SUMIF(OFFSET($E$4:$BM$9,ROWS($1:99)*6-6,),BX$2,OFFSET($F$4:$BN$9,ROWS($1:99)*6-6,))</f>
        <v>0</v>
      </c>
      <c r="BY102" s="29">
        <f ca="1">SUMIF(OFFSET($E$4:$BM$9,ROWS($1:99)*6-6,),BY$2,OFFSET($F$4:$BN$9,ROWS($1:99)*6-6,))</f>
        <v>0</v>
      </c>
      <c r="BZ102" s="29">
        <f ca="1">SUMIF(OFFSET($E$4:$BM$9,ROWS($1:99)*6-6,),BZ$2,OFFSET($F$4:$BN$9,ROWS($1:99)*6-6,))</f>
        <v>0</v>
      </c>
      <c r="CA102" s="29">
        <f ca="1">SUMIF(OFFSET($E$4:$BM$9,ROWS($1:99)*6-6,),CA$2,OFFSET($F$4:$BN$9,ROWS($1:99)*6-6,))</f>
        <v>0</v>
      </c>
      <c r="CB102" s="29">
        <f ca="1">SUMIF(OFFSET($E$4:$BM$9,ROWS($1:99)*6-6,),CB$2,OFFSET($F$4:$BN$9,ROWS($1:99)*6-6,))</f>
        <v>0</v>
      </c>
      <c r="CC102" s="43">
        <f ca="1">SUMIF(OFFSET($E$4:$BM$9,ROWS($1:99)*6-6,),CC$2,OFFSET($F$4:$BN$9,ROWS($1:99)*6-6,))</f>
        <v>0</v>
      </c>
      <c r="CD102" s="44">
        <f t="shared" si="5"/>
        <v>0</v>
      </c>
      <c r="CE102" s="44" t="e">
        <f ca="1">INDEX(FREQUENCY(MMULT({1,1},SUBTOTAL(9,OFFSET($E$1,MATCH($CD102,$C:$C,)+{3;4},INT(COLUMN($A:$AE)*2)-1))),{3.9,7.9,11.9}),COLUMN(B99))</f>
        <v>#N/A</v>
      </c>
      <c r="CF102" s="44" t="e">
        <f ca="1">INDEX(FREQUENCY(MMULT({1,1},SUBTOTAL(9,OFFSET($E$1,MATCH($CD102,$C:$C,)+{3;4},INT(COLUMN($A:$AE)*2)-1))),{3.9,7.9,11.9}),COLUMN(C99))</f>
        <v>#N/A</v>
      </c>
      <c r="CG102" s="44" t="e">
        <f ca="1">INDEX(FREQUENCY(MMULT({1,1},SUBTOTAL(9,OFFSET($E$1,MATCH($CD102,$C:$C,)+{3;4},INT(COLUMN($A:$AE)*2)-1))),{3.9,7.9,11.9}),COLUMN(D99))</f>
        <v>#N/A</v>
      </c>
    </row>
    <row r="103" spans="1:85" ht="17.25" customHeight="1" x14ac:dyDescent="0.15">
      <c r="A103" s="85"/>
      <c r="B103" s="49"/>
      <c r="C103" s="49"/>
      <c r="D103" s="56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14</v>
      </c>
      <c r="V103" s="12">
        <v>2</v>
      </c>
      <c r="W103" s="12" t="s">
        <v>14</v>
      </c>
      <c r="X103" s="12">
        <v>2</v>
      </c>
      <c r="Y103" s="12" t="s">
        <v>14</v>
      </c>
      <c r="Z103" s="12">
        <v>2</v>
      </c>
      <c r="AA103" s="12" t="s">
        <v>14</v>
      </c>
      <c r="AB103" s="12">
        <v>2</v>
      </c>
      <c r="AC103" s="12" t="s">
        <v>14</v>
      </c>
      <c r="AD103" s="12">
        <v>2</v>
      </c>
      <c r="AE103" s="12" t="s">
        <v>14</v>
      </c>
      <c r="AF103" s="12">
        <v>2</v>
      </c>
      <c r="AG103" s="12"/>
      <c r="AH103" s="12"/>
      <c r="AI103" s="12" t="s">
        <v>14</v>
      </c>
      <c r="AJ103" s="12">
        <v>2</v>
      </c>
      <c r="AK103" s="12" t="s">
        <v>14</v>
      </c>
      <c r="AL103" s="12">
        <v>2</v>
      </c>
      <c r="AM103" s="12" t="s">
        <v>14</v>
      </c>
      <c r="AN103" s="12">
        <v>2</v>
      </c>
      <c r="AO103" s="12" t="s">
        <v>14</v>
      </c>
      <c r="AP103" s="12">
        <v>2</v>
      </c>
      <c r="AQ103" s="12" t="s">
        <v>14</v>
      </c>
      <c r="AR103" s="12">
        <v>2</v>
      </c>
      <c r="AS103" s="12" t="s">
        <v>14</v>
      </c>
      <c r="AT103" s="12">
        <v>2</v>
      </c>
      <c r="AU103" s="12" t="s">
        <v>16</v>
      </c>
      <c r="AV103" s="12">
        <v>2</v>
      </c>
      <c r="AW103" s="12" t="s">
        <v>14</v>
      </c>
      <c r="AX103" s="12">
        <v>2</v>
      </c>
      <c r="AY103" s="12" t="s">
        <v>14</v>
      </c>
      <c r="AZ103" s="12">
        <v>2</v>
      </c>
      <c r="BA103" s="12" t="s">
        <v>14</v>
      </c>
      <c r="BB103" s="12">
        <v>2</v>
      </c>
      <c r="BC103" s="12" t="s">
        <v>14</v>
      </c>
      <c r="BD103" s="12">
        <v>2</v>
      </c>
      <c r="BE103" s="12" t="s">
        <v>14</v>
      </c>
      <c r="BF103" s="12">
        <v>2</v>
      </c>
      <c r="BG103" s="12" t="s">
        <v>14</v>
      </c>
      <c r="BH103" s="12">
        <v>2</v>
      </c>
      <c r="BI103" s="12" t="s">
        <v>16</v>
      </c>
      <c r="BJ103" s="12">
        <v>2</v>
      </c>
      <c r="BK103" s="12" t="s">
        <v>14</v>
      </c>
      <c r="BL103" s="12">
        <v>2</v>
      </c>
      <c r="BM103" s="12" t="s">
        <v>14</v>
      </c>
      <c r="BN103" s="35">
        <v>2</v>
      </c>
      <c r="BP103" s="27">
        <v>100</v>
      </c>
      <c r="BQ103" s="27"/>
      <c r="BR103" s="29">
        <f ca="1">SUMIF(OFFSET($E$4:$BM$9,ROWS($1:100)*6-6,),BR$2,OFFSET($F$4:$BN$9,ROWS($1:100)*6-6,))</f>
        <v>0</v>
      </c>
      <c r="BS103" s="29">
        <f ca="1">SUMIF(OFFSET($E$4:$BM$9,ROWS($1:100)*6-6,),BS$2,OFFSET($F$4:$BN$9,ROWS($1:100)*6-6,))</f>
        <v>0</v>
      </c>
      <c r="BT103" s="29">
        <f ca="1">SUMIF(OFFSET($E$4:$BM$9,ROWS($1:100)*6-6,),BT$2,OFFSET($F$4:$BN$9,ROWS($1:100)*6-6,))</f>
        <v>0</v>
      </c>
      <c r="BU103" s="29">
        <f ca="1">SUMIF(OFFSET($E$4:$BM$9,ROWS($1:100)*6-6,),BU$2,OFFSET($F$4:$BN$9,ROWS($1:100)*6-6,))</f>
        <v>0</v>
      </c>
      <c r="BV103" s="29">
        <f ca="1">SUMIF(OFFSET($E$4:$BM$9,ROWS($1:100)*6-6,),BV$2,OFFSET($F$4:$BN$9,ROWS($1:100)*6-6,))</f>
        <v>0</v>
      </c>
      <c r="BW103" s="29">
        <f ca="1">SUMIF(OFFSET($E$4:$BM$9,ROWS($1:100)*6-6,),BW$2,OFFSET($F$4:$BN$9,ROWS($1:100)*6-6,))</f>
        <v>0</v>
      </c>
      <c r="BX103" s="29">
        <f ca="1">SUMIF(OFFSET($E$4:$BM$9,ROWS($1:100)*6-6,),BX$2,OFFSET($F$4:$BN$9,ROWS($1:100)*6-6,))</f>
        <v>0</v>
      </c>
      <c r="BY103" s="29">
        <f ca="1">SUMIF(OFFSET($E$4:$BM$9,ROWS($1:100)*6-6,),BY$2,OFFSET($F$4:$BN$9,ROWS($1:100)*6-6,))</f>
        <v>0</v>
      </c>
      <c r="BZ103" s="29">
        <f ca="1">SUMIF(OFFSET($E$4:$BM$9,ROWS($1:100)*6-6,),BZ$2,OFFSET($F$4:$BN$9,ROWS($1:100)*6-6,))</f>
        <v>0</v>
      </c>
      <c r="CA103" s="29">
        <f ca="1">SUMIF(OFFSET($E$4:$BM$9,ROWS($1:100)*6-6,),CA$2,OFFSET($F$4:$BN$9,ROWS($1:100)*6-6,))</f>
        <v>0</v>
      </c>
      <c r="CB103" s="29">
        <f ca="1">SUMIF(OFFSET($E$4:$BM$9,ROWS($1:100)*6-6,),CB$2,OFFSET($F$4:$BN$9,ROWS($1:100)*6-6,))</f>
        <v>0</v>
      </c>
      <c r="CC103" s="43">
        <f ca="1">SUMIF(OFFSET($E$4:$BM$9,ROWS($1:100)*6-6,),CC$2,OFFSET($F$4:$BN$9,ROWS($1:100)*6-6,))</f>
        <v>0</v>
      </c>
      <c r="CD103" s="44">
        <f t="shared" si="5"/>
        <v>0</v>
      </c>
      <c r="CE103" s="44" t="e">
        <f ca="1">INDEX(FREQUENCY(MMULT({1,1},SUBTOTAL(9,OFFSET($E$1,MATCH($CD103,$C:$C,)+{3;4},INT(COLUMN($A:$AE)*2)-1))),{3.9,7.9,11.9}),COLUMN(B100))</f>
        <v>#N/A</v>
      </c>
      <c r="CF103" s="44" t="e">
        <f ca="1">INDEX(FREQUENCY(MMULT({1,1},SUBTOTAL(9,OFFSET($E$1,MATCH($CD103,$C:$C,)+{3;4},INT(COLUMN($A:$AE)*2)-1))),{3.9,7.9,11.9}),COLUMN(C100))</f>
        <v>#N/A</v>
      </c>
      <c r="CG103" s="44" t="e">
        <f ca="1">INDEX(FREQUENCY(MMULT({1,1},SUBTOTAL(9,OFFSET($E$1,MATCH($CD103,$C:$C,)+{3;4},INT(COLUMN($A:$AE)*2)-1))),{3.9,7.9,11.9}),COLUMN(D100))</f>
        <v>#N/A</v>
      </c>
    </row>
    <row r="104" spans="1:85" ht="17.25" customHeight="1" x14ac:dyDescent="0.15">
      <c r="A104" s="85"/>
      <c r="B104" s="49"/>
      <c r="C104" s="49"/>
      <c r="D104" s="58" t="s">
        <v>49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 t="s">
        <v>15</v>
      </c>
      <c r="V104" s="14"/>
      <c r="W104" s="14" t="s">
        <v>15</v>
      </c>
      <c r="X104" s="14">
        <v>4</v>
      </c>
      <c r="Y104" s="14" t="s">
        <v>15</v>
      </c>
      <c r="Z104" s="14">
        <v>3</v>
      </c>
      <c r="AA104" s="14" t="s">
        <v>15</v>
      </c>
      <c r="AB104" s="14">
        <v>3</v>
      </c>
      <c r="AC104" s="14" t="s">
        <v>15</v>
      </c>
      <c r="AD104" s="14"/>
      <c r="AE104" s="14" t="s">
        <v>15</v>
      </c>
      <c r="AF104" s="14">
        <v>3</v>
      </c>
      <c r="AG104" s="14"/>
      <c r="AH104" s="14"/>
      <c r="AI104" s="14" t="s">
        <v>15</v>
      </c>
      <c r="AJ104" s="14">
        <v>3.5</v>
      </c>
      <c r="AK104" s="14" t="s">
        <v>15</v>
      </c>
      <c r="AL104" s="14">
        <v>3</v>
      </c>
      <c r="AM104" s="14" t="s">
        <v>15</v>
      </c>
      <c r="AN104" s="14">
        <v>4</v>
      </c>
      <c r="AO104" s="14" t="s">
        <v>15</v>
      </c>
      <c r="AP104" s="14">
        <v>3.5</v>
      </c>
      <c r="AQ104" s="14" t="s">
        <v>15</v>
      </c>
      <c r="AR104" s="14">
        <v>3.5</v>
      </c>
      <c r="AS104" s="14" t="s">
        <v>15</v>
      </c>
      <c r="AT104" s="14">
        <v>2</v>
      </c>
      <c r="AU104" s="14"/>
      <c r="AV104" s="14"/>
      <c r="AW104" s="14" t="s">
        <v>15</v>
      </c>
      <c r="AX104" s="14">
        <v>4</v>
      </c>
      <c r="AY104" s="14" t="s">
        <v>15</v>
      </c>
      <c r="AZ104" s="14">
        <v>4</v>
      </c>
      <c r="BA104" s="14" t="s">
        <v>15</v>
      </c>
      <c r="BB104" s="14">
        <v>4</v>
      </c>
      <c r="BC104" s="14" t="s">
        <v>15</v>
      </c>
      <c r="BD104" s="14">
        <v>3</v>
      </c>
      <c r="BE104" s="14" t="s">
        <v>15</v>
      </c>
      <c r="BF104" s="14">
        <v>4.5</v>
      </c>
      <c r="BG104" s="14" t="s">
        <v>15</v>
      </c>
      <c r="BH104" s="14">
        <v>4.5</v>
      </c>
      <c r="BI104" s="14"/>
      <c r="BJ104" s="14"/>
      <c r="BK104" s="14" t="s">
        <v>15</v>
      </c>
      <c r="BL104" s="14">
        <v>4</v>
      </c>
      <c r="BM104" s="14" t="s">
        <v>15</v>
      </c>
      <c r="BN104" s="37">
        <v>3</v>
      </c>
      <c r="BP104" s="27">
        <v>101</v>
      </c>
      <c r="BQ104" s="27"/>
      <c r="BR104" s="29">
        <f ca="1">SUMIF(OFFSET($E$4:$BM$9,ROWS($1:101)*6-6,),BR$2,OFFSET($F$4:$BN$9,ROWS($1:101)*6-6,))</f>
        <v>0</v>
      </c>
      <c r="BS104" s="29">
        <f ca="1">SUMIF(OFFSET($E$4:$BM$9,ROWS($1:101)*6-6,),BS$2,OFFSET($F$4:$BN$9,ROWS($1:101)*6-6,))</f>
        <v>0</v>
      </c>
      <c r="BT104" s="29">
        <f ca="1">SUMIF(OFFSET($E$4:$BM$9,ROWS($1:101)*6-6,),BT$2,OFFSET($F$4:$BN$9,ROWS($1:101)*6-6,))</f>
        <v>0</v>
      </c>
      <c r="BU104" s="29">
        <f ca="1">SUMIF(OFFSET($E$4:$BM$9,ROWS($1:101)*6-6,),BU$2,OFFSET($F$4:$BN$9,ROWS($1:101)*6-6,))</f>
        <v>0</v>
      </c>
      <c r="BV104" s="29">
        <f ca="1">SUMIF(OFFSET($E$4:$BM$9,ROWS($1:101)*6-6,),BV$2,OFFSET($F$4:$BN$9,ROWS($1:101)*6-6,))</f>
        <v>0</v>
      </c>
      <c r="BW104" s="29">
        <f ca="1">SUMIF(OFFSET($E$4:$BM$9,ROWS($1:101)*6-6,),BW$2,OFFSET($F$4:$BN$9,ROWS($1:101)*6-6,))</f>
        <v>0</v>
      </c>
      <c r="BX104" s="29">
        <f ca="1">SUMIF(OFFSET($E$4:$BM$9,ROWS($1:101)*6-6,),BX$2,OFFSET($F$4:$BN$9,ROWS($1:101)*6-6,))</f>
        <v>0</v>
      </c>
      <c r="BY104" s="29">
        <f ca="1">SUMIF(OFFSET($E$4:$BM$9,ROWS($1:101)*6-6,),BY$2,OFFSET($F$4:$BN$9,ROWS($1:101)*6-6,))</f>
        <v>0</v>
      </c>
      <c r="BZ104" s="29">
        <f ca="1">SUMIF(OFFSET($E$4:$BM$9,ROWS($1:101)*6-6,),BZ$2,OFFSET($F$4:$BN$9,ROWS($1:101)*6-6,))</f>
        <v>0</v>
      </c>
      <c r="CA104" s="29">
        <f ca="1">SUMIF(OFFSET($E$4:$BM$9,ROWS($1:101)*6-6,),CA$2,OFFSET($F$4:$BN$9,ROWS($1:101)*6-6,))</f>
        <v>0</v>
      </c>
      <c r="CB104" s="29">
        <f ca="1">SUMIF(OFFSET($E$4:$BM$9,ROWS($1:101)*6-6,),CB$2,OFFSET($F$4:$BN$9,ROWS($1:101)*6-6,))</f>
        <v>0</v>
      </c>
      <c r="CC104" s="43">
        <f ca="1">SUMIF(OFFSET($E$4:$BM$9,ROWS($1:101)*6-6,),CC$2,OFFSET($F$4:$BN$9,ROWS($1:101)*6-6,))</f>
        <v>0</v>
      </c>
      <c r="CD104" s="44">
        <f t="shared" si="5"/>
        <v>0</v>
      </c>
      <c r="CE104" s="44" t="e">
        <f ca="1">INDEX(FREQUENCY(MMULT({1,1},SUBTOTAL(9,OFFSET($E$1,MATCH($CD104,$C:$C,)+{3;4},INT(COLUMN($A:$AE)*2)-1))),{3.9,7.9,11.9}),COLUMN(B101))</f>
        <v>#N/A</v>
      </c>
      <c r="CF104" s="44" t="e">
        <f ca="1">INDEX(FREQUENCY(MMULT({1,1},SUBTOTAL(9,OFFSET($E$1,MATCH($CD104,$C:$C,)+{3;4},INT(COLUMN($A:$AE)*2)-1))),{3.9,7.9,11.9}),COLUMN(C101))</f>
        <v>#N/A</v>
      </c>
      <c r="CG104" s="44" t="e">
        <f ca="1">INDEX(FREQUENCY(MMULT({1,1},SUBTOTAL(9,OFFSET($E$1,MATCH($CD104,$C:$C,)+{3;4},INT(COLUMN($A:$AE)*2)-1))),{3.9,7.9,11.9}),COLUMN(D101))</f>
        <v>#N/A</v>
      </c>
    </row>
    <row r="105" spans="1:85" ht="17.25" customHeight="1" thickBot="1" x14ac:dyDescent="0.2">
      <c r="A105" s="86"/>
      <c r="B105" s="50"/>
      <c r="C105" s="50"/>
      <c r="D105" s="59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38"/>
      <c r="BP105" s="27">
        <v>102</v>
      </c>
      <c r="BQ105" s="27"/>
      <c r="BR105" s="29">
        <f ca="1">SUMIF(OFFSET($E$4:$BM$9,ROWS($1:102)*6-6,),BR$2,OFFSET($F$4:$BN$9,ROWS($1:102)*6-6,))</f>
        <v>0</v>
      </c>
      <c r="BS105" s="29">
        <f ca="1">SUMIF(OFFSET($E$4:$BM$9,ROWS($1:102)*6-6,),BS$2,OFFSET($F$4:$BN$9,ROWS($1:102)*6-6,))</f>
        <v>0</v>
      </c>
      <c r="BT105" s="29">
        <f ca="1">SUMIF(OFFSET($E$4:$BM$9,ROWS($1:102)*6-6,),BT$2,OFFSET($F$4:$BN$9,ROWS($1:102)*6-6,))</f>
        <v>0</v>
      </c>
      <c r="BU105" s="29">
        <f ca="1">SUMIF(OFFSET($E$4:$BM$9,ROWS($1:102)*6-6,),BU$2,OFFSET($F$4:$BN$9,ROWS($1:102)*6-6,))</f>
        <v>0</v>
      </c>
      <c r="BV105" s="29">
        <f ca="1">SUMIF(OFFSET($E$4:$BM$9,ROWS($1:102)*6-6,),BV$2,OFFSET($F$4:$BN$9,ROWS($1:102)*6-6,))</f>
        <v>0</v>
      </c>
      <c r="BW105" s="29">
        <f ca="1">SUMIF(OFFSET($E$4:$BM$9,ROWS($1:102)*6-6,),BW$2,OFFSET($F$4:$BN$9,ROWS($1:102)*6-6,))</f>
        <v>0</v>
      </c>
      <c r="BX105" s="29">
        <f ca="1">SUMIF(OFFSET($E$4:$BM$9,ROWS($1:102)*6-6,),BX$2,OFFSET($F$4:$BN$9,ROWS($1:102)*6-6,))</f>
        <v>0</v>
      </c>
      <c r="BY105" s="29">
        <f ca="1">SUMIF(OFFSET($E$4:$BM$9,ROWS($1:102)*6-6,),BY$2,OFFSET($F$4:$BN$9,ROWS($1:102)*6-6,))</f>
        <v>0</v>
      </c>
      <c r="BZ105" s="29">
        <f ca="1">SUMIF(OFFSET($E$4:$BM$9,ROWS($1:102)*6-6,),BZ$2,OFFSET($F$4:$BN$9,ROWS($1:102)*6-6,))</f>
        <v>0</v>
      </c>
      <c r="CA105" s="29">
        <f ca="1">SUMIF(OFFSET($E$4:$BM$9,ROWS($1:102)*6-6,),CA$2,OFFSET($F$4:$BN$9,ROWS($1:102)*6-6,))</f>
        <v>0</v>
      </c>
      <c r="CB105" s="29">
        <f ca="1">SUMIF(OFFSET($E$4:$BM$9,ROWS($1:102)*6-6,),CB$2,OFFSET($F$4:$BN$9,ROWS($1:102)*6-6,))</f>
        <v>0</v>
      </c>
      <c r="CC105" s="43">
        <f ca="1">SUMIF(OFFSET($E$4:$BM$9,ROWS($1:102)*6-6,),CC$2,OFFSET($F$4:$BN$9,ROWS($1:102)*6-6,))</f>
        <v>0</v>
      </c>
      <c r="CD105" s="44">
        <f t="shared" si="5"/>
        <v>0</v>
      </c>
      <c r="CE105" s="44" t="e">
        <f ca="1">INDEX(FREQUENCY(MMULT({1,1},SUBTOTAL(9,OFFSET($E$1,MATCH($CD105,$C:$C,)+{3;4},INT(COLUMN($A:$AE)*2)-1))),{3.9,7.9,11.9}),COLUMN(B102))</f>
        <v>#N/A</v>
      </c>
      <c r="CF105" s="44" t="e">
        <f ca="1">INDEX(FREQUENCY(MMULT({1,1},SUBTOTAL(9,OFFSET($E$1,MATCH($CD105,$C:$C,)+{3;4},INT(COLUMN($A:$AE)*2)-1))),{3.9,7.9,11.9}),COLUMN(C102))</f>
        <v>#N/A</v>
      </c>
      <c r="CG105" s="44" t="e">
        <f ca="1">INDEX(FREQUENCY(MMULT({1,1},SUBTOTAL(9,OFFSET($E$1,MATCH($CD105,$C:$C,)+{3;4},INT(COLUMN($A:$AE)*2)-1))),{3.9,7.9,11.9}),COLUMN(D102))</f>
        <v>#N/A</v>
      </c>
    </row>
    <row r="106" spans="1:85" ht="17.25" customHeight="1" x14ac:dyDescent="0.15">
      <c r="A106" s="84" t="s">
        <v>89</v>
      </c>
      <c r="B106" s="48" t="s">
        <v>107</v>
      </c>
      <c r="C106" s="68" t="s">
        <v>97</v>
      </c>
      <c r="D106" s="55" t="s">
        <v>45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34"/>
      <c r="BP106" s="27">
        <v>103</v>
      </c>
      <c r="BQ106" s="27"/>
      <c r="BR106" s="29">
        <f ca="1">SUMIF(OFFSET($E$4:$BM$9,ROWS($1:103)*6-6,),BR$2,OFFSET($F$4:$BN$9,ROWS($1:103)*6-6,))</f>
        <v>0</v>
      </c>
      <c r="BS106" s="29">
        <f ca="1">SUMIF(OFFSET($E$4:$BM$9,ROWS($1:103)*6-6,),BS$2,OFFSET($F$4:$BN$9,ROWS($1:103)*6-6,))</f>
        <v>0</v>
      </c>
      <c r="BT106" s="29">
        <f ca="1">SUMIF(OFFSET($E$4:$BM$9,ROWS($1:103)*6-6,),BT$2,OFFSET($F$4:$BN$9,ROWS($1:103)*6-6,))</f>
        <v>0</v>
      </c>
      <c r="BU106" s="29">
        <f ca="1">SUMIF(OFFSET($E$4:$BM$9,ROWS($1:103)*6-6,),BU$2,OFFSET($F$4:$BN$9,ROWS($1:103)*6-6,))</f>
        <v>0</v>
      </c>
      <c r="BV106" s="29">
        <f ca="1">SUMIF(OFFSET($E$4:$BM$9,ROWS($1:103)*6-6,),BV$2,OFFSET($F$4:$BN$9,ROWS($1:103)*6-6,))</f>
        <v>0</v>
      </c>
      <c r="BW106" s="29">
        <f ca="1">SUMIF(OFFSET($E$4:$BM$9,ROWS($1:103)*6-6,),BW$2,OFFSET($F$4:$BN$9,ROWS($1:103)*6-6,))</f>
        <v>0</v>
      </c>
      <c r="BX106" s="29">
        <f ca="1">SUMIF(OFFSET($E$4:$BM$9,ROWS($1:103)*6-6,),BX$2,OFFSET($F$4:$BN$9,ROWS($1:103)*6-6,))</f>
        <v>0</v>
      </c>
      <c r="BY106" s="29">
        <f ca="1">SUMIF(OFFSET($E$4:$BM$9,ROWS($1:103)*6-6,),BY$2,OFFSET($F$4:$BN$9,ROWS($1:103)*6-6,))</f>
        <v>0</v>
      </c>
      <c r="BZ106" s="29">
        <f ca="1">SUMIF(OFFSET($E$4:$BM$9,ROWS($1:103)*6-6,),BZ$2,OFFSET($F$4:$BN$9,ROWS($1:103)*6-6,))</f>
        <v>0</v>
      </c>
      <c r="CA106" s="29">
        <f ca="1">SUMIF(OFFSET($E$4:$BM$9,ROWS($1:103)*6-6,),CA$2,OFFSET($F$4:$BN$9,ROWS($1:103)*6-6,))</f>
        <v>0</v>
      </c>
      <c r="CB106" s="29">
        <f ca="1">SUMIF(OFFSET($E$4:$BM$9,ROWS($1:103)*6-6,),CB$2,OFFSET($F$4:$BN$9,ROWS($1:103)*6-6,))</f>
        <v>0</v>
      </c>
      <c r="CC106" s="43">
        <f ca="1">SUMIF(OFFSET($E$4:$BM$9,ROWS($1:103)*6-6,),CC$2,OFFSET($F$4:$BN$9,ROWS($1:103)*6-6,))</f>
        <v>0</v>
      </c>
      <c r="CD106" s="44">
        <f t="shared" si="5"/>
        <v>0</v>
      </c>
      <c r="CE106" s="44" t="e">
        <f ca="1">INDEX(FREQUENCY(MMULT({1,1},SUBTOTAL(9,OFFSET($E$1,MATCH($CD106,$C:$C,)+{3;4},INT(COLUMN($A:$AE)*2)-1))),{3.9,7.9,11.9}),COLUMN(B103))</f>
        <v>#N/A</v>
      </c>
      <c r="CF106" s="44" t="e">
        <f ca="1">INDEX(FREQUENCY(MMULT({1,1},SUBTOTAL(9,OFFSET($E$1,MATCH($CD106,$C:$C,)+{3;4},INT(COLUMN($A:$AE)*2)-1))),{3.9,7.9,11.9}),COLUMN(C103))</f>
        <v>#N/A</v>
      </c>
      <c r="CG106" s="44" t="e">
        <f ca="1">INDEX(FREQUENCY(MMULT({1,1},SUBTOTAL(9,OFFSET($E$1,MATCH($CD106,$C:$C,)+{3;4},INT(COLUMN($A:$AE)*2)-1))),{3.9,7.9,11.9}),COLUMN(D103))</f>
        <v>#N/A</v>
      </c>
    </row>
    <row r="107" spans="1:85" ht="17.25" customHeight="1" x14ac:dyDescent="0.15">
      <c r="A107" s="85"/>
      <c r="B107" s="49"/>
      <c r="C107" s="69"/>
      <c r="D107" s="56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35"/>
      <c r="BP107" s="27">
        <v>104</v>
      </c>
      <c r="BQ107" s="27"/>
      <c r="BR107" s="29">
        <f ca="1">SUMIF(OFFSET($E$4:$BM$9,ROWS($1:104)*6-6,),BR$2,OFFSET($F$4:$BN$9,ROWS($1:104)*6-6,))</f>
        <v>0</v>
      </c>
      <c r="BS107" s="29">
        <f ca="1">SUMIF(OFFSET($E$4:$BM$9,ROWS($1:104)*6-6,),BS$2,OFFSET($F$4:$BN$9,ROWS($1:104)*6-6,))</f>
        <v>0</v>
      </c>
      <c r="BT107" s="29">
        <f ca="1">SUMIF(OFFSET($E$4:$BM$9,ROWS($1:104)*6-6,),BT$2,OFFSET($F$4:$BN$9,ROWS($1:104)*6-6,))</f>
        <v>0</v>
      </c>
      <c r="BU107" s="29">
        <f ca="1">SUMIF(OFFSET($E$4:$BM$9,ROWS($1:104)*6-6,),BU$2,OFFSET($F$4:$BN$9,ROWS($1:104)*6-6,))</f>
        <v>0</v>
      </c>
      <c r="BV107" s="29">
        <f ca="1">SUMIF(OFFSET($E$4:$BM$9,ROWS($1:104)*6-6,),BV$2,OFFSET($F$4:$BN$9,ROWS($1:104)*6-6,))</f>
        <v>0</v>
      </c>
      <c r="BW107" s="29">
        <f ca="1">SUMIF(OFFSET($E$4:$BM$9,ROWS($1:104)*6-6,),BW$2,OFFSET($F$4:$BN$9,ROWS($1:104)*6-6,))</f>
        <v>0</v>
      </c>
      <c r="BX107" s="29">
        <f ca="1">SUMIF(OFFSET($E$4:$BM$9,ROWS($1:104)*6-6,),BX$2,OFFSET($F$4:$BN$9,ROWS($1:104)*6-6,))</f>
        <v>0</v>
      </c>
      <c r="BY107" s="29">
        <f ca="1">SUMIF(OFFSET($E$4:$BM$9,ROWS($1:104)*6-6,),BY$2,OFFSET($F$4:$BN$9,ROWS($1:104)*6-6,))</f>
        <v>0</v>
      </c>
      <c r="BZ107" s="29">
        <f ca="1">SUMIF(OFFSET($E$4:$BM$9,ROWS($1:104)*6-6,),BZ$2,OFFSET($F$4:$BN$9,ROWS($1:104)*6-6,))</f>
        <v>0</v>
      </c>
      <c r="CA107" s="29">
        <f ca="1">SUMIF(OFFSET($E$4:$BM$9,ROWS($1:104)*6-6,),CA$2,OFFSET($F$4:$BN$9,ROWS($1:104)*6-6,))</f>
        <v>0</v>
      </c>
      <c r="CB107" s="29">
        <f ca="1">SUMIF(OFFSET($E$4:$BM$9,ROWS($1:104)*6-6,),CB$2,OFFSET($F$4:$BN$9,ROWS($1:104)*6-6,))</f>
        <v>0</v>
      </c>
      <c r="CC107" s="43">
        <f ca="1">SUMIF(OFFSET($E$4:$BM$9,ROWS($1:104)*6-6,),CC$2,OFFSET($F$4:$BN$9,ROWS($1:104)*6-6,))</f>
        <v>0</v>
      </c>
      <c r="CD107" s="44">
        <f t="shared" si="5"/>
        <v>0</v>
      </c>
      <c r="CE107" s="44" t="e">
        <f ca="1">INDEX(FREQUENCY(MMULT({1,1},SUBTOTAL(9,OFFSET($E$1,MATCH($CD107,$C:$C,)+{3;4},INT(COLUMN($A:$AE)*2)-1))),{3.9,7.9,11.9}),COLUMN(B104))</f>
        <v>#N/A</v>
      </c>
      <c r="CF107" s="44" t="e">
        <f ca="1">INDEX(FREQUENCY(MMULT({1,1},SUBTOTAL(9,OFFSET($E$1,MATCH($CD107,$C:$C,)+{3;4},INT(COLUMN($A:$AE)*2)-1))),{3.9,7.9,11.9}),COLUMN(C104))</f>
        <v>#N/A</v>
      </c>
      <c r="CG107" s="44" t="e">
        <f ca="1">INDEX(FREQUENCY(MMULT({1,1},SUBTOTAL(9,OFFSET($E$1,MATCH($CD107,$C:$C,)+{3;4},INT(COLUMN($A:$AE)*2)-1))),{3.9,7.9,11.9}),COLUMN(D104))</f>
        <v>#N/A</v>
      </c>
    </row>
    <row r="108" spans="1:85" ht="17.25" customHeight="1" x14ac:dyDescent="0.15">
      <c r="A108" s="85"/>
      <c r="B108" s="49"/>
      <c r="C108" s="69"/>
      <c r="D108" s="57" t="s">
        <v>47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36"/>
      <c r="BP108" s="27">
        <v>105</v>
      </c>
      <c r="BQ108" s="27"/>
      <c r="BR108" s="29">
        <f ca="1">SUMIF(OFFSET($E$4:$BM$9,ROWS($1:105)*6-6,),BR$2,OFFSET($F$4:$BN$9,ROWS($1:105)*6-6,))</f>
        <v>0</v>
      </c>
      <c r="BS108" s="29">
        <f ca="1">SUMIF(OFFSET($E$4:$BM$9,ROWS($1:105)*6-6,),BS$2,OFFSET($F$4:$BN$9,ROWS($1:105)*6-6,))</f>
        <v>0</v>
      </c>
      <c r="BT108" s="29">
        <f ca="1">SUMIF(OFFSET($E$4:$BM$9,ROWS($1:105)*6-6,),BT$2,OFFSET($F$4:$BN$9,ROWS($1:105)*6-6,))</f>
        <v>0</v>
      </c>
      <c r="BU108" s="29">
        <f ca="1">SUMIF(OFFSET($E$4:$BM$9,ROWS($1:105)*6-6,),BU$2,OFFSET($F$4:$BN$9,ROWS($1:105)*6-6,))</f>
        <v>0</v>
      </c>
      <c r="BV108" s="29">
        <f ca="1">SUMIF(OFFSET($E$4:$BM$9,ROWS($1:105)*6-6,),BV$2,OFFSET($F$4:$BN$9,ROWS($1:105)*6-6,))</f>
        <v>0</v>
      </c>
      <c r="BW108" s="29">
        <f ca="1">SUMIF(OFFSET($E$4:$BM$9,ROWS($1:105)*6-6,),BW$2,OFFSET($F$4:$BN$9,ROWS($1:105)*6-6,))</f>
        <v>0</v>
      </c>
      <c r="BX108" s="29">
        <f ca="1">SUMIF(OFFSET($E$4:$BM$9,ROWS($1:105)*6-6,),BX$2,OFFSET($F$4:$BN$9,ROWS($1:105)*6-6,))</f>
        <v>0</v>
      </c>
      <c r="BY108" s="29">
        <f ca="1">SUMIF(OFFSET($E$4:$BM$9,ROWS($1:105)*6-6,),BY$2,OFFSET($F$4:$BN$9,ROWS($1:105)*6-6,))</f>
        <v>0</v>
      </c>
      <c r="BZ108" s="29">
        <f ca="1">SUMIF(OFFSET($E$4:$BM$9,ROWS($1:105)*6-6,),BZ$2,OFFSET($F$4:$BN$9,ROWS($1:105)*6-6,))</f>
        <v>0</v>
      </c>
      <c r="CA108" s="29">
        <f ca="1">SUMIF(OFFSET($E$4:$BM$9,ROWS($1:105)*6-6,),CA$2,OFFSET($F$4:$BN$9,ROWS($1:105)*6-6,))</f>
        <v>0</v>
      </c>
      <c r="CB108" s="29">
        <f ca="1">SUMIF(OFFSET($E$4:$BM$9,ROWS($1:105)*6-6,),CB$2,OFFSET($F$4:$BN$9,ROWS($1:105)*6-6,))</f>
        <v>0</v>
      </c>
      <c r="CC108" s="43">
        <f ca="1">SUMIF(OFFSET($E$4:$BM$9,ROWS($1:105)*6-6,),CC$2,OFFSET($F$4:$BN$9,ROWS($1:105)*6-6,))</f>
        <v>0</v>
      </c>
      <c r="CD108" s="44">
        <f t="shared" si="5"/>
        <v>0</v>
      </c>
      <c r="CE108" s="44" t="e">
        <f ca="1">INDEX(FREQUENCY(MMULT({1,1},SUBTOTAL(9,OFFSET($E$1,MATCH($CD108,$C:$C,)+{3;4},INT(COLUMN($A:$AE)*2)-1))),{3.9,7.9,11.9}),COLUMN(B105))</f>
        <v>#N/A</v>
      </c>
      <c r="CF108" s="44" t="e">
        <f ca="1">INDEX(FREQUENCY(MMULT({1,1},SUBTOTAL(9,OFFSET($E$1,MATCH($CD108,$C:$C,)+{3;4},INT(COLUMN($A:$AE)*2)-1))),{3.9,7.9,11.9}),COLUMN(C105))</f>
        <v>#N/A</v>
      </c>
      <c r="CG108" s="44" t="e">
        <f ca="1">INDEX(FREQUENCY(MMULT({1,1},SUBTOTAL(9,OFFSET($E$1,MATCH($CD108,$C:$C,)+{3;4},INT(COLUMN($A:$AE)*2)-1))),{3.9,7.9,11.9}),COLUMN(D105))</f>
        <v>#N/A</v>
      </c>
    </row>
    <row r="109" spans="1:85" ht="17.25" customHeight="1" x14ac:dyDescent="0.15">
      <c r="A109" s="85"/>
      <c r="B109" s="49"/>
      <c r="C109" s="69"/>
      <c r="D109" s="56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35"/>
      <c r="BP109" s="27">
        <v>106</v>
      </c>
      <c r="BQ109" s="27"/>
      <c r="BR109" s="29">
        <f ca="1">SUMIF(OFFSET($E$4:$BM$9,ROWS($1:106)*6-6,),BR$2,OFFSET($F$4:$BN$9,ROWS($1:106)*6-6,))</f>
        <v>0</v>
      </c>
      <c r="BS109" s="29">
        <f ca="1">SUMIF(OFFSET($E$4:$BM$9,ROWS($1:106)*6-6,),BS$2,OFFSET($F$4:$BN$9,ROWS($1:106)*6-6,))</f>
        <v>0</v>
      </c>
      <c r="BT109" s="29">
        <f ca="1">SUMIF(OFFSET($E$4:$BM$9,ROWS($1:106)*6-6,),BT$2,OFFSET($F$4:$BN$9,ROWS($1:106)*6-6,))</f>
        <v>0</v>
      </c>
      <c r="BU109" s="29">
        <f ca="1">SUMIF(OFFSET($E$4:$BM$9,ROWS($1:106)*6-6,),BU$2,OFFSET($F$4:$BN$9,ROWS($1:106)*6-6,))</f>
        <v>0</v>
      </c>
      <c r="BV109" s="29">
        <f ca="1">SUMIF(OFFSET($E$4:$BM$9,ROWS($1:106)*6-6,),BV$2,OFFSET($F$4:$BN$9,ROWS($1:106)*6-6,))</f>
        <v>0</v>
      </c>
      <c r="BW109" s="29">
        <f ca="1">SUMIF(OFFSET($E$4:$BM$9,ROWS($1:106)*6-6,),BW$2,OFFSET($F$4:$BN$9,ROWS($1:106)*6-6,))</f>
        <v>0</v>
      </c>
      <c r="BX109" s="29">
        <f ca="1">SUMIF(OFFSET($E$4:$BM$9,ROWS($1:106)*6-6,),BX$2,OFFSET($F$4:$BN$9,ROWS($1:106)*6-6,))</f>
        <v>0</v>
      </c>
      <c r="BY109" s="29">
        <f ca="1">SUMIF(OFFSET($E$4:$BM$9,ROWS($1:106)*6-6,),BY$2,OFFSET($F$4:$BN$9,ROWS($1:106)*6-6,))</f>
        <v>0</v>
      </c>
      <c r="BZ109" s="29">
        <f ca="1">SUMIF(OFFSET($E$4:$BM$9,ROWS($1:106)*6-6,),BZ$2,OFFSET($F$4:$BN$9,ROWS($1:106)*6-6,))</f>
        <v>0</v>
      </c>
      <c r="CA109" s="29">
        <f ca="1">SUMIF(OFFSET($E$4:$BM$9,ROWS($1:106)*6-6,),CA$2,OFFSET($F$4:$BN$9,ROWS($1:106)*6-6,))</f>
        <v>0</v>
      </c>
      <c r="CB109" s="29">
        <f ca="1">SUMIF(OFFSET($E$4:$BM$9,ROWS($1:106)*6-6,),CB$2,OFFSET($F$4:$BN$9,ROWS($1:106)*6-6,))</f>
        <v>0</v>
      </c>
      <c r="CC109" s="43">
        <f ca="1">SUMIF(OFFSET($E$4:$BM$9,ROWS($1:106)*6-6,),CC$2,OFFSET($F$4:$BN$9,ROWS($1:106)*6-6,))</f>
        <v>0</v>
      </c>
      <c r="CD109" s="44">
        <f t="shared" si="5"/>
        <v>0</v>
      </c>
      <c r="CE109" s="44" t="e">
        <f ca="1">INDEX(FREQUENCY(MMULT({1,1},SUBTOTAL(9,OFFSET($E$1,MATCH($CD109,$C:$C,)+{3;4},INT(COLUMN($A:$AE)*2)-1))),{3.9,7.9,11.9}),COLUMN(B106))</f>
        <v>#N/A</v>
      </c>
      <c r="CF109" s="44" t="e">
        <f ca="1">INDEX(FREQUENCY(MMULT({1,1},SUBTOTAL(9,OFFSET($E$1,MATCH($CD109,$C:$C,)+{3;4},INT(COLUMN($A:$AE)*2)-1))),{3.9,7.9,11.9}),COLUMN(C106))</f>
        <v>#N/A</v>
      </c>
      <c r="CG109" s="44" t="e">
        <f ca="1">INDEX(FREQUENCY(MMULT({1,1},SUBTOTAL(9,OFFSET($E$1,MATCH($CD109,$C:$C,)+{3;4},INT(COLUMN($A:$AE)*2)-1))),{3.9,7.9,11.9}),COLUMN(D106))</f>
        <v>#N/A</v>
      </c>
    </row>
    <row r="110" spans="1:85" ht="17.25" customHeight="1" x14ac:dyDescent="0.15">
      <c r="A110" s="85"/>
      <c r="B110" s="49"/>
      <c r="C110" s="69"/>
      <c r="D110" s="58" t="s">
        <v>49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37"/>
      <c r="BP110" s="27">
        <v>107</v>
      </c>
      <c r="BQ110" s="27"/>
      <c r="BR110" s="29">
        <f ca="1">SUMIF(OFFSET($E$4:$BM$9,ROWS($1:107)*6-6,),BR$2,OFFSET($F$4:$BN$9,ROWS($1:107)*6-6,))</f>
        <v>0</v>
      </c>
      <c r="BS110" s="29">
        <f ca="1">SUMIF(OFFSET($E$4:$BM$9,ROWS($1:107)*6-6,),BS$2,OFFSET($F$4:$BN$9,ROWS($1:107)*6-6,))</f>
        <v>0</v>
      </c>
      <c r="BT110" s="29">
        <f ca="1">SUMIF(OFFSET($E$4:$BM$9,ROWS($1:107)*6-6,),BT$2,OFFSET($F$4:$BN$9,ROWS($1:107)*6-6,))</f>
        <v>0</v>
      </c>
      <c r="BU110" s="29">
        <f ca="1">SUMIF(OFFSET($E$4:$BM$9,ROWS($1:107)*6-6,),BU$2,OFFSET($F$4:$BN$9,ROWS($1:107)*6-6,))</f>
        <v>0</v>
      </c>
      <c r="BV110" s="29">
        <f ca="1">SUMIF(OFFSET($E$4:$BM$9,ROWS($1:107)*6-6,),BV$2,OFFSET($F$4:$BN$9,ROWS($1:107)*6-6,))</f>
        <v>0</v>
      </c>
      <c r="BW110" s="29">
        <f ca="1">SUMIF(OFFSET($E$4:$BM$9,ROWS($1:107)*6-6,),BW$2,OFFSET($F$4:$BN$9,ROWS($1:107)*6-6,))</f>
        <v>0</v>
      </c>
      <c r="BX110" s="29">
        <f ca="1">SUMIF(OFFSET($E$4:$BM$9,ROWS($1:107)*6-6,),BX$2,OFFSET($F$4:$BN$9,ROWS($1:107)*6-6,))</f>
        <v>0</v>
      </c>
      <c r="BY110" s="29">
        <f ca="1">SUMIF(OFFSET($E$4:$BM$9,ROWS($1:107)*6-6,),BY$2,OFFSET($F$4:$BN$9,ROWS($1:107)*6-6,))</f>
        <v>0</v>
      </c>
      <c r="BZ110" s="29">
        <f ca="1">SUMIF(OFFSET($E$4:$BM$9,ROWS($1:107)*6-6,),BZ$2,OFFSET($F$4:$BN$9,ROWS($1:107)*6-6,))</f>
        <v>0</v>
      </c>
      <c r="CA110" s="29">
        <f ca="1">SUMIF(OFFSET($E$4:$BM$9,ROWS($1:107)*6-6,),CA$2,OFFSET($F$4:$BN$9,ROWS($1:107)*6-6,))</f>
        <v>0</v>
      </c>
      <c r="CB110" s="29">
        <f ca="1">SUMIF(OFFSET($E$4:$BM$9,ROWS($1:107)*6-6,),CB$2,OFFSET($F$4:$BN$9,ROWS($1:107)*6-6,))</f>
        <v>0</v>
      </c>
      <c r="CC110" s="43">
        <f ca="1">SUMIF(OFFSET($E$4:$BM$9,ROWS($1:107)*6-6,),CC$2,OFFSET($F$4:$BN$9,ROWS($1:107)*6-6,))</f>
        <v>0</v>
      </c>
      <c r="CD110" s="44">
        <f t="shared" si="5"/>
        <v>0</v>
      </c>
      <c r="CE110" s="44" t="e">
        <f ca="1">INDEX(FREQUENCY(MMULT({1,1},SUBTOTAL(9,OFFSET($E$1,MATCH($CD110,$C:$C,)+{3;4},INT(COLUMN($A:$AE)*2)-1))),{3.9,7.9,11.9}),COLUMN(B107))</f>
        <v>#N/A</v>
      </c>
      <c r="CF110" s="44" t="e">
        <f ca="1">INDEX(FREQUENCY(MMULT({1,1},SUBTOTAL(9,OFFSET($E$1,MATCH($CD110,$C:$C,)+{3;4},INT(COLUMN($A:$AE)*2)-1))),{3.9,7.9,11.9}),COLUMN(C107))</f>
        <v>#N/A</v>
      </c>
      <c r="CG110" s="44" t="e">
        <f ca="1">INDEX(FREQUENCY(MMULT({1,1},SUBTOTAL(9,OFFSET($E$1,MATCH($CD110,$C:$C,)+{3;4},INT(COLUMN($A:$AE)*2)-1))),{3.9,7.9,11.9}),COLUMN(D107))</f>
        <v>#N/A</v>
      </c>
    </row>
    <row r="111" spans="1:85" ht="17.25" customHeight="1" thickBot="1" x14ac:dyDescent="0.2">
      <c r="A111" s="86"/>
      <c r="B111" s="50"/>
      <c r="C111" s="70"/>
      <c r="D111" s="59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38"/>
      <c r="BP111" s="27">
        <v>108</v>
      </c>
      <c r="BQ111" s="27"/>
      <c r="BR111" s="29">
        <f ca="1">SUMIF(OFFSET($E$4:$BM$9,ROWS($1:108)*6-6,),BR$2,OFFSET($F$4:$BN$9,ROWS($1:108)*6-6,))</f>
        <v>0</v>
      </c>
      <c r="BS111" s="29">
        <f ca="1">SUMIF(OFFSET($E$4:$BM$9,ROWS($1:108)*6-6,),BS$2,OFFSET($F$4:$BN$9,ROWS($1:108)*6-6,))</f>
        <v>0</v>
      </c>
      <c r="BT111" s="29">
        <f ca="1">SUMIF(OFFSET($E$4:$BM$9,ROWS($1:108)*6-6,),BT$2,OFFSET($F$4:$BN$9,ROWS($1:108)*6-6,))</f>
        <v>0</v>
      </c>
      <c r="BU111" s="29">
        <f ca="1">SUMIF(OFFSET($E$4:$BM$9,ROWS($1:108)*6-6,),BU$2,OFFSET($F$4:$BN$9,ROWS($1:108)*6-6,))</f>
        <v>0</v>
      </c>
      <c r="BV111" s="29">
        <f ca="1">SUMIF(OFFSET($E$4:$BM$9,ROWS($1:108)*6-6,),BV$2,OFFSET($F$4:$BN$9,ROWS($1:108)*6-6,))</f>
        <v>0</v>
      </c>
      <c r="BW111" s="29">
        <f ca="1">SUMIF(OFFSET($E$4:$BM$9,ROWS($1:108)*6-6,),BW$2,OFFSET($F$4:$BN$9,ROWS($1:108)*6-6,))</f>
        <v>0</v>
      </c>
      <c r="BX111" s="29">
        <f ca="1">SUMIF(OFFSET($E$4:$BM$9,ROWS($1:108)*6-6,),BX$2,OFFSET($F$4:$BN$9,ROWS($1:108)*6-6,))</f>
        <v>0</v>
      </c>
      <c r="BY111" s="29">
        <f ca="1">SUMIF(OFFSET($E$4:$BM$9,ROWS($1:108)*6-6,),BY$2,OFFSET($F$4:$BN$9,ROWS($1:108)*6-6,))</f>
        <v>0</v>
      </c>
      <c r="BZ111" s="29">
        <f ca="1">SUMIF(OFFSET($E$4:$BM$9,ROWS($1:108)*6-6,),BZ$2,OFFSET($F$4:$BN$9,ROWS($1:108)*6-6,))</f>
        <v>0</v>
      </c>
      <c r="CA111" s="29">
        <f ca="1">SUMIF(OFFSET($E$4:$BM$9,ROWS($1:108)*6-6,),CA$2,OFFSET($F$4:$BN$9,ROWS($1:108)*6-6,))</f>
        <v>0</v>
      </c>
      <c r="CB111" s="29">
        <f ca="1">SUMIF(OFFSET($E$4:$BM$9,ROWS($1:108)*6-6,),CB$2,OFFSET($F$4:$BN$9,ROWS($1:108)*6-6,))</f>
        <v>0</v>
      </c>
      <c r="CC111" s="43">
        <f ca="1">SUMIF(OFFSET($E$4:$BM$9,ROWS($1:108)*6-6,),CC$2,OFFSET($F$4:$BN$9,ROWS($1:108)*6-6,))</f>
        <v>0</v>
      </c>
      <c r="CD111" s="44">
        <f t="shared" si="5"/>
        <v>0</v>
      </c>
      <c r="CE111" s="44" t="e">
        <f ca="1">INDEX(FREQUENCY(MMULT({1,1},SUBTOTAL(9,OFFSET($E$1,MATCH($CD111,$C:$C,)+{3;4},INT(COLUMN($A:$AE)*2)-1))),{3.9,7.9,11.9}),COLUMN(B108))</f>
        <v>#N/A</v>
      </c>
      <c r="CF111" s="44" t="e">
        <f ca="1">INDEX(FREQUENCY(MMULT({1,1},SUBTOTAL(9,OFFSET($E$1,MATCH($CD111,$C:$C,)+{3;4},INT(COLUMN($A:$AE)*2)-1))),{3.9,7.9,11.9}),COLUMN(C108))</f>
        <v>#N/A</v>
      </c>
      <c r="CG111" s="44" t="e">
        <f ca="1">INDEX(FREQUENCY(MMULT({1,1},SUBTOTAL(9,OFFSET($E$1,MATCH($CD111,$C:$C,)+{3;4},INT(COLUMN($A:$AE)*2)-1))),{3.9,7.9,11.9}),COLUMN(D108))</f>
        <v>#N/A</v>
      </c>
    </row>
    <row r="112" spans="1:85" ht="17.25" customHeight="1" x14ac:dyDescent="0.15">
      <c r="A112" s="84" t="s">
        <v>89</v>
      </c>
      <c r="B112" s="48" t="s">
        <v>107</v>
      </c>
      <c r="C112" s="48" t="s">
        <v>99</v>
      </c>
      <c r="D112" s="55" t="s">
        <v>45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17</v>
      </c>
      <c r="V112" s="11">
        <v>2</v>
      </c>
      <c r="W112" s="11" t="s">
        <v>14</v>
      </c>
      <c r="X112" s="11">
        <v>2</v>
      </c>
      <c r="Y112" s="11" t="s">
        <v>14</v>
      </c>
      <c r="Z112" s="11">
        <v>2</v>
      </c>
      <c r="AA112" s="11" t="s">
        <v>14</v>
      </c>
      <c r="AB112" s="11">
        <v>2</v>
      </c>
      <c r="AC112" s="11" t="s">
        <v>14</v>
      </c>
      <c r="AD112" s="11">
        <v>2</v>
      </c>
      <c r="AE112" s="11" t="s">
        <v>14</v>
      </c>
      <c r="AF112" s="11">
        <v>2</v>
      </c>
      <c r="AG112" s="11"/>
      <c r="AH112" s="11"/>
      <c r="AI112" s="11" t="s">
        <v>14</v>
      </c>
      <c r="AJ112" s="11">
        <v>2</v>
      </c>
      <c r="AK112" s="11" t="s">
        <v>14</v>
      </c>
      <c r="AL112" s="11">
        <v>2</v>
      </c>
      <c r="AM112" s="11" t="s">
        <v>14</v>
      </c>
      <c r="AN112" s="11">
        <v>2</v>
      </c>
      <c r="AO112" s="11" t="s">
        <v>14</v>
      </c>
      <c r="AP112" s="11">
        <v>2</v>
      </c>
      <c r="AQ112" s="11" t="s">
        <v>14</v>
      </c>
      <c r="AR112" s="11">
        <v>2</v>
      </c>
      <c r="AS112" s="11" t="s">
        <v>14</v>
      </c>
      <c r="AT112" s="11">
        <v>2</v>
      </c>
      <c r="AU112" s="11"/>
      <c r="AV112" s="11"/>
      <c r="AW112" s="11" t="s">
        <v>14</v>
      </c>
      <c r="AX112" s="11">
        <v>2</v>
      </c>
      <c r="AY112" s="11" t="s">
        <v>14</v>
      </c>
      <c r="AZ112" s="11">
        <v>2</v>
      </c>
      <c r="BA112" s="11" t="s">
        <v>14</v>
      </c>
      <c r="BB112" s="11">
        <v>2</v>
      </c>
      <c r="BC112" s="11" t="s">
        <v>14</v>
      </c>
      <c r="BD112" s="11">
        <v>2</v>
      </c>
      <c r="BE112" s="11" t="s">
        <v>14</v>
      </c>
      <c r="BF112" s="11">
        <v>2</v>
      </c>
      <c r="BG112" s="11" t="s">
        <v>14</v>
      </c>
      <c r="BH112" s="11">
        <v>2</v>
      </c>
      <c r="BI112" s="11"/>
      <c r="BJ112" s="11"/>
      <c r="BK112" s="11" t="s">
        <v>14</v>
      </c>
      <c r="BL112" s="11">
        <v>2</v>
      </c>
      <c r="BM112" s="11" t="s">
        <v>14</v>
      </c>
      <c r="BN112" s="34">
        <v>2</v>
      </c>
      <c r="BP112" s="27">
        <v>109</v>
      </c>
      <c r="BQ112" s="27"/>
      <c r="BR112" s="29">
        <f ca="1">SUMIF(OFFSET($E$4:$BM$9,ROWS($1:109)*6-6,),BR$2,OFFSET($F$4:$BN$9,ROWS($1:109)*6-6,))</f>
        <v>0</v>
      </c>
      <c r="BS112" s="29">
        <f ca="1">SUMIF(OFFSET($E$4:$BM$9,ROWS($1:109)*6-6,),BS$2,OFFSET($F$4:$BN$9,ROWS($1:109)*6-6,))</f>
        <v>0</v>
      </c>
      <c r="BT112" s="29">
        <f ca="1">SUMIF(OFFSET($E$4:$BM$9,ROWS($1:109)*6-6,),BT$2,OFFSET($F$4:$BN$9,ROWS($1:109)*6-6,))</f>
        <v>0</v>
      </c>
      <c r="BU112" s="29">
        <f ca="1">SUMIF(OFFSET($E$4:$BM$9,ROWS($1:109)*6-6,),BU$2,OFFSET($F$4:$BN$9,ROWS($1:109)*6-6,))</f>
        <v>0</v>
      </c>
      <c r="BV112" s="29">
        <f ca="1">SUMIF(OFFSET($E$4:$BM$9,ROWS($1:109)*6-6,),BV$2,OFFSET($F$4:$BN$9,ROWS($1:109)*6-6,))</f>
        <v>0</v>
      </c>
      <c r="BW112" s="29">
        <f ca="1">SUMIF(OFFSET($E$4:$BM$9,ROWS($1:109)*6-6,),BW$2,OFFSET($F$4:$BN$9,ROWS($1:109)*6-6,))</f>
        <v>0</v>
      </c>
      <c r="BX112" s="29">
        <f ca="1">SUMIF(OFFSET($E$4:$BM$9,ROWS($1:109)*6-6,),BX$2,OFFSET($F$4:$BN$9,ROWS($1:109)*6-6,))</f>
        <v>0</v>
      </c>
      <c r="BY112" s="29">
        <f ca="1">SUMIF(OFFSET($E$4:$BM$9,ROWS($1:109)*6-6,),BY$2,OFFSET($F$4:$BN$9,ROWS($1:109)*6-6,))</f>
        <v>0</v>
      </c>
      <c r="BZ112" s="29">
        <f ca="1">SUMIF(OFFSET($E$4:$BM$9,ROWS($1:109)*6-6,),BZ$2,OFFSET($F$4:$BN$9,ROWS($1:109)*6-6,))</f>
        <v>0</v>
      </c>
      <c r="CA112" s="29">
        <f ca="1">SUMIF(OFFSET($E$4:$BM$9,ROWS($1:109)*6-6,),CA$2,OFFSET($F$4:$BN$9,ROWS($1:109)*6-6,))</f>
        <v>0</v>
      </c>
      <c r="CB112" s="29">
        <f ca="1">SUMIF(OFFSET($E$4:$BM$9,ROWS($1:109)*6-6,),CB$2,OFFSET($F$4:$BN$9,ROWS($1:109)*6-6,))</f>
        <v>0</v>
      </c>
      <c r="CC112" s="43">
        <f ca="1">SUMIF(OFFSET($E$4:$BM$9,ROWS($1:109)*6-6,),CC$2,OFFSET($F$4:$BN$9,ROWS($1:109)*6-6,))</f>
        <v>0</v>
      </c>
      <c r="CD112" s="44">
        <f t="shared" si="5"/>
        <v>0</v>
      </c>
      <c r="CE112" s="44" t="e">
        <f ca="1">INDEX(FREQUENCY(MMULT({1,1},SUBTOTAL(9,OFFSET($E$1,MATCH($CD112,$C:$C,)+{3;4},INT(COLUMN($A:$AE)*2)-1))),{3.9,7.9,11.9}),COLUMN(B109))</f>
        <v>#N/A</v>
      </c>
      <c r="CF112" s="44" t="e">
        <f ca="1">INDEX(FREQUENCY(MMULT({1,1},SUBTOTAL(9,OFFSET($E$1,MATCH($CD112,$C:$C,)+{3;4},INT(COLUMN($A:$AE)*2)-1))),{3.9,7.9,11.9}),COLUMN(C109))</f>
        <v>#N/A</v>
      </c>
      <c r="CG112" s="44" t="e">
        <f ca="1">INDEX(FREQUENCY(MMULT({1,1},SUBTOTAL(9,OFFSET($E$1,MATCH($CD112,$C:$C,)+{3;4},INT(COLUMN($A:$AE)*2)-1))),{3.9,7.9,11.9}),COLUMN(D109))</f>
        <v>#N/A</v>
      </c>
    </row>
    <row r="113" spans="1:85" ht="17.25" customHeight="1" x14ac:dyDescent="0.15">
      <c r="A113" s="85"/>
      <c r="B113" s="49"/>
      <c r="C113" s="49"/>
      <c r="D113" s="56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 t="s">
        <v>17</v>
      </c>
      <c r="V113" s="12">
        <v>2</v>
      </c>
      <c r="W113" s="12" t="s">
        <v>14</v>
      </c>
      <c r="X113" s="12">
        <v>2</v>
      </c>
      <c r="Y113" s="12" t="s">
        <v>14</v>
      </c>
      <c r="Z113" s="12">
        <v>2</v>
      </c>
      <c r="AA113" s="12" t="s">
        <v>14</v>
      </c>
      <c r="AB113" s="12">
        <v>2</v>
      </c>
      <c r="AC113" s="12" t="s">
        <v>14</v>
      </c>
      <c r="AD113" s="12">
        <v>2</v>
      </c>
      <c r="AE113" s="12" t="s">
        <v>14</v>
      </c>
      <c r="AF113" s="12">
        <v>2</v>
      </c>
      <c r="AG113" s="12"/>
      <c r="AH113" s="12"/>
      <c r="AI113" s="12" t="s">
        <v>14</v>
      </c>
      <c r="AJ113" s="12">
        <v>2</v>
      </c>
      <c r="AK113" s="12" t="s">
        <v>14</v>
      </c>
      <c r="AL113" s="12">
        <v>2</v>
      </c>
      <c r="AM113" s="12" t="s">
        <v>14</v>
      </c>
      <c r="AN113" s="12">
        <v>2</v>
      </c>
      <c r="AO113" s="12" t="s">
        <v>14</v>
      </c>
      <c r="AP113" s="12">
        <v>2</v>
      </c>
      <c r="AQ113" s="12" t="s">
        <v>14</v>
      </c>
      <c r="AR113" s="12">
        <v>2</v>
      </c>
      <c r="AS113" s="12" t="s">
        <v>14</v>
      </c>
      <c r="AT113" s="12">
        <v>2</v>
      </c>
      <c r="AU113" s="12"/>
      <c r="AV113" s="12"/>
      <c r="AW113" s="12" t="s">
        <v>14</v>
      </c>
      <c r="AX113" s="12">
        <v>2</v>
      </c>
      <c r="AY113" s="12" t="s">
        <v>14</v>
      </c>
      <c r="AZ113" s="12">
        <v>2</v>
      </c>
      <c r="BA113" s="12" t="s">
        <v>14</v>
      </c>
      <c r="BB113" s="12">
        <v>2</v>
      </c>
      <c r="BC113" s="12" t="s">
        <v>14</v>
      </c>
      <c r="BD113" s="12">
        <v>2</v>
      </c>
      <c r="BE113" s="12" t="s">
        <v>14</v>
      </c>
      <c r="BF113" s="12">
        <v>2</v>
      </c>
      <c r="BG113" s="12" t="s">
        <v>14</v>
      </c>
      <c r="BH113" s="12">
        <v>2</v>
      </c>
      <c r="BI113" s="12"/>
      <c r="BJ113" s="12"/>
      <c r="BK113" s="12" t="s">
        <v>14</v>
      </c>
      <c r="BL113" s="12">
        <v>2</v>
      </c>
      <c r="BM113" s="12" t="s">
        <v>14</v>
      </c>
      <c r="BN113" s="35">
        <v>2</v>
      </c>
      <c r="BP113" s="27">
        <v>110</v>
      </c>
      <c r="BQ113" s="27"/>
      <c r="BR113" s="29">
        <f ca="1">SUMIF(OFFSET($E$4:$BM$9,ROWS($1:110)*6-6,),BR$2,OFFSET($F$4:$BN$9,ROWS($1:110)*6-6,))</f>
        <v>0</v>
      </c>
      <c r="BS113" s="29">
        <f ca="1">SUMIF(OFFSET($E$4:$BM$9,ROWS($1:110)*6-6,),BS$2,OFFSET($F$4:$BN$9,ROWS($1:110)*6-6,))</f>
        <v>0</v>
      </c>
      <c r="BT113" s="29">
        <f ca="1">SUMIF(OFFSET($E$4:$BM$9,ROWS($1:110)*6-6,),BT$2,OFFSET($F$4:$BN$9,ROWS($1:110)*6-6,))</f>
        <v>0</v>
      </c>
      <c r="BU113" s="29">
        <f ca="1">SUMIF(OFFSET($E$4:$BM$9,ROWS($1:110)*6-6,),BU$2,OFFSET($F$4:$BN$9,ROWS($1:110)*6-6,))</f>
        <v>0</v>
      </c>
      <c r="BV113" s="29">
        <f ca="1">SUMIF(OFFSET($E$4:$BM$9,ROWS($1:110)*6-6,),BV$2,OFFSET($F$4:$BN$9,ROWS($1:110)*6-6,))</f>
        <v>0</v>
      </c>
      <c r="BW113" s="29">
        <f ca="1">SUMIF(OFFSET($E$4:$BM$9,ROWS($1:110)*6-6,),BW$2,OFFSET($F$4:$BN$9,ROWS($1:110)*6-6,))</f>
        <v>0</v>
      </c>
      <c r="BX113" s="29">
        <f ca="1">SUMIF(OFFSET($E$4:$BM$9,ROWS($1:110)*6-6,),BX$2,OFFSET($F$4:$BN$9,ROWS($1:110)*6-6,))</f>
        <v>0</v>
      </c>
      <c r="BY113" s="29">
        <f ca="1">SUMIF(OFFSET($E$4:$BM$9,ROWS($1:110)*6-6,),BY$2,OFFSET($F$4:$BN$9,ROWS($1:110)*6-6,))</f>
        <v>0</v>
      </c>
      <c r="BZ113" s="29">
        <f ca="1">SUMIF(OFFSET($E$4:$BM$9,ROWS($1:110)*6-6,),BZ$2,OFFSET($F$4:$BN$9,ROWS($1:110)*6-6,))</f>
        <v>0</v>
      </c>
      <c r="CA113" s="29">
        <f ca="1">SUMIF(OFFSET($E$4:$BM$9,ROWS($1:110)*6-6,),CA$2,OFFSET($F$4:$BN$9,ROWS($1:110)*6-6,))</f>
        <v>0</v>
      </c>
      <c r="CB113" s="29">
        <f ca="1">SUMIF(OFFSET($E$4:$BM$9,ROWS($1:110)*6-6,),CB$2,OFFSET($F$4:$BN$9,ROWS($1:110)*6-6,))</f>
        <v>0</v>
      </c>
      <c r="CC113" s="43">
        <f ca="1">SUMIF(OFFSET($E$4:$BM$9,ROWS($1:110)*6-6,),CC$2,OFFSET($F$4:$BN$9,ROWS($1:110)*6-6,))</f>
        <v>0</v>
      </c>
      <c r="CD113" s="44">
        <f t="shared" si="5"/>
        <v>0</v>
      </c>
      <c r="CE113" s="44" t="e">
        <f ca="1">INDEX(FREQUENCY(MMULT({1,1},SUBTOTAL(9,OFFSET($E$1,MATCH($CD113,$C:$C,)+{3;4},INT(COLUMN($A:$AE)*2)-1))),{3.9,7.9,11.9}),COLUMN(B110))</f>
        <v>#N/A</v>
      </c>
      <c r="CF113" s="44" t="e">
        <f ca="1">INDEX(FREQUENCY(MMULT({1,1},SUBTOTAL(9,OFFSET($E$1,MATCH($CD113,$C:$C,)+{3;4},INT(COLUMN($A:$AE)*2)-1))),{3.9,7.9,11.9}),COLUMN(C110))</f>
        <v>#N/A</v>
      </c>
      <c r="CG113" s="44" t="e">
        <f ca="1">INDEX(FREQUENCY(MMULT({1,1},SUBTOTAL(9,OFFSET($E$1,MATCH($CD113,$C:$C,)+{3;4},INT(COLUMN($A:$AE)*2)-1))),{3.9,7.9,11.9}),COLUMN(D110))</f>
        <v>#N/A</v>
      </c>
    </row>
    <row r="114" spans="1:85" ht="17.25" customHeight="1" x14ac:dyDescent="0.15">
      <c r="A114" s="85"/>
      <c r="B114" s="49"/>
      <c r="C114" s="49"/>
      <c r="D114" s="57" t="s">
        <v>47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 t="s">
        <v>17</v>
      </c>
      <c r="V114" s="13">
        <v>2</v>
      </c>
      <c r="W114" s="13" t="s">
        <v>14</v>
      </c>
      <c r="X114" s="13">
        <v>2</v>
      </c>
      <c r="Y114" s="13" t="s">
        <v>14</v>
      </c>
      <c r="Z114" s="13">
        <v>2</v>
      </c>
      <c r="AA114" s="13" t="s">
        <v>14</v>
      </c>
      <c r="AB114" s="13">
        <v>2</v>
      </c>
      <c r="AC114" s="13" t="s">
        <v>14</v>
      </c>
      <c r="AD114" s="13">
        <v>2</v>
      </c>
      <c r="AE114" s="13" t="s">
        <v>18</v>
      </c>
      <c r="AF114" s="13">
        <v>2</v>
      </c>
      <c r="AG114" s="13"/>
      <c r="AH114" s="13"/>
      <c r="AI114" s="13" t="s">
        <v>14</v>
      </c>
      <c r="AJ114" s="13">
        <v>2</v>
      </c>
      <c r="AK114" s="13" t="s">
        <v>14</v>
      </c>
      <c r="AL114" s="13">
        <v>2</v>
      </c>
      <c r="AM114" s="13" t="s">
        <v>14</v>
      </c>
      <c r="AN114" s="13">
        <v>2</v>
      </c>
      <c r="AO114" s="13" t="s">
        <v>14</v>
      </c>
      <c r="AP114" s="13">
        <v>2</v>
      </c>
      <c r="AQ114" s="13" t="s">
        <v>14</v>
      </c>
      <c r="AR114" s="13">
        <v>2</v>
      </c>
      <c r="AS114" s="13" t="s">
        <v>14</v>
      </c>
      <c r="AT114" s="13">
        <v>2</v>
      </c>
      <c r="AU114" s="13"/>
      <c r="AV114" s="13"/>
      <c r="AW114" s="13" t="s">
        <v>14</v>
      </c>
      <c r="AX114" s="13">
        <v>2</v>
      </c>
      <c r="AY114" s="13" t="s">
        <v>14</v>
      </c>
      <c r="AZ114" s="13">
        <v>2</v>
      </c>
      <c r="BA114" s="13" t="s">
        <v>14</v>
      </c>
      <c r="BB114" s="13">
        <v>2</v>
      </c>
      <c r="BC114" s="13" t="s">
        <v>14</v>
      </c>
      <c r="BD114" s="13">
        <v>2</v>
      </c>
      <c r="BE114" s="13" t="s">
        <v>14</v>
      </c>
      <c r="BF114" s="13">
        <v>2</v>
      </c>
      <c r="BG114" s="13" t="s">
        <v>14</v>
      </c>
      <c r="BH114" s="13">
        <v>2</v>
      </c>
      <c r="BI114" s="13"/>
      <c r="BJ114" s="13"/>
      <c r="BK114" s="13" t="s">
        <v>14</v>
      </c>
      <c r="BL114" s="13">
        <v>2</v>
      </c>
      <c r="BM114" s="13" t="s">
        <v>14</v>
      </c>
      <c r="BN114" s="36">
        <v>2</v>
      </c>
      <c r="BP114" s="27">
        <v>111</v>
      </c>
      <c r="BQ114" s="27"/>
      <c r="BR114" s="29">
        <f ca="1">SUMIF(OFFSET($E$4:$BM$9,ROWS($1:111)*6-6,),BR$2,OFFSET($F$4:$BN$9,ROWS($1:111)*6-6,))</f>
        <v>0</v>
      </c>
      <c r="BS114" s="29">
        <f ca="1">SUMIF(OFFSET($E$4:$BM$9,ROWS($1:111)*6-6,),BS$2,OFFSET($F$4:$BN$9,ROWS($1:111)*6-6,))</f>
        <v>0</v>
      </c>
      <c r="BT114" s="29">
        <f ca="1">SUMIF(OFFSET($E$4:$BM$9,ROWS($1:111)*6-6,),BT$2,OFFSET($F$4:$BN$9,ROWS($1:111)*6-6,))</f>
        <v>0</v>
      </c>
      <c r="BU114" s="29">
        <f ca="1">SUMIF(OFFSET($E$4:$BM$9,ROWS($1:111)*6-6,),BU$2,OFFSET($F$4:$BN$9,ROWS($1:111)*6-6,))</f>
        <v>0</v>
      </c>
      <c r="BV114" s="29">
        <f ca="1">SUMIF(OFFSET($E$4:$BM$9,ROWS($1:111)*6-6,),BV$2,OFFSET($F$4:$BN$9,ROWS($1:111)*6-6,))</f>
        <v>0</v>
      </c>
      <c r="BW114" s="29">
        <f ca="1">SUMIF(OFFSET($E$4:$BM$9,ROWS($1:111)*6-6,),BW$2,OFFSET($F$4:$BN$9,ROWS($1:111)*6-6,))</f>
        <v>0</v>
      </c>
      <c r="BX114" s="29">
        <f ca="1">SUMIF(OFFSET($E$4:$BM$9,ROWS($1:111)*6-6,),BX$2,OFFSET($F$4:$BN$9,ROWS($1:111)*6-6,))</f>
        <v>0</v>
      </c>
      <c r="BY114" s="29">
        <f ca="1">SUMIF(OFFSET($E$4:$BM$9,ROWS($1:111)*6-6,),BY$2,OFFSET($F$4:$BN$9,ROWS($1:111)*6-6,))</f>
        <v>0</v>
      </c>
      <c r="BZ114" s="29">
        <f ca="1">SUMIF(OFFSET($E$4:$BM$9,ROWS($1:111)*6-6,),BZ$2,OFFSET($F$4:$BN$9,ROWS($1:111)*6-6,))</f>
        <v>0</v>
      </c>
      <c r="CA114" s="29">
        <f ca="1">SUMIF(OFFSET($E$4:$BM$9,ROWS($1:111)*6-6,),CA$2,OFFSET($F$4:$BN$9,ROWS($1:111)*6-6,))</f>
        <v>0</v>
      </c>
      <c r="CB114" s="29">
        <f ca="1">SUMIF(OFFSET($E$4:$BM$9,ROWS($1:111)*6-6,),CB$2,OFFSET($F$4:$BN$9,ROWS($1:111)*6-6,))</f>
        <v>0</v>
      </c>
      <c r="CC114" s="43">
        <f ca="1">SUMIF(OFFSET($E$4:$BM$9,ROWS($1:111)*6-6,),CC$2,OFFSET($F$4:$BN$9,ROWS($1:111)*6-6,))</f>
        <v>0</v>
      </c>
      <c r="CD114" s="44">
        <f t="shared" si="5"/>
        <v>0</v>
      </c>
      <c r="CE114" s="44" t="e">
        <f ca="1">INDEX(FREQUENCY(MMULT({1,1},SUBTOTAL(9,OFFSET($E$1,MATCH($CD114,$C:$C,)+{3;4},INT(COLUMN($A:$AE)*2)-1))),{3.9,7.9,11.9}),COLUMN(B111))</f>
        <v>#N/A</v>
      </c>
      <c r="CF114" s="44" t="e">
        <f ca="1">INDEX(FREQUENCY(MMULT({1,1},SUBTOTAL(9,OFFSET($E$1,MATCH($CD114,$C:$C,)+{3;4},INT(COLUMN($A:$AE)*2)-1))),{3.9,7.9,11.9}),COLUMN(C111))</f>
        <v>#N/A</v>
      </c>
      <c r="CG114" s="44" t="e">
        <f ca="1">INDEX(FREQUENCY(MMULT({1,1},SUBTOTAL(9,OFFSET($E$1,MATCH($CD114,$C:$C,)+{3;4},INT(COLUMN($A:$AE)*2)-1))),{3.9,7.9,11.9}),COLUMN(D111))</f>
        <v>#N/A</v>
      </c>
    </row>
    <row r="115" spans="1:85" ht="17.25" customHeight="1" x14ac:dyDescent="0.15">
      <c r="A115" s="85"/>
      <c r="B115" s="49"/>
      <c r="C115" s="49"/>
      <c r="D115" s="56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 t="s">
        <v>17</v>
      </c>
      <c r="V115" s="12">
        <v>2</v>
      </c>
      <c r="W115" s="12" t="s">
        <v>14</v>
      </c>
      <c r="X115" s="12">
        <v>2</v>
      </c>
      <c r="Y115" s="12" t="s">
        <v>14</v>
      </c>
      <c r="Z115" s="12">
        <v>2</v>
      </c>
      <c r="AA115" s="12" t="s">
        <v>14</v>
      </c>
      <c r="AB115" s="12">
        <v>2</v>
      </c>
      <c r="AC115" s="12" t="s">
        <v>14</v>
      </c>
      <c r="AD115" s="12">
        <v>2</v>
      </c>
      <c r="AE115" s="12" t="s">
        <v>18</v>
      </c>
      <c r="AF115" s="12">
        <v>2</v>
      </c>
      <c r="AG115" s="12"/>
      <c r="AH115" s="12"/>
      <c r="AI115" s="12" t="s">
        <v>14</v>
      </c>
      <c r="AJ115" s="12">
        <v>2</v>
      </c>
      <c r="AK115" s="12" t="s">
        <v>14</v>
      </c>
      <c r="AL115" s="12">
        <v>2</v>
      </c>
      <c r="AM115" s="12" t="s">
        <v>14</v>
      </c>
      <c r="AN115" s="12">
        <v>2</v>
      </c>
      <c r="AO115" s="12" t="s">
        <v>14</v>
      </c>
      <c r="AP115" s="12">
        <v>2</v>
      </c>
      <c r="AQ115" s="12" t="s">
        <v>14</v>
      </c>
      <c r="AR115" s="12">
        <v>2</v>
      </c>
      <c r="AS115" s="12" t="s">
        <v>14</v>
      </c>
      <c r="AT115" s="12">
        <v>2</v>
      </c>
      <c r="AU115" s="12"/>
      <c r="AV115" s="12"/>
      <c r="AW115" s="12" t="s">
        <v>14</v>
      </c>
      <c r="AX115" s="12">
        <v>2</v>
      </c>
      <c r="AY115" s="12" t="s">
        <v>14</v>
      </c>
      <c r="AZ115" s="12">
        <v>2</v>
      </c>
      <c r="BA115" s="12" t="s">
        <v>14</v>
      </c>
      <c r="BB115" s="12">
        <v>2</v>
      </c>
      <c r="BC115" s="12" t="s">
        <v>14</v>
      </c>
      <c r="BD115" s="12">
        <v>2</v>
      </c>
      <c r="BE115" s="12" t="s">
        <v>14</v>
      </c>
      <c r="BF115" s="12">
        <v>2</v>
      </c>
      <c r="BG115" s="12" t="s">
        <v>14</v>
      </c>
      <c r="BH115" s="12">
        <v>2</v>
      </c>
      <c r="BI115" s="12"/>
      <c r="BJ115" s="12"/>
      <c r="BK115" s="12" t="s">
        <v>14</v>
      </c>
      <c r="BL115" s="12">
        <v>2</v>
      </c>
      <c r="BM115" s="12" t="s">
        <v>14</v>
      </c>
      <c r="BN115" s="35">
        <v>2</v>
      </c>
      <c r="BP115" s="27">
        <v>112</v>
      </c>
      <c r="BQ115" s="27"/>
      <c r="BR115" s="29">
        <f ca="1">SUMIF(OFFSET($E$4:$BM$9,ROWS($1:112)*6-6,),BR$2,OFFSET($F$4:$BN$9,ROWS($1:112)*6-6,))</f>
        <v>0</v>
      </c>
      <c r="BS115" s="29">
        <f ca="1">SUMIF(OFFSET($E$4:$BM$9,ROWS($1:112)*6-6,),BS$2,OFFSET($F$4:$BN$9,ROWS($1:112)*6-6,))</f>
        <v>0</v>
      </c>
      <c r="BT115" s="29">
        <f ca="1">SUMIF(OFFSET($E$4:$BM$9,ROWS($1:112)*6-6,),BT$2,OFFSET($F$4:$BN$9,ROWS($1:112)*6-6,))</f>
        <v>0</v>
      </c>
      <c r="BU115" s="29">
        <f ca="1">SUMIF(OFFSET($E$4:$BM$9,ROWS($1:112)*6-6,),BU$2,OFFSET($F$4:$BN$9,ROWS($1:112)*6-6,))</f>
        <v>0</v>
      </c>
      <c r="BV115" s="29">
        <f ca="1">SUMIF(OFFSET($E$4:$BM$9,ROWS($1:112)*6-6,),BV$2,OFFSET($F$4:$BN$9,ROWS($1:112)*6-6,))</f>
        <v>0</v>
      </c>
      <c r="BW115" s="29">
        <f ca="1">SUMIF(OFFSET($E$4:$BM$9,ROWS($1:112)*6-6,),BW$2,OFFSET($F$4:$BN$9,ROWS($1:112)*6-6,))</f>
        <v>0</v>
      </c>
      <c r="BX115" s="29">
        <f ca="1">SUMIF(OFFSET($E$4:$BM$9,ROWS($1:112)*6-6,),BX$2,OFFSET($F$4:$BN$9,ROWS($1:112)*6-6,))</f>
        <v>0</v>
      </c>
      <c r="BY115" s="29">
        <f ca="1">SUMIF(OFFSET($E$4:$BM$9,ROWS($1:112)*6-6,),BY$2,OFFSET($F$4:$BN$9,ROWS($1:112)*6-6,))</f>
        <v>0</v>
      </c>
      <c r="BZ115" s="29">
        <f ca="1">SUMIF(OFFSET($E$4:$BM$9,ROWS($1:112)*6-6,),BZ$2,OFFSET($F$4:$BN$9,ROWS($1:112)*6-6,))</f>
        <v>0</v>
      </c>
      <c r="CA115" s="29">
        <f ca="1">SUMIF(OFFSET($E$4:$BM$9,ROWS($1:112)*6-6,),CA$2,OFFSET($F$4:$BN$9,ROWS($1:112)*6-6,))</f>
        <v>0</v>
      </c>
      <c r="CB115" s="29">
        <f ca="1">SUMIF(OFFSET($E$4:$BM$9,ROWS($1:112)*6-6,),CB$2,OFFSET($F$4:$BN$9,ROWS($1:112)*6-6,))</f>
        <v>0</v>
      </c>
      <c r="CC115" s="43">
        <f ca="1">SUMIF(OFFSET($E$4:$BM$9,ROWS($1:112)*6-6,),CC$2,OFFSET($F$4:$BN$9,ROWS($1:112)*6-6,))</f>
        <v>0</v>
      </c>
      <c r="CD115" s="44">
        <f t="shared" si="5"/>
        <v>0</v>
      </c>
      <c r="CE115" s="44" t="e">
        <f ca="1">INDEX(FREQUENCY(MMULT({1,1},SUBTOTAL(9,OFFSET($E$1,MATCH($CD115,$C:$C,)+{3;4},INT(COLUMN($A:$AE)*2)-1))),{3.9,7.9,11.9}),COLUMN(B112))</f>
        <v>#N/A</v>
      </c>
      <c r="CF115" s="44" t="e">
        <f ca="1">INDEX(FREQUENCY(MMULT({1,1},SUBTOTAL(9,OFFSET($E$1,MATCH($CD115,$C:$C,)+{3;4},INT(COLUMN($A:$AE)*2)-1))),{3.9,7.9,11.9}),COLUMN(C112))</f>
        <v>#N/A</v>
      </c>
      <c r="CG115" s="44" t="e">
        <f ca="1">INDEX(FREQUENCY(MMULT({1,1},SUBTOTAL(9,OFFSET($E$1,MATCH($CD115,$C:$C,)+{3;4},INT(COLUMN($A:$AE)*2)-1))),{3.9,7.9,11.9}),COLUMN(D112))</f>
        <v>#N/A</v>
      </c>
    </row>
    <row r="116" spans="1:85" ht="17.25" customHeight="1" x14ac:dyDescent="0.15">
      <c r="A116" s="85"/>
      <c r="B116" s="49"/>
      <c r="C116" s="49"/>
      <c r="D116" s="58" t="s">
        <v>49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 t="s">
        <v>15</v>
      </c>
      <c r="V116" s="14"/>
      <c r="W116" s="14" t="s">
        <v>15</v>
      </c>
      <c r="X116" s="14">
        <v>3</v>
      </c>
      <c r="Y116" s="14" t="s">
        <v>15</v>
      </c>
      <c r="Z116" s="14">
        <v>3</v>
      </c>
      <c r="AA116" s="14" t="s">
        <v>15</v>
      </c>
      <c r="AB116" s="14"/>
      <c r="AC116" s="14" t="s">
        <v>15</v>
      </c>
      <c r="AD116" s="14"/>
      <c r="AE116" s="14" t="s">
        <v>15</v>
      </c>
      <c r="AF116" s="14"/>
      <c r="AG116" s="14"/>
      <c r="AH116" s="14"/>
      <c r="AI116" s="14" t="s">
        <v>15</v>
      </c>
      <c r="AJ116" s="14">
        <v>2</v>
      </c>
      <c r="AK116" s="14" t="s">
        <v>15</v>
      </c>
      <c r="AL116" s="14">
        <v>3</v>
      </c>
      <c r="AM116" s="14" t="s">
        <v>15</v>
      </c>
      <c r="AN116" s="14">
        <v>3</v>
      </c>
      <c r="AO116" s="14" t="s">
        <v>15</v>
      </c>
      <c r="AP116" s="14">
        <v>3</v>
      </c>
      <c r="AQ116" s="14" t="s">
        <v>15</v>
      </c>
      <c r="AR116" s="14">
        <v>3</v>
      </c>
      <c r="AS116" s="14" t="s">
        <v>15</v>
      </c>
      <c r="AT116" s="14"/>
      <c r="AU116" s="14"/>
      <c r="AV116" s="14"/>
      <c r="AW116" s="14" t="s">
        <v>15</v>
      </c>
      <c r="AX116" s="14"/>
      <c r="AY116" s="14" t="s">
        <v>15</v>
      </c>
      <c r="AZ116" s="14">
        <v>3</v>
      </c>
      <c r="BA116" s="14" t="s">
        <v>15</v>
      </c>
      <c r="BB116" s="14">
        <v>3</v>
      </c>
      <c r="BC116" s="14" t="s">
        <v>15</v>
      </c>
      <c r="BD116" s="14"/>
      <c r="BE116" s="14" t="s">
        <v>15</v>
      </c>
      <c r="BF116" s="14"/>
      <c r="BG116" s="14" t="s">
        <v>15</v>
      </c>
      <c r="BH116" s="14">
        <v>4</v>
      </c>
      <c r="BI116" s="14"/>
      <c r="BJ116" s="14"/>
      <c r="BK116" s="14" t="s">
        <v>15</v>
      </c>
      <c r="BL116" s="14"/>
      <c r="BM116" s="14" t="s">
        <v>15</v>
      </c>
      <c r="BN116" s="37"/>
      <c r="BP116" s="27">
        <v>113</v>
      </c>
      <c r="BQ116" s="27"/>
      <c r="BR116" s="29">
        <f ca="1">SUMIF(OFFSET($E$4:$BM$9,ROWS($1:113)*6-6,),BR$2,OFFSET($F$4:$BN$9,ROWS($1:113)*6-6,))</f>
        <v>0</v>
      </c>
      <c r="BS116" s="29">
        <f ca="1">SUMIF(OFFSET($E$4:$BM$9,ROWS($1:113)*6-6,),BS$2,OFFSET($F$4:$BN$9,ROWS($1:113)*6-6,))</f>
        <v>0</v>
      </c>
      <c r="BT116" s="29">
        <f ca="1">SUMIF(OFFSET($E$4:$BM$9,ROWS($1:113)*6-6,),BT$2,OFFSET($F$4:$BN$9,ROWS($1:113)*6-6,))</f>
        <v>0</v>
      </c>
      <c r="BU116" s="29">
        <f ca="1">SUMIF(OFFSET($E$4:$BM$9,ROWS($1:113)*6-6,),BU$2,OFFSET($F$4:$BN$9,ROWS($1:113)*6-6,))</f>
        <v>0</v>
      </c>
      <c r="BV116" s="29">
        <f ca="1">SUMIF(OFFSET($E$4:$BM$9,ROWS($1:113)*6-6,),BV$2,OFFSET($F$4:$BN$9,ROWS($1:113)*6-6,))</f>
        <v>0</v>
      </c>
      <c r="BW116" s="29">
        <f ca="1">SUMIF(OFFSET($E$4:$BM$9,ROWS($1:113)*6-6,),BW$2,OFFSET($F$4:$BN$9,ROWS($1:113)*6-6,))</f>
        <v>0</v>
      </c>
      <c r="BX116" s="29">
        <f ca="1">SUMIF(OFFSET($E$4:$BM$9,ROWS($1:113)*6-6,),BX$2,OFFSET($F$4:$BN$9,ROWS($1:113)*6-6,))</f>
        <v>0</v>
      </c>
      <c r="BY116" s="29">
        <f ca="1">SUMIF(OFFSET($E$4:$BM$9,ROWS($1:113)*6-6,),BY$2,OFFSET($F$4:$BN$9,ROWS($1:113)*6-6,))</f>
        <v>0</v>
      </c>
      <c r="BZ116" s="29">
        <f ca="1">SUMIF(OFFSET($E$4:$BM$9,ROWS($1:113)*6-6,),BZ$2,OFFSET($F$4:$BN$9,ROWS($1:113)*6-6,))</f>
        <v>0</v>
      </c>
      <c r="CA116" s="29">
        <f ca="1">SUMIF(OFFSET($E$4:$BM$9,ROWS($1:113)*6-6,),CA$2,OFFSET($F$4:$BN$9,ROWS($1:113)*6-6,))</f>
        <v>0</v>
      </c>
      <c r="CB116" s="29">
        <f ca="1">SUMIF(OFFSET($E$4:$BM$9,ROWS($1:113)*6-6,),CB$2,OFFSET($F$4:$BN$9,ROWS($1:113)*6-6,))</f>
        <v>0</v>
      </c>
      <c r="CC116" s="43">
        <f ca="1">SUMIF(OFFSET($E$4:$BM$9,ROWS($1:113)*6-6,),CC$2,OFFSET($F$4:$BN$9,ROWS($1:113)*6-6,))</f>
        <v>0</v>
      </c>
      <c r="CD116" s="44">
        <f t="shared" si="5"/>
        <v>0</v>
      </c>
      <c r="CE116" s="44" t="e">
        <f ca="1">INDEX(FREQUENCY(MMULT({1,1},SUBTOTAL(9,OFFSET($E$1,MATCH($CD116,$C:$C,)+{3;4},INT(COLUMN($A:$AE)*2)-1))),{3.9,7.9,11.9}),COLUMN(B113))</f>
        <v>#N/A</v>
      </c>
      <c r="CF116" s="44" t="e">
        <f ca="1">INDEX(FREQUENCY(MMULT({1,1},SUBTOTAL(9,OFFSET($E$1,MATCH($CD116,$C:$C,)+{3;4},INT(COLUMN($A:$AE)*2)-1))),{3.9,7.9,11.9}),COLUMN(C113))</f>
        <v>#N/A</v>
      </c>
      <c r="CG116" s="44" t="e">
        <f ca="1">INDEX(FREQUENCY(MMULT({1,1},SUBTOTAL(9,OFFSET($E$1,MATCH($CD116,$C:$C,)+{3;4},INT(COLUMN($A:$AE)*2)-1))),{3.9,7.9,11.9}),COLUMN(D113))</f>
        <v>#N/A</v>
      </c>
    </row>
    <row r="117" spans="1:85" ht="17.25" customHeight="1" thickBot="1" x14ac:dyDescent="0.2">
      <c r="A117" s="86"/>
      <c r="B117" s="50"/>
      <c r="C117" s="50"/>
      <c r="D117" s="59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38"/>
      <c r="BP117" s="27">
        <v>114</v>
      </c>
      <c r="BQ117" s="27"/>
      <c r="BR117" s="29">
        <f ca="1">SUMIF(OFFSET($E$4:$BM$9,ROWS($1:114)*6-6,),BR$2,OFFSET($F$4:$BN$9,ROWS($1:114)*6-6,))</f>
        <v>0</v>
      </c>
      <c r="BS117" s="29">
        <f ca="1">SUMIF(OFFSET($E$4:$BM$9,ROWS($1:114)*6-6,),BS$2,OFFSET($F$4:$BN$9,ROWS($1:114)*6-6,))</f>
        <v>0</v>
      </c>
      <c r="BT117" s="29">
        <f ca="1">SUMIF(OFFSET($E$4:$BM$9,ROWS($1:114)*6-6,),BT$2,OFFSET($F$4:$BN$9,ROWS($1:114)*6-6,))</f>
        <v>0</v>
      </c>
      <c r="BU117" s="29">
        <f ca="1">SUMIF(OFFSET($E$4:$BM$9,ROWS($1:114)*6-6,),BU$2,OFFSET($F$4:$BN$9,ROWS($1:114)*6-6,))</f>
        <v>0</v>
      </c>
      <c r="BV117" s="29">
        <f ca="1">SUMIF(OFFSET($E$4:$BM$9,ROWS($1:114)*6-6,),BV$2,OFFSET($F$4:$BN$9,ROWS($1:114)*6-6,))</f>
        <v>0</v>
      </c>
      <c r="BW117" s="29">
        <f ca="1">SUMIF(OFFSET($E$4:$BM$9,ROWS($1:114)*6-6,),BW$2,OFFSET($F$4:$BN$9,ROWS($1:114)*6-6,))</f>
        <v>0</v>
      </c>
      <c r="BX117" s="29">
        <f ca="1">SUMIF(OFFSET($E$4:$BM$9,ROWS($1:114)*6-6,),BX$2,OFFSET($F$4:$BN$9,ROWS($1:114)*6-6,))</f>
        <v>0</v>
      </c>
      <c r="BY117" s="29">
        <f ca="1">SUMIF(OFFSET($E$4:$BM$9,ROWS($1:114)*6-6,),BY$2,OFFSET($F$4:$BN$9,ROWS($1:114)*6-6,))</f>
        <v>0</v>
      </c>
      <c r="BZ117" s="29">
        <f ca="1">SUMIF(OFFSET($E$4:$BM$9,ROWS($1:114)*6-6,),BZ$2,OFFSET($F$4:$BN$9,ROWS($1:114)*6-6,))</f>
        <v>0</v>
      </c>
      <c r="CA117" s="29">
        <f ca="1">SUMIF(OFFSET($E$4:$BM$9,ROWS($1:114)*6-6,),CA$2,OFFSET($F$4:$BN$9,ROWS($1:114)*6-6,))</f>
        <v>0</v>
      </c>
      <c r="CB117" s="29">
        <f ca="1">SUMIF(OFFSET($E$4:$BM$9,ROWS($1:114)*6-6,),CB$2,OFFSET($F$4:$BN$9,ROWS($1:114)*6-6,))</f>
        <v>0</v>
      </c>
      <c r="CC117" s="43">
        <f ca="1">SUMIF(OFFSET($E$4:$BM$9,ROWS($1:114)*6-6,),CC$2,OFFSET($F$4:$BN$9,ROWS($1:114)*6-6,))</f>
        <v>0</v>
      </c>
      <c r="CD117" s="44">
        <f t="shared" si="5"/>
        <v>0</v>
      </c>
      <c r="CE117" s="44" t="e">
        <f ca="1">INDEX(FREQUENCY(MMULT({1,1},SUBTOTAL(9,OFFSET($E$1,MATCH($CD117,$C:$C,)+{3;4},INT(COLUMN($A:$AE)*2)-1))),{3.9,7.9,11.9}),COLUMN(B114))</f>
        <v>#N/A</v>
      </c>
      <c r="CF117" s="44" t="e">
        <f ca="1">INDEX(FREQUENCY(MMULT({1,1},SUBTOTAL(9,OFFSET($E$1,MATCH($CD117,$C:$C,)+{3;4},INT(COLUMN($A:$AE)*2)-1))),{3.9,7.9,11.9}),COLUMN(C114))</f>
        <v>#N/A</v>
      </c>
      <c r="CG117" s="44" t="e">
        <f ca="1">INDEX(FREQUENCY(MMULT({1,1},SUBTOTAL(9,OFFSET($E$1,MATCH($CD117,$C:$C,)+{3;4},INT(COLUMN($A:$AE)*2)-1))),{3.9,7.9,11.9}),COLUMN(D114))</f>
        <v>#N/A</v>
      </c>
    </row>
    <row r="118" spans="1:85" ht="17.25" customHeight="1" x14ac:dyDescent="0.15">
      <c r="A118" s="84" t="s">
        <v>89</v>
      </c>
      <c r="B118" s="48" t="s">
        <v>107</v>
      </c>
      <c r="C118" s="48" t="s">
        <v>137</v>
      </c>
      <c r="D118" s="55" t="s">
        <v>45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14</v>
      </c>
      <c r="V118" s="11">
        <v>2</v>
      </c>
      <c r="W118" s="11" t="s">
        <v>14</v>
      </c>
      <c r="X118" s="11">
        <v>2</v>
      </c>
      <c r="Y118" s="11" t="s">
        <v>14</v>
      </c>
      <c r="Z118" s="11">
        <v>2</v>
      </c>
      <c r="AA118" s="11" t="s">
        <v>14</v>
      </c>
      <c r="AB118" s="11">
        <v>2</v>
      </c>
      <c r="AC118" s="11" t="s">
        <v>14</v>
      </c>
      <c r="AD118" s="11">
        <v>2</v>
      </c>
      <c r="AE118" s="11" t="s">
        <v>14</v>
      </c>
      <c r="AF118" s="11">
        <v>2</v>
      </c>
      <c r="AG118" s="11"/>
      <c r="AH118" s="11"/>
      <c r="AI118" s="11" t="s">
        <v>14</v>
      </c>
      <c r="AJ118" s="11">
        <v>2</v>
      </c>
      <c r="AK118" s="11" t="s">
        <v>14</v>
      </c>
      <c r="AL118" s="11">
        <v>2</v>
      </c>
      <c r="AM118" s="11" t="s">
        <v>14</v>
      </c>
      <c r="AN118" s="11">
        <v>2</v>
      </c>
      <c r="AO118" s="11" t="s">
        <v>14</v>
      </c>
      <c r="AP118" s="11">
        <v>2</v>
      </c>
      <c r="AQ118" s="11" t="s">
        <v>14</v>
      </c>
      <c r="AR118" s="11">
        <v>2</v>
      </c>
      <c r="AS118" s="11" t="s">
        <v>14</v>
      </c>
      <c r="AT118" s="11">
        <v>2</v>
      </c>
      <c r="AU118" s="11"/>
      <c r="AV118" s="11"/>
      <c r="AW118" s="11" t="s">
        <v>14</v>
      </c>
      <c r="AX118" s="11">
        <v>2</v>
      </c>
      <c r="AY118" s="11" t="s">
        <v>14</v>
      </c>
      <c r="AZ118" s="11">
        <v>2</v>
      </c>
      <c r="BA118" s="11" t="s">
        <v>14</v>
      </c>
      <c r="BB118" s="11">
        <v>2</v>
      </c>
      <c r="BC118" s="11" t="s">
        <v>14</v>
      </c>
      <c r="BD118" s="11">
        <v>2</v>
      </c>
      <c r="BE118" s="11" t="s">
        <v>14</v>
      </c>
      <c r="BF118" s="11">
        <v>2</v>
      </c>
      <c r="BG118" s="11" t="s">
        <v>14</v>
      </c>
      <c r="BH118" s="11">
        <v>2</v>
      </c>
      <c r="BI118" s="11"/>
      <c r="BJ118" s="11"/>
      <c r="BK118" s="11" t="s">
        <v>14</v>
      </c>
      <c r="BL118" s="11">
        <v>2</v>
      </c>
      <c r="BM118" s="11" t="s">
        <v>14</v>
      </c>
      <c r="BN118" s="34">
        <v>2</v>
      </c>
      <c r="BP118" s="27">
        <v>115</v>
      </c>
      <c r="BQ118" s="27"/>
      <c r="BR118" s="29">
        <f ca="1">SUMIF(OFFSET($E$4:$BM$9,ROWS($1:115)*6-6,),BR$2,OFFSET($F$4:$BN$9,ROWS($1:115)*6-6,))</f>
        <v>0</v>
      </c>
      <c r="BS118" s="29">
        <f ca="1">SUMIF(OFFSET($E$4:$BM$9,ROWS($1:115)*6-6,),BS$2,OFFSET($F$4:$BN$9,ROWS($1:115)*6-6,))</f>
        <v>0</v>
      </c>
      <c r="BT118" s="29">
        <f ca="1">SUMIF(OFFSET($E$4:$BM$9,ROWS($1:115)*6-6,),BT$2,OFFSET($F$4:$BN$9,ROWS($1:115)*6-6,))</f>
        <v>0</v>
      </c>
      <c r="BU118" s="29">
        <f ca="1">SUMIF(OFFSET($E$4:$BM$9,ROWS($1:115)*6-6,),BU$2,OFFSET($F$4:$BN$9,ROWS($1:115)*6-6,))</f>
        <v>0</v>
      </c>
      <c r="BV118" s="29">
        <f ca="1">SUMIF(OFFSET($E$4:$BM$9,ROWS($1:115)*6-6,),BV$2,OFFSET($F$4:$BN$9,ROWS($1:115)*6-6,))</f>
        <v>0</v>
      </c>
      <c r="BW118" s="29">
        <f ca="1">SUMIF(OFFSET($E$4:$BM$9,ROWS($1:115)*6-6,),BW$2,OFFSET($F$4:$BN$9,ROWS($1:115)*6-6,))</f>
        <v>0</v>
      </c>
      <c r="BX118" s="29">
        <f ca="1">SUMIF(OFFSET($E$4:$BM$9,ROWS($1:115)*6-6,),BX$2,OFFSET($F$4:$BN$9,ROWS($1:115)*6-6,))</f>
        <v>0</v>
      </c>
      <c r="BY118" s="29">
        <f ca="1">SUMIF(OFFSET($E$4:$BM$9,ROWS($1:115)*6-6,),BY$2,OFFSET($F$4:$BN$9,ROWS($1:115)*6-6,))</f>
        <v>0</v>
      </c>
      <c r="BZ118" s="29">
        <f ca="1">SUMIF(OFFSET($E$4:$BM$9,ROWS($1:115)*6-6,),BZ$2,OFFSET($F$4:$BN$9,ROWS($1:115)*6-6,))</f>
        <v>0</v>
      </c>
      <c r="CA118" s="29">
        <f ca="1">SUMIF(OFFSET($E$4:$BM$9,ROWS($1:115)*6-6,),CA$2,OFFSET($F$4:$BN$9,ROWS($1:115)*6-6,))</f>
        <v>0</v>
      </c>
      <c r="CB118" s="29">
        <f ca="1">SUMIF(OFFSET($E$4:$BM$9,ROWS($1:115)*6-6,),CB$2,OFFSET($F$4:$BN$9,ROWS($1:115)*6-6,))</f>
        <v>0</v>
      </c>
      <c r="CC118" s="43">
        <f ca="1">SUMIF(OFFSET($E$4:$BM$9,ROWS($1:115)*6-6,),CC$2,OFFSET($F$4:$BN$9,ROWS($1:115)*6-6,))</f>
        <v>0</v>
      </c>
      <c r="CD118" s="44">
        <f t="shared" si="5"/>
        <v>0</v>
      </c>
      <c r="CE118" s="44" t="e">
        <f ca="1">INDEX(FREQUENCY(MMULT({1,1},SUBTOTAL(9,OFFSET($E$1,MATCH($CD118,$C:$C,)+{3;4},INT(COLUMN($A:$AE)*2)-1))),{3.9,7.9,11.9}),COLUMN(B115))</f>
        <v>#N/A</v>
      </c>
      <c r="CF118" s="44" t="e">
        <f ca="1">INDEX(FREQUENCY(MMULT({1,1},SUBTOTAL(9,OFFSET($E$1,MATCH($CD118,$C:$C,)+{3;4},INT(COLUMN($A:$AE)*2)-1))),{3.9,7.9,11.9}),COLUMN(C115))</f>
        <v>#N/A</v>
      </c>
      <c r="CG118" s="44" t="e">
        <f ca="1">INDEX(FREQUENCY(MMULT({1,1},SUBTOTAL(9,OFFSET($E$1,MATCH($CD118,$C:$C,)+{3;4},INT(COLUMN($A:$AE)*2)-1))),{3.9,7.9,11.9}),COLUMN(D115))</f>
        <v>#N/A</v>
      </c>
    </row>
    <row r="119" spans="1:85" ht="17.25" customHeight="1" x14ac:dyDescent="0.15">
      <c r="A119" s="85"/>
      <c r="B119" s="49"/>
      <c r="C119" s="49"/>
      <c r="D119" s="56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 t="s">
        <v>14</v>
      </c>
      <c r="V119" s="12">
        <v>2</v>
      </c>
      <c r="W119" s="12" t="s">
        <v>14</v>
      </c>
      <c r="X119" s="12">
        <v>2</v>
      </c>
      <c r="Y119" s="12" t="s">
        <v>14</v>
      </c>
      <c r="Z119" s="12">
        <v>2</v>
      </c>
      <c r="AA119" s="12" t="s">
        <v>14</v>
      </c>
      <c r="AB119" s="12">
        <v>2</v>
      </c>
      <c r="AC119" s="12" t="s">
        <v>14</v>
      </c>
      <c r="AD119" s="12">
        <v>2</v>
      </c>
      <c r="AE119" s="12" t="s">
        <v>14</v>
      </c>
      <c r="AF119" s="12">
        <v>2</v>
      </c>
      <c r="AG119" s="12"/>
      <c r="AH119" s="12"/>
      <c r="AI119" s="12" t="s">
        <v>14</v>
      </c>
      <c r="AJ119" s="12">
        <v>2</v>
      </c>
      <c r="AK119" s="12" t="s">
        <v>14</v>
      </c>
      <c r="AL119" s="12">
        <v>2</v>
      </c>
      <c r="AM119" s="12" t="s">
        <v>14</v>
      </c>
      <c r="AN119" s="12">
        <v>2</v>
      </c>
      <c r="AO119" s="12" t="s">
        <v>14</v>
      </c>
      <c r="AP119" s="12">
        <v>2</v>
      </c>
      <c r="AQ119" s="12" t="s">
        <v>14</v>
      </c>
      <c r="AR119" s="12">
        <v>2</v>
      </c>
      <c r="AS119" s="12" t="s">
        <v>14</v>
      </c>
      <c r="AT119" s="12">
        <v>2</v>
      </c>
      <c r="AU119" s="12"/>
      <c r="AV119" s="12"/>
      <c r="AW119" s="12" t="s">
        <v>14</v>
      </c>
      <c r="AX119" s="12">
        <v>2</v>
      </c>
      <c r="AY119" s="12" t="s">
        <v>14</v>
      </c>
      <c r="AZ119" s="12">
        <v>2</v>
      </c>
      <c r="BA119" s="12" t="s">
        <v>14</v>
      </c>
      <c r="BB119" s="12">
        <v>2</v>
      </c>
      <c r="BC119" s="12" t="s">
        <v>14</v>
      </c>
      <c r="BD119" s="12">
        <v>2</v>
      </c>
      <c r="BE119" s="12" t="s">
        <v>14</v>
      </c>
      <c r="BF119" s="12">
        <v>2</v>
      </c>
      <c r="BG119" s="12" t="s">
        <v>14</v>
      </c>
      <c r="BH119" s="12">
        <v>2</v>
      </c>
      <c r="BI119" s="12"/>
      <c r="BJ119" s="12"/>
      <c r="BK119" s="12" t="s">
        <v>14</v>
      </c>
      <c r="BL119" s="12">
        <v>2</v>
      </c>
      <c r="BM119" s="12" t="s">
        <v>14</v>
      </c>
      <c r="BN119" s="35">
        <v>2</v>
      </c>
      <c r="BP119" s="27">
        <v>116</v>
      </c>
      <c r="BQ119" s="27"/>
      <c r="BR119" s="29">
        <f ca="1">SUMIF(OFFSET($E$4:$BM$9,ROWS($1:116)*6-6,),BR$2,OFFSET($F$4:$BN$9,ROWS($1:116)*6-6,))</f>
        <v>0</v>
      </c>
      <c r="BS119" s="29">
        <f ca="1">SUMIF(OFFSET($E$4:$BM$9,ROWS($1:116)*6-6,),BS$2,OFFSET($F$4:$BN$9,ROWS($1:116)*6-6,))</f>
        <v>0</v>
      </c>
      <c r="BT119" s="29">
        <f ca="1">SUMIF(OFFSET($E$4:$BM$9,ROWS($1:116)*6-6,),BT$2,OFFSET($F$4:$BN$9,ROWS($1:116)*6-6,))</f>
        <v>0</v>
      </c>
      <c r="BU119" s="29">
        <f ca="1">SUMIF(OFFSET($E$4:$BM$9,ROWS($1:116)*6-6,),BU$2,OFFSET($F$4:$BN$9,ROWS($1:116)*6-6,))</f>
        <v>0</v>
      </c>
      <c r="BV119" s="29">
        <f ca="1">SUMIF(OFFSET($E$4:$BM$9,ROWS($1:116)*6-6,),BV$2,OFFSET($F$4:$BN$9,ROWS($1:116)*6-6,))</f>
        <v>0</v>
      </c>
      <c r="BW119" s="29">
        <f ca="1">SUMIF(OFFSET($E$4:$BM$9,ROWS($1:116)*6-6,),BW$2,OFFSET($F$4:$BN$9,ROWS($1:116)*6-6,))</f>
        <v>0</v>
      </c>
      <c r="BX119" s="29">
        <f ca="1">SUMIF(OFFSET($E$4:$BM$9,ROWS($1:116)*6-6,),BX$2,OFFSET($F$4:$BN$9,ROWS($1:116)*6-6,))</f>
        <v>0</v>
      </c>
      <c r="BY119" s="29">
        <f ca="1">SUMIF(OFFSET($E$4:$BM$9,ROWS($1:116)*6-6,),BY$2,OFFSET($F$4:$BN$9,ROWS($1:116)*6-6,))</f>
        <v>0</v>
      </c>
      <c r="BZ119" s="29">
        <f ca="1">SUMIF(OFFSET($E$4:$BM$9,ROWS($1:116)*6-6,),BZ$2,OFFSET($F$4:$BN$9,ROWS($1:116)*6-6,))</f>
        <v>0</v>
      </c>
      <c r="CA119" s="29">
        <f ca="1">SUMIF(OFFSET($E$4:$BM$9,ROWS($1:116)*6-6,),CA$2,OFFSET($F$4:$BN$9,ROWS($1:116)*6-6,))</f>
        <v>0</v>
      </c>
      <c r="CB119" s="29">
        <f ca="1">SUMIF(OFFSET($E$4:$BM$9,ROWS($1:116)*6-6,),CB$2,OFFSET($F$4:$BN$9,ROWS($1:116)*6-6,))</f>
        <v>0</v>
      </c>
      <c r="CC119" s="43">
        <f ca="1">SUMIF(OFFSET($E$4:$BM$9,ROWS($1:116)*6-6,),CC$2,OFFSET($F$4:$BN$9,ROWS($1:116)*6-6,))</f>
        <v>0</v>
      </c>
      <c r="CD119" s="44">
        <f t="shared" si="5"/>
        <v>0</v>
      </c>
      <c r="CE119" s="44" t="e">
        <f ca="1">INDEX(FREQUENCY(MMULT({1,1},SUBTOTAL(9,OFFSET($E$1,MATCH($CD119,$C:$C,)+{3;4},INT(COLUMN($A:$AE)*2)-1))),{3.9,7.9,11.9}),COLUMN(B116))</f>
        <v>#N/A</v>
      </c>
      <c r="CF119" s="44" t="e">
        <f ca="1">INDEX(FREQUENCY(MMULT({1,1},SUBTOTAL(9,OFFSET($E$1,MATCH($CD119,$C:$C,)+{3;4},INT(COLUMN($A:$AE)*2)-1))),{3.9,7.9,11.9}),COLUMN(C116))</f>
        <v>#N/A</v>
      </c>
      <c r="CG119" s="44" t="e">
        <f ca="1">INDEX(FREQUENCY(MMULT({1,1},SUBTOTAL(9,OFFSET($E$1,MATCH($CD119,$C:$C,)+{3;4},INT(COLUMN($A:$AE)*2)-1))),{3.9,7.9,11.9}),COLUMN(D116))</f>
        <v>#N/A</v>
      </c>
    </row>
    <row r="120" spans="1:85" ht="17.25" customHeight="1" x14ac:dyDescent="0.15">
      <c r="A120" s="85"/>
      <c r="B120" s="49"/>
      <c r="C120" s="49"/>
      <c r="D120" s="57" t="s">
        <v>47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 t="s">
        <v>14</v>
      </c>
      <c r="V120" s="13">
        <v>2</v>
      </c>
      <c r="W120" s="13" t="s">
        <v>14</v>
      </c>
      <c r="X120" s="13">
        <v>2</v>
      </c>
      <c r="Y120" s="13" t="s">
        <v>14</v>
      </c>
      <c r="Z120" s="13">
        <v>2</v>
      </c>
      <c r="AA120" s="13" t="s">
        <v>14</v>
      </c>
      <c r="AB120" s="13">
        <v>2</v>
      </c>
      <c r="AC120" s="13" t="s">
        <v>14</v>
      </c>
      <c r="AD120" s="13">
        <v>2</v>
      </c>
      <c r="AE120" s="13" t="s">
        <v>14</v>
      </c>
      <c r="AF120" s="13">
        <v>2</v>
      </c>
      <c r="AG120" s="13"/>
      <c r="AH120" s="13"/>
      <c r="AI120" s="13" t="s">
        <v>14</v>
      </c>
      <c r="AJ120" s="13">
        <v>2</v>
      </c>
      <c r="AK120" s="13" t="s">
        <v>14</v>
      </c>
      <c r="AL120" s="13">
        <v>2</v>
      </c>
      <c r="AM120" s="13" t="s">
        <v>14</v>
      </c>
      <c r="AN120" s="13">
        <v>2</v>
      </c>
      <c r="AO120" s="13" t="s">
        <v>14</v>
      </c>
      <c r="AP120" s="13">
        <v>2</v>
      </c>
      <c r="AQ120" s="13" t="s">
        <v>14</v>
      </c>
      <c r="AR120" s="13">
        <v>2</v>
      </c>
      <c r="AS120" s="13" t="s">
        <v>14</v>
      </c>
      <c r="AT120" s="13">
        <v>2</v>
      </c>
      <c r="AU120" s="13"/>
      <c r="AV120" s="13"/>
      <c r="AW120" s="13" t="s">
        <v>14</v>
      </c>
      <c r="AX120" s="13">
        <v>2</v>
      </c>
      <c r="AY120" s="13" t="s">
        <v>14</v>
      </c>
      <c r="AZ120" s="13">
        <v>2</v>
      </c>
      <c r="BA120" s="13" t="s">
        <v>14</v>
      </c>
      <c r="BB120" s="13">
        <v>2</v>
      </c>
      <c r="BC120" s="13" t="s">
        <v>14</v>
      </c>
      <c r="BD120" s="13">
        <v>2</v>
      </c>
      <c r="BE120" s="13" t="s">
        <v>14</v>
      </c>
      <c r="BF120" s="13">
        <v>2</v>
      </c>
      <c r="BG120" s="13" t="s">
        <v>14</v>
      </c>
      <c r="BH120" s="13">
        <v>2</v>
      </c>
      <c r="BI120" s="13"/>
      <c r="BJ120" s="13"/>
      <c r="BK120" s="13" t="s">
        <v>14</v>
      </c>
      <c r="BL120" s="13">
        <v>2</v>
      </c>
      <c r="BM120" s="13" t="s">
        <v>14</v>
      </c>
      <c r="BN120" s="36">
        <v>2</v>
      </c>
      <c r="BP120" s="27">
        <v>117</v>
      </c>
      <c r="BQ120" s="27"/>
      <c r="BR120" s="29">
        <f ca="1">SUMIF(OFFSET($E$4:$BM$9,ROWS($1:117)*6-6,),BR$2,OFFSET($F$4:$BN$9,ROWS($1:117)*6-6,))</f>
        <v>0</v>
      </c>
      <c r="BS120" s="29">
        <f ca="1">SUMIF(OFFSET($E$4:$BM$9,ROWS($1:117)*6-6,),BS$2,OFFSET($F$4:$BN$9,ROWS($1:117)*6-6,))</f>
        <v>0</v>
      </c>
      <c r="BT120" s="29">
        <f ca="1">SUMIF(OFFSET($E$4:$BM$9,ROWS($1:117)*6-6,),BT$2,OFFSET($F$4:$BN$9,ROWS($1:117)*6-6,))</f>
        <v>0</v>
      </c>
      <c r="BU120" s="29">
        <f ca="1">SUMIF(OFFSET($E$4:$BM$9,ROWS($1:117)*6-6,),BU$2,OFFSET($F$4:$BN$9,ROWS($1:117)*6-6,))</f>
        <v>0</v>
      </c>
      <c r="BV120" s="29">
        <f ca="1">SUMIF(OFFSET($E$4:$BM$9,ROWS($1:117)*6-6,),BV$2,OFFSET($F$4:$BN$9,ROWS($1:117)*6-6,))</f>
        <v>0</v>
      </c>
      <c r="BW120" s="29">
        <f ca="1">SUMIF(OFFSET($E$4:$BM$9,ROWS($1:117)*6-6,),BW$2,OFFSET($F$4:$BN$9,ROWS($1:117)*6-6,))</f>
        <v>0</v>
      </c>
      <c r="BX120" s="29">
        <f ca="1">SUMIF(OFFSET($E$4:$BM$9,ROWS($1:117)*6-6,),BX$2,OFFSET($F$4:$BN$9,ROWS($1:117)*6-6,))</f>
        <v>0</v>
      </c>
      <c r="BY120" s="29">
        <f ca="1">SUMIF(OFFSET($E$4:$BM$9,ROWS($1:117)*6-6,),BY$2,OFFSET($F$4:$BN$9,ROWS($1:117)*6-6,))</f>
        <v>0</v>
      </c>
      <c r="BZ120" s="29">
        <f ca="1">SUMIF(OFFSET($E$4:$BM$9,ROWS($1:117)*6-6,),BZ$2,OFFSET($F$4:$BN$9,ROWS($1:117)*6-6,))</f>
        <v>0</v>
      </c>
      <c r="CA120" s="29">
        <f ca="1">SUMIF(OFFSET($E$4:$BM$9,ROWS($1:117)*6-6,),CA$2,OFFSET($F$4:$BN$9,ROWS($1:117)*6-6,))</f>
        <v>0</v>
      </c>
      <c r="CB120" s="29">
        <f ca="1">SUMIF(OFFSET($E$4:$BM$9,ROWS($1:117)*6-6,),CB$2,OFFSET($F$4:$BN$9,ROWS($1:117)*6-6,))</f>
        <v>0</v>
      </c>
      <c r="CC120" s="43">
        <f ca="1">SUMIF(OFFSET($E$4:$BM$9,ROWS($1:117)*6-6,),CC$2,OFFSET($F$4:$BN$9,ROWS($1:117)*6-6,))</f>
        <v>0</v>
      </c>
      <c r="CD120" s="44">
        <f t="shared" si="5"/>
        <v>0</v>
      </c>
      <c r="CE120" s="44" t="e">
        <f ca="1">INDEX(FREQUENCY(MMULT({1,1},SUBTOTAL(9,OFFSET($E$1,MATCH($CD120,$C:$C,)+{3;4},INT(COLUMN($A:$AE)*2)-1))),{3.9,7.9,11.9}),COLUMN(B117))</f>
        <v>#N/A</v>
      </c>
      <c r="CF120" s="44" t="e">
        <f ca="1">INDEX(FREQUENCY(MMULT({1,1},SUBTOTAL(9,OFFSET($E$1,MATCH($CD120,$C:$C,)+{3;4},INT(COLUMN($A:$AE)*2)-1))),{3.9,7.9,11.9}),COLUMN(C117))</f>
        <v>#N/A</v>
      </c>
      <c r="CG120" s="44" t="e">
        <f ca="1">INDEX(FREQUENCY(MMULT({1,1},SUBTOTAL(9,OFFSET($E$1,MATCH($CD120,$C:$C,)+{3;4},INT(COLUMN($A:$AE)*2)-1))),{3.9,7.9,11.9}),COLUMN(D117))</f>
        <v>#N/A</v>
      </c>
    </row>
    <row r="121" spans="1:85" ht="17.25" customHeight="1" x14ac:dyDescent="0.15">
      <c r="A121" s="85"/>
      <c r="B121" s="49"/>
      <c r="C121" s="49"/>
      <c r="D121" s="56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 t="s">
        <v>14</v>
      </c>
      <c r="V121" s="12">
        <v>2</v>
      </c>
      <c r="W121" s="12" t="s">
        <v>14</v>
      </c>
      <c r="X121" s="12">
        <v>2</v>
      </c>
      <c r="Y121" s="12" t="s">
        <v>14</v>
      </c>
      <c r="Z121" s="12">
        <v>2</v>
      </c>
      <c r="AA121" s="12" t="s">
        <v>14</v>
      </c>
      <c r="AB121" s="12">
        <v>2</v>
      </c>
      <c r="AC121" s="12" t="s">
        <v>14</v>
      </c>
      <c r="AD121" s="12">
        <v>2</v>
      </c>
      <c r="AE121" s="12" t="s">
        <v>14</v>
      </c>
      <c r="AF121" s="12">
        <v>2</v>
      </c>
      <c r="AG121" s="12"/>
      <c r="AH121" s="12"/>
      <c r="AI121" s="12" t="s">
        <v>14</v>
      </c>
      <c r="AJ121" s="12">
        <v>2</v>
      </c>
      <c r="AK121" s="12" t="s">
        <v>14</v>
      </c>
      <c r="AL121" s="12">
        <v>2</v>
      </c>
      <c r="AM121" s="12" t="s">
        <v>14</v>
      </c>
      <c r="AN121" s="12">
        <v>2</v>
      </c>
      <c r="AO121" s="12" t="s">
        <v>14</v>
      </c>
      <c r="AP121" s="12">
        <v>2</v>
      </c>
      <c r="AQ121" s="12" t="s">
        <v>14</v>
      </c>
      <c r="AR121" s="12">
        <v>2</v>
      </c>
      <c r="AS121" s="12" t="s">
        <v>14</v>
      </c>
      <c r="AT121" s="12">
        <v>2</v>
      </c>
      <c r="AU121" s="12"/>
      <c r="AV121" s="12"/>
      <c r="AW121" s="12" t="s">
        <v>14</v>
      </c>
      <c r="AX121" s="12">
        <v>2</v>
      </c>
      <c r="AY121" s="12" t="s">
        <v>14</v>
      </c>
      <c r="AZ121" s="12">
        <v>2</v>
      </c>
      <c r="BA121" s="12" t="s">
        <v>14</v>
      </c>
      <c r="BB121" s="12">
        <v>2</v>
      </c>
      <c r="BC121" s="12" t="s">
        <v>14</v>
      </c>
      <c r="BD121" s="12">
        <v>2</v>
      </c>
      <c r="BE121" s="12" t="s">
        <v>14</v>
      </c>
      <c r="BF121" s="12">
        <v>2</v>
      </c>
      <c r="BG121" s="12" t="s">
        <v>14</v>
      </c>
      <c r="BH121" s="12">
        <v>2</v>
      </c>
      <c r="BI121" s="12"/>
      <c r="BJ121" s="12"/>
      <c r="BK121" s="12" t="s">
        <v>14</v>
      </c>
      <c r="BL121" s="12">
        <v>2</v>
      </c>
      <c r="BM121" s="12" t="s">
        <v>14</v>
      </c>
      <c r="BN121" s="35">
        <v>2</v>
      </c>
      <c r="BP121" s="27">
        <v>118</v>
      </c>
      <c r="BQ121" s="27"/>
      <c r="BR121" s="29">
        <f ca="1">SUMIF(OFFSET($E$4:$BM$9,ROWS($1:118)*6-6,),BR$2,OFFSET($F$4:$BN$9,ROWS($1:118)*6-6,))</f>
        <v>0</v>
      </c>
      <c r="BS121" s="29">
        <f ca="1">SUMIF(OFFSET($E$4:$BM$9,ROWS($1:118)*6-6,),BS$2,OFFSET($F$4:$BN$9,ROWS($1:118)*6-6,))</f>
        <v>0</v>
      </c>
      <c r="BT121" s="29">
        <f ca="1">SUMIF(OFFSET($E$4:$BM$9,ROWS($1:118)*6-6,),BT$2,OFFSET($F$4:$BN$9,ROWS($1:118)*6-6,))</f>
        <v>0</v>
      </c>
      <c r="BU121" s="29">
        <f ca="1">SUMIF(OFFSET($E$4:$BM$9,ROWS($1:118)*6-6,),BU$2,OFFSET($F$4:$BN$9,ROWS($1:118)*6-6,))</f>
        <v>0</v>
      </c>
      <c r="BV121" s="29">
        <f ca="1">SUMIF(OFFSET($E$4:$BM$9,ROWS($1:118)*6-6,),BV$2,OFFSET($F$4:$BN$9,ROWS($1:118)*6-6,))</f>
        <v>0</v>
      </c>
      <c r="BW121" s="29">
        <f ca="1">SUMIF(OFFSET($E$4:$BM$9,ROWS($1:118)*6-6,),BW$2,OFFSET($F$4:$BN$9,ROWS($1:118)*6-6,))</f>
        <v>0</v>
      </c>
      <c r="BX121" s="29">
        <f ca="1">SUMIF(OFFSET($E$4:$BM$9,ROWS($1:118)*6-6,),BX$2,OFFSET($F$4:$BN$9,ROWS($1:118)*6-6,))</f>
        <v>0</v>
      </c>
      <c r="BY121" s="29">
        <f ca="1">SUMIF(OFFSET($E$4:$BM$9,ROWS($1:118)*6-6,),BY$2,OFFSET($F$4:$BN$9,ROWS($1:118)*6-6,))</f>
        <v>0</v>
      </c>
      <c r="BZ121" s="29">
        <f ca="1">SUMIF(OFFSET($E$4:$BM$9,ROWS($1:118)*6-6,),BZ$2,OFFSET($F$4:$BN$9,ROWS($1:118)*6-6,))</f>
        <v>0</v>
      </c>
      <c r="CA121" s="29">
        <f ca="1">SUMIF(OFFSET($E$4:$BM$9,ROWS($1:118)*6-6,),CA$2,OFFSET($F$4:$BN$9,ROWS($1:118)*6-6,))</f>
        <v>0</v>
      </c>
      <c r="CB121" s="29">
        <f ca="1">SUMIF(OFFSET($E$4:$BM$9,ROWS($1:118)*6-6,),CB$2,OFFSET($F$4:$BN$9,ROWS($1:118)*6-6,))</f>
        <v>0</v>
      </c>
      <c r="CC121" s="43">
        <f ca="1">SUMIF(OFFSET($E$4:$BM$9,ROWS($1:118)*6-6,),CC$2,OFFSET($F$4:$BN$9,ROWS($1:118)*6-6,))</f>
        <v>0</v>
      </c>
      <c r="CD121" s="44">
        <f t="shared" si="5"/>
        <v>0</v>
      </c>
      <c r="CE121" s="44" t="e">
        <f ca="1">INDEX(FREQUENCY(MMULT({1,1},SUBTOTAL(9,OFFSET($E$1,MATCH($CD121,$C:$C,)+{3;4},INT(COLUMN($A:$AE)*2)-1))),{3.9,7.9,11.9}),COLUMN(B118))</f>
        <v>#N/A</v>
      </c>
      <c r="CF121" s="44" t="e">
        <f ca="1">INDEX(FREQUENCY(MMULT({1,1},SUBTOTAL(9,OFFSET($E$1,MATCH($CD121,$C:$C,)+{3;4},INT(COLUMN($A:$AE)*2)-1))),{3.9,7.9,11.9}),COLUMN(C118))</f>
        <v>#N/A</v>
      </c>
      <c r="CG121" s="44" t="e">
        <f ca="1">INDEX(FREQUENCY(MMULT({1,1},SUBTOTAL(9,OFFSET($E$1,MATCH($CD121,$C:$C,)+{3;4},INT(COLUMN($A:$AE)*2)-1))),{3.9,7.9,11.9}),COLUMN(D118))</f>
        <v>#N/A</v>
      </c>
    </row>
    <row r="122" spans="1:85" ht="17.25" customHeight="1" x14ac:dyDescent="0.15">
      <c r="A122" s="85"/>
      <c r="B122" s="49"/>
      <c r="C122" s="49"/>
      <c r="D122" s="58" t="s">
        <v>49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 t="s">
        <v>15</v>
      </c>
      <c r="V122" s="14"/>
      <c r="W122" s="14" t="s">
        <v>15</v>
      </c>
      <c r="X122" s="14">
        <v>3</v>
      </c>
      <c r="Y122" s="14" t="s">
        <v>15</v>
      </c>
      <c r="Z122" s="14">
        <v>3</v>
      </c>
      <c r="AA122" s="14" t="s">
        <v>15</v>
      </c>
      <c r="AB122" s="14"/>
      <c r="AC122" s="14" t="s">
        <v>15</v>
      </c>
      <c r="AD122" s="14"/>
      <c r="AE122" s="14" t="s">
        <v>15</v>
      </c>
      <c r="AF122" s="14"/>
      <c r="AG122" s="14"/>
      <c r="AH122" s="14"/>
      <c r="AI122" s="14" t="s">
        <v>15</v>
      </c>
      <c r="AJ122" s="14"/>
      <c r="AK122" s="14" t="s">
        <v>15</v>
      </c>
      <c r="AL122" s="14"/>
      <c r="AM122" s="14" t="s">
        <v>15</v>
      </c>
      <c r="AN122" s="14"/>
      <c r="AO122" s="14" t="s">
        <v>15</v>
      </c>
      <c r="AP122" s="14"/>
      <c r="AQ122" s="14" t="s">
        <v>15</v>
      </c>
      <c r="AR122" s="14">
        <v>3</v>
      </c>
      <c r="AS122" s="14" t="s">
        <v>15</v>
      </c>
      <c r="AT122" s="14"/>
      <c r="AU122" s="14"/>
      <c r="AV122" s="14"/>
      <c r="AW122" s="14" t="s">
        <v>15</v>
      </c>
      <c r="AX122" s="14"/>
      <c r="AY122" s="14" t="s">
        <v>15</v>
      </c>
      <c r="AZ122" s="14">
        <v>3</v>
      </c>
      <c r="BA122" s="14" t="s">
        <v>15</v>
      </c>
      <c r="BB122" s="14"/>
      <c r="BC122" s="14" t="s">
        <v>15</v>
      </c>
      <c r="BD122" s="14"/>
      <c r="BE122" s="14" t="s">
        <v>15</v>
      </c>
      <c r="BF122" s="14"/>
      <c r="BG122" s="14" t="s">
        <v>15</v>
      </c>
      <c r="BH122" s="14"/>
      <c r="BI122" s="14"/>
      <c r="BJ122" s="14"/>
      <c r="BK122" s="14" t="s">
        <v>15</v>
      </c>
      <c r="BL122" s="14"/>
      <c r="BM122" s="14" t="s">
        <v>15</v>
      </c>
      <c r="BN122" s="37"/>
      <c r="BP122" s="27">
        <v>119</v>
      </c>
      <c r="BQ122" s="27"/>
      <c r="BR122" s="29">
        <f ca="1">SUMIF(OFFSET($E$4:$BM$9,ROWS($1:119)*6-6,),BR$2,OFFSET($F$4:$BN$9,ROWS($1:119)*6-6,))</f>
        <v>0</v>
      </c>
      <c r="BS122" s="29">
        <f ca="1">SUMIF(OFFSET($E$4:$BM$9,ROWS($1:119)*6-6,),BS$2,OFFSET($F$4:$BN$9,ROWS($1:119)*6-6,))</f>
        <v>0</v>
      </c>
      <c r="BT122" s="29">
        <f ca="1">SUMIF(OFFSET($E$4:$BM$9,ROWS($1:119)*6-6,),BT$2,OFFSET($F$4:$BN$9,ROWS($1:119)*6-6,))</f>
        <v>0</v>
      </c>
      <c r="BU122" s="29">
        <f ca="1">SUMIF(OFFSET($E$4:$BM$9,ROWS($1:119)*6-6,),BU$2,OFFSET($F$4:$BN$9,ROWS($1:119)*6-6,))</f>
        <v>0</v>
      </c>
      <c r="BV122" s="29">
        <f ca="1">SUMIF(OFFSET($E$4:$BM$9,ROWS($1:119)*6-6,),BV$2,OFFSET($F$4:$BN$9,ROWS($1:119)*6-6,))</f>
        <v>0</v>
      </c>
      <c r="BW122" s="29">
        <f ca="1">SUMIF(OFFSET($E$4:$BM$9,ROWS($1:119)*6-6,),BW$2,OFFSET($F$4:$BN$9,ROWS($1:119)*6-6,))</f>
        <v>0</v>
      </c>
      <c r="BX122" s="29">
        <f ca="1">SUMIF(OFFSET($E$4:$BM$9,ROWS($1:119)*6-6,),BX$2,OFFSET($F$4:$BN$9,ROWS($1:119)*6-6,))</f>
        <v>0</v>
      </c>
      <c r="BY122" s="29">
        <f ca="1">SUMIF(OFFSET($E$4:$BM$9,ROWS($1:119)*6-6,),BY$2,OFFSET($F$4:$BN$9,ROWS($1:119)*6-6,))</f>
        <v>0</v>
      </c>
      <c r="BZ122" s="29">
        <f ca="1">SUMIF(OFFSET($E$4:$BM$9,ROWS($1:119)*6-6,),BZ$2,OFFSET($F$4:$BN$9,ROWS($1:119)*6-6,))</f>
        <v>0</v>
      </c>
      <c r="CA122" s="29">
        <f ca="1">SUMIF(OFFSET($E$4:$BM$9,ROWS($1:119)*6-6,),CA$2,OFFSET($F$4:$BN$9,ROWS($1:119)*6-6,))</f>
        <v>0</v>
      </c>
      <c r="CB122" s="29">
        <f ca="1">SUMIF(OFFSET($E$4:$BM$9,ROWS($1:119)*6-6,),CB$2,OFFSET($F$4:$BN$9,ROWS($1:119)*6-6,))</f>
        <v>0</v>
      </c>
      <c r="CC122" s="43">
        <f ca="1">SUMIF(OFFSET($E$4:$BM$9,ROWS($1:119)*6-6,),CC$2,OFFSET($F$4:$BN$9,ROWS($1:119)*6-6,))</f>
        <v>0</v>
      </c>
      <c r="CD122" s="44">
        <f t="shared" si="5"/>
        <v>0</v>
      </c>
      <c r="CE122" s="44" t="e">
        <f ca="1">INDEX(FREQUENCY(MMULT({1,1},SUBTOTAL(9,OFFSET($E$1,MATCH($CD122,$C:$C,)+{3;4},INT(COLUMN($A:$AE)*2)-1))),{3.9,7.9,11.9}),COLUMN(B119))</f>
        <v>#N/A</v>
      </c>
      <c r="CF122" s="44" t="e">
        <f ca="1">INDEX(FREQUENCY(MMULT({1,1},SUBTOTAL(9,OFFSET($E$1,MATCH($CD122,$C:$C,)+{3;4},INT(COLUMN($A:$AE)*2)-1))),{3.9,7.9,11.9}),COLUMN(C119))</f>
        <v>#N/A</v>
      </c>
      <c r="CG122" s="44" t="e">
        <f ca="1">INDEX(FREQUENCY(MMULT({1,1},SUBTOTAL(9,OFFSET($E$1,MATCH($CD122,$C:$C,)+{3;4},INT(COLUMN($A:$AE)*2)-1))),{3.9,7.9,11.9}),COLUMN(D119))</f>
        <v>#N/A</v>
      </c>
    </row>
    <row r="123" spans="1:85" ht="17.25" customHeight="1" thickBot="1" x14ac:dyDescent="0.2">
      <c r="A123" s="86"/>
      <c r="B123" s="50"/>
      <c r="C123" s="50"/>
      <c r="D123" s="59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38"/>
      <c r="BP123" s="27">
        <v>120</v>
      </c>
      <c r="BQ123" s="27"/>
      <c r="BR123" s="29">
        <f ca="1">SUMIF(OFFSET($E$4:$BM$9,ROWS($1:120)*6-6,),BR$2,OFFSET($F$4:$BN$9,ROWS($1:120)*6-6,))</f>
        <v>0</v>
      </c>
      <c r="BS123" s="29">
        <f ca="1">SUMIF(OFFSET($E$4:$BM$9,ROWS($1:120)*6-6,),BS$2,OFFSET($F$4:$BN$9,ROWS($1:120)*6-6,))</f>
        <v>0</v>
      </c>
      <c r="BT123" s="29">
        <f ca="1">SUMIF(OFFSET($E$4:$BM$9,ROWS($1:120)*6-6,),BT$2,OFFSET($F$4:$BN$9,ROWS($1:120)*6-6,))</f>
        <v>0</v>
      </c>
      <c r="BU123" s="29">
        <f ca="1">SUMIF(OFFSET($E$4:$BM$9,ROWS($1:120)*6-6,),BU$2,OFFSET($F$4:$BN$9,ROWS($1:120)*6-6,))</f>
        <v>0</v>
      </c>
      <c r="BV123" s="29">
        <f ca="1">SUMIF(OFFSET($E$4:$BM$9,ROWS($1:120)*6-6,),BV$2,OFFSET($F$4:$BN$9,ROWS($1:120)*6-6,))</f>
        <v>0</v>
      </c>
      <c r="BW123" s="29">
        <f ca="1">SUMIF(OFFSET($E$4:$BM$9,ROWS($1:120)*6-6,),BW$2,OFFSET($F$4:$BN$9,ROWS($1:120)*6-6,))</f>
        <v>0</v>
      </c>
      <c r="BX123" s="29">
        <f ca="1">SUMIF(OFFSET($E$4:$BM$9,ROWS($1:120)*6-6,),BX$2,OFFSET($F$4:$BN$9,ROWS($1:120)*6-6,))</f>
        <v>0</v>
      </c>
      <c r="BY123" s="29">
        <f ca="1">SUMIF(OFFSET($E$4:$BM$9,ROWS($1:120)*6-6,),BY$2,OFFSET($F$4:$BN$9,ROWS($1:120)*6-6,))</f>
        <v>0</v>
      </c>
      <c r="BZ123" s="29">
        <f ca="1">SUMIF(OFFSET($E$4:$BM$9,ROWS($1:120)*6-6,),BZ$2,OFFSET($F$4:$BN$9,ROWS($1:120)*6-6,))</f>
        <v>0</v>
      </c>
      <c r="CA123" s="29">
        <f ca="1">SUMIF(OFFSET($E$4:$BM$9,ROWS($1:120)*6-6,),CA$2,OFFSET($F$4:$BN$9,ROWS($1:120)*6-6,))</f>
        <v>0</v>
      </c>
      <c r="CB123" s="29">
        <f ca="1">SUMIF(OFFSET($E$4:$BM$9,ROWS($1:120)*6-6,),CB$2,OFFSET($F$4:$BN$9,ROWS($1:120)*6-6,))</f>
        <v>0</v>
      </c>
      <c r="CC123" s="43">
        <f ca="1">SUMIF(OFFSET($E$4:$BM$9,ROWS($1:120)*6-6,),CC$2,OFFSET($F$4:$BN$9,ROWS($1:120)*6-6,))</f>
        <v>0</v>
      </c>
      <c r="CD123" s="44">
        <f t="shared" si="5"/>
        <v>0</v>
      </c>
      <c r="CE123" s="44" t="e">
        <f ca="1">INDEX(FREQUENCY(MMULT({1,1},SUBTOTAL(9,OFFSET($E$1,MATCH($CD123,$C:$C,)+{3;4},INT(COLUMN($A:$AE)*2)-1))),{3.9,7.9,11.9}),COLUMN(B120))</f>
        <v>#N/A</v>
      </c>
      <c r="CF123" s="44" t="e">
        <f ca="1">INDEX(FREQUENCY(MMULT({1,1},SUBTOTAL(9,OFFSET($E$1,MATCH($CD123,$C:$C,)+{3;4},INT(COLUMN($A:$AE)*2)-1))),{3.9,7.9,11.9}),COLUMN(C120))</f>
        <v>#N/A</v>
      </c>
      <c r="CG123" s="44" t="e">
        <f ca="1">INDEX(FREQUENCY(MMULT({1,1},SUBTOTAL(9,OFFSET($E$1,MATCH($CD123,$C:$C,)+{3;4},INT(COLUMN($A:$AE)*2)-1))),{3.9,7.9,11.9}),COLUMN(D120))</f>
        <v>#N/A</v>
      </c>
    </row>
    <row r="124" spans="1:85" ht="17.25" customHeight="1" x14ac:dyDescent="0.15">
      <c r="A124" s="84" t="s">
        <v>89</v>
      </c>
      <c r="B124" s="48" t="s">
        <v>107</v>
      </c>
      <c r="C124" s="48" t="s">
        <v>133</v>
      </c>
      <c r="D124" s="55" t="s">
        <v>45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14</v>
      </c>
      <c r="V124" s="11">
        <v>2</v>
      </c>
      <c r="W124" s="11" t="s">
        <v>14</v>
      </c>
      <c r="X124" s="11">
        <v>2</v>
      </c>
      <c r="Y124" s="11" t="s">
        <v>14</v>
      </c>
      <c r="Z124" s="11">
        <v>2</v>
      </c>
      <c r="AA124" s="11" t="s">
        <v>14</v>
      </c>
      <c r="AB124" s="11">
        <v>2</v>
      </c>
      <c r="AC124" s="11" t="s">
        <v>14</v>
      </c>
      <c r="AD124" s="11">
        <v>2</v>
      </c>
      <c r="AE124" s="11" t="s">
        <v>14</v>
      </c>
      <c r="AF124" s="11">
        <v>2</v>
      </c>
      <c r="AG124" s="11"/>
      <c r="AH124" s="11"/>
      <c r="AI124" s="11" t="s">
        <v>14</v>
      </c>
      <c r="AJ124" s="11">
        <v>2</v>
      </c>
      <c r="AK124" s="11" t="s">
        <v>14</v>
      </c>
      <c r="AL124" s="11">
        <v>2</v>
      </c>
      <c r="AM124" s="11" t="s">
        <v>14</v>
      </c>
      <c r="AN124" s="11">
        <v>2</v>
      </c>
      <c r="AO124" s="11" t="s">
        <v>14</v>
      </c>
      <c r="AP124" s="11">
        <v>2</v>
      </c>
      <c r="AQ124" s="11" t="s">
        <v>14</v>
      </c>
      <c r="AR124" s="11">
        <v>2</v>
      </c>
      <c r="AS124" s="11" t="s">
        <v>14</v>
      </c>
      <c r="AT124" s="11">
        <v>2</v>
      </c>
      <c r="AU124" s="11"/>
      <c r="AV124" s="11"/>
      <c r="AW124" s="11" t="s">
        <v>14</v>
      </c>
      <c r="AX124" s="11">
        <v>2</v>
      </c>
      <c r="AY124" s="11" t="s">
        <v>14</v>
      </c>
      <c r="AZ124" s="11">
        <v>2</v>
      </c>
      <c r="BA124" s="11" t="s">
        <v>14</v>
      </c>
      <c r="BB124" s="11">
        <v>2</v>
      </c>
      <c r="BC124" s="11" t="s">
        <v>14</v>
      </c>
      <c r="BD124" s="11">
        <v>2</v>
      </c>
      <c r="BE124" s="11" t="s">
        <v>14</v>
      </c>
      <c r="BF124" s="11">
        <v>2</v>
      </c>
      <c r="BG124" s="11" t="s">
        <v>14</v>
      </c>
      <c r="BH124" s="11">
        <v>2</v>
      </c>
      <c r="BI124" s="11" t="s">
        <v>16</v>
      </c>
      <c r="BJ124" s="11">
        <v>2</v>
      </c>
      <c r="BK124" s="11" t="s">
        <v>14</v>
      </c>
      <c r="BL124" s="11">
        <v>2</v>
      </c>
      <c r="BM124" s="11" t="s">
        <v>14</v>
      </c>
      <c r="BN124" s="34">
        <v>2</v>
      </c>
      <c r="BP124" s="27">
        <v>121</v>
      </c>
      <c r="BQ124" s="27"/>
      <c r="BR124" s="29">
        <f ca="1">SUMIF(OFFSET($E$4:$BM$9,ROWS($1:121)*6-6,),BR$2,OFFSET($F$4:$BN$9,ROWS($1:121)*6-6,))</f>
        <v>0</v>
      </c>
      <c r="BS124" s="29">
        <f ca="1">SUMIF(OFFSET($E$4:$BM$9,ROWS($1:121)*6-6,),BS$2,OFFSET($F$4:$BN$9,ROWS($1:121)*6-6,))</f>
        <v>0</v>
      </c>
      <c r="BT124" s="29">
        <f ca="1">SUMIF(OFFSET($E$4:$BM$9,ROWS($1:121)*6-6,),BT$2,OFFSET($F$4:$BN$9,ROWS($1:121)*6-6,))</f>
        <v>0</v>
      </c>
      <c r="BU124" s="29">
        <f ca="1">SUMIF(OFFSET($E$4:$BM$9,ROWS($1:121)*6-6,),BU$2,OFFSET($F$4:$BN$9,ROWS($1:121)*6-6,))</f>
        <v>0</v>
      </c>
      <c r="BV124" s="29">
        <f ca="1">SUMIF(OFFSET($E$4:$BM$9,ROWS($1:121)*6-6,),BV$2,OFFSET($F$4:$BN$9,ROWS($1:121)*6-6,))</f>
        <v>0</v>
      </c>
      <c r="BW124" s="29">
        <f ca="1">SUMIF(OFFSET($E$4:$BM$9,ROWS($1:121)*6-6,),BW$2,OFFSET($F$4:$BN$9,ROWS($1:121)*6-6,))</f>
        <v>0</v>
      </c>
      <c r="BX124" s="29">
        <f ca="1">SUMIF(OFFSET($E$4:$BM$9,ROWS($1:121)*6-6,),BX$2,OFFSET($F$4:$BN$9,ROWS($1:121)*6-6,))</f>
        <v>0</v>
      </c>
      <c r="BY124" s="29">
        <f ca="1">SUMIF(OFFSET($E$4:$BM$9,ROWS($1:121)*6-6,),BY$2,OFFSET($F$4:$BN$9,ROWS($1:121)*6-6,))</f>
        <v>0</v>
      </c>
      <c r="BZ124" s="29">
        <f ca="1">SUMIF(OFFSET($E$4:$BM$9,ROWS($1:121)*6-6,),BZ$2,OFFSET($F$4:$BN$9,ROWS($1:121)*6-6,))</f>
        <v>0</v>
      </c>
      <c r="CA124" s="29">
        <f ca="1">SUMIF(OFFSET($E$4:$BM$9,ROWS($1:121)*6-6,),CA$2,OFFSET($F$4:$BN$9,ROWS($1:121)*6-6,))</f>
        <v>0</v>
      </c>
      <c r="CB124" s="29">
        <f ca="1">SUMIF(OFFSET($E$4:$BM$9,ROWS($1:121)*6-6,),CB$2,OFFSET($F$4:$BN$9,ROWS($1:121)*6-6,))</f>
        <v>0</v>
      </c>
      <c r="CC124" s="43">
        <f ca="1">SUMIF(OFFSET($E$4:$BM$9,ROWS($1:121)*6-6,),CC$2,OFFSET($F$4:$BN$9,ROWS($1:121)*6-6,))</f>
        <v>0</v>
      </c>
      <c r="CD124" s="44">
        <f t="shared" si="5"/>
        <v>0</v>
      </c>
      <c r="CE124" s="44" t="e">
        <f ca="1">INDEX(FREQUENCY(MMULT({1,1},SUBTOTAL(9,OFFSET($E$1,MATCH($CD124,$C:$C,)+{3;4},INT(COLUMN($A:$AE)*2)-1))),{3.9,7.9,11.9}),COLUMN(B121))</f>
        <v>#N/A</v>
      </c>
      <c r="CF124" s="44" t="e">
        <f ca="1">INDEX(FREQUENCY(MMULT({1,1},SUBTOTAL(9,OFFSET($E$1,MATCH($CD124,$C:$C,)+{3;4},INT(COLUMN($A:$AE)*2)-1))),{3.9,7.9,11.9}),COLUMN(C121))</f>
        <v>#N/A</v>
      </c>
      <c r="CG124" s="44" t="e">
        <f ca="1">INDEX(FREQUENCY(MMULT({1,1},SUBTOTAL(9,OFFSET($E$1,MATCH($CD124,$C:$C,)+{3;4},INT(COLUMN($A:$AE)*2)-1))),{3.9,7.9,11.9}),COLUMN(D121))</f>
        <v>#N/A</v>
      </c>
    </row>
    <row r="125" spans="1:85" ht="17.25" customHeight="1" x14ac:dyDescent="0.15">
      <c r="A125" s="85"/>
      <c r="B125" s="49"/>
      <c r="C125" s="49"/>
      <c r="D125" s="56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 t="s">
        <v>14</v>
      </c>
      <c r="V125" s="12">
        <v>2</v>
      </c>
      <c r="W125" s="12" t="s">
        <v>14</v>
      </c>
      <c r="X125" s="12">
        <v>2</v>
      </c>
      <c r="Y125" s="12" t="s">
        <v>14</v>
      </c>
      <c r="Z125" s="12">
        <v>2</v>
      </c>
      <c r="AA125" s="12" t="s">
        <v>14</v>
      </c>
      <c r="AB125" s="12">
        <v>2</v>
      </c>
      <c r="AC125" s="12" t="s">
        <v>14</v>
      </c>
      <c r="AD125" s="12">
        <v>2</v>
      </c>
      <c r="AE125" s="12" t="s">
        <v>14</v>
      </c>
      <c r="AF125" s="12">
        <v>2</v>
      </c>
      <c r="AG125" s="12"/>
      <c r="AH125" s="12"/>
      <c r="AI125" s="12" t="s">
        <v>14</v>
      </c>
      <c r="AJ125" s="12">
        <v>2</v>
      </c>
      <c r="AK125" s="12" t="s">
        <v>14</v>
      </c>
      <c r="AL125" s="12">
        <v>2</v>
      </c>
      <c r="AM125" s="12" t="s">
        <v>14</v>
      </c>
      <c r="AN125" s="12">
        <v>2</v>
      </c>
      <c r="AO125" s="12" t="s">
        <v>14</v>
      </c>
      <c r="AP125" s="12">
        <v>2</v>
      </c>
      <c r="AQ125" s="12" t="s">
        <v>14</v>
      </c>
      <c r="AR125" s="12">
        <v>2</v>
      </c>
      <c r="AS125" s="12" t="s">
        <v>14</v>
      </c>
      <c r="AT125" s="12">
        <v>2</v>
      </c>
      <c r="AU125" s="12"/>
      <c r="AV125" s="12"/>
      <c r="AW125" s="12" t="s">
        <v>14</v>
      </c>
      <c r="AX125" s="12">
        <v>2</v>
      </c>
      <c r="AY125" s="12" t="s">
        <v>14</v>
      </c>
      <c r="AZ125" s="12">
        <v>2</v>
      </c>
      <c r="BA125" s="12" t="s">
        <v>14</v>
      </c>
      <c r="BB125" s="12">
        <v>2</v>
      </c>
      <c r="BC125" s="12" t="s">
        <v>14</v>
      </c>
      <c r="BD125" s="12">
        <v>2</v>
      </c>
      <c r="BE125" s="12" t="s">
        <v>14</v>
      </c>
      <c r="BF125" s="12">
        <v>2</v>
      </c>
      <c r="BG125" s="12" t="s">
        <v>14</v>
      </c>
      <c r="BH125" s="12">
        <v>2</v>
      </c>
      <c r="BI125" s="12" t="s">
        <v>16</v>
      </c>
      <c r="BJ125" s="12">
        <v>2</v>
      </c>
      <c r="BK125" s="12" t="s">
        <v>14</v>
      </c>
      <c r="BL125" s="12">
        <v>2</v>
      </c>
      <c r="BM125" s="12" t="s">
        <v>14</v>
      </c>
      <c r="BN125" s="35">
        <v>2</v>
      </c>
      <c r="BP125" s="27">
        <v>122</v>
      </c>
      <c r="BQ125" s="27"/>
      <c r="BR125" s="29">
        <f ca="1">SUMIF(OFFSET($E$4:$BM$9,ROWS($1:122)*6-6,),BR$2,OFFSET($F$4:$BN$9,ROWS($1:122)*6-6,))</f>
        <v>0</v>
      </c>
      <c r="BS125" s="29">
        <f ca="1">SUMIF(OFFSET($E$4:$BM$9,ROWS($1:122)*6-6,),BS$2,OFFSET($F$4:$BN$9,ROWS($1:122)*6-6,))</f>
        <v>0</v>
      </c>
      <c r="BT125" s="29">
        <f ca="1">SUMIF(OFFSET($E$4:$BM$9,ROWS($1:122)*6-6,),BT$2,OFFSET($F$4:$BN$9,ROWS($1:122)*6-6,))</f>
        <v>0</v>
      </c>
      <c r="BU125" s="29">
        <f ca="1">SUMIF(OFFSET($E$4:$BM$9,ROWS($1:122)*6-6,),BU$2,OFFSET($F$4:$BN$9,ROWS($1:122)*6-6,))</f>
        <v>0</v>
      </c>
      <c r="BV125" s="29">
        <f ca="1">SUMIF(OFFSET($E$4:$BM$9,ROWS($1:122)*6-6,),BV$2,OFFSET($F$4:$BN$9,ROWS($1:122)*6-6,))</f>
        <v>0</v>
      </c>
      <c r="BW125" s="29">
        <f ca="1">SUMIF(OFFSET($E$4:$BM$9,ROWS($1:122)*6-6,),BW$2,OFFSET($F$4:$BN$9,ROWS($1:122)*6-6,))</f>
        <v>0</v>
      </c>
      <c r="BX125" s="29">
        <f ca="1">SUMIF(OFFSET($E$4:$BM$9,ROWS($1:122)*6-6,),BX$2,OFFSET($F$4:$BN$9,ROWS($1:122)*6-6,))</f>
        <v>0</v>
      </c>
      <c r="BY125" s="29">
        <f ca="1">SUMIF(OFFSET($E$4:$BM$9,ROWS($1:122)*6-6,),BY$2,OFFSET($F$4:$BN$9,ROWS($1:122)*6-6,))</f>
        <v>0</v>
      </c>
      <c r="BZ125" s="29">
        <f ca="1">SUMIF(OFFSET($E$4:$BM$9,ROWS($1:122)*6-6,),BZ$2,OFFSET($F$4:$BN$9,ROWS($1:122)*6-6,))</f>
        <v>0</v>
      </c>
      <c r="CA125" s="29">
        <f ca="1">SUMIF(OFFSET($E$4:$BM$9,ROWS($1:122)*6-6,),CA$2,OFFSET($F$4:$BN$9,ROWS($1:122)*6-6,))</f>
        <v>0</v>
      </c>
      <c r="CB125" s="29">
        <f ca="1">SUMIF(OFFSET($E$4:$BM$9,ROWS($1:122)*6-6,),CB$2,OFFSET($F$4:$BN$9,ROWS($1:122)*6-6,))</f>
        <v>0</v>
      </c>
      <c r="CC125" s="43">
        <f ca="1">SUMIF(OFFSET($E$4:$BM$9,ROWS($1:122)*6-6,),CC$2,OFFSET($F$4:$BN$9,ROWS($1:122)*6-6,))</f>
        <v>0</v>
      </c>
      <c r="CD125" s="44">
        <f t="shared" si="5"/>
        <v>0</v>
      </c>
      <c r="CE125" s="44" t="e">
        <f ca="1">INDEX(FREQUENCY(MMULT({1,1},SUBTOTAL(9,OFFSET($E$1,MATCH($CD125,$C:$C,)+{3;4},INT(COLUMN($A:$AE)*2)-1))),{3.9,7.9,11.9}),COLUMN(B122))</f>
        <v>#N/A</v>
      </c>
      <c r="CF125" s="44" t="e">
        <f ca="1">INDEX(FREQUENCY(MMULT({1,1},SUBTOTAL(9,OFFSET($E$1,MATCH($CD125,$C:$C,)+{3;4},INT(COLUMN($A:$AE)*2)-1))),{3.9,7.9,11.9}),COLUMN(C122))</f>
        <v>#N/A</v>
      </c>
      <c r="CG125" s="44" t="e">
        <f ca="1">INDEX(FREQUENCY(MMULT({1,1},SUBTOTAL(9,OFFSET($E$1,MATCH($CD125,$C:$C,)+{3;4},INT(COLUMN($A:$AE)*2)-1))),{3.9,7.9,11.9}),COLUMN(D122))</f>
        <v>#N/A</v>
      </c>
    </row>
    <row r="126" spans="1:85" ht="17.25" customHeight="1" x14ac:dyDescent="0.15">
      <c r="A126" s="85"/>
      <c r="B126" s="49"/>
      <c r="C126" s="49"/>
      <c r="D126" s="57" t="s">
        <v>47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 t="s">
        <v>14</v>
      </c>
      <c r="V126" s="13">
        <v>2</v>
      </c>
      <c r="W126" s="13" t="s">
        <v>14</v>
      </c>
      <c r="X126" s="13">
        <v>2</v>
      </c>
      <c r="Y126" s="13" t="s">
        <v>14</v>
      </c>
      <c r="Z126" s="13">
        <v>2</v>
      </c>
      <c r="AA126" s="13" t="s">
        <v>14</v>
      </c>
      <c r="AB126" s="13">
        <v>2</v>
      </c>
      <c r="AC126" s="13" t="s">
        <v>14</v>
      </c>
      <c r="AD126" s="13">
        <v>2</v>
      </c>
      <c r="AE126" s="13" t="s">
        <v>14</v>
      </c>
      <c r="AF126" s="13">
        <v>2</v>
      </c>
      <c r="AG126" s="13"/>
      <c r="AH126" s="13"/>
      <c r="AI126" s="13" t="s">
        <v>14</v>
      </c>
      <c r="AJ126" s="13">
        <v>2</v>
      </c>
      <c r="AK126" s="13" t="s">
        <v>14</v>
      </c>
      <c r="AL126" s="13">
        <v>2</v>
      </c>
      <c r="AM126" s="13" t="s">
        <v>14</v>
      </c>
      <c r="AN126" s="13">
        <v>2</v>
      </c>
      <c r="AO126" s="13" t="s">
        <v>14</v>
      </c>
      <c r="AP126" s="13">
        <v>2</v>
      </c>
      <c r="AQ126" s="13" t="s">
        <v>14</v>
      </c>
      <c r="AR126" s="13">
        <v>2</v>
      </c>
      <c r="AS126" s="13" t="s">
        <v>14</v>
      </c>
      <c r="AT126" s="13">
        <v>2</v>
      </c>
      <c r="AU126" s="13"/>
      <c r="AV126" s="13"/>
      <c r="AW126" s="13" t="s">
        <v>14</v>
      </c>
      <c r="AX126" s="13">
        <v>2</v>
      </c>
      <c r="AY126" s="13" t="s">
        <v>14</v>
      </c>
      <c r="AZ126" s="13">
        <v>2</v>
      </c>
      <c r="BA126" s="13" t="s">
        <v>14</v>
      </c>
      <c r="BB126" s="13">
        <v>2</v>
      </c>
      <c r="BC126" s="13" t="s">
        <v>14</v>
      </c>
      <c r="BD126" s="13">
        <v>2</v>
      </c>
      <c r="BE126" s="13" t="s">
        <v>14</v>
      </c>
      <c r="BF126" s="13">
        <v>2</v>
      </c>
      <c r="BG126" s="13" t="s">
        <v>14</v>
      </c>
      <c r="BH126" s="13">
        <v>2</v>
      </c>
      <c r="BI126" s="13" t="s">
        <v>16</v>
      </c>
      <c r="BJ126" s="13">
        <v>2</v>
      </c>
      <c r="BK126" s="13" t="s">
        <v>14</v>
      </c>
      <c r="BL126" s="13">
        <v>2</v>
      </c>
      <c r="BM126" s="13" t="s">
        <v>14</v>
      </c>
      <c r="BN126" s="36">
        <v>2</v>
      </c>
      <c r="BP126" s="27">
        <v>123</v>
      </c>
      <c r="BQ126" s="27"/>
      <c r="BR126" s="29">
        <f ca="1">SUMIF(OFFSET($E$4:$BM$9,ROWS($1:123)*6-6,),BR$2,OFFSET($F$4:$BN$9,ROWS($1:123)*6-6,))</f>
        <v>0</v>
      </c>
      <c r="BS126" s="29">
        <f ca="1">SUMIF(OFFSET($E$4:$BM$9,ROWS($1:123)*6-6,),BS$2,OFFSET($F$4:$BN$9,ROWS($1:123)*6-6,))</f>
        <v>0</v>
      </c>
      <c r="BT126" s="29">
        <f ca="1">SUMIF(OFFSET($E$4:$BM$9,ROWS($1:123)*6-6,),BT$2,OFFSET($F$4:$BN$9,ROWS($1:123)*6-6,))</f>
        <v>0</v>
      </c>
      <c r="BU126" s="29">
        <f ca="1">SUMIF(OFFSET($E$4:$BM$9,ROWS($1:123)*6-6,),BU$2,OFFSET($F$4:$BN$9,ROWS($1:123)*6-6,))</f>
        <v>0</v>
      </c>
      <c r="BV126" s="29">
        <f ca="1">SUMIF(OFFSET($E$4:$BM$9,ROWS($1:123)*6-6,),BV$2,OFFSET($F$4:$BN$9,ROWS($1:123)*6-6,))</f>
        <v>0</v>
      </c>
      <c r="BW126" s="29">
        <f ca="1">SUMIF(OFFSET($E$4:$BM$9,ROWS($1:123)*6-6,),BW$2,OFFSET($F$4:$BN$9,ROWS($1:123)*6-6,))</f>
        <v>0</v>
      </c>
      <c r="BX126" s="29">
        <f ca="1">SUMIF(OFFSET($E$4:$BM$9,ROWS($1:123)*6-6,),BX$2,OFFSET($F$4:$BN$9,ROWS($1:123)*6-6,))</f>
        <v>0</v>
      </c>
      <c r="BY126" s="29">
        <f ca="1">SUMIF(OFFSET($E$4:$BM$9,ROWS($1:123)*6-6,),BY$2,OFFSET($F$4:$BN$9,ROWS($1:123)*6-6,))</f>
        <v>0</v>
      </c>
      <c r="BZ126" s="29">
        <f ca="1">SUMIF(OFFSET($E$4:$BM$9,ROWS($1:123)*6-6,),BZ$2,OFFSET($F$4:$BN$9,ROWS($1:123)*6-6,))</f>
        <v>0</v>
      </c>
      <c r="CA126" s="29">
        <f ca="1">SUMIF(OFFSET($E$4:$BM$9,ROWS($1:123)*6-6,),CA$2,OFFSET($F$4:$BN$9,ROWS($1:123)*6-6,))</f>
        <v>0</v>
      </c>
      <c r="CB126" s="29">
        <f ca="1">SUMIF(OFFSET($E$4:$BM$9,ROWS($1:123)*6-6,),CB$2,OFFSET($F$4:$BN$9,ROWS($1:123)*6-6,))</f>
        <v>0</v>
      </c>
      <c r="CC126" s="43">
        <f ca="1">SUMIF(OFFSET($E$4:$BM$9,ROWS($1:123)*6-6,),CC$2,OFFSET($F$4:$BN$9,ROWS($1:123)*6-6,))</f>
        <v>0</v>
      </c>
      <c r="CD126" s="44">
        <f t="shared" si="5"/>
        <v>0</v>
      </c>
      <c r="CE126" s="44" t="e">
        <f ca="1">INDEX(FREQUENCY(MMULT({1,1},SUBTOTAL(9,OFFSET($E$1,MATCH($CD126,$C:$C,)+{3;4},INT(COLUMN($A:$AE)*2)-1))),{3.9,7.9,11.9}),COLUMN(B123))</f>
        <v>#N/A</v>
      </c>
      <c r="CF126" s="44" t="e">
        <f ca="1">INDEX(FREQUENCY(MMULT({1,1},SUBTOTAL(9,OFFSET($E$1,MATCH($CD126,$C:$C,)+{3;4},INT(COLUMN($A:$AE)*2)-1))),{3.9,7.9,11.9}),COLUMN(C123))</f>
        <v>#N/A</v>
      </c>
      <c r="CG126" s="44" t="e">
        <f ca="1">INDEX(FREQUENCY(MMULT({1,1},SUBTOTAL(9,OFFSET($E$1,MATCH($CD126,$C:$C,)+{3;4},INT(COLUMN($A:$AE)*2)-1))),{3.9,7.9,11.9}),COLUMN(D123))</f>
        <v>#N/A</v>
      </c>
    </row>
    <row r="127" spans="1:85" ht="17.25" customHeight="1" x14ac:dyDescent="0.15">
      <c r="A127" s="85"/>
      <c r="B127" s="49"/>
      <c r="C127" s="49"/>
      <c r="D127" s="56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 t="s">
        <v>14</v>
      </c>
      <c r="V127" s="12">
        <v>2</v>
      </c>
      <c r="W127" s="12" t="s">
        <v>14</v>
      </c>
      <c r="X127" s="12">
        <v>2</v>
      </c>
      <c r="Y127" s="12" t="s">
        <v>14</v>
      </c>
      <c r="Z127" s="12">
        <v>2</v>
      </c>
      <c r="AA127" s="12" t="s">
        <v>14</v>
      </c>
      <c r="AB127" s="12">
        <v>2</v>
      </c>
      <c r="AC127" s="12" t="s">
        <v>14</v>
      </c>
      <c r="AD127" s="12">
        <v>2</v>
      </c>
      <c r="AE127" s="12" t="s">
        <v>14</v>
      </c>
      <c r="AF127" s="12">
        <v>2</v>
      </c>
      <c r="AG127" s="12"/>
      <c r="AH127" s="12"/>
      <c r="AI127" s="12" t="s">
        <v>14</v>
      </c>
      <c r="AJ127" s="12">
        <v>2</v>
      </c>
      <c r="AK127" s="12" t="s">
        <v>14</v>
      </c>
      <c r="AL127" s="12">
        <v>2</v>
      </c>
      <c r="AM127" s="12" t="s">
        <v>14</v>
      </c>
      <c r="AN127" s="12">
        <v>2</v>
      </c>
      <c r="AO127" s="12" t="s">
        <v>14</v>
      </c>
      <c r="AP127" s="12">
        <v>2</v>
      </c>
      <c r="AQ127" s="12" t="s">
        <v>14</v>
      </c>
      <c r="AR127" s="12">
        <v>2</v>
      </c>
      <c r="AS127" s="12" t="s">
        <v>14</v>
      </c>
      <c r="AT127" s="12">
        <v>2</v>
      </c>
      <c r="AU127" s="12"/>
      <c r="AV127" s="12"/>
      <c r="AW127" s="12" t="s">
        <v>14</v>
      </c>
      <c r="AX127" s="12">
        <v>2</v>
      </c>
      <c r="AY127" s="12" t="s">
        <v>14</v>
      </c>
      <c r="AZ127" s="12">
        <v>2</v>
      </c>
      <c r="BA127" s="12" t="s">
        <v>14</v>
      </c>
      <c r="BB127" s="12">
        <v>2</v>
      </c>
      <c r="BC127" s="12" t="s">
        <v>14</v>
      </c>
      <c r="BD127" s="12">
        <v>2</v>
      </c>
      <c r="BE127" s="12" t="s">
        <v>14</v>
      </c>
      <c r="BF127" s="12">
        <v>2</v>
      </c>
      <c r="BG127" s="12" t="s">
        <v>14</v>
      </c>
      <c r="BH127" s="12">
        <v>2</v>
      </c>
      <c r="BI127" s="12" t="s">
        <v>16</v>
      </c>
      <c r="BJ127" s="12">
        <v>2</v>
      </c>
      <c r="BK127" s="12" t="s">
        <v>14</v>
      </c>
      <c r="BL127" s="12">
        <v>2</v>
      </c>
      <c r="BM127" s="12" t="s">
        <v>14</v>
      </c>
      <c r="BN127" s="35">
        <v>2</v>
      </c>
      <c r="BP127" s="27">
        <v>124</v>
      </c>
      <c r="BQ127" s="27"/>
      <c r="BR127" s="29">
        <f ca="1">SUMIF(OFFSET($E$4:$BM$9,ROWS($1:124)*6-6,),BR$2,OFFSET($F$4:$BN$9,ROWS($1:124)*6-6,))</f>
        <v>0</v>
      </c>
      <c r="BS127" s="29">
        <f ca="1">SUMIF(OFFSET($E$4:$BM$9,ROWS($1:124)*6-6,),BS$2,OFFSET($F$4:$BN$9,ROWS($1:124)*6-6,))</f>
        <v>0</v>
      </c>
      <c r="BT127" s="29">
        <f ca="1">SUMIF(OFFSET($E$4:$BM$9,ROWS($1:124)*6-6,),BT$2,OFFSET($F$4:$BN$9,ROWS($1:124)*6-6,))</f>
        <v>0</v>
      </c>
      <c r="BU127" s="29">
        <f ca="1">SUMIF(OFFSET($E$4:$BM$9,ROWS($1:124)*6-6,),BU$2,OFFSET($F$4:$BN$9,ROWS($1:124)*6-6,))</f>
        <v>0</v>
      </c>
      <c r="BV127" s="29">
        <f ca="1">SUMIF(OFFSET($E$4:$BM$9,ROWS($1:124)*6-6,),BV$2,OFFSET($F$4:$BN$9,ROWS($1:124)*6-6,))</f>
        <v>0</v>
      </c>
      <c r="BW127" s="29">
        <f ca="1">SUMIF(OFFSET($E$4:$BM$9,ROWS($1:124)*6-6,),BW$2,OFFSET($F$4:$BN$9,ROWS($1:124)*6-6,))</f>
        <v>0</v>
      </c>
      <c r="BX127" s="29">
        <f ca="1">SUMIF(OFFSET($E$4:$BM$9,ROWS($1:124)*6-6,),BX$2,OFFSET($F$4:$BN$9,ROWS($1:124)*6-6,))</f>
        <v>0</v>
      </c>
      <c r="BY127" s="29">
        <f ca="1">SUMIF(OFFSET($E$4:$BM$9,ROWS($1:124)*6-6,),BY$2,OFFSET($F$4:$BN$9,ROWS($1:124)*6-6,))</f>
        <v>0</v>
      </c>
      <c r="BZ127" s="29">
        <f ca="1">SUMIF(OFFSET($E$4:$BM$9,ROWS($1:124)*6-6,),BZ$2,OFFSET($F$4:$BN$9,ROWS($1:124)*6-6,))</f>
        <v>0</v>
      </c>
      <c r="CA127" s="29">
        <f ca="1">SUMIF(OFFSET($E$4:$BM$9,ROWS($1:124)*6-6,),CA$2,OFFSET($F$4:$BN$9,ROWS($1:124)*6-6,))</f>
        <v>0</v>
      </c>
      <c r="CB127" s="29">
        <f ca="1">SUMIF(OFFSET($E$4:$BM$9,ROWS($1:124)*6-6,),CB$2,OFFSET($F$4:$BN$9,ROWS($1:124)*6-6,))</f>
        <v>0</v>
      </c>
      <c r="CC127" s="43">
        <f ca="1">SUMIF(OFFSET($E$4:$BM$9,ROWS($1:124)*6-6,),CC$2,OFFSET($F$4:$BN$9,ROWS($1:124)*6-6,))</f>
        <v>0</v>
      </c>
      <c r="CD127" s="44">
        <f t="shared" si="5"/>
        <v>0</v>
      </c>
      <c r="CE127" s="44" t="e">
        <f ca="1">INDEX(FREQUENCY(MMULT({1,1},SUBTOTAL(9,OFFSET($E$1,MATCH($CD127,$C:$C,)+{3;4},INT(COLUMN($A:$AE)*2)-1))),{3.9,7.9,11.9}),COLUMN(B124))</f>
        <v>#N/A</v>
      </c>
      <c r="CF127" s="44" t="e">
        <f ca="1">INDEX(FREQUENCY(MMULT({1,1},SUBTOTAL(9,OFFSET($E$1,MATCH($CD127,$C:$C,)+{3;4},INT(COLUMN($A:$AE)*2)-1))),{3.9,7.9,11.9}),COLUMN(C124))</f>
        <v>#N/A</v>
      </c>
      <c r="CG127" s="44" t="e">
        <f ca="1">INDEX(FREQUENCY(MMULT({1,1},SUBTOTAL(9,OFFSET($E$1,MATCH($CD127,$C:$C,)+{3;4},INT(COLUMN($A:$AE)*2)-1))),{3.9,7.9,11.9}),COLUMN(D124))</f>
        <v>#N/A</v>
      </c>
    </row>
    <row r="128" spans="1:85" ht="17.25" customHeight="1" x14ac:dyDescent="0.15">
      <c r="A128" s="85"/>
      <c r="B128" s="49"/>
      <c r="C128" s="49"/>
      <c r="D128" s="58" t="s">
        <v>49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 t="s">
        <v>15</v>
      </c>
      <c r="V128" s="14"/>
      <c r="W128" s="14" t="s">
        <v>15</v>
      </c>
      <c r="X128" s="14">
        <v>3</v>
      </c>
      <c r="Y128" s="14" t="s">
        <v>15</v>
      </c>
      <c r="Z128" s="14"/>
      <c r="AA128" s="14" t="s">
        <v>15</v>
      </c>
      <c r="AB128" s="14"/>
      <c r="AC128" s="14" t="s">
        <v>15</v>
      </c>
      <c r="AD128" s="14"/>
      <c r="AE128" s="14" t="s">
        <v>15</v>
      </c>
      <c r="AF128" s="14"/>
      <c r="AG128" s="14"/>
      <c r="AH128" s="14"/>
      <c r="AI128" s="14" t="s">
        <v>15</v>
      </c>
      <c r="AJ128" s="14"/>
      <c r="AK128" s="14" t="s">
        <v>15</v>
      </c>
      <c r="AL128" s="14">
        <v>3</v>
      </c>
      <c r="AM128" s="14" t="s">
        <v>15</v>
      </c>
      <c r="AN128" s="14">
        <v>3</v>
      </c>
      <c r="AO128" s="14" t="s">
        <v>15</v>
      </c>
      <c r="AP128" s="14"/>
      <c r="AQ128" s="14" t="s">
        <v>15</v>
      </c>
      <c r="AR128" s="14"/>
      <c r="AS128" s="14" t="s">
        <v>15</v>
      </c>
      <c r="AT128" s="14"/>
      <c r="AU128" s="14"/>
      <c r="AV128" s="14"/>
      <c r="AW128" s="14" t="s">
        <v>15</v>
      </c>
      <c r="AX128" s="14"/>
      <c r="AY128" s="14" t="s">
        <v>15</v>
      </c>
      <c r="AZ128" s="14"/>
      <c r="BA128" s="14" t="s">
        <v>15</v>
      </c>
      <c r="BB128" s="14"/>
      <c r="BC128" s="14" t="s">
        <v>15</v>
      </c>
      <c r="BD128" s="14"/>
      <c r="BE128" s="14" t="s">
        <v>15</v>
      </c>
      <c r="BF128" s="14"/>
      <c r="BG128" s="14" t="s">
        <v>15</v>
      </c>
      <c r="BH128" s="14"/>
      <c r="BI128" s="14"/>
      <c r="BJ128" s="14"/>
      <c r="BK128" s="14" t="s">
        <v>15</v>
      </c>
      <c r="BL128" s="14"/>
      <c r="BM128" s="14" t="s">
        <v>15</v>
      </c>
      <c r="BN128" s="37"/>
      <c r="BP128" s="27">
        <v>125</v>
      </c>
      <c r="BQ128" s="27"/>
      <c r="BR128" s="29">
        <f ca="1">SUMIF(OFFSET($E$4:$BM$9,ROWS($1:125)*6-6,),BR$2,OFFSET($F$4:$BN$9,ROWS($1:125)*6-6,))</f>
        <v>0</v>
      </c>
      <c r="BS128" s="29">
        <f ca="1">SUMIF(OFFSET($E$4:$BM$9,ROWS($1:125)*6-6,),BS$2,OFFSET($F$4:$BN$9,ROWS($1:125)*6-6,))</f>
        <v>0</v>
      </c>
      <c r="BT128" s="29">
        <f ca="1">SUMIF(OFFSET($E$4:$BM$9,ROWS($1:125)*6-6,),BT$2,OFFSET($F$4:$BN$9,ROWS($1:125)*6-6,))</f>
        <v>0</v>
      </c>
      <c r="BU128" s="29">
        <f ca="1">SUMIF(OFFSET($E$4:$BM$9,ROWS($1:125)*6-6,),BU$2,OFFSET($F$4:$BN$9,ROWS($1:125)*6-6,))</f>
        <v>0</v>
      </c>
      <c r="BV128" s="29">
        <f ca="1">SUMIF(OFFSET($E$4:$BM$9,ROWS($1:125)*6-6,),BV$2,OFFSET($F$4:$BN$9,ROWS($1:125)*6-6,))</f>
        <v>0</v>
      </c>
      <c r="BW128" s="29">
        <f ca="1">SUMIF(OFFSET($E$4:$BM$9,ROWS($1:125)*6-6,),BW$2,OFFSET($F$4:$BN$9,ROWS($1:125)*6-6,))</f>
        <v>0</v>
      </c>
      <c r="BX128" s="29">
        <f ca="1">SUMIF(OFFSET($E$4:$BM$9,ROWS($1:125)*6-6,),BX$2,OFFSET($F$4:$BN$9,ROWS($1:125)*6-6,))</f>
        <v>0</v>
      </c>
      <c r="BY128" s="29">
        <f ca="1">SUMIF(OFFSET($E$4:$BM$9,ROWS($1:125)*6-6,),BY$2,OFFSET($F$4:$BN$9,ROWS($1:125)*6-6,))</f>
        <v>0</v>
      </c>
      <c r="BZ128" s="29">
        <f ca="1">SUMIF(OFFSET($E$4:$BM$9,ROWS($1:125)*6-6,),BZ$2,OFFSET($F$4:$BN$9,ROWS($1:125)*6-6,))</f>
        <v>0</v>
      </c>
      <c r="CA128" s="29">
        <f ca="1">SUMIF(OFFSET($E$4:$BM$9,ROWS($1:125)*6-6,),CA$2,OFFSET($F$4:$BN$9,ROWS($1:125)*6-6,))</f>
        <v>0</v>
      </c>
      <c r="CB128" s="29">
        <f ca="1">SUMIF(OFFSET($E$4:$BM$9,ROWS($1:125)*6-6,),CB$2,OFFSET($F$4:$BN$9,ROWS($1:125)*6-6,))</f>
        <v>0</v>
      </c>
      <c r="CC128" s="43">
        <f ca="1">SUMIF(OFFSET($E$4:$BM$9,ROWS($1:125)*6-6,),CC$2,OFFSET($F$4:$BN$9,ROWS($1:125)*6-6,))</f>
        <v>0</v>
      </c>
      <c r="CD128" s="44">
        <f t="shared" si="5"/>
        <v>0</v>
      </c>
      <c r="CE128" s="44" t="e">
        <f ca="1">INDEX(FREQUENCY(MMULT({1,1},SUBTOTAL(9,OFFSET($E$1,MATCH($CD128,$C:$C,)+{3;4},INT(COLUMN($A:$AE)*2)-1))),{3.9,7.9,11.9}),COLUMN(B125))</f>
        <v>#N/A</v>
      </c>
      <c r="CF128" s="44" t="e">
        <f ca="1">INDEX(FREQUENCY(MMULT({1,1},SUBTOTAL(9,OFFSET($E$1,MATCH($CD128,$C:$C,)+{3;4},INT(COLUMN($A:$AE)*2)-1))),{3.9,7.9,11.9}),COLUMN(C125))</f>
        <v>#N/A</v>
      </c>
      <c r="CG128" s="44" t="e">
        <f ca="1">INDEX(FREQUENCY(MMULT({1,1},SUBTOTAL(9,OFFSET($E$1,MATCH($CD128,$C:$C,)+{3;4},INT(COLUMN($A:$AE)*2)-1))),{3.9,7.9,11.9}),COLUMN(D125))</f>
        <v>#N/A</v>
      </c>
    </row>
    <row r="129" spans="1:85" ht="17.25" customHeight="1" thickBot="1" x14ac:dyDescent="0.2">
      <c r="A129" s="86"/>
      <c r="B129" s="50"/>
      <c r="C129" s="50"/>
      <c r="D129" s="59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38"/>
      <c r="BP129" s="27">
        <v>126</v>
      </c>
      <c r="BQ129" s="27"/>
      <c r="BR129" s="29">
        <f ca="1">SUMIF(OFFSET($E$4:$BM$9,ROWS($1:126)*6-6,),BR$2,OFFSET($F$4:$BN$9,ROWS($1:126)*6-6,))</f>
        <v>0</v>
      </c>
      <c r="BS129" s="29">
        <f ca="1">SUMIF(OFFSET($E$4:$BM$9,ROWS($1:126)*6-6,),BS$2,OFFSET($F$4:$BN$9,ROWS($1:126)*6-6,))</f>
        <v>0</v>
      </c>
      <c r="BT129" s="29">
        <f ca="1">SUMIF(OFFSET($E$4:$BM$9,ROWS($1:126)*6-6,),BT$2,OFFSET($F$4:$BN$9,ROWS($1:126)*6-6,))</f>
        <v>0</v>
      </c>
      <c r="BU129" s="29">
        <f ca="1">SUMIF(OFFSET($E$4:$BM$9,ROWS($1:126)*6-6,),BU$2,OFFSET($F$4:$BN$9,ROWS($1:126)*6-6,))</f>
        <v>0</v>
      </c>
      <c r="BV129" s="29">
        <f ca="1">SUMIF(OFFSET($E$4:$BM$9,ROWS($1:126)*6-6,),BV$2,OFFSET($F$4:$BN$9,ROWS($1:126)*6-6,))</f>
        <v>0</v>
      </c>
      <c r="BW129" s="29">
        <f ca="1">SUMIF(OFFSET($E$4:$BM$9,ROWS($1:126)*6-6,),BW$2,OFFSET($F$4:$BN$9,ROWS($1:126)*6-6,))</f>
        <v>0</v>
      </c>
      <c r="BX129" s="29">
        <f ca="1">SUMIF(OFFSET($E$4:$BM$9,ROWS($1:126)*6-6,),BX$2,OFFSET($F$4:$BN$9,ROWS($1:126)*6-6,))</f>
        <v>0</v>
      </c>
      <c r="BY129" s="29">
        <f ca="1">SUMIF(OFFSET($E$4:$BM$9,ROWS($1:126)*6-6,),BY$2,OFFSET($F$4:$BN$9,ROWS($1:126)*6-6,))</f>
        <v>0</v>
      </c>
      <c r="BZ129" s="29">
        <f ca="1">SUMIF(OFFSET($E$4:$BM$9,ROWS($1:126)*6-6,),BZ$2,OFFSET($F$4:$BN$9,ROWS($1:126)*6-6,))</f>
        <v>0</v>
      </c>
      <c r="CA129" s="29">
        <f ca="1">SUMIF(OFFSET($E$4:$BM$9,ROWS($1:126)*6-6,),CA$2,OFFSET($F$4:$BN$9,ROWS($1:126)*6-6,))</f>
        <v>0</v>
      </c>
      <c r="CB129" s="29">
        <f ca="1">SUMIF(OFFSET($E$4:$BM$9,ROWS($1:126)*6-6,),CB$2,OFFSET($F$4:$BN$9,ROWS($1:126)*6-6,))</f>
        <v>0</v>
      </c>
      <c r="CC129" s="43">
        <f ca="1">SUMIF(OFFSET($E$4:$BM$9,ROWS($1:126)*6-6,),CC$2,OFFSET($F$4:$BN$9,ROWS($1:126)*6-6,))</f>
        <v>0</v>
      </c>
      <c r="CD129" s="44">
        <f t="shared" si="5"/>
        <v>0</v>
      </c>
      <c r="CE129" s="44" t="e">
        <f ca="1">INDEX(FREQUENCY(MMULT({1,1},SUBTOTAL(9,OFFSET($E$1,MATCH($CD129,$C:$C,)+{3;4},INT(COLUMN($A:$AE)*2)-1))),{3.9,7.9,11.9}),COLUMN(B126))</f>
        <v>#N/A</v>
      </c>
      <c r="CF129" s="44" t="e">
        <f ca="1">INDEX(FREQUENCY(MMULT({1,1},SUBTOTAL(9,OFFSET($E$1,MATCH($CD129,$C:$C,)+{3;4},INT(COLUMN($A:$AE)*2)-1))),{3.9,7.9,11.9}),COLUMN(C126))</f>
        <v>#N/A</v>
      </c>
      <c r="CG129" s="44" t="e">
        <f ca="1">INDEX(FREQUENCY(MMULT({1,1},SUBTOTAL(9,OFFSET($E$1,MATCH($CD129,$C:$C,)+{3;4},INT(COLUMN($A:$AE)*2)-1))),{3.9,7.9,11.9}),COLUMN(D126))</f>
        <v>#N/A</v>
      </c>
    </row>
    <row r="130" spans="1:85" ht="17.25" customHeight="1" x14ac:dyDescent="0.15">
      <c r="A130" s="84" t="s">
        <v>89</v>
      </c>
      <c r="B130" s="48" t="s">
        <v>107</v>
      </c>
      <c r="C130" s="68" t="s">
        <v>136</v>
      </c>
      <c r="D130" s="55" t="s">
        <v>45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34"/>
      <c r="BP130" s="27">
        <v>127</v>
      </c>
      <c r="BQ130" s="27"/>
      <c r="BR130" s="29">
        <f ca="1">SUMIF(OFFSET($E$4:$BM$9,ROWS($1:127)*6-6,),BR$2,OFFSET($F$4:$BN$9,ROWS($1:127)*6-6,))</f>
        <v>0</v>
      </c>
      <c r="BS130" s="29">
        <f ca="1">SUMIF(OFFSET($E$4:$BM$9,ROWS($1:127)*6-6,),BS$2,OFFSET($F$4:$BN$9,ROWS($1:127)*6-6,))</f>
        <v>0</v>
      </c>
      <c r="BT130" s="29">
        <f ca="1">SUMIF(OFFSET($E$4:$BM$9,ROWS($1:127)*6-6,),BT$2,OFFSET($F$4:$BN$9,ROWS($1:127)*6-6,))</f>
        <v>0</v>
      </c>
      <c r="BU130" s="29">
        <f ca="1">SUMIF(OFFSET($E$4:$BM$9,ROWS($1:127)*6-6,),BU$2,OFFSET($F$4:$BN$9,ROWS($1:127)*6-6,))</f>
        <v>0</v>
      </c>
      <c r="BV130" s="29">
        <f ca="1">SUMIF(OFFSET($E$4:$BM$9,ROWS($1:127)*6-6,),BV$2,OFFSET($F$4:$BN$9,ROWS($1:127)*6-6,))</f>
        <v>0</v>
      </c>
      <c r="BW130" s="29">
        <f ca="1">SUMIF(OFFSET($E$4:$BM$9,ROWS($1:127)*6-6,),BW$2,OFFSET($F$4:$BN$9,ROWS($1:127)*6-6,))</f>
        <v>0</v>
      </c>
      <c r="BX130" s="29">
        <f ca="1">SUMIF(OFFSET($E$4:$BM$9,ROWS($1:127)*6-6,),BX$2,OFFSET($F$4:$BN$9,ROWS($1:127)*6-6,))</f>
        <v>0</v>
      </c>
      <c r="BY130" s="29">
        <f ca="1">SUMIF(OFFSET($E$4:$BM$9,ROWS($1:127)*6-6,),BY$2,OFFSET($F$4:$BN$9,ROWS($1:127)*6-6,))</f>
        <v>0</v>
      </c>
      <c r="BZ130" s="29">
        <f ca="1">SUMIF(OFFSET($E$4:$BM$9,ROWS($1:127)*6-6,),BZ$2,OFFSET($F$4:$BN$9,ROWS($1:127)*6-6,))</f>
        <v>0</v>
      </c>
      <c r="CA130" s="29">
        <f ca="1">SUMIF(OFFSET($E$4:$BM$9,ROWS($1:127)*6-6,),CA$2,OFFSET($F$4:$BN$9,ROWS($1:127)*6-6,))</f>
        <v>0</v>
      </c>
      <c r="CB130" s="29">
        <f ca="1">SUMIF(OFFSET($E$4:$BM$9,ROWS($1:127)*6-6,),CB$2,OFFSET($F$4:$BN$9,ROWS($1:127)*6-6,))</f>
        <v>0</v>
      </c>
      <c r="CC130" s="43">
        <f ca="1">SUMIF(OFFSET($E$4:$BM$9,ROWS($1:127)*6-6,),CC$2,OFFSET($F$4:$BN$9,ROWS($1:127)*6-6,))</f>
        <v>0</v>
      </c>
      <c r="CD130" s="44">
        <f t="shared" si="5"/>
        <v>0</v>
      </c>
      <c r="CE130" s="44" t="e">
        <f ca="1">INDEX(FREQUENCY(MMULT({1,1},SUBTOTAL(9,OFFSET($E$1,MATCH($CD130,$C:$C,)+{3;4},INT(COLUMN($A:$AE)*2)-1))),{3.9,7.9,11.9}),COLUMN(B127))</f>
        <v>#N/A</v>
      </c>
      <c r="CF130" s="44" t="e">
        <f ca="1">INDEX(FREQUENCY(MMULT({1,1},SUBTOTAL(9,OFFSET($E$1,MATCH($CD130,$C:$C,)+{3;4},INT(COLUMN($A:$AE)*2)-1))),{3.9,7.9,11.9}),COLUMN(C127))</f>
        <v>#N/A</v>
      </c>
      <c r="CG130" s="44" t="e">
        <f ca="1">INDEX(FREQUENCY(MMULT({1,1},SUBTOTAL(9,OFFSET($E$1,MATCH($CD130,$C:$C,)+{3;4},INT(COLUMN($A:$AE)*2)-1))),{3.9,7.9,11.9}),COLUMN(D127))</f>
        <v>#N/A</v>
      </c>
    </row>
    <row r="131" spans="1:85" ht="17.25" customHeight="1" x14ac:dyDescent="0.15">
      <c r="A131" s="85"/>
      <c r="B131" s="49"/>
      <c r="C131" s="69"/>
      <c r="D131" s="56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35"/>
      <c r="BP131" s="27">
        <v>128</v>
      </c>
      <c r="BQ131" s="27"/>
      <c r="BR131" s="29">
        <f ca="1">SUMIF(OFFSET($E$4:$BM$9,ROWS($1:128)*6-6,),BR$2,OFFSET($F$4:$BN$9,ROWS($1:128)*6-6,))</f>
        <v>0</v>
      </c>
      <c r="BS131" s="29">
        <f ca="1">SUMIF(OFFSET($E$4:$BM$9,ROWS($1:128)*6-6,),BS$2,OFFSET($F$4:$BN$9,ROWS($1:128)*6-6,))</f>
        <v>0</v>
      </c>
      <c r="BT131" s="29">
        <f ca="1">SUMIF(OFFSET($E$4:$BM$9,ROWS($1:128)*6-6,),BT$2,OFFSET($F$4:$BN$9,ROWS($1:128)*6-6,))</f>
        <v>0</v>
      </c>
      <c r="BU131" s="29">
        <f ca="1">SUMIF(OFFSET($E$4:$BM$9,ROWS($1:128)*6-6,),BU$2,OFFSET($F$4:$BN$9,ROWS($1:128)*6-6,))</f>
        <v>0</v>
      </c>
      <c r="BV131" s="29">
        <f ca="1">SUMIF(OFFSET($E$4:$BM$9,ROWS($1:128)*6-6,),BV$2,OFFSET($F$4:$BN$9,ROWS($1:128)*6-6,))</f>
        <v>0</v>
      </c>
      <c r="BW131" s="29">
        <f ca="1">SUMIF(OFFSET($E$4:$BM$9,ROWS($1:128)*6-6,),BW$2,OFFSET($F$4:$BN$9,ROWS($1:128)*6-6,))</f>
        <v>0</v>
      </c>
      <c r="BX131" s="29">
        <f ca="1">SUMIF(OFFSET($E$4:$BM$9,ROWS($1:128)*6-6,),BX$2,OFFSET($F$4:$BN$9,ROWS($1:128)*6-6,))</f>
        <v>0</v>
      </c>
      <c r="BY131" s="29">
        <f ca="1">SUMIF(OFFSET($E$4:$BM$9,ROWS($1:128)*6-6,),BY$2,OFFSET($F$4:$BN$9,ROWS($1:128)*6-6,))</f>
        <v>0</v>
      </c>
      <c r="BZ131" s="29">
        <f ca="1">SUMIF(OFFSET($E$4:$BM$9,ROWS($1:128)*6-6,),BZ$2,OFFSET($F$4:$BN$9,ROWS($1:128)*6-6,))</f>
        <v>0</v>
      </c>
      <c r="CA131" s="29">
        <f ca="1">SUMIF(OFFSET($E$4:$BM$9,ROWS($1:128)*6-6,),CA$2,OFFSET($F$4:$BN$9,ROWS($1:128)*6-6,))</f>
        <v>0</v>
      </c>
      <c r="CB131" s="29">
        <f ca="1">SUMIF(OFFSET($E$4:$BM$9,ROWS($1:128)*6-6,),CB$2,OFFSET($F$4:$BN$9,ROWS($1:128)*6-6,))</f>
        <v>0</v>
      </c>
      <c r="CC131" s="43">
        <f ca="1">SUMIF(OFFSET($E$4:$BM$9,ROWS($1:128)*6-6,),CC$2,OFFSET($F$4:$BN$9,ROWS($1:128)*6-6,))</f>
        <v>0</v>
      </c>
      <c r="CD131" s="44">
        <f t="shared" si="5"/>
        <v>0</v>
      </c>
      <c r="CE131" s="44" t="e">
        <f ca="1">INDEX(FREQUENCY(MMULT({1,1},SUBTOTAL(9,OFFSET($E$1,MATCH($CD131,$C:$C,)+{3;4},INT(COLUMN($A:$AE)*2)-1))),{3.9,7.9,11.9}),COLUMN(B128))</f>
        <v>#N/A</v>
      </c>
      <c r="CF131" s="44" t="e">
        <f ca="1">INDEX(FREQUENCY(MMULT({1,1},SUBTOTAL(9,OFFSET($E$1,MATCH($CD131,$C:$C,)+{3;4},INT(COLUMN($A:$AE)*2)-1))),{3.9,7.9,11.9}),COLUMN(C128))</f>
        <v>#N/A</v>
      </c>
      <c r="CG131" s="44" t="e">
        <f ca="1">INDEX(FREQUENCY(MMULT({1,1},SUBTOTAL(9,OFFSET($E$1,MATCH($CD131,$C:$C,)+{3;4},INT(COLUMN($A:$AE)*2)-1))),{3.9,7.9,11.9}),COLUMN(D128))</f>
        <v>#N/A</v>
      </c>
    </row>
    <row r="132" spans="1:85" ht="17.25" customHeight="1" x14ac:dyDescent="0.15">
      <c r="A132" s="85"/>
      <c r="B132" s="49"/>
      <c r="C132" s="69"/>
      <c r="D132" s="57" t="s">
        <v>47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36"/>
      <c r="BP132" s="27">
        <v>129</v>
      </c>
      <c r="BQ132" s="27"/>
      <c r="BR132" s="29">
        <f ca="1">SUMIF(OFFSET($E$4:$BM$9,ROWS($1:129)*6-6,),BR$2,OFFSET($F$4:$BN$9,ROWS($1:129)*6-6,))</f>
        <v>0</v>
      </c>
      <c r="BS132" s="29">
        <f ca="1">SUMIF(OFFSET($E$4:$BM$9,ROWS($1:129)*6-6,),BS$2,OFFSET($F$4:$BN$9,ROWS($1:129)*6-6,))</f>
        <v>0</v>
      </c>
      <c r="BT132" s="29">
        <f ca="1">SUMIF(OFFSET($E$4:$BM$9,ROWS($1:129)*6-6,),BT$2,OFFSET($F$4:$BN$9,ROWS($1:129)*6-6,))</f>
        <v>0</v>
      </c>
      <c r="BU132" s="29">
        <f ca="1">SUMIF(OFFSET($E$4:$BM$9,ROWS($1:129)*6-6,),BU$2,OFFSET($F$4:$BN$9,ROWS($1:129)*6-6,))</f>
        <v>0</v>
      </c>
      <c r="BV132" s="29">
        <f ca="1">SUMIF(OFFSET($E$4:$BM$9,ROWS($1:129)*6-6,),BV$2,OFFSET($F$4:$BN$9,ROWS($1:129)*6-6,))</f>
        <v>0</v>
      </c>
      <c r="BW132" s="29">
        <f ca="1">SUMIF(OFFSET($E$4:$BM$9,ROWS($1:129)*6-6,),BW$2,OFFSET($F$4:$BN$9,ROWS($1:129)*6-6,))</f>
        <v>0</v>
      </c>
      <c r="BX132" s="29">
        <f ca="1">SUMIF(OFFSET($E$4:$BM$9,ROWS($1:129)*6-6,),BX$2,OFFSET($F$4:$BN$9,ROWS($1:129)*6-6,))</f>
        <v>0</v>
      </c>
      <c r="BY132" s="29">
        <f ca="1">SUMIF(OFFSET($E$4:$BM$9,ROWS($1:129)*6-6,),BY$2,OFFSET($F$4:$BN$9,ROWS($1:129)*6-6,))</f>
        <v>0</v>
      </c>
      <c r="BZ132" s="29">
        <f ca="1">SUMIF(OFFSET($E$4:$BM$9,ROWS($1:129)*6-6,),BZ$2,OFFSET($F$4:$BN$9,ROWS($1:129)*6-6,))</f>
        <v>0</v>
      </c>
      <c r="CA132" s="29">
        <f ca="1">SUMIF(OFFSET($E$4:$BM$9,ROWS($1:129)*6-6,),CA$2,OFFSET($F$4:$BN$9,ROWS($1:129)*6-6,))</f>
        <v>0</v>
      </c>
      <c r="CB132" s="29">
        <f ca="1">SUMIF(OFFSET($E$4:$BM$9,ROWS($1:129)*6-6,),CB$2,OFFSET($F$4:$BN$9,ROWS($1:129)*6-6,))</f>
        <v>0</v>
      </c>
      <c r="CC132" s="43">
        <f ca="1">SUMIF(OFFSET($E$4:$BM$9,ROWS($1:129)*6-6,),CC$2,OFFSET($F$4:$BN$9,ROWS($1:129)*6-6,))</f>
        <v>0</v>
      </c>
      <c r="CD132" s="44">
        <f t="shared" si="5"/>
        <v>0</v>
      </c>
      <c r="CE132" s="44" t="e">
        <f ca="1">INDEX(FREQUENCY(MMULT({1,1},SUBTOTAL(9,OFFSET($E$1,MATCH($CD132,$C:$C,)+{3;4},INT(COLUMN($A:$AE)*2)-1))),{3.9,7.9,11.9}),COLUMN(B129))</f>
        <v>#N/A</v>
      </c>
      <c r="CF132" s="44" t="e">
        <f ca="1">INDEX(FREQUENCY(MMULT({1,1},SUBTOTAL(9,OFFSET($E$1,MATCH($CD132,$C:$C,)+{3;4},INT(COLUMN($A:$AE)*2)-1))),{3.9,7.9,11.9}),COLUMN(C129))</f>
        <v>#N/A</v>
      </c>
      <c r="CG132" s="44" t="e">
        <f ca="1">INDEX(FREQUENCY(MMULT({1,1},SUBTOTAL(9,OFFSET($E$1,MATCH($CD132,$C:$C,)+{3;4},INT(COLUMN($A:$AE)*2)-1))),{3.9,7.9,11.9}),COLUMN(D129))</f>
        <v>#N/A</v>
      </c>
    </row>
    <row r="133" spans="1:85" ht="17.25" customHeight="1" x14ac:dyDescent="0.15">
      <c r="A133" s="85"/>
      <c r="B133" s="49"/>
      <c r="C133" s="69"/>
      <c r="D133" s="56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35"/>
      <c r="BP133" s="27">
        <v>130</v>
      </c>
      <c r="BQ133" s="27"/>
      <c r="BR133" s="29">
        <f ca="1">SUMIF(OFFSET($E$4:$BM$9,ROWS($1:130)*6-6,),BR$2,OFFSET($F$4:$BN$9,ROWS($1:130)*6-6,))</f>
        <v>0</v>
      </c>
      <c r="BS133" s="29">
        <f ca="1">SUMIF(OFFSET($E$4:$BM$9,ROWS($1:130)*6-6,),BS$2,OFFSET($F$4:$BN$9,ROWS($1:130)*6-6,))</f>
        <v>0</v>
      </c>
      <c r="BT133" s="29">
        <f ca="1">SUMIF(OFFSET($E$4:$BM$9,ROWS($1:130)*6-6,),BT$2,OFFSET($F$4:$BN$9,ROWS($1:130)*6-6,))</f>
        <v>0</v>
      </c>
      <c r="BU133" s="29">
        <f ca="1">SUMIF(OFFSET($E$4:$BM$9,ROWS($1:130)*6-6,),BU$2,OFFSET($F$4:$BN$9,ROWS($1:130)*6-6,))</f>
        <v>0</v>
      </c>
      <c r="BV133" s="29">
        <f ca="1">SUMIF(OFFSET($E$4:$BM$9,ROWS($1:130)*6-6,),BV$2,OFFSET($F$4:$BN$9,ROWS($1:130)*6-6,))</f>
        <v>0</v>
      </c>
      <c r="BW133" s="29">
        <f ca="1">SUMIF(OFFSET($E$4:$BM$9,ROWS($1:130)*6-6,),BW$2,OFFSET($F$4:$BN$9,ROWS($1:130)*6-6,))</f>
        <v>0</v>
      </c>
      <c r="BX133" s="29">
        <f ca="1">SUMIF(OFFSET($E$4:$BM$9,ROWS($1:130)*6-6,),BX$2,OFFSET($F$4:$BN$9,ROWS($1:130)*6-6,))</f>
        <v>0</v>
      </c>
      <c r="BY133" s="29">
        <f ca="1">SUMIF(OFFSET($E$4:$BM$9,ROWS($1:130)*6-6,),BY$2,OFFSET($F$4:$BN$9,ROWS($1:130)*6-6,))</f>
        <v>0</v>
      </c>
      <c r="BZ133" s="29">
        <f ca="1">SUMIF(OFFSET($E$4:$BM$9,ROWS($1:130)*6-6,),BZ$2,OFFSET($F$4:$BN$9,ROWS($1:130)*6-6,))</f>
        <v>0</v>
      </c>
      <c r="CA133" s="29">
        <f ca="1">SUMIF(OFFSET($E$4:$BM$9,ROWS($1:130)*6-6,),CA$2,OFFSET($F$4:$BN$9,ROWS($1:130)*6-6,))</f>
        <v>0</v>
      </c>
      <c r="CB133" s="29">
        <f ca="1">SUMIF(OFFSET($E$4:$BM$9,ROWS($1:130)*6-6,),CB$2,OFFSET($F$4:$BN$9,ROWS($1:130)*6-6,))</f>
        <v>0</v>
      </c>
      <c r="CC133" s="43">
        <f ca="1">SUMIF(OFFSET($E$4:$BM$9,ROWS($1:130)*6-6,),CC$2,OFFSET($F$4:$BN$9,ROWS($1:130)*6-6,))</f>
        <v>0</v>
      </c>
      <c r="CD133" s="44">
        <f t="shared" si="5"/>
        <v>0</v>
      </c>
      <c r="CE133" s="44" t="e">
        <f ca="1">INDEX(FREQUENCY(MMULT({1,1},SUBTOTAL(9,OFFSET($E$1,MATCH($CD133,$C:$C,)+{3;4},INT(COLUMN($A:$AE)*2)-1))),{3.9,7.9,11.9}),COLUMN(B130))</f>
        <v>#N/A</v>
      </c>
      <c r="CF133" s="44" t="e">
        <f ca="1">INDEX(FREQUENCY(MMULT({1,1},SUBTOTAL(9,OFFSET($E$1,MATCH($CD133,$C:$C,)+{3;4},INT(COLUMN($A:$AE)*2)-1))),{3.9,7.9,11.9}),COLUMN(C130))</f>
        <v>#N/A</v>
      </c>
      <c r="CG133" s="44" t="e">
        <f ca="1">INDEX(FREQUENCY(MMULT({1,1},SUBTOTAL(9,OFFSET($E$1,MATCH($CD133,$C:$C,)+{3;4},INT(COLUMN($A:$AE)*2)-1))),{3.9,7.9,11.9}),COLUMN(D130))</f>
        <v>#N/A</v>
      </c>
    </row>
    <row r="134" spans="1:85" ht="17.25" customHeight="1" x14ac:dyDescent="0.15">
      <c r="A134" s="85"/>
      <c r="B134" s="49"/>
      <c r="C134" s="69"/>
      <c r="D134" s="58" t="s">
        <v>49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37"/>
      <c r="BP134" s="27">
        <v>131</v>
      </c>
      <c r="BQ134" s="27"/>
      <c r="BR134" s="29">
        <f ca="1">SUMIF(OFFSET($E$4:$BM$9,ROWS($1:131)*6-6,),BR$2,OFFSET($F$4:$BN$9,ROWS($1:131)*6-6,))</f>
        <v>0</v>
      </c>
      <c r="BS134" s="29">
        <f ca="1">SUMIF(OFFSET($E$4:$BM$9,ROWS($1:131)*6-6,),BS$2,OFFSET($F$4:$BN$9,ROWS($1:131)*6-6,))</f>
        <v>0</v>
      </c>
      <c r="BT134" s="29">
        <f ca="1">SUMIF(OFFSET($E$4:$BM$9,ROWS($1:131)*6-6,),BT$2,OFFSET($F$4:$BN$9,ROWS($1:131)*6-6,))</f>
        <v>0</v>
      </c>
      <c r="BU134" s="29">
        <f ca="1">SUMIF(OFFSET($E$4:$BM$9,ROWS($1:131)*6-6,),BU$2,OFFSET($F$4:$BN$9,ROWS($1:131)*6-6,))</f>
        <v>0</v>
      </c>
      <c r="BV134" s="29">
        <f ca="1">SUMIF(OFFSET($E$4:$BM$9,ROWS($1:131)*6-6,),BV$2,OFFSET($F$4:$BN$9,ROWS($1:131)*6-6,))</f>
        <v>0</v>
      </c>
      <c r="BW134" s="29">
        <f ca="1">SUMIF(OFFSET($E$4:$BM$9,ROWS($1:131)*6-6,),BW$2,OFFSET($F$4:$BN$9,ROWS($1:131)*6-6,))</f>
        <v>0</v>
      </c>
      <c r="BX134" s="29">
        <f ca="1">SUMIF(OFFSET($E$4:$BM$9,ROWS($1:131)*6-6,),BX$2,OFFSET($F$4:$BN$9,ROWS($1:131)*6-6,))</f>
        <v>0</v>
      </c>
      <c r="BY134" s="29">
        <f ca="1">SUMIF(OFFSET($E$4:$BM$9,ROWS($1:131)*6-6,),BY$2,OFFSET($F$4:$BN$9,ROWS($1:131)*6-6,))</f>
        <v>0</v>
      </c>
      <c r="BZ134" s="29">
        <f ca="1">SUMIF(OFFSET($E$4:$BM$9,ROWS($1:131)*6-6,),BZ$2,OFFSET($F$4:$BN$9,ROWS($1:131)*6-6,))</f>
        <v>0</v>
      </c>
      <c r="CA134" s="29">
        <f ca="1">SUMIF(OFFSET($E$4:$BM$9,ROWS($1:131)*6-6,),CA$2,OFFSET($F$4:$BN$9,ROWS($1:131)*6-6,))</f>
        <v>0</v>
      </c>
      <c r="CB134" s="29">
        <f ca="1">SUMIF(OFFSET($E$4:$BM$9,ROWS($1:131)*6-6,),CB$2,OFFSET($F$4:$BN$9,ROWS($1:131)*6-6,))</f>
        <v>0</v>
      </c>
      <c r="CC134" s="43">
        <f ca="1">SUMIF(OFFSET($E$4:$BM$9,ROWS($1:131)*6-6,),CC$2,OFFSET($F$4:$BN$9,ROWS($1:131)*6-6,))</f>
        <v>0</v>
      </c>
      <c r="CD134" s="44">
        <f t="shared" si="5"/>
        <v>0</v>
      </c>
      <c r="CE134" s="44" t="e">
        <f ca="1">INDEX(FREQUENCY(MMULT({1,1},SUBTOTAL(9,OFFSET($E$1,MATCH($CD134,$C:$C,)+{3;4},INT(COLUMN($A:$AE)*2)-1))),{3.9,7.9,11.9}),COLUMN(B131))</f>
        <v>#N/A</v>
      </c>
      <c r="CF134" s="44" t="e">
        <f ca="1">INDEX(FREQUENCY(MMULT({1,1},SUBTOTAL(9,OFFSET($E$1,MATCH($CD134,$C:$C,)+{3;4},INT(COLUMN($A:$AE)*2)-1))),{3.9,7.9,11.9}),COLUMN(C131))</f>
        <v>#N/A</v>
      </c>
      <c r="CG134" s="44" t="e">
        <f ca="1">INDEX(FREQUENCY(MMULT({1,1},SUBTOTAL(9,OFFSET($E$1,MATCH($CD134,$C:$C,)+{3;4},INT(COLUMN($A:$AE)*2)-1))),{3.9,7.9,11.9}),COLUMN(D131))</f>
        <v>#N/A</v>
      </c>
    </row>
    <row r="135" spans="1:85" ht="17.25" customHeight="1" thickBot="1" x14ac:dyDescent="0.2">
      <c r="A135" s="86"/>
      <c r="B135" s="50"/>
      <c r="C135" s="70"/>
      <c r="D135" s="59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38"/>
      <c r="BP135" s="27">
        <v>132</v>
      </c>
      <c r="BQ135" s="27"/>
      <c r="BR135" s="29">
        <f ca="1">SUMIF(OFFSET($E$4:$BM$9,ROWS($1:132)*6-6,),BR$2,OFFSET($F$4:$BN$9,ROWS($1:132)*6-6,))</f>
        <v>0</v>
      </c>
      <c r="BS135" s="29">
        <f ca="1">SUMIF(OFFSET($E$4:$BM$9,ROWS($1:132)*6-6,),BS$2,OFFSET($F$4:$BN$9,ROWS($1:132)*6-6,))</f>
        <v>0</v>
      </c>
      <c r="BT135" s="29">
        <f ca="1">SUMIF(OFFSET($E$4:$BM$9,ROWS($1:132)*6-6,),BT$2,OFFSET($F$4:$BN$9,ROWS($1:132)*6-6,))</f>
        <v>0</v>
      </c>
      <c r="BU135" s="29">
        <f ca="1">SUMIF(OFFSET($E$4:$BM$9,ROWS($1:132)*6-6,),BU$2,OFFSET($F$4:$BN$9,ROWS($1:132)*6-6,))</f>
        <v>0</v>
      </c>
      <c r="BV135" s="29">
        <f ca="1">SUMIF(OFFSET($E$4:$BM$9,ROWS($1:132)*6-6,),BV$2,OFFSET($F$4:$BN$9,ROWS($1:132)*6-6,))</f>
        <v>0</v>
      </c>
      <c r="BW135" s="29">
        <f ca="1">SUMIF(OFFSET($E$4:$BM$9,ROWS($1:132)*6-6,),BW$2,OFFSET($F$4:$BN$9,ROWS($1:132)*6-6,))</f>
        <v>0</v>
      </c>
      <c r="BX135" s="29">
        <f ca="1">SUMIF(OFFSET($E$4:$BM$9,ROWS($1:132)*6-6,),BX$2,OFFSET($F$4:$BN$9,ROWS($1:132)*6-6,))</f>
        <v>0</v>
      </c>
      <c r="BY135" s="29">
        <f ca="1">SUMIF(OFFSET($E$4:$BM$9,ROWS($1:132)*6-6,),BY$2,OFFSET($F$4:$BN$9,ROWS($1:132)*6-6,))</f>
        <v>0</v>
      </c>
      <c r="BZ135" s="29">
        <f ca="1">SUMIF(OFFSET($E$4:$BM$9,ROWS($1:132)*6-6,),BZ$2,OFFSET($F$4:$BN$9,ROWS($1:132)*6-6,))</f>
        <v>0</v>
      </c>
      <c r="CA135" s="29">
        <f ca="1">SUMIF(OFFSET($E$4:$BM$9,ROWS($1:132)*6-6,),CA$2,OFFSET($F$4:$BN$9,ROWS($1:132)*6-6,))</f>
        <v>0</v>
      </c>
      <c r="CB135" s="29">
        <f ca="1">SUMIF(OFFSET($E$4:$BM$9,ROWS($1:132)*6-6,),CB$2,OFFSET($F$4:$BN$9,ROWS($1:132)*6-6,))</f>
        <v>0</v>
      </c>
      <c r="CC135" s="43">
        <f ca="1">SUMIF(OFFSET($E$4:$BM$9,ROWS($1:132)*6-6,),CC$2,OFFSET($F$4:$BN$9,ROWS($1:132)*6-6,))</f>
        <v>0</v>
      </c>
      <c r="CD135" s="44">
        <f t="shared" si="5"/>
        <v>0</v>
      </c>
      <c r="CE135" s="44" t="e">
        <f ca="1">INDEX(FREQUENCY(MMULT({1,1},SUBTOTAL(9,OFFSET($E$1,MATCH($CD135,$C:$C,)+{3;4},INT(COLUMN($A:$AE)*2)-1))),{3.9,7.9,11.9}),COLUMN(B132))</f>
        <v>#N/A</v>
      </c>
      <c r="CF135" s="44" t="e">
        <f ca="1">INDEX(FREQUENCY(MMULT({1,1},SUBTOTAL(9,OFFSET($E$1,MATCH($CD135,$C:$C,)+{3;4},INT(COLUMN($A:$AE)*2)-1))),{3.9,7.9,11.9}),COLUMN(C132))</f>
        <v>#N/A</v>
      </c>
      <c r="CG135" s="44" t="e">
        <f ca="1">INDEX(FREQUENCY(MMULT({1,1},SUBTOTAL(9,OFFSET($E$1,MATCH($CD135,$C:$C,)+{3;4},INT(COLUMN($A:$AE)*2)-1))),{3.9,7.9,11.9}),COLUMN(D132))</f>
        <v>#N/A</v>
      </c>
    </row>
    <row r="136" spans="1:85" ht="17.25" customHeight="1" x14ac:dyDescent="0.15">
      <c r="A136" s="84" t="s">
        <v>84</v>
      </c>
      <c r="B136" s="48" t="s">
        <v>43</v>
      </c>
      <c r="C136" s="48" t="s">
        <v>54</v>
      </c>
      <c r="D136" s="55" t="s">
        <v>45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14</v>
      </c>
      <c r="V136" s="11">
        <v>2</v>
      </c>
      <c r="W136" s="11" t="s">
        <v>18</v>
      </c>
      <c r="X136" s="11">
        <v>2</v>
      </c>
      <c r="Y136" s="11" t="s">
        <v>14</v>
      </c>
      <c r="Z136" s="11">
        <v>2</v>
      </c>
      <c r="AA136" s="11" t="s">
        <v>14</v>
      </c>
      <c r="AB136" s="11">
        <v>2</v>
      </c>
      <c r="AC136" s="11" t="s">
        <v>14</v>
      </c>
      <c r="AD136" s="11">
        <v>2</v>
      </c>
      <c r="AE136" s="11" t="s">
        <v>14</v>
      </c>
      <c r="AF136" s="11">
        <v>2</v>
      </c>
      <c r="AG136" s="11"/>
      <c r="AH136" s="11"/>
      <c r="AI136" s="11" t="s">
        <v>14</v>
      </c>
      <c r="AJ136" s="11">
        <v>2</v>
      </c>
      <c r="AK136" s="11" t="s">
        <v>14</v>
      </c>
      <c r="AL136" s="11">
        <v>2</v>
      </c>
      <c r="AM136" s="11" t="s">
        <v>14</v>
      </c>
      <c r="AN136" s="11">
        <v>2</v>
      </c>
      <c r="AO136" s="11" t="s">
        <v>14</v>
      </c>
      <c r="AP136" s="11">
        <v>2</v>
      </c>
      <c r="AQ136" s="11" t="s">
        <v>14</v>
      </c>
      <c r="AR136" s="11">
        <v>2</v>
      </c>
      <c r="AS136" s="11" t="s">
        <v>14</v>
      </c>
      <c r="AT136" s="11">
        <v>2</v>
      </c>
      <c r="AU136" s="11" t="s">
        <v>16</v>
      </c>
      <c r="AV136" s="11">
        <v>2</v>
      </c>
      <c r="AW136" s="11" t="s">
        <v>14</v>
      </c>
      <c r="AX136" s="11">
        <v>2</v>
      </c>
      <c r="AY136" s="11" t="s">
        <v>14</v>
      </c>
      <c r="AZ136" s="11">
        <v>2</v>
      </c>
      <c r="BA136" s="11" t="s">
        <v>14</v>
      </c>
      <c r="BB136" s="11">
        <v>2</v>
      </c>
      <c r="BC136" s="11" t="s">
        <v>14</v>
      </c>
      <c r="BD136" s="11">
        <v>2</v>
      </c>
      <c r="BE136" s="11" t="s">
        <v>14</v>
      </c>
      <c r="BF136" s="11">
        <v>2</v>
      </c>
      <c r="BG136" s="11" t="s">
        <v>14</v>
      </c>
      <c r="BH136" s="11">
        <v>2</v>
      </c>
      <c r="BI136" s="11" t="s">
        <v>16</v>
      </c>
      <c r="BJ136" s="11">
        <v>2</v>
      </c>
      <c r="BK136" s="11" t="s">
        <v>14</v>
      </c>
      <c r="BL136" s="11">
        <v>2</v>
      </c>
      <c r="BM136" s="11" t="s">
        <v>14</v>
      </c>
      <c r="BN136" s="34">
        <v>2</v>
      </c>
      <c r="BP136" s="27">
        <v>133</v>
      </c>
      <c r="BQ136" s="27"/>
      <c r="BR136" s="29">
        <f ca="1">SUMIF(OFFSET($E$4:$BM$9,ROWS($1:133)*6-6,),BR$2,OFFSET($F$4:$BN$9,ROWS($1:133)*6-6,))</f>
        <v>0</v>
      </c>
      <c r="BS136" s="29">
        <f ca="1">SUMIF(OFFSET($E$4:$BM$9,ROWS($1:133)*6-6,),BS$2,OFFSET($F$4:$BN$9,ROWS($1:133)*6-6,))</f>
        <v>0</v>
      </c>
      <c r="BT136" s="29">
        <f ca="1">SUMIF(OFFSET($E$4:$BM$9,ROWS($1:133)*6-6,),BT$2,OFFSET($F$4:$BN$9,ROWS($1:133)*6-6,))</f>
        <v>0</v>
      </c>
      <c r="BU136" s="29">
        <f ca="1">SUMIF(OFFSET($E$4:$BM$9,ROWS($1:133)*6-6,),BU$2,OFFSET($F$4:$BN$9,ROWS($1:133)*6-6,))</f>
        <v>0</v>
      </c>
      <c r="BV136" s="29">
        <f ca="1">SUMIF(OFFSET($E$4:$BM$9,ROWS($1:133)*6-6,),BV$2,OFFSET($F$4:$BN$9,ROWS($1:133)*6-6,))</f>
        <v>0</v>
      </c>
      <c r="BW136" s="29">
        <f ca="1">SUMIF(OFFSET($E$4:$BM$9,ROWS($1:133)*6-6,),BW$2,OFFSET($F$4:$BN$9,ROWS($1:133)*6-6,))</f>
        <v>0</v>
      </c>
      <c r="BX136" s="29">
        <f ca="1">SUMIF(OFFSET($E$4:$BM$9,ROWS($1:133)*6-6,),BX$2,OFFSET($F$4:$BN$9,ROWS($1:133)*6-6,))</f>
        <v>0</v>
      </c>
      <c r="BY136" s="29">
        <f ca="1">SUMIF(OFFSET($E$4:$BM$9,ROWS($1:133)*6-6,),BY$2,OFFSET($F$4:$BN$9,ROWS($1:133)*6-6,))</f>
        <v>0</v>
      </c>
      <c r="BZ136" s="29">
        <f ca="1">SUMIF(OFFSET($E$4:$BM$9,ROWS($1:133)*6-6,),BZ$2,OFFSET($F$4:$BN$9,ROWS($1:133)*6-6,))</f>
        <v>0</v>
      </c>
      <c r="CA136" s="29">
        <f ca="1">SUMIF(OFFSET($E$4:$BM$9,ROWS($1:133)*6-6,),CA$2,OFFSET($F$4:$BN$9,ROWS($1:133)*6-6,))</f>
        <v>0</v>
      </c>
      <c r="CB136" s="29">
        <f ca="1">SUMIF(OFFSET($E$4:$BM$9,ROWS($1:133)*6-6,),CB$2,OFFSET($F$4:$BN$9,ROWS($1:133)*6-6,))</f>
        <v>0</v>
      </c>
      <c r="CC136" s="43">
        <f ca="1">SUMIF(OFFSET($E$4:$BM$9,ROWS($1:133)*6-6,),CC$2,OFFSET($F$4:$BN$9,ROWS($1:133)*6-6,))</f>
        <v>0</v>
      </c>
      <c r="CD136" s="44">
        <f t="shared" si="5"/>
        <v>0</v>
      </c>
      <c r="CE136" s="44" t="e">
        <f ca="1">INDEX(FREQUENCY(MMULT({1,1},SUBTOTAL(9,OFFSET($E$1,MATCH($CD136,$C:$C,)+{3;4},INT(COLUMN($A:$AE)*2)-1))),{3.9,7.9,11.9}),COLUMN(B133))</f>
        <v>#N/A</v>
      </c>
      <c r="CF136" s="44" t="e">
        <f ca="1">INDEX(FREQUENCY(MMULT({1,1},SUBTOTAL(9,OFFSET($E$1,MATCH($CD136,$C:$C,)+{3;4},INT(COLUMN($A:$AE)*2)-1))),{3.9,7.9,11.9}),COLUMN(C133))</f>
        <v>#N/A</v>
      </c>
      <c r="CG136" s="44" t="e">
        <f ca="1">INDEX(FREQUENCY(MMULT({1,1},SUBTOTAL(9,OFFSET($E$1,MATCH($CD136,$C:$C,)+{3;4},INT(COLUMN($A:$AE)*2)-1))),{3.9,7.9,11.9}),COLUMN(D133))</f>
        <v>#N/A</v>
      </c>
    </row>
    <row r="137" spans="1:85" ht="17.25" customHeight="1" x14ac:dyDescent="0.15">
      <c r="A137" s="85"/>
      <c r="B137" s="49"/>
      <c r="C137" s="49"/>
      <c r="D137" s="56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 t="s">
        <v>14</v>
      </c>
      <c r="V137" s="12">
        <v>2</v>
      </c>
      <c r="W137" s="12" t="s">
        <v>18</v>
      </c>
      <c r="X137" s="12">
        <v>2</v>
      </c>
      <c r="Y137" s="12" t="s">
        <v>14</v>
      </c>
      <c r="Z137" s="12">
        <v>2</v>
      </c>
      <c r="AA137" s="12" t="s">
        <v>14</v>
      </c>
      <c r="AB137" s="12">
        <v>2</v>
      </c>
      <c r="AC137" s="12" t="s">
        <v>14</v>
      </c>
      <c r="AD137" s="12">
        <v>2</v>
      </c>
      <c r="AE137" s="12" t="s">
        <v>14</v>
      </c>
      <c r="AF137" s="12">
        <v>2</v>
      </c>
      <c r="AG137" s="12"/>
      <c r="AH137" s="12"/>
      <c r="AI137" s="12" t="s">
        <v>14</v>
      </c>
      <c r="AJ137" s="12">
        <v>2</v>
      </c>
      <c r="AK137" s="12" t="s">
        <v>14</v>
      </c>
      <c r="AL137" s="12">
        <v>2</v>
      </c>
      <c r="AM137" s="12" t="s">
        <v>14</v>
      </c>
      <c r="AN137" s="12">
        <v>2</v>
      </c>
      <c r="AO137" s="12" t="s">
        <v>14</v>
      </c>
      <c r="AP137" s="12">
        <v>2</v>
      </c>
      <c r="AQ137" s="12" t="s">
        <v>14</v>
      </c>
      <c r="AR137" s="12">
        <v>2</v>
      </c>
      <c r="AS137" s="12" t="s">
        <v>14</v>
      </c>
      <c r="AT137" s="12">
        <v>2</v>
      </c>
      <c r="AU137" s="12" t="s">
        <v>16</v>
      </c>
      <c r="AV137" s="12">
        <v>2</v>
      </c>
      <c r="AW137" s="12" t="s">
        <v>14</v>
      </c>
      <c r="AX137" s="12">
        <v>2</v>
      </c>
      <c r="AY137" s="12" t="s">
        <v>14</v>
      </c>
      <c r="AZ137" s="12">
        <v>2</v>
      </c>
      <c r="BA137" s="12" t="s">
        <v>14</v>
      </c>
      <c r="BB137" s="12">
        <v>2</v>
      </c>
      <c r="BC137" s="12" t="s">
        <v>14</v>
      </c>
      <c r="BD137" s="12">
        <v>2</v>
      </c>
      <c r="BE137" s="12" t="s">
        <v>14</v>
      </c>
      <c r="BF137" s="12">
        <v>2</v>
      </c>
      <c r="BG137" s="12" t="s">
        <v>14</v>
      </c>
      <c r="BH137" s="12">
        <v>2</v>
      </c>
      <c r="BI137" s="12" t="s">
        <v>16</v>
      </c>
      <c r="BJ137" s="12">
        <v>2</v>
      </c>
      <c r="BK137" s="12" t="s">
        <v>14</v>
      </c>
      <c r="BL137" s="12">
        <v>2</v>
      </c>
      <c r="BM137" s="12" t="s">
        <v>14</v>
      </c>
      <c r="BN137" s="35">
        <v>2</v>
      </c>
      <c r="BP137" s="27">
        <v>134</v>
      </c>
      <c r="BQ137" s="27"/>
      <c r="BR137" s="29">
        <f ca="1">SUMIF(OFFSET($E$4:$BM$9,ROWS($1:134)*6-6,),BR$2,OFFSET($F$4:$BN$9,ROWS($1:134)*6-6,))</f>
        <v>0</v>
      </c>
      <c r="BS137" s="29">
        <f ca="1">SUMIF(OFFSET($E$4:$BM$9,ROWS($1:134)*6-6,),BS$2,OFFSET($F$4:$BN$9,ROWS($1:134)*6-6,))</f>
        <v>0</v>
      </c>
      <c r="BT137" s="29">
        <f ca="1">SUMIF(OFFSET($E$4:$BM$9,ROWS($1:134)*6-6,),BT$2,OFFSET($F$4:$BN$9,ROWS($1:134)*6-6,))</f>
        <v>0</v>
      </c>
      <c r="BU137" s="29">
        <f ca="1">SUMIF(OFFSET($E$4:$BM$9,ROWS($1:134)*6-6,),BU$2,OFFSET($F$4:$BN$9,ROWS($1:134)*6-6,))</f>
        <v>0</v>
      </c>
      <c r="BV137" s="29">
        <f ca="1">SUMIF(OFFSET($E$4:$BM$9,ROWS($1:134)*6-6,),BV$2,OFFSET($F$4:$BN$9,ROWS($1:134)*6-6,))</f>
        <v>0</v>
      </c>
      <c r="BW137" s="29">
        <f ca="1">SUMIF(OFFSET($E$4:$BM$9,ROWS($1:134)*6-6,),BW$2,OFFSET($F$4:$BN$9,ROWS($1:134)*6-6,))</f>
        <v>0</v>
      </c>
      <c r="BX137" s="29">
        <f ca="1">SUMIF(OFFSET($E$4:$BM$9,ROWS($1:134)*6-6,),BX$2,OFFSET($F$4:$BN$9,ROWS($1:134)*6-6,))</f>
        <v>0</v>
      </c>
      <c r="BY137" s="29">
        <f ca="1">SUMIF(OFFSET($E$4:$BM$9,ROWS($1:134)*6-6,),BY$2,OFFSET($F$4:$BN$9,ROWS($1:134)*6-6,))</f>
        <v>0</v>
      </c>
      <c r="BZ137" s="29">
        <f ca="1">SUMIF(OFFSET($E$4:$BM$9,ROWS($1:134)*6-6,),BZ$2,OFFSET($F$4:$BN$9,ROWS($1:134)*6-6,))</f>
        <v>0</v>
      </c>
      <c r="CA137" s="29">
        <f ca="1">SUMIF(OFFSET($E$4:$BM$9,ROWS($1:134)*6-6,),CA$2,OFFSET($F$4:$BN$9,ROWS($1:134)*6-6,))</f>
        <v>0</v>
      </c>
      <c r="CB137" s="29">
        <f ca="1">SUMIF(OFFSET($E$4:$BM$9,ROWS($1:134)*6-6,),CB$2,OFFSET($F$4:$BN$9,ROWS($1:134)*6-6,))</f>
        <v>0</v>
      </c>
      <c r="CC137" s="43">
        <f ca="1">SUMIF(OFFSET($E$4:$BM$9,ROWS($1:134)*6-6,),CC$2,OFFSET($F$4:$BN$9,ROWS($1:134)*6-6,))</f>
        <v>0</v>
      </c>
      <c r="CD137" s="44">
        <f t="shared" si="5"/>
        <v>0</v>
      </c>
      <c r="CE137" s="44" t="e">
        <f ca="1">INDEX(FREQUENCY(MMULT({1,1},SUBTOTAL(9,OFFSET($E$1,MATCH($CD137,$C:$C,)+{3;4},INT(COLUMN($A:$AE)*2)-1))),{3.9,7.9,11.9}),COLUMN(B134))</f>
        <v>#N/A</v>
      </c>
      <c r="CF137" s="44" t="e">
        <f ca="1">INDEX(FREQUENCY(MMULT({1,1},SUBTOTAL(9,OFFSET($E$1,MATCH($CD137,$C:$C,)+{3;4},INT(COLUMN($A:$AE)*2)-1))),{3.9,7.9,11.9}),COLUMN(C134))</f>
        <v>#N/A</v>
      </c>
      <c r="CG137" s="44" t="e">
        <f ca="1">INDEX(FREQUENCY(MMULT({1,1},SUBTOTAL(9,OFFSET($E$1,MATCH($CD137,$C:$C,)+{3;4},INT(COLUMN($A:$AE)*2)-1))),{3.9,7.9,11.9}),COLUMN(D134))</f>
        <v>#N/A</v>
      </c>
    </row>
    <row r="138" spans="1:85" ht="17.25" customHeight="1" x14ac:dyDescent="0.15">
      <c r="A138" s="85"/>
      <c r="B138" s="49"/>
      <c r="C138" s="49"/>
      <c r="D138" s="57" t="s">
        <v>47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 t="s">
        <v>18</v>
      </c>
      <c r="V138" s="13">
        <v>2</v>
      </c>
      <c r="W138" s="13" t="s">
        <v>18</v>
      </c>
      <c r="X138" s="13">
        <v>2</v>
      </c>
      <c r="Y138" s="13" t="s">
        <v>14</v>
      </c>
      <c r="Z138" s="13">
        <v>2</v>
      </c>
      <c r="AA138" s="13" t="s">
        <v>14</v>
      </c>
      <c r="AB138" s="13">
        <v>2</v>
      </c>
      <c r="AC138" s="13" t="s">
        <v>14</v>
      </c>
      <c r="AD138" s="13">
        <v>2</v>
      </c>
      <c r="AE138" s="13" t="s">
        <v>14</v>
      </c>
      <c r="AF138" s="13">
        <v>2</v>
      </c>
      <c r="AG138" s="13"/>
      <c r="AH138" s="13"/>
      <c r="AI138" s="13" t="s">
        <v>14</v>
      </c>
      <c r="AJ138" s="13">
        <v>2</v>
      </c>
      <c r="AK138" s="13" t="s">
        <v>14</v>
      </c>
      <c r="AL138" s="13">
        <v>2</v>
      </c>
      <c r="AM138" s="13" t="s">
        <v>14</v>
      </c>
      <c r="AN138" s="13">
        <v>2</v>
      </c>
      <c r="AO138" s="13" t="s">
        <v>14</v>
      </c>
      <c r="AP138" s="13">
        <v>2</v>
      </c>
      <c r="AQ138" s="13" t="s">
        <v>14</v>
      </c>
      <c r="AR138" s="13">
        <v>2</v>
      </c>
      <c r="AS138" s="13" t="s">
        <v>14</v>
      </c>
      <c r="AT138" s="13">
        <v>2</v>
      </c>
      <c r="AU138" s="13" t="s">
        <v>16</v>
      </c>
      <c r="AV138" s="13">
        <v>2</v>
      </c>
      <c r="AW138" s="13" t="s">
        <v>14</v>
      </c>
      <c r="AX138" s="13">
        <v>2</v>
      </c>
      <c r="AY138" s="13" t="s">
        <v>14</v>
      </c>
      <c r="AZ138" s="13">
        <v>2</v>
      </c>
      <c r="BA138" s="13" t="s">
        <v>14</v>
      </c>
      <c r="BB138" s="13">
        <v>2</v>
      </c>
      <c r="BC138" s="13" t="s">
        <v>14</v>
      </c>
      <c r="BD138" s="13">
        <v>2</v>
      </c>
      <c r="BE138" s="13" t="s">
        <v>14</v>
      </c>
      <c r="BF138" s="13">
        <v>2</v>
      </c>
      <c r="BG138" s="13" t="s">
        <v>14</v>
      </c>
      <c r="BH138" s="13">
        <v>2</v>
      </c>
      <c r="BI138" s="13" t="s">
        <v>16</v>
      </c>
      <c r="BJ138" s="13">
        <v>2</v>
      </c>
      <c r="BK138" s="13" t="s">
        <v>14</v>
      </c>
      <c r="BL138" s="13">
        <v>2</v>
      </c>
      <c r="BM138" s="13" t="s">
        <v>14</v>
      </c>
      <c r="BN138" s="36">
        <v>2</v>
      </c>
      <c r="BP138" s="27">
        <v>135</v>
      </c>
      <c r="BQ138" s="27"/>
      <c r="BR138" s="29">
        <f ca="1">SUMIF(OFFSET($E$4:$BM$9,ROWS($1:135)*6-6,),BR$2,OFFSET($F$4:$BN$9,ROWS($1:135)*6-6,))</f>
        <v>0</v>
      </c>
      <c r="BS138" s="29">
        <f ca="1">SUMIF(OFFSET($E$4:$BM$9,ROWS($1:135)*6-6,),BS$2,OFFSET($F$4:$BN$9,ROWS($1:135)*6-6,))</f>
        <v>0</v>
      </c>
      <c r="BT138" s="29">
        <f ca="1">SUMIF(OFFSET($E$4:$BM$9,ROWS($1:135)*6-6,),BT$2,OFFSET($F$4:$BN$9,ROWS($1:135)*6-6,))</f>
        <v>0</v>
      </c>
      <c r="BU138" s="29">
        <f ca="1">SUMIF(OFFSET($E$4:$BM$9,ROWS($1:135)*6-6,),BU$2,OFFSET($F$4:$BN$9,ROWS($1:135)*6-6,))</f>
        <v>0</v>
      </c>
      <c r="BV138" s="29">
        <f ca="1">SUMIF(OFFSET($E$4:$BM$9,ROWS($1:135)*6-6,),BV$2,OFFSET($F$4:$BN$9,ROWS($1:135)*6-6,))</f>
        <v>0</v>
      </c>
      <c r="BW138" s="29">
        <f ca="1">SUMIF(OFFSET($E$4:$BM$9,ROWS($1:135)*6-6,),BW$2,OFFSET($F$4:$BN$9,ROWS($1:135)*6-6,))</f>
        <v>0</v>
      </c>
      <c r="BX138" s="29">
        <f ca="1">SUMIF(OFFSET($E$4:$BM$9,ROWS($1:135)*6-6,),BX$2,OFFSET($F$4:$BN$9,ROWS($1:135)*6-6,))</f>
        <v>0</v>
      </c>
      <c r="BY138" s="29">
        <f ca="1">SUMIF(OFFSET($E$4:$BM$9,ROWS($1:135)*6-6,),BY$2,OFFSET($F$4:$BN$9,ROWS($1:135)*6-6,))</f>
        <v>0</v>
      </c>
      <c r="BZ138" s="29">
        <f ca="1">SUMIF(OFFSET($E$4:$BM$9,ROWS($1:135)*6-6,),BZ$2,OFFSET($F$4:$BN$9,ROWS($1:135)*6-6,))</f>
        <v>0</v>
      </c>
      <c r="CA138" s="29">
        <f ca="1">SUMIF(OFFSET($E$4:$BM$9,ROWS($1:135)*6-6,),CA$2,OFFSET($F$4:$BN$9,ROWS($1:135)*6-6,))</f>
        <v>0</v>
      </c>
      <c r="CB138" s="29">
        <f ca="1">SUMIF(OFFSET($E$4:$BM$9,ROWS($1:135)*6-6,),CB$2,OFFSET($F$4:$BN$9,ROWS($1:135)*6-6,))</f>
        <v>0</v>
      </c>
      <c r="CC138" s="43">
        <f ca="1">SUMIF(OFFSET($E$4:$BM$9,ROWS($1:135)*6-6,),CC$2,OFFSET($F$4:$BN$9,ROWS($1:135)*6-6,))</f>
        <v>0</v>
      </c>
      <c r="CD138" s="44">
        <f t="shared" si="5"/>
        <v>0</v>
      </c>
      <c r="CE138" s="44" t="e">
        <f ca="1">INDEX(FREQUENCY(MMULT({1,1},SUBTOTAL(9,OFFSET($E$1,MATCH($CD138,$C:$C,)+{3;4},INT(COLUMN($A:$AE)*2)-1))),{3.9,7.9,11.9}),COLUMN(B135))</f>
        <v>#N/A</v>
      </c>
      <c r="CF138" s="44" t="e">
        <f ca="1">INDEX(FREQUENCY(MMULT({1,1},SUBTOTAL(9,OFFSET($E$1,MATCH($CD138,$C:$C,)+{3;4},INT(COLUMN($A:$AE)*2)-1))),{3.9,7.9,11.9}),COLUMN(C135))</f>
        <v>#N/A</v>
      </c>
      <c r="CG138" s="44" t="e">
        <f ca="1">INDEX(FREQUENCY(MMULT({1,1},SUBTOTAL(9,OFFSET($E$1,MATCH($CD138,$C:$C,)+{3;4},INT(COLUMN($A:$AE)*2)-1))),{3.9,7.9,11.9}),COLUMN(D135))</f>
        <v>#N/A</v>
      </c>
    </row>
    <row r="139" spans="1:85" ht="17.25" customHeight="1" x14ac:dyDescent="0.15">
      <c r="A139" s="85"/>
      <c r="B139" s="49"/>
      <c r="C139" s="49"/>
      <c r="D139" s="56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 t="s">
        <v>18</v>
      </c>
      <c r="V139" s="12">
        <v>2</v>
      </c>
      <c r="W139" s="12" t="s">
        <v>18</v>
      </c>
      <c r="X139" s="12">
        <v>2</v>
      </c>
      <c r="Y139" s="12" t="s">
        <v>14</v>
      </c>
      <c r="Z139" s="12">
        <v>2</v>
      </c>
      <c r="AA139" s="12" t="s">
        <v>14</v>
      </c>
      <c r="AB139" s="12">
        <v>2</v>
      </c>
      <c r="AC139" s="12" t="s">
        <v>14</v>
      </c>
      <c r="AD139" s="12">
        <v>2</v>
      </c>
      <c r="AE139" s="12" t="s">
        <v>14</v>
      </c>
      <c r="AF139" s="12">
        <v>2</v>
      </c>
      <c r="AG139" s="12"/>
      <c r="AH139" s="12"/>
      <c r="AI139" s="12" t="s">
        <v>14</v>
      </c>
      <c r="AJ139" s="12">
        <v>2</v>
      </c>
      <c r="AK139" s="12" t="s">
        <v>14</v>
      </c>
      <c r="AL139" s="12">
        <v>2</v>
      </c>
      <c r="AM139" s="12" t="s">
        <v>14</v>
      </c>
      <c r="AN139" s="12">
        <v>2</v>
      </c>
      <c r="AO139" s="12" t="s">
        <v>14</v>
      </c>
      <c r="AP139" s="12">
        <v>2</v>
      </c>
      <c r="AQ139" s="12" t="s">
        <v>14</v>
      </c>
      <c r="AR139" s="12">
        <v>2</v>
      </c>
      <c r="AS139" s="12" t="s">
        <v>14</v>
      </c>
      <c r="AT139" s="12">
        <v>2</v>
      </c>
      <c r="AU139" s="12" t="s">
        <v>16</v>
      </c>
      <c r="AV139" s="12">
        <v>2</v>
      </c>
      <c r="AW139" s="12" t="s">
        <v>14</v>
      </c>
      <c r="AX139" s="12">
        <v>2</v>
      </c>
      <c r="AY139" s="12" t="s">
        <v>14</v>
      </c>
      <c r="AZ139" s="12">
        <v>2</v>
      </c>
      <c r="BA139" s="12" t="s">
        <v>14</v>
      </c>
      <c r="BB139" s="12">
        <v>2</v>
      </c>
      <c r="BC139" s="12" t="s">
        <v>14</v>
      </c>
      <c r="BD139" s="12">
        <v>2</v>
      </c>
      <c r="BE139" s="12" t="s">
        <v>14</v>
      </c>
      <c r="BF139" s="12">
        <v>2</v>
      </c>
      <c r="BG139" s="12" t="s">
        <v>14</v>
      </c>
      <c r="BH139" s="12">
        <v>2</v>
      </c>
      <c r="BI139" s="12" t="s">
        <v>16</v>
      </c>
      <c r="BJ139" s="12">
        <v>2</v>
      </c>
      <c r="BK139" s="12" t="s">
        <v>14</v>
      </c>
      <c r="BL139" s="12">
        <v>2</v>
      </c>
      <c r="BM139" s="12" t="s">
        <v>14</v>
      </c>
      <c r="BN139" s="35">
        <v>2</v>
      </c>
      <c r="BP139" s="27">
        <v>136</v>
      </c>
      <c r="BQ139" s="27"/>
      <c r="BR139" s="29">
        <f ca="1">SUMIF(OFFSET($E$4:$BM$9,ROWS($1:136)*6-6,),BR$2,OFFSET($F$4:$BN$9,ROWS($1:136)*6-6,))</f>
        <v>0</v>
      </c>
      <c r="BS139" s="29">
        <f ca="1">SUMIF(OFFSET($E$4:$BM$9,ROWS($1:136)*6-6,),BS$2,OFFSET($F$4:$BN$9,ROWS($1:136)*6-6,))</f>
        <v>0</v>
      </c>
      <c r="BT139" s="29">
        <f ca="1">SUMIF(OFFSET($E$4:$BM$9,ROWS($1:136)*6-6,),BT$2,OFFSET($F$4:$BN$9,ROWS($1:136)*6-6,))</f>
        <v>0</v>
      </c>
      <c r="BU139" s="29">
        <f ca="1">SUMIF(OFFSET($E$4:$BM$9,ROWS($1:136)*6-6,),BU$2,OFFSET($F$4:$BN$9,ROWS($1:136)*6-6,))</f>
        <v>0</v>
      </c>
      <c r="BV139" s="29">
        <f ca="1">SUMIF(OFFSET($E$4:$BM$9,ROWS($1:136)*6-6,),BV$2,OFFSET($F$4:$BN$9,ROWS($1:136)*6-6,))</f>
        <v>0</v>
      </c>
      <c r="BW139" s="29">
        <f ca="1">SUMIF(OFFSET($E$4:$BM$9,ROWS($1:136)*6-6,),BW$2,OFFSET($F$4:$BN$9,ROWS($1:136)*6-6,))</f>
        <v>0</v>
      </c>
      <c r="BX139" s="29">
        <f ca="1">SUMIF(OFFSET($E$4:$BM$9,ROWS($1:136)*6-6,),BX$2,OFFSET($F$4:$BN$9,ROWS($1:136)*6-6,))</f>
        <v>0</v>
      </c>
      <c r="BY139" s="29">
        <f ca="1">SUMIF(OFFSET($E$4:$BM$9,ROWS($1:136)*6-6,),BY$2,OFFSET($F$4:$BN$9,ROWS($1:136)*6-6,))</f>
        <v>0</v>
      </c>
      <c r="BZ139" s="29">
        <f ca="1">SUMIF(OFFSET($E$4:$BM$9,ROWS($1:136)*6-6,),BZ$2,OFFSET($F$4:$BN$9,ROWS($1:136)*6-6,))</f>
        <v>0</v>
      </c>
      <c r="CA139" s="29">
        <f ca="1">SUMIF(OFFSET($E$4:$BM$9,ROWS($1:136)*6-6,),CA$2,OFFSET($F$4:$BN$9,ROWS($1:136)*6-6,))</f>
        <v>0</v>
      </c>
      <c r="CB139" s="29">
        <f ca="1">SUMIF(OFFSET($E$4:$BM$9,ROWS($1:136)*6-6,),CB$2,OFFSET($F$4:$BN$9,ROWS($1:136)*6-6,))</f>
        <v>0</v>
      </c>
      <c r="CC139" s="43">
        <f ca="1">SUMIF(OFFSET($E$4:$BM$9,ROWS($1:136)*6-6,),CC$2,OFFSET($F$4:$BN$9,ROWS($1:136)*6-6,))</f>
        <v>0</v>
      </c>
      <c r="CD139" s="44">
        <f t="shared" si="5"/>
        <v>0</v>
      </c>
      <c r="CE139" s="44" t="e">
        <f ca="1">INDEX(FREQUENCY(MMULT({1,1},SUBTOTAL(9,OFFSET($E$1,MATCH($CD139,$C:$C,)+{3;4},INT(COLUMN($A:$AE)*2)-1))),{3.9,7.9,11.9}),COLUMN(B136))</f>
        <v>#N/A</v>
      </c>
      <c r="CF139" s="44" t="e">
        <f ca="1">INDEX(FREQUENCY(MMULT({1,1},SUBTOTAL(9,OFFSET($E$1,MATCH($CD139,$C:$C,)+{3;4},INT(COLUMN($A:$AE)*2)-1))),{3.9,7.9,11.9}),COLUMN(C136))</f>
        <v>#N/A</v>
      </c>
      <c r="CG139" s="44" t="e">
        <f ca="1">INDEX(FREQUENCY(MMULT({1,1},SUBTOTAL(9,OFFSET($E$1,MATCH($CD139,$C:$C,)+{3;4},INT(COLUMN($A:$AE)*2)-1))),{3.9,7.9,11.9}),COLUMN(D136))</f>
        <v>#N/A</v>
      </c>
    </row>
    <row r="140" spans="1:85" ht="17.25" customHeight="1" x14ac:dyDescent="0.15">
      <c r="A140" s="85"/>
      <c r="B140" s="49"/>
      <c r="C140" s="49"/>
      <c r="D140" s="58" t="s">
        <v>49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 t="s">
        <v>15</v>
      </c>
      <c r="V140" s="14"/>
      <c r="W140" s="14" t="s">
        <v>15</v>
      </c>
      <c r="X140" s="14"/>
      <c r="Y140" s="14" t="s">
        <v>15</v>
      </c>
      <c r="Z140" s="14">
        <v>3</v>
      </c>
      <c r="AA140" s="14" t="s">
        <v>15</v>
      </c>
      <c r="AB140" s="14">
        <v>3</v>
      </c>
      <c r="AC140" s="14" t="s">
        <v>15</v>
      </c>
      <c r="AD140" s="14"/>
      <c r="AE140" s="14" t="s">
        <v>15</v>
      </c>
      <c r="AF140" s="14"/>
      <c r="AG140" s="14"/>
      <c r="AH140" s="14"/>
      <c r="AI140" s="14" t="s">
        <v>15</v>
      </c>
      <c r="AJ140" s="14">
        <v>3</v>
      </c>
      <c r="AK140" s="14" t="s">
        <v>15</v>
      </c>
      <c r="AL140" s="14"/>
      <c r="AM140" s="14" t="s">
        <v>15</v>
      </c>
      <c r="AN140" s="14"/>
      <c r="AO140" s="14" t="s">
        <v>15</v>
      </c>
      <c r="AP140" s="14">
        <v>1</v>
      </c>
      <c r="AQ140" s="14" t="s">
        <v>15</v>
      </c>
      <c r="AR140" s="14">
        <v>3</v>
      </c>
      <c r="AS140" s="14" t="s">
        <v>15</v>
      </c>
      <c r="AT140" s="14">
        <v>3</v>
      </c>
      <c r="AU140" s="14"/>
      <c r="AV140" s="14"/>
      <c r="AW140" s="14" t="s">
        <v>15</v>
      </c>
      <c r="AX140" s="14">
        <v>4</v>
      </c>
      <c r="AY140" s="14" t="s">
        <v>15</v>
      </c>
      <c r="AZ140" s="14">
        <v>3.5</v>
      </c>
      <c r="BA140" s="14" t="s">
        <v>15</v>
      </c>
      <c r="BB140" s="14">
        <v>2.5</v>
      </c>
      <c r="BC140" s="14" t="s">
        <v>15</v>
      </c>
      <c r="BD140" s="14">
        <v>4</v>
      </c>
      <c r="BE140" s="14" t="s">
        <v>15</v>
      </c>
      <c r="BF140" s="14">
        <v>4</v>
      </c>
      <c r="BG140" s="14" t="s">
        <v>15</v>
      </c>
      <c r="BH140" s="14"/>
      <c r="BI140" s="14"/>
      <c r="BJ140" s="14"/>
      <c r="BK140" s="14" t="s">
        <v>15</v>
      </c>
      <c r="BL140" s="14">
        <v>4</v>
      </c>
      <c r="BM140" s="14" t="s">
        <v>15</v>
      </c>
      <c r="BN140" s="37">
        <v>3</v>
      </c>
      <c r="BP140" s="27">
        <v>137</v>
      </c>
      <c r="BQ140" s="27"/>
      <c r="BR140" s="29">
        <f ca="1">SUMIF(OFFSET($E$4:$BM$9,ROWS($1:137)*6-6,),BR$2,OFFSET($F$4:$BN$9,ROWS($1:137)*6-6,))</f>
        <v>0</v>
      </c>
      <c r="BS140" s="29">
        <f ca="1">SUMIF(OFFSET($E$4:$BM$9,ROWS($1:137)*6-6,),BS$2,OFFSET($F$4:$BN$9,ROWS($1:137)*6-6,))</f>
        <v>0</v>
      </c>
      <c r="BT140" s="29">
        <f ca="1">SUMIF(OFFSET($E$4:$BM$9,ROWS($1:137)*6-6,),BT$2,OFFSET($F$4:$BN$9,ROWS($1:137)*6-6,))</f>
        <v>0</v>
      </c>
      <c r="BU140" s="29">
        <f ca="1">SUMIF(OFFSET($E$4:$BM$9,ROWS($1:137)*6-6,),BU$2,OFFSET($F$4:$BN$9,ROWS($1:137)*6-6,))</f>
        <v>0</v>
      </c>
      <c r="BV140" s="29">
        <f ca="1">SUMIF(OFFSET($E$4:$BM$9,ROWS($1:137)*6-6,),BV$2,OFFSET($F$4:$BN$9,ROWS($1:137)*6-6,))</f>
        <v>0</v>
      </c>
      <c r="BW140" s="29">
        <f ca="1">SUMIF(OFFSET($E$4:$BM$9,ROWS($1:137)*6-6,),BW$2,OFFSET($F$4:$BN$9,ROWS($1:137)*6-6,))</f>
        <v>0</v>
      </c>
      <c r="BX140" s="29">
        <f ca="1">SUMIF(OFFSET($E$4:$BM$9,ROWS($1:137)*6-6,),BX$2,OFFSET($F$4:$BN$9,ROWS($1:137)*6-6,))</f>
        <v>0</v>
      </c>
      <c r="BY140" s="29">
        <f ca="1">SUMIF(OFFSET($E$4:$BM$9,ROWS($1:137)*6-6,),BY$2,OFFSET($F$4:$BN$9,ROWS($1:137)*6-6,))</f>
        <v>0</v>
      </c>
      <c r="BZ140" s="29">
        <f ca="1">SUMIF(OFFSET($E$4:$BM$9,ROWS($1:137)*6-6,),BZ$2,OFFSET($F$4:$BN$9,ROWS($1:137)*6-6,))</f>
        <v>0</v>
      </c>
      <c r="CA140" s="29">
        <f ca="1">SUMIF(OFFSET($E$4:$BM$9,ROWS($1:137)*6-6,),CA$2,OFFSET($F$4:$BN$9,ROWS($1:137)*6-6,))</f>
        <v>0</v>
      </c>
      <c r="CB140" s="29">
        <f ca="1">SUMIF(OFFSET($E$4:$BM$9,ROWS($1:137)*6-6,),CB$2,OFFSET($F$4:$BN$9,ROWS($1:137)*6-6,))</f>
        <v>0</v>
      </c>
      <c r="CC140" s="43">
        <f ca="1">SUMIF(OFFSET($E$4:$BM$9,ROWS($1:137)*6-6,),CC$2,OFFSET($F$4:$BN$9,ROWS($1:137)*6-6,))</f>
        <v>0</v>
      </c>
      <c r="CD140" s="44">
        <f t="shared" si="5"/>
        <v>0</v>
      </c>
      <c r="CE140" s="44" t="e">
        <f ca="1">INDEX(FREQUENCY(MMULT({1,1},SUBTOTAL(9,OFFSET($E$1,MATCH($CD140,$C:$C,)+{3;4},INT(COLUMN($A:$AE)*2)-1))),{3.9,7.9,11.9}),COLUMN(B137))</f>
        <v>#N/A</v>
      </c>
      <c r="CF140" s="44" t="e">
        <f ca="1">INDEX(FREQUENCY(MMULT({1,1},SUBTOTAL(9,OFFSET($E$1,MATCH($CD140,$C:$C,)+{3;4},INT(COLUMN($A:$AE)*2)-1))),{3.9,7.9,11.9}),COLUMN(C137))</f>
        <v>#N/A</v>
      </c>
      <c r="CG140" s="44" t="e">
        <f ca="1">INDEX(FREQUENCY(MMULT({1,1},SUBTOTAL(9,OFFSET($E$1,MATCH($CD140,$C:$C,)+{3;4},INT(COLUMN($A:$AE)*2)-1))),{3.9,7.9,11.9}),COLUMN(D137))</f>
        <v>#N/A</v>
      </c>
    </row>
    <row r="141" spans="1:85" ht="17.25" customHeight="1" thickBot="1" x14ac:dyDescent="0.2">
      <c r="A141" s="86"/>
      <c r="B141" s="50"/>
      <c r="C141" s="50"/>
      <c r="D141" s="59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38"/>
      <c r="BP141" s="27">
        <v>138</v>
      </c>
      <c r="BQ141" s="27"/>
      <c r="BR141" s="29">
        <f ca="1">SUMIF(OFFSET($E$4:$BM$9,ROWS($1:138)*6-6,),BR$2,OFFSET($F$4:$BN$9,ROWS($1:138)*6-6,))</f>
        <v>0</v>
      </c>
      <c r="BS141" s="29">
        <f ca="1">SUMIF(OFFSET($E$4:$BM$9,ROWS($1:138)*6-6,),BS$2,OFFSET($F$4:$BN$9,ROWS($1:138)*6-6,))</f>
        <v>0</v>
      </c>
      <c r="BT141" s="29">
        <f ca="1">SUMIF(OFFSET($E$4:$BM$9,ROWS($1:138)*6-6,),BT$2,OFFSET($F$4:$BN$9,ROWS($1:138)*6-6,))</f>
        <v>0</v>
      </c>
      <c r="BU141" s="29">
        <f ca="1">SUMIF(OFFSET($E$4:$BM$9,ROWS($1:138)*6-6,),BU$2,OFFSET($F$4:$BN$9,ROWS($1:138)*6-6,))</f>
        <v>0</v>
      </c>
      <c r="BV141" s="29">
        <f ca="1">SUMIF(OFFSET($E$4:$BM$9,ROWS($1:138)*6-6,),BV$2,OFFSET($F$4:$BN$9,ROWS($1:138)*6-6,))</f>
        <v>0</v>
      </c>
      <c r="BW141" s="29">
        <f ca="1">SUMIF(OFFSET($E$4:$BM$9,ROWS($1:138)*6-6,),BW$2,OFFSET($F$4:$BN$9,ROWS($1:138)*6-6,))</f>
        <v>0</v>
      </c>
      <c r="BX141" s="29">
        <f ca="1">SUMIF(OFFSET($E$4:$BM$9,ROWS($1:138)*6-6,),BX$2,OFFSET($F$4:$BN$9,ROWS($1:138)*6-6,))</f>
        <v>0</v>
      </c>
      <c r="BY141" s="29">
        <f ca="1">SUMIF(OFFSET($E$4:$BM$9,ROWS($1:138)*6-6,),BY$2,OFFSET($F$4:$BN$9,ROWS($1:138)*6-6,))</f>
        <v>0</v>
      </c>
      <c r="BZ141" s="29">
        <f ca="1">SUMIF(OFFSET($E$4:$BM$9,ROWS($1:138)*6-6,),BZ$2,OFFSET($F$4:$BN$9,ROWS($1:138)*6-6,))</f>
        <v>0</v>
      </c>
      <c r="CA141" s="29">
        <f ca="1">SUMIF(OFFSET($E$4:$BM$9,ROWS($1:138)*6-6,),CA$2,OFFSET($F$4:$BN$9,ROWS($1:138)*6-6,))</f>
        <v>0</v>
      </c>
      <c r="CB141" s="29">
        <f ca="1">SUMIF(OFFSET($E$4:$BM$9,ROWS($1:138)*6-6,),CB$2,OFFSET($F$4:$BN$9,ROWS($1:138)*6-6,))</f>
        <v>0</v>
      </c>
      <c r="CC141" s="43">
        <f ca="1">SUMIF(OFFSET($E$4:$BM$9,ROWS($1:138)*6-6,),CC$2,OFFSET($F$4:$BN$9,ROWS($1:138)*6-6,))</f>
        <v>0</v>
      </c>
      <c r="CD141" s="44">
        <f t="shared" si="5"/>
        <v>0</v>
      </c>
      <c r="CE141" s="44" t="e">
        <f ca="1">INDEX(FREQUENCY(MMULT({1,1},SUBTOTAL(9,OFFSET($E$1,MATCH($CD141,$C:$C,)+{3;4},INT(COLUMN($A:$AE)*2)-1))),{3.9,7.9,11.9}),COLUMN(B138))</f>
        <v>#N/A</v>
      </c>
      <c r="CF141" s="44" t="e">
        <f ca="1">INDEX(FREQUENCY(MMULT({1,1},SUBTOTAL(9,OFFSET($E$1,MATCH($CD141,$C:$C,)+{3;4},INT(COLUMN($A:$AE)*2)-1))),{3.9,7.9,11.9}),COLUMN(C138))</f>
        <v>#N/A</v>
      </c>
      <c r="CG141" s="44" t="e">
        <f ca="1">INDEX(FREQUENCY(MMULT({1,1},SUBTOTAL(9,OFFSET($E$1,MATCH($CD141,$C:$C,)+{3;4},INT(COLUMN($A:$AE)*2)-1))),{3.9,7.9,11.9}),COLUMN(D138))</f>
        <v>#N/A</v>
      </c>
    </row>
    <row r="142" spans="1:85" ht="17.25" customHeight="1" x14ac:dyDescent="0.15">
      <c r="A142" s="84" t="s">
        <v>84</v>
      </c>
      <c r="B142" s="48" t="s">
        <v>43</v>
      </c>
      <c r="C142" s="48" t="s">
        <v>141</v>
      </c>
      <c r="D142" s="55" t="s">
        <v>45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14</v>
      </c>
      <c r="V142" s="11">
        <v>2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34"/>
      <c r="BP142" s="27">
        <v>139</v>
      </c>
      <c r="BQ142" s="27"/>
      <c r="BR142" s="29">
        <f ca="1">SUMIF(OFFSET($E$4:$BM$9,ROWS($1:139)*6-6,),BR$2,OFFSET($F$4:$BN$9,ROWS($1:139)*6-6,))</f>
        <v>0</v>
      </c>
      <c r="BS142" s="29">
        <f ca="1">SUMIF(OFFSET($E$4:$BM$9,ROWS($1:139)*6-6,),BS$2,OFFSET($F$4:$BN$9,ROWS($1:139)*6-6,))</f>
        <v>0</v>
      </c>
      <c r="BT142" s="29">
        <f ca="1">SUMIF(OFFSET($E$4:$BM$9,ROWS($1:139)*6-6,),BT$2,OFFSET($F$4:$BN$9,ROWS($1:139)*6-6,))</f>
        <v>0</v>
      </c>
      <c r="BU142" s="29">
        <f ca="1">SUMIF(OFFSET($E$4:$BM$9,ROWS($1:139)*6-6,),BU$2,OFFSET($F$4:$BN$9,ROWS($1:139)*6-6,))</f>
        <v>0</v>
      </c>
      <c r="BV142" s="29">
        <f ca="1">SUMIF(OFFSET($E$4:$BM$9,ROWS($1:139)*6-6,),BV$2,OFFSET($F$4:$BN$9,ROWS($1:139)*6-6,))</f>
        <v>0</v>
      </c>
      <c r="BW142" s="29">
        <f ca="1">SUMIF(OFFSET($E$4:$BM$9,ROWS($1:139)*6-6,),BW$2,OFFSET($F$4:$BN$9,ROWS($1:139)*6-6,))</f>
        <v>0</v>
      </c>
      <c r="BX142" s="29">
        <f ca="1">SUMIF(OFFSET($E$4:$BM$9,ROWS($1:139)*6-6,),BX$2,OFFSET($F$4:$BN$9,ROWS($1:139)*6-6,))</f>
        <v>0</v>
      </c>
      <c r="BY142" s="29">
        <f ca="1">SUMIF(OFFSET($E$4:$BM$9,ROWS($1:139)*6-6,),BY$2,OFFSET($F$4:$BN$9,ROWS($1:139)*6-6,))</f>
        <v>0</v>
      </c>
      <c r="BZ142" s="29">
        <f ca="1">SUMIF(OFFSET($E$4:$BM$9,ROWS($1:139)*6-6,),BZ$2,OFFSET($F$4:$BN$9,ROWS($1:139)*6-6,))</f>
        <v>0</v>
      </c>
      <c r="CA142" s="29">
        <f ca="1">SUMIF(OFFSET($E$4:$BM$9,ROWS($1:139)*6-6,),CA$2,OFFSET($F$4:$BN$9,ROWS($1:139)*6-6,))</f>
        <v>0</v>
      </c>
      <c r="CB142" s="29">
        <f ca="1">SUMIF(OFFSET($E$4:$BM$9,ROWS($1:139)*6-6,),CB$2,OFFSET($F$4:$BN$9,ROWS($1:139)*6-6,))</f>
        <v>0</v>
      </c>
      <c r="CC142" s="43">
        <f ca="1">SUMIF(OFFSET($E$4:$BM$9,ROWS($1:139)*6-6,),CC$2,OFFSET($F$4:$BN$9,ROWS($1:139)*6-6,))</f>
        <v>0</v>
      </c>
      <c r="CD142" s="44">
        <f t="shared" si="5"/>
        <v>0</v>
      </c>
      <c r="CE142" s="44" t="e">
        <f ca="1">INDEX(FREQUENCY(MMULT({1,1},SUBTOTAL(9,OFFSET($E$1,MATCH($CD142,$C:$C,)+{3;4},INT(COLUMN($A:$AE)*2)-1))),{3.9,7.9,11.9}),COLUMN(B139))</f>
        <v>#N/A</v>
      </c>
      <c r="CF142" s="44" t="e">
        <f ca="1">INDEX(FREQUENCY(MMULT({1,1},SUBTOTAL(9,OFFSET($E$1,MATCH($CD142,$C:$C,)+{3;4},INT(COLUMN($A:$AE)*2)-1))),{3.9,7.9,11.9}),COLUMN(C139))</f>
        <v>#N/A</v>
      </c>
      <c r="CG142" s="44" t="e">
        <f ca="1">INDEX(FREQUENCY(MMULT({1,1},SUBTOTAL(9,OFFSET($E$1,MATCH($CD142,$C:$C,)+{3;4},INT(COLUMN($A:$AE)*2)-1))),{3.9,7.9,11.9}),COLUMN(D139))</f>
        <v>#N/A</v>
      </c>
    </row>
    <row r="143" spans="1:85" ht="17.25" customHeight="1" x14ac:dyDescent="0.15">
      <c r="A143" s="85"/>
      <c r="B143" s="49"/>
      <c r="C143" s="49"/>
      <c r="D143" s="56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14</v>
      </c>
      <c r="V143" s="12">
        <v>2</v>
      </c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35"/>
      <c r="BP143" s="27">
        <v>140</v>
      </c>
      <c r="BQ143" s="27"/>
      <c r="BR143" s="29">
        <f ca="1">SUMIF(OFFSET($E$4:$BM$9,ROWS($1:140)*6-6,),BR$2,OFFSET($F$4:$BN$9,ROWS($1:140)*6-6,))</f>
        <v>0</v>
      </c>
      <c r="BS143" s="29">
        <f ca="1">SUMIF(OFFSET($E$4:$BM$9,ROWS($1:140)*6-6,),BS$2,OFFSET($F$4:$BN$9,ROWS($1:140)*6-6,))</f>
        <v>0</v>
      </c>
      <c r="BT143" s="29">
        <f ca="1">SUMIF(OFFSET($E$4:$BM$9,ROWS($1:140)*6-6,),BT$2,OFFSET($F$4:$BN$9,ROWS($1:140)*6-6,))</f>
        <v>0</v>
      </c>
      <c r="BU143" s="29">
        <f ca="1">SUMIF(OFFSET($E$4:$BM$9,ROWS($1:140)*6-6,),BU$2,OFFSET($F$4:$BN$9,ROWS($1:140)*6-6,))</f>
        <v>0</v>
      </c>
      <c r="BV143" s="29">
        <f ca="1">SUMIF(OFFSET($E$4:$BM$9,ROWS($1:140)*6-6,),BV$2,OFFSET($F$4:$BN$9,ROWS($1:140)*6-6,))</f>
        <v>0</v>
      </c>
      <c r="BW143" s="29">
        <f ca="1">SUMIF(OFFSET($E$4:$BM$9,ROWS($1:140)*6-6,),BW$2,OFFSET($F$4:$BN$9,ROWS($1:140)*6-6,))</f>
        <v>0</v>
      </c>
      <c r="BX143" s="29">
        <f ca="1">SUMIF(OFFSET($E$4:$BM$9,ROWS($1:140)*6-6,),BX$2,OFFSET($F$4:$BN$9,ROWS($1:140)*6-6,))</f>
        <v>0</v>
      </c>
      <c r="BY143" s="29">
        <f ca="1">SUMIF(OFFSET($E$4:$BM$9,ROWS($1:140)*6-6,),BY$2,OFFSET($F$4:$BN$9,ROWS($1:140)*6-6,))</f>
        <v>0</v>
      </c>
      <c r="BZ143" s="29">
        <f ca="1">SUMIF(OFFSET($E$4:$BM$9,ROWS($1:140)*6-6,),BZ$2,OFFSET($F$4:$BN$9,ROWS($1:140)*6-6,))</f>
        <v>0</v>
      </c>
      <c r="CA143" s="29">
        <f ca="1">SUMIF(OFFSET($E$4:$BM$9,ROWS($1:140)*6-6,),CA$2,OFFSET($F$4:$BN$9,ROWS($1:140)*6-6,))</f>
        <v>0</v>
      </c>
      <c r="CB143" s="29">
        <f ca="1">SUMIF(OFFSET($E$4:$BM$9,ROWS($1:140)*6-6,),CB$2,OFFSET($F$4:$BN$9,ROWS($1:140)*6-6,))</f>
        <v>0</v>
      </c>
      <c r="CC143" s="43">
        <f ca="1">SUMIF(OFFSET($E$4:$BM$9,ROWS($1:140)*6-6,),CC$2,OFFSET($F$4:$BN$9,ROWS($1:140)*6-6,))</f>
        <v>0</v>
      </c>
      <c r="CD143" s="44">
        <f t="shared" si="5"/>
        <v>0</v>
      </c>
      <c r="CE143" s="44" t="e">
        <f ca="1">INDEX(FREQUENCY(MMULT({1,1},SUBTOTAL(9,OFFSET($E$1,MATCH($CD143,$C:$C,)+{3;4},INT(COLUMN($A:$AE)*2)-1))),{3.9,7.9,11.9}),COLUMN(B140))</f>
        <v>#N/A</v>
      </c>
      <c r="CF143" s="44" t="e">
        <f ca="1">INDEX(FREQUENCY(MMULT({1,1},SUBTOTAL(9,OFFSET($E$1,MATCH($CD143,$C:$C,)+{3;4},INT(COLUMN($A:$AE)*2)-1))),{3.9,7.9,11.9}),COLUMN(C140))</f>
        <v>#N/A</v>
      </c>
      <c r="CG143" s="44" t="e">
        <f ca="1">INDEX(FREQUENCY(MMULT({1,1},SUBTOTAL(9,OFFSET($E$1,MATCH($CD143,$C:$C,)+{3;4},INT(COLUMN($A:$AE)*2)-1))),{3.9,7.9,11.9}),COLUMN(D140))</f>
        <v>#N/A</v>
      </c>
    </row>
    <row r="144" spans="1:85" ht="17.25" customHeight="1" x14ac:dyDescent="0.15">
      <c r="A144" s="85"/>
      <c r="B144" s="49"/>
      <c r="C144" s="49"/>
      <c r="D144" s="57" t="s">
        <v>47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 t="s">
        <v>14</v>
      </c>
      <c r="V144" s="13">
        <v>2</v>
      </c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36"/>
      <c r="BP144" s="27">
        <v>141</v>
      </c>
      <c r="BQ144" s="27"/>
      <c r="BR144" s="29">
        <f ca="1">SUMIF(OFFSET($E$4:$BM$9,ROWS($1:141)*6-6,),BR$2,OFFSET($F$4:$BN$9,ROWS($1:141)*6-6,))</f>
        <v>0</v>
      </c>
      <c r="BS144" s="29">
        <f ca="1">SUMIF(OFFSET($E$4:$BM$9,ROWS($1:141)*6-6,),BS$2,OFFSET($F$4:$BN$9,ROWS($1:141)*6-6,))</f>
        <v>0</v>
      </c>
      <c r="BT144" s="29">
        <f ca="1">SUMIF(OFFSET($E$4:$BM$9,ROWS($1:141)*6-6,),BT$2,OFFSET($F$4:$BN$9,ROWS($1:141)*6-6,))</f>
        <v>0</v>
      </c>
      <c r="BU144" s="29">
        <f ca="1">SUMIF(OFFSET($E$4:$BM$9,ROWS($1:141)*6-6,),BU$2,OFFSET($F$4:$BN$9,ROWS($1:141)*6-6,))</f>
        <v>0</v>
      </c>
      <c r="BV144" s="29">
        <f ca="1">SUMIF(OFFSET($E$4:$BM$9,ROWS($1:141)*6-6,),BV$2,OFFSET($F$4:$BN$9,ROWS($1:141)*6-6,))</f>
        <v>0</v>
      </c>
      <c r="BW144" s="29">
        <f ca="1">SUMIF(OFFSET($E$4:$BM$9,ROWS($1:141)*6-6,),BW$2,OFFSET($F$4:$BN$9,ROWS($1:141)*6-6,))</f>
        <v>0</v>
      </c>
      <c r="BX144" s="29">
        <f ca="1">SUMIF(OFFSET($E$4:$BM$9,ROWS($1:141)*6-6,),BX$2,OFFSET($F$4:$BN$9,ROWS($1:141)*6-6,))</f>
        <v>0</v>
      </c>
      <c r="BY144" s="29">
        <f ca="1">SUMIF(OFFSET($E$4:$BM$9,ROWS($1:141)*6-6,),BY$2,OFFSET($F$4:$BN$9,ROWS($1:141)*6-6,))</f>
        <v>0</v>
      </c>
      <c r="BZ144" s="29">
        <f ca="1">SUMIF(OFFSET($E$4:$BM$9,ROWS($1:141)*6-6,),BZ$2,OFFSET($F$4:$BN$9,ROWS($1:141)*6-6,))</f>
        <v>0</v>
      </c>
      <c r="CA144" s="29">
        <f ca="1">SUMIF(OFFSET($E$4:$BM$9,ROWS($1:141)*6-6,),CA$2,OFFSET($F$4:$BN$9,ROWS($1:141)*6-6,))</f>
        <v>0</v>
      </c>
      <c r="CB144" s="29">
        <f ca="1">SUMIF(OFFSET($E$4:$BM$9,ROWS($1:141)*6-6,),CB$2,OFFSET($F$4:$BN$9,ROWS($1:141)*6-6,))</f>
        <v>0</v>
      </c>
      <c r="CC144" s="43">
        <f ca="1">SUMIF(OFFSET($E$4:$BM$9,ROWS($1:141)*6-6,),CC$2,OFFSET($F$4:$BN$9,ROWS($1:141)*6-6,))</f>
        <v>0</v>
      </c>
      <c r="CD144" s="44">
        <f t="shared" si="5"/>
        <v>0</v>
      </c>
      <c r="CE144" s="44" t="e">
        <f ca="1">INDEX(FREQUENCY(MMULT({1,1},SUBTOTAL(9,OFFSET($E$1,MATCH($CD144,$C:$C,)+{3;4},INT(COLUMN($A:$AE)*2)-1))),{3.9,7.9,11.9}),COLUMN(B141))</f>
        <v>#N/A</v>
      </c>
      <c r="CF144" s="44" t="e">
        <f ca="1">INDEX(FREQUENCY(MMULT({1,1},SUBTOTAL(9,OFFSET($E$1,MATCH($CD144,$C:$C,)+{3;4},INT(COLUMN($A:$AE)*2)-1))),{3.9,7.9,11.9}),COLUMN(C141))</f>
        <v>#N/A</v>
      </c>
      <c r="CG144" s="44" t="e">
        <f ca="1">INDEX(FREQUENCY(MMULT({1,1},SUBTOTAL(9,OFFSET($E$1,MATCH($CD144,$C:$C,)+{3;4},INT(COLUMN($A:$AE)*2)-1))),{3.9,7.9,11.9}),COLUMN(D141))</f>
        <v>#N/A</v>
      </c>
    </row>
    <row r="145" spans="1:85" ht="17.25" customHeight="1" x14ac:dyDescent="0.15">
      <c r="A145" s="85"/>
      <c r="B145" s="49"/>
      <c r="C145" s="49"/>
      <c r="D145" s="56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 t="s">
        <v>14</v>
      </c>
      <c r="V145" s="12">
        <v>2</v>
      </c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35"/>
      <c r="BP145" s="27">
        <v>142</v>
      </c>
      <c r="BQ145" s="27"/>
      <c r="BR145" s="29">
        <f ca="1">SUMIF(OFFSET($E$4:$BM$9,ROWS($1:142)*6-6,),BR$2,OFFSET($F$4:$BN$9,ROWS($1:142)*6-6,))</f>
        <v>0</v>
      </c>
      <c r="BS145" s="29">
        <f ca="1">SUMIF(OFFSET($E$4:$BM$9,ROWS($1:142)*6-6,),BS$2,OFFSET($F$4:$BN$9,ROWS($1:142)*6-6,))</f>
        <v>0</v>
      </c>
      <c r="BT145" s="29">
        <f ca="1">SUMIF(OFFSET($E$4:$BM$9,ROWS($1:142)*6-6,),BT$2,OFFSET($F$4:$BN$9,ROWS($1:142)*6-6,))</f>
        <v>0</v>
      </c>
      <c r="BU145" s="29">
        <f ca="1">SUMIF(OFFSET($E$4:$BM$9,ROWS($1:142)*6-6,),BU$2,OFFSET($F$4:$BN$9,ROWS($1:142)*6-6,))</f>
        <v>0</v>
      </c>
      <c r="BV145" s="29">
        <f ca="1">SUMIF(OFFSET($E$4:$BM$9,ROWS($1:142)*6-6,),BV$2,OFFSET($F$4:$BN$9,ROWS($1:142)*6-6,))</f>
        <v>0</v>
      </c>
      <c r="BW145" s="29">
        <f ca="1">SUMIF(OFFSET($E$4:$BM$9,ROWS($1:142)*6-6,),BW$2,OFFSET($F$4:$BN$9,ROWS($1:142)*6-6,))</f>
        <v>0</v>
      </c>
      <c r="BX145" s="29">
        <f ca="1">SUMIF(OFFSET($E$4:$BM$9,ROWS($1:142)*6-6,),BX$2,OFFSET($F$4:$BN$9,ROWS($1:142)*6-6,))</f>
        <v>0</v>
      </c>
      <c r="BY145" s="29">
        <f ca="1">SUMIF(OFFSET($E$4:$BM$9,ROWS($1:142)*6-6,),BY$2,OFFSET($F$4:$BN$9,ROWS($1:142)*6-6,))</f>
        <v>0</v>
      </c>
      <c r="BZ145" s="29">
        <f ca="1">SUMIF(OFFSET($E$4:$BM$9,ROWS($1:142)*6-6,),BZ$2,OFFSET($F$4:$BN$9,ROWS($1:142)*6-6,))</f>
        <v>0</v>
      </c>
      <c r="CA145" s="29">
        <f ca="1">SUMIF(OFFSET($E$4:$BM$9,ROWS($1:142)*6-6,),CA$2,OFFSET($F$4:$BN$9,ROWS($1:142)*6-6,))</f>
        <v>0</v>
      </c>
      <c r="CB145" s="29">
        <f ca="1">SUMIF(OFFSET($E$4:$BM$9,ROWS($1:142)*6-6,),CB$2,OFFSET($F$4:$BN$9,ROWS($1:142)*6-6,))</f>
        <v>0</v>
      </c>
      <c r="CC145" s="43">
        <f ca="1">SUMIF(OFFSET($E$4:$BM$9,ROWS($1:142)*6-6,),CC$2,OFFSET($F$4:$BN$9,ROWS($1:142)*6-6,))</f>
        <v>0</v>
      </c>
      <c r="CD145" s="44">
        <f t="shared" si="5"/>
        <v>0</v>
      </c>
      <c r="CE145" s="44" t="e">
        <f ca="1">INDEX(FREQUENCY(MMULT({1,1},SUBTOTAL(9,OFFSET($E$1,MATCH($CD145,$C:$C,)+{3;4},INT(COLUMN($A:$AE)*2)-1))),{3.9,7.9,11.9}),COLUMN(B142))</f>
        <v>#N/A</v>
      </c>
      <c r="CF145" s="44" t="e">
        <f ca="1">INDEX(FREQUENCY(MMULT({1,1},SUBTOTAL(9,OFFSET($E$1,MATCH($CD145,$C:$C,)+{3;4},INT(COLUMN($A:$AE)*2)-1))),{3.9,7.9,11.9}),COLUMN(C142))</f>
        <v>#N/A</v>
      </c>
      <c r="CG145" s="44" t="e">
        <f ca="1">INDEX(FREQUENCY(MMULT({1,1},SUBTOTAL(9,OFFSET($E$1,MATCH($CD145,$C:$C,)+{3;4},INT(COLUMN($A:$AE)*2)-1))),{3.9,7.9,11.9}),COLUMN(D142))</f>
        <v>#N/A</v>
      </c>
    </row>
    <row r="146" spans="1:85" ht="17.25" customHeight="1" x14ac:dyDescent="0.15">
      <c r="A146" s="85"/>
      <c r="B146" s="49"/>
      <c r="C146" s="49"/>
      <c r="D146" s="58" t="s">
        <v>49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 t="s">
        <v>15</v>
      </c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37"/>
      <c r="BP146" s="27">
        <v>143</v>
      </c>
      <c r="BQ146" s="27"/>
      <c r="BR146" s="29">
        <f ca="1">SUMIF(OFFSET($E$4:$BM$9,ROWS($1:143)*6-6,),BR$2,OFFSET($F$4:$BN$9,ROWS($1:143)*6-6,))</f>
        <v>0</v>
      </c>
      <c r="BS146" s="29">
        <f ca="1">SUMIF(OFFSET($E$4:$BM$9,ROWS($1:143)*6-6,),BS$2,OFFSET($F$4:$BN$9,ROWS($1:143)*6-6,))</f>
        <v>0</v>
      </c>
      <c r="BT146" s="29">
        <f ca="1">SUMIF(OFFSET($E$4:$BM$9,ROWS($1:143)*6-6,),BT$2,OFFSET($F$4:$BN$9,ROWS($1:143)*6-6,))</f>
        <v>0</v>
      </c>
      <c r="BU146" s="29">
        <f ca="1">SUMIF(OFFSET($E$4:$BM$9,ROWS($1:143)*6-6,),BU$2,OFFSET($F$4:$BN$9,ROWS($1:143)*6-6,))</f>
        <v>0</v>
      </c>
      <c r="BV146" s="29">
        <f ca="1">SUMIF(OFFSET($E$4:$BM$9,ROWS($1:143)*6-6,),BV$2,OFFSET($F$4:$BN$9,ROWS($1:143)*6-6,))</f>
        <v>0</v>
      </c>
      <c r="BW146" s="29">
        <f ca="1">SUMIF(OFFSET($E$4:$BM$9,ROWS($1:143)*6-6,),BW$2,OFFSET($F$4:$BN$9,ROWS($1:143)*6-6,))</f>
        <v>0</v>
      </c>
      <c r="BX146" s="29">
        <f ca="1">SUMIF(OFFSET($E$4:$BM$9,ROWS($1:143)*6-6,),BX$2,OFFSET($F$4:$BN$9,ROWS($1:143)*6-6,))</f>
        <v>0</v>
      </c>
      <c r="BY146" s="29">
        <f ca="1">SUMIF(OFFSET($E$4:$BM$9,ROWS($1:143)*6-6,),BY$2,OFFSET($F$4:$BN$9,ROWS($1:143)*6-6,))</f>
        <v>0</v>
      </c>
      <c r="BZ146" s="29">
        <f ca="1">SUMIF(OFFSET($E$4:$BM$9,ROWS($1:143)*6-6,),BZ$2,OFFSET($F$4:$BN$9,ROWS($1:143)*6-6,))</f>
        <v>0</v>
      </c>
      <c r="CA146" s="29">
        <f ca="1">SUMIF(OFFSET($E$4:$BM$9,ROWS($1:143)*6-6,),CA$2,OFFSET($F$4:$BN$9,ROWS($1:143)*6-6,))</f>
        <v>0</v>
      </c>
      <c r="CB146" s="29">
        <f ca="1">SUMIF(OFFSET($E$4:$BM$9,ROWS($1:143)*6-6,),CB$2,OFFSET($F$4:$BN$9,ROWS($1:143)*6-6,))</f>
        <v>0</v>
      </c>
      <c r="CC146" s="43">
        <f ca="1">SUMIF(OFFSET($E$4:$BM$9,ROWS($1:143)*6-6,),CC$2,OFFSET($F$4:$BN$9,ROWS($1:143)*6-6,))</f>
        <v>0</v>
      </c>
      <c r="CD146" s="44">
        <f t="shared" si="5"/>
        <v>0</v>
      </c>
      <c r="CE146" s="44" t="e">
        <f ca="1">INDEX(FREQUENCY(MMULT({1,1},SUBTOTAL(9,OFFSET($E$1,MATCH($CD146,$C:$C,)+{3;4},INT(COLUMN($A:$AE)*2)-1))),{3.9,7.9,11.9}),COLUMN(B143))</f>
        <v>#N/A</v>
      </c>
      <c r="CF146" s="44" t="e">
        <f ca="1">INDEX(FREQUENCY(MMULT({1,1},SUBTOTAL(9,OFFSET($E$1,MATCH($CD146,$C:$C,)+{3;4},INT(COLUMN($A:$AE)*2)-1))),{3.9,7.9,11.9}),COLUMN(C143))</f>
        <v>#N/A</v>
      </c>
      <c r="CG146" s="44" t="e">
        <f ca="1">INDEX(FREQUENCY(MMULT({1,1},SUBTOTAL(9,OFFSET($E$1,MATCH($CD146,$C:$C,)+{3;4},INT(COLUMN($A:$AE)*2)-1))),{3.9,7.9,11.9}),COLUMN(D143))</f>
        <v>#N/A</v>
      </c>
    </row>
    <row r="147" spans="1:85" ht="17.25" customHeight="1" thickBot="1" x14ac:dyDescent="0.2">
      <c r="A147" s="86"/>
      <c r="B147" s="50"/>
      <c r="C147" s="50"/>
      <c r="D147" s="59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38"/>
      <c r="BP147" s="27">
        <v>144</v>
      </c>
      <c r="BQ147" s="27"/>
      <c r="BR147" s="29">
        <f ca="1">SUMIF(OFFSET($E$4:$BM$9,ROWS($1:144)*6-6,),BR$2,OFFSET($F$4:$BN$9,ROWS($1:144)*6-6,))</f>
        <v>0</v>
      </c>
      <c r="BS147" s="29">
        <f ca="1">SUMIF(OFFSET($E$4:$BM$9,ROWS($1:144)*6-6,),BS$2,OFFSET($F$4:$BN$9,ROWS($1:144)*6-6,))</f>
        <v>0</v>
      </c>
      <c r="BT147" s="29">
        <f ca="1">SUMIF(OFFSET($E$4:$BM$9,ROWS($1:144)*6-6,),BT$2,OFFSET($F$4:$BN$9,ROWS($1:144)*6-6,))</f>
        <v>0</v>
      </c>
      <c r="BU147" s="29">
        <f ca="1">SUMIF(OFFSET($E$4:$BM$9,ROWS($1:144)*6-6,),BU$2,OFFSET($F$4:$BN$9,ROWS($1:144)*6-6,))</f>
        <v>0</v>
      </c>
      <c r="BV147" s="29">
        <f ca="1">SUMIF(OFFSET($E$4:$BM$9,ROWS($1:144)*6-6,),BV$2,OFFSET($F$4:$BN$9,ROWS($1:144)*6-6,))</f>
        <v>0</v>
      </c>
      <c r="BW147" s="29">
        <f ca="1">SUMIF(OFFSET($E$4:$BM$9,ROWS($1:144)*6-6,),BW$2,OFFSET($F$4:$BN$9,ROWS($1:144)*6-6,))</f>
        <v>0</v>
      </c>
      <c r="BX147" s="29">
        <f ca="1">SUMIF(OFFSET($E$4:$BM$9,ROWS($1:144)*6-6,),BX$2,OFFSET($F$4:$BN$9,ROWS($1:144)*6-6,))</f>
        <v>0</v>
      </c>
      <c r="BY147" s="29">
        <f ca="1">SUMIF(OFFSET($E$4:$BM$9,ROWS($1:144)*6-6,),BY$2,OFFSET($F$4:$BN$9,ROWS($1:144)*6-6,))</f>
        <v>0</v>
      </c>
      <c r="BZ147" s="29">
        <f ca="1">SUMIF(OFFSET($E$4:$BM$9,ROWS($1:144)*6-6,),BZ$2,OFFSET($F$4:$BN$9,ROWS($1:144)*6-6,))</f>
        <v>0</v>
      </c>
      <c r="CA147" s="29">
        <f ca="1">SUMIF(OFFSET($E$4:$BM$9,ROWS($1:144)*6-6,),CA$2,OFFSET($F$4:$BN$9,ROWS($1:144)*6-6,))</f>
        <v>0</v>
      </c>
      <c r="CB147" s="29">
        <f ca="1">SUMIF(OFFSET($E$4:$BM$9,ROWS($1:144)*6-6,),CB$2,OFFSET($F$4:$BN$9,ROWS($1:144)*6-6,))</f>
        <v>0</v>
      </c>
      <c r="CC147" s="43">
        <f ca="1">SUMIF(OFFSET($E$4:$BM$9,ROWS($1:144)*6-6,),CC$2,OFFSET($F$4:$BN$9,ROWS($1:144)*6-6,))</f>
        <v>0</v>
      </c>
      <c r="CD147" s="44">
        <f t="shared" si="5"/>
        <v>0</v>
      </c>
      <c r="CE147" s="44" t="e">
        <f ca="1">INDEX(FREQUENCY(MMULT({1,1},SUBTOTAL(9,OFFSET($E$1,MATCH($CD147,$C:$C,)+{3;4},INT(COLUMN($A:$AE)*2)-1))),{3.9,7.9,11.9}),COLUMN(B144))</f>
        <v>#N/A</v>
      </c>
      <c r="CF147" s="44" t="e">
        <f ca="1">INDEX(FREQUENCY(MMULT({1,1},SUBTOTAL(9,OFFSET($E$1,MATCH($CD147,$C:$C,)+{3;4},INT(COLUMN($A:$AE)*2)-1))),{3.9,7.9,11.9}),COLUMN(C144))</f>
        <v>#N/A</v>
      </c>
      <c r="CG147" s="44" t="e">
        <f ca="1">INDEX(FREQUENCY(MMULT({1,1},SUBTOTAL(9,OFFSET($E$1,MATCH($CD147,$C:$C,)+{3;4},INT(COLUMN($A:$AE)*2)-1))),{3.9,7.9,11.9}),COLUMN(D144))</f>
        <v>#N/A</v>
      </c>
    </row>
    <row r="148" spans="1:85" ht="17.25" customHeight="1" x14ac:dyDescent="0.15">
      <c r="A148" s="84" t="s">
        <v>84</v>
      </c>
      <c r="B148" s="48" t="s">
        <v>43</v>
      </c>
      <c r="C148" s="48" t="s">
        <v>140</v>
      </c>
      <c r="D148" s="55" t="s">
        <v>45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14</v>
      </c>
      <c r="V148" s="11">
        <v>2</v>
      </c>
      <c r="W148" s="11" t="s">
        <v>18</v>
      </c>
      <c r="X148" s="11">
        <v>1</v>
      </c>
      <c r="Y148" s="11" t="s">
        <v>14</v>
      </c>
      <c r="Z148" s="11">
        <v>2</v>
      </c>
      <c r="AA148" s="11" t="s">
        <v>14</v>
      </c>
      <c r="AB148" s="11">
        <v>2</v>
      </c>
      <c r="AC148" s="11" t="s">
        <v>14</v>
      </c>
      <c r="AD148" s="11">
        <v>2</v>
      </c>
      <c r="AE148" s="11" t="s">
        <v>14</v>
      </c>
      <c r="AF148" s="11">
        <v>2</v>
      </c>
      <c r="AG148" s="11"/>
      <c r="AH148" s="11"/>
      <c r="AI148" s="11" t="s">
        <v>14</v>
      </c>
      <c r="AJ148" s="11">
        <v>2</v>
      </c>
      <c r="AK148" s="11" t="s">
        <v>14</v>
      </c>
      <c r="AL148" s="11">
        <v>2</v>
      </c>
      <c r="AM148" s="11" t="s">
        <v>14</v>
      </c>
      <c r="AN148" s="11">
        <v>2</v>
      </c>
      <c r="AO148" s="11" t="s">
        <v>14</v>
      </c>
      <c r="AP148" s="11">
        <v>2</v>
      </c>
      <c r="AQ148" s="11" t="s">
        <v>14</v>
      </c>
      <c r="AR148" s="11">
        <v>2</v>
      </c>
      <c r="AS148" s="11" t="s">
        <v>14</v>
      </c>
      <c r="AT148" s="11">
        <v>2</v>
      </c>
      <c r="AU148" s="11" t="s">
        <v>16</v>
      </c>
      <c r="AV148" s="11">
        <v>2</v>
      </c>
      <c r="AW148" s="11" t="s">
        <v>14</v>
      </c>
      <c r="AX148" s="11">
        <v>2</v>
      </c>
      <c r="AY148" s="11" t="s">
        <v>14</v>
      </c>
      <c r="AZ148" s="11">
        <v>2</v>
      </c>
      <c r="BA148" s="11" t="s">
        <v>14</v>
      </c>
      <c r="BB148" s="11">
        <v>2</v>
      </c>
      <c r="BC148" s="11" t="s">
        <v>14</v>
      </c>
      <c r="BD148" s="11">
        <v>2</v>
      </c>
      <c r="BE148" s="11" t="s">
        <v>14</v>
      </c>
      <c r="BF148" s="11">
        <v>2</v>
      </c>
      <c r="BG148" s="11" t="s">
        <v>14</v>
      </c>
      <c r="BH148" s="11">
        <v>2</v>
      </c>
      <c r="BI148" s="11" t="s">
        <v>16</v>
      </c>
      <c r="BJ148" s="11">
        <v>2</v>
      </c>
      <c r="BK148" s="11" t="s">
        <v>14</v>
      </c>
      <c r="BL148" s="11">
        <v>2</v>
      </c>
      <c r="BM148" s="11" t="s">
        <v>14</v>
      </c>
      <c r="BN148" s="34">
        <v>2</v>
      </c>
      <c r="BP148" s="27">
        <v>145</v>
      </c>
      <c r="BQ148" s="27"/>
      <c r="BR148" s="29">
        <f ca="1">SUMIF(OFFSET($E$4:$BM$9,ROWS($1:145)*6-6,),BR$2,OFFSET($F$4:$BN$9,ROWS($1:145)*6-6,))</f>
        <v>0</v>
      </c>
      <c r="BS148" s="29">
        <f ca="1">SUMIF(OFFSET($E$4:$BM$9,ROWS($1:145)*6-6,),BS$2,OFFSET($F$4:$BN$9,ROWS($1:145)*6-6,))</f>
        <v>0</v>
      </c>
      <c r="BT148" s="29">
        <f ca="1">SUMIF(OFFSET($E$4:$BM$9,ROWS($1:145)*6-6,),BT$2,OFFSET($F$4:$BN$9,ROWS($1:145)*6-6,))</f>
        <v>0</v>
      </c>
      <c r="BU148" s="29">
        <f ca="1">SUMIF(OFFSET($E$4:$BM$9,ROWS($1:145)*6-6,),BU$2,OFFSET($F$4:$BN$9,ROWS($1:145)*6-6,))</f>
        <v>0</v>
      </c>
      <c r="BV148" s="29">
        <f ca="1">SUMIF(OFFSET($E$4:$BM$9,ROWS($1:145)*6-6,),BV$2,OFFSET($F$4:$BN$9,ROWS($1:145)*6-6,))</f>
        <v>0</v>
      </c>
      <c r="BW148" s="29">
        <f ca="1">SUMIF(OFFSET($E$4:$BM$9,ROWS($1:145)*6-6,),BW$2,OFFSET($F$4:$BN$9,ROWS($1:145)*6-6,))</f>
        <v>0</v>
      </c>
      <c r="BX148" s="29">
        <f ca="1">SUMIF(OFFSET($E$4:$BM$9,ROWS($1:145)*6-6,),BX$2,OFFSET($F$4:$BN$9,ROWS($1:145)*6-6,))</f>
        <v>0</v>
      </c>
      <c r="BY148" s="29">
        <f ca="1">SUMIF(OFFSET($E$4:$BM$9,ROWS($1:145)*6-6,),BY$2,OFFSET($F$4:$BN$9,ROWS($1:145)*6-6,))</f>
        <v>0</v>
      </c>
      <c r="BZ148" s="29">
        <f ca="1">SUMIF(OFFSET($E$4:$BM$9,ROWS($1:145)*6-6,),BZ$2,OFFSET($F$4:$BN$9,ROWS($1:145)*6-6,))</f>
        <v>0</v>
      </c>
      <c r="CA148" s="29">
        <f ca="1">SUMIF(OFFSET($E$4:$BM$9,ROWS($1:145)*6-6,),CA$2,OFFSET($F$4:$BN$9,ROWS($1:145)*6-6,))</f>
        <v>0</v>
      </c>
      <c r="CB148" s="29">
        <f ca="1">SUMIF(OFFSET($E$4:$BM$9,ROWS($1:145)*6-6,),CB$2,OFFSET($F$4:$BN$9,ROWS($1:145)*6-6,))</f>
        <v>0</v>
      </c>
      <c r="CC148" s="43">
        <f ca="1">SUMIF(OFFSET($E$4:$BM$9,ROWS($1:145)*6-6,),CC$2,OFFSET($F$4:$BN$9,ROWS($1:145)*6-6,))</f>
        <v>0</v>
      </c>
      <c r="CD148" s="44">
        <f t="shared" si="5"/>
        <v>0</v>
      </c>
      <c r="CE148" s="44" t="e">
        <f ca="1">INDEX(FREQUENCY(MMULT({1,1},SUBTOTAL(9,OFFSET($E$1,MATCH($CD148,$C:$C,)+{3;4},INT(COLUMN($A:$AE)*2)-1))),{3.9,7.9,11.9}),COLUMN(B145))</f>
        <v>#N/A</v>
      </c>
      <c r="CF148" s="44" t="e">
        <f ca="1">INDEX(FREQUENCY(MMULT({1,1},SUBTOTAL(9,OFFSET($E$1,MATCH($CD148,$C:$C,)+{3;4},INT(COLUMN($A:$AE)*2)-1))),{3.9,7.9,11.9}),COLUMN(C145))</f>
        <v>#N/A</v>
      </c>
      <c r="CG148" s="44" t="e">
        <f ca="1">INDEX(FREQUENCY(MMULT({1,1},SUBTOTAL(9,OFFSET($E$1,MATCH($CD148,$C:$C,)+{3;4},INT(COLUMN($A:$AE)*2)-1))),{3.9,7.9,11.9}),COLUMN(D145))</f>
        <v>#N/A</v>
      </c>
    </row>
    <row r="149" spans="1:85" ht="17.25" customHeight="1" x14ac:dyDescent="0.15">
      <c r="A149" s="85"/>
      <c r="B149" s="49"/>
      <c r="C149" s="49"/>
      <c r="D149" s="56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 t="s">
        <v>14</v>
      </c>
      <c r="V149" s="12">
        <v>2</v>
      </c>
      <c r="W149" s="12" t="s">
        <v>14</v>
      </c>
      <c r="X149" s="12">
        <v>3</v>
      </c>
      <c r="Y149" s="12" t="s">
        <v>14</v>
      </c>
      <c r="Z149" s="12">
        <v>2</v>
      </c>
      <c r="AA149" s="12" t="s">
        <v>14</v>
      </c>
      <c r="AB149" s="12">
        <v>2</v>
      </c>
      <c r="AC149" s="12" t="s">
        <v>14</v>
      </c>
      <c r="AD149" s="12">
        <v>2</v>
      </c>
      <c r="AE149" s="12" t="s">
        <v>14</v>
      </c>
      <c r="AF149" s="12">
        <v>2</v>
      </c>
      <c r="AG149" s="12"/>
      <c r="AH149" s="12"/>
      <c r="AI149" s="12" t="s">
        <v>14</v>
      </c>
      <c r="AJ149" s="12">
        <v>2</v>
      </c>
      <c r="AK149" s="12" t="s">
        <v>14</v>
      </c>
      <c r="AL149" s="12">
        <v>2</v>
      </c>
      <c r="AM149" s="12" t="s">
        <v>14</v>
      </c>
      <c r="AN149" s="12">
        <v>2</v>
      </c>
      <c r="AO149" s="12" t="s">
        <v>14</v>
      </c>
      <c r="AP149" s="12">
        <v>2</v>
      </c>
      <c r="AQ149" s="12" t="s">
        <v>14</v>
      </c>
      <c r="AR149" s="12">
        <v>2</v>
      </c>
      <c r="AS149" s="12" t="s">
        <v>14</v>
      </c>
      <c r="AT149" s="12">
        <v>2</v>
      </c>
      <c r="AU149" s="12" t="s">
        <v>16</v>
      </c>
      <c r="AV149" s="12">
        <v>2</v>
      </c>
      <c r="AW149" s="12" t="s">
        <v>14</v>
      </c>
      <c r="AX149" s="12">
        <v>2</v>
      </c>
      <c r="AY149" s="12" t="s">
        <v>14</v>
      </c>
      <c r="AZ149" s="12">
        <v>2</v>
      </c>
      <c r="BA149" s="12" t="s">
        <v>14</v>
      </c>
      <c r="BB149" s="12">
        <v>2</v>
      </c>
      <c r="BC149" s="12" t="s">
        <v>14</v>
      </c>
      <c r="BD149" s="12">
        <v>2</v>
      </c>
      <c r="BE149" s="12" t="s">
        <v>14</v>
      </c>
      <c r="BF149" s="12">
        <v>2</v>
      </c>
      <c r="BG149" s="12" t="s">
        <v>14</v>
      </c>
      <c r="BH149" s="12">
        <v>2</v>
      </c>
      <c r="BI149" s="12" t="s">
        <v>16</v>
      </c>
      <c r="BJ149" s="12">
        <v>2</v>
      </c>
      <c r="BK149" s="12" t="s">
        <v>14</v>
      </c>
      <c r="BL149" s="12">
        <v>2</v>
      </c>
      <c r="BM149" s="12" t="s">
        <v>14</v>
      </c>
      <c r="BN149" s="35">
        <v>2</v>
      </c>
      <c r="BP149" s="27">
        <v>146</v>
      </c>
      <c r="BQ149" s="27"/>
      <c r="BR149" s="29">
        <f ca="1">SUMIF(OFFSET($E$4:$BM$9,ROWS($1:146)*6-6,),BR$2,OFFSET($F$4:$BN$9,ROWS($1:146)*6-6,))</f>
        <v>0</v>
      </c>
      <c r="BS149" s="29">
        <f ca="1">SUMIF(OFFSET($E$4:$BM$9,ROWS($1:146)*6-6,),BS$2,OFFSET($F$4:$BN$9,ROWS($1:146)*6-6,))</f>
        <v>0</v>
      </c>
      <c r="BT149" s="29">
        <f ca="1">SUMIF(OFFSET($E$4:$BM$9,ROWS($1:146)*6-6,),BT$2,OFFSET($F$4:$BN$9,ROWS($1:146)*6-6,))</f>
        <v>0</v>
      </c>
      <c r="BU149" s="29">
        <f ca="1">SUMIF(OFFSET($E$4:$BM$9,ROWS($1:146)*6-6,),BU$2,OFFSET($F$4:$BN$9,ROWS($1:146)*6-6,))</f>
        <v>0</v>
      </c>
      <c r="BV149" s="29">
        <f ca="1">SUMIF(OFFSET($E$4:$BM$9,ROWS($1:146)*6-6,),BV$2,OFFSET($F$4:$BN$9,ROWS($1:146)*6-6,))</f>
        <v>0</v>
      </c>
      <c r="BW149" s="29">
        <f ca="1">SUMIF(OFFSET($E$4:$BM$9,ROWS($1:146)*6-6,),BW$2,OFFSET($F$4:$BN$9,ROWS($1:146)*6-6,))</f>
        <v>0</v>
      </c>
      <c r="BX149" s="29">
        <f ca="1">SUMIF(OFFSET($E$4:$BM$9,ROWS($1:146)*6-6,),BX$2,OFFSET($F$4:$BN$9,ROWS($1:146)*6-6,))</f>
        <v>0</v>
      </c>
      <c r="BY149" s="29">
        <f ca="1">SUMIF(OFFSET($E$4:$BM$9,ROWS($1:146)*6-6,),BY$2,OFFSET($F$4:$BN$9,ROWS($1:146)*6-6,))</f>
        <v>0</v>
      </c>
      <c r="BZ149" s="29">
        <f ca="1">SUMIF(OFFSET($E$4:$BM$9,ROWS($1:146)*6-6,),BZ$2,OFFSET($F$4:$BN$9,ROWS($1:146)*6-6,))</f>
        <v>0</v>
      </c>
      <c r="CA149" s="29">
        <f ca="1">SUMIF(OFFSET($E$4:$BM$9,ROWS($1:146)*6-6,),CA$2,OFFSET($F$4:$BN$9,ROWS($1:146)*6-6,))</f>
        <v>0</v>
      </c>
      <c r="CB149" s="29">
        <f ca="1">SUMIF(OFFSET($E$4:$BM$9,ROWS($1:146)*6-6,),CB$2,OFFSET($F$4:$BN$9,ROWS($1:146)*6-6,))</f>
        <v>0</v>
      </c>
      <c r="CC149" s="43">
        <f ca="1">SUMIF(OFFSET($E$4:$BM$9,ROWS($1:146)*6-6,),CC$2,OFFSET($F$4:$BN$9,ROWS($1:146)*6-6,))</f>
        <v>0</v>
      </c>
      <c r="CD149" s="44">
        <f t="shared" si="5"/>
        <v>0</v>
      </c>
      <c r="CE149" s="44" t="e">
        <f ca="1">INDEX(FREQUENCY(MMULT({1,1},SUBTOTAL(9,OFFSET($E$1,MATCH($CD149,$C:$C,)+{3;4},INT(COLUMN($A:$AE)*2)-1))),{3.9,7.9,11.9}),COLUMN(B146))</f>
        <v>#N/A</v>
      </c>
      <c r="CF149" s="44" t="e">
        <f ca="1">INDEX(FREQUENCY(MMULT({1,1},SUBTOTAL(9,OFFSET($E$1,MATCH($CD149,$C:$C,)+{3;4},INT(COLUMN($A:$AE)*2)-1))),{3.9,7.9,11.9}),COLUMN(C146))</f>
        <v>#N/A</v>
      </c>
      <c r="CG149" s="44" t="e">
        <f ca="1">INDEX(FREQUENCY(MMULT({1,1},SUBTOTAL(9,OFFSET($E$1,MATCH($CD149,$C:$C,)+{3;4},INT(COLUMN($A:$AE)*2)-1))),{3.9,7.9,11.9}),COLUMN(D146))</f>
        <v>#N/A</v>
      </c>
    </row>
    <row r="150" spans="1:85" ht="17.25" customHeight="1" x14ac:dyDescent="0.15">
      <c r="A150" s="85"/>
      <c r="B150" s="49"/>
      <c r="C150" s="49"/>
      <c r="D150" s="57" t="s">
        <v>47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 t="s">
        <v>18</v>
      </c>
      <c r="V150" s="13">
        <v>2</v>
      </c>
      <c r="W150" s="13" t="s">
        <v>14</v>
      </c>
      <c r="X150" s="13">
        <v>2</v>
      </c>
      <c r="Y150" s="13" t="s">
        <v>14</v>
      </c>
      <c r="Z150" s="13">
        <v>2</v>
      </c>
      <c r="AA150" s="13" t="s">
        <v>14</v>
      </c>
      <c r="AB150" s="13">
        <v>2</v>
      </c>
      <c r="AC150" s="13" t="s">
        <v>14</v>
      </c>
      <c r="AD150" s="13">
        <v>2</v>
      </c>
      <c r="AE150" s="13" t="s">
        <v>14</v>
      </c>
      <c r="AF150" s="13">
        <v>2</v>
      </c>
      <c r="AG150" s="13"/>
      <c r="AH150" s="13"/>
      <c r="AI150" s="13" t="s">
        <v>14</v>
      </c>
      <c r="AJ150" s="13">
        <v>2</v>
      </c>
      <c r="AK150" s="13" t="s">
        <v>14</v>
      </c>
      <c r="AL150" s="13">
        <v>2</v>
      </c>
      <c r="AM150" s="13" t="s">
        <v>14</v>
      </c>
      <c r="AN150" s="13">
        <v>2</v>
      </c>
      <c r="AO150" s="13" t="s">
        <v>14</v>
      </c>
      <c r="AP150" s="13">
        <v>2</v>
      </c>
      <c r="AQ150" s="13" t="s">
        <v>14</v>
      </c>
      <c r="AR150" s="13">
        <v>2</v>
      </c>
      <c r="AS150" s="13" t="s">
        <v>14</v>
      </c>
      <c r="AT150" s="13">
        <v>2</v>
      </c>
      <c r="AU150" s="13" t="s">
        <v>16</v>
      </c>
      <c r="AV150" s="13">
        <v>2</v>
      </c>
      <c r="AW150" s="13" t="s">
        <v>14</v>
      </c>
      <c r="AX150" s="13">
        <v>2</v>
      </c>
      <c r="AY150" s="13" t="s">
        <v>14</v>
      </c>
      <c r="AZ150" s="13">
        <v>2</v>
      </c>
      <c r="BA150" s="13" t="s">
        <v>14</v>
      </c>
      <c r="BB150" s="13">
        <v>2</v>
      </c>
      <c r="BC150" s="13" t="s">
        <v>14</v>
      </c>
      <c r="BD150" s="13">
        <v>2</v>
      </c>
      <c r="BE150" s="13" t="s">
        <v>14</v>
      </c>
      <c r="BF150" s="13">
        <v>2</v>
      </c>
      <c r="BG150" s="13" t="s">
        <v>14</v>
      </c>
      <c r="BH150" s="13">
        <v>2</v>
      </c>
      <c r="BI150" s="13" t="s">
        <v>16</v>
      </c>
      <c r="BJ150" s="13">
        <v>2</v>
      </c>
      <c r="BK150" s="13" t="s">
        <v>14</v>
      </c>
      <c r="BL150" s="13">
        <v>2</v>
      </c>
      <c r="BM150" s="13" t="s">
        <v>14</v>
      </c>
      <c r="BN150" s="36">
        <v>2</v>
      </c>
      <c r="BP150" s="27">
        <v>147</v>
      </c>
      <c r="BQ150" s="27"/>
      <c r="BR150" s="29">
        <f ca="1">SUMIF(OFFSET($E$4:$BM$9,ROWS($1:147)*6-6,),BR$2,OFFSET($F$4:$BN$9,ROWS($1:147)*6-6,))</f>
        <v>0</v>
      </c>
      <c r="BS150" s="29">
        <f ca="1">SUMIF(OFFSET($E$4:$BM$9,ROWS($1:147)*6-6,),BS$2,OFFSET($F$4:$BN$9,ROWS($1:147)*6-6,))</f>
        <v>0</v>
      </c>
      <c r="BT150" s="29">
        <f ca="1">SUMIF(OFFSET($E$4:$BM$9,ROWS($1:147)*6-6,),BT$2,OFFSET($F$4:$BN$9,ROWS($1:147)*6-6,))</f>
        <v>0</v>
      </c>
      <c r="BU150" s="29">
        <f ca="1">SUMIF(OFFSET($E$4:$BM$9,ROWS($1:147)*6-6,),BU$2,OFFSET($F$4:$BN$9,ROWS($1:147)*6-6,))</f>
        <v>0</v>
      </c>
      <c r="BV150" s="29">
        <f ca="1">SUMIF(OFFSET($E$4:$BM$9,ROWS($1:147)*6-6,),BV$2,OFFSET($F$4:$BN$9,ROWS($1:147)*6-6,))</f>
        <v>0</v>
      </c>
      <c r="BW150" s="29">
        <f ca="1">SUMIF(OFFSET($E$4:$BM$9,ROWS($1:147)*6-6,),BW$2,OFFSET($F$4:$BN$9,ROWS($1:147)*6-6,))</f>
        <v>0</v>
      </c>
      <c r="BX150" s="29">
        <f ca="1">SUMIF(OFFSET($E$4:$BM$9,ROWS($1:147)*6-6,),BX$2,OFFSET($F$4:$BN$9,ROWS($1:147)*6-6,))</f>
        <v>0</v>
      </c>
      <c r="BY150" s="29">
        <f ca="1">SUMIF(OFFSET($E$4:$BM$9,ROWS($1:147)*6-6,),BY$2,OFFSET($F$4:$BN$9,ROWS($1:147)*6-6,))</f>
        <v>0</v>
      </c>
      <c r="BZ150" s="29">
        <f ca="1">SUMIF(OFFSET($E$4:$BM$9,ROWS($1:147)*6-6,),BZ$2,OFFSET($F$4:$BN$9,ROWS($1:147)*6-6,))</f>
        <v>0</v>
      </c>
      <c r="CA150" s="29">
        <f ca="1">SUMIF(OFFSET($E$4:$BM$9,ROWS($1:147)*6-6,),CA$2,OFFSET($F$4:$BN$9,ROWS($1:147)*6-6,))</f>
        <v>0</v>
      </c>
      <c r="CB150" s="29">
        <f ca="1">SUMIF(OFFSET($E$4:$BM$9,ROWS($1:147)*6-6,),CB$2,OFFSET($F$4:$BN$9,ROWS($1:147)*6-6,))</f>
        <v>0</v>
      </c>
      <c r="CC150" s="43">
        <f ca="1">SUMIF(OFFSET($E$4:$BM$9,ROWS($1:147)*6-6,),CC$2,OFFSET($F$4:$BN$9,ROWS($1:147)*6-6,))</f>
        <v>0</v>
      </c>
      <c r="CD150" s="44">
        <f t="shared" si="5"/>
        <v>0</v>
      </c>
      <c r="CE150" s="44" t="e">
        <f ca="1">INDEX(FREQUENCY(MMULT({1,1},SUBTOTAL(9,OFFSET($E$1,MATCH($CD150,$C:$C,)+{3;4},INT(COLUMN($A:$AE)*2)-1))),{3.9,7.9,11.9}),COLUMN(B147))</f>
        <v>#N/A</v>
      </c>
      <c r="CF150" s="44" t="e">
        <f ca="1">INDEX(FREQUENCY(MMULT({1,1},SUBTOTAL(9,OFFSET($E$1,MATCH($CD150,$C:$C,)+{3;4},INT(COLUMN($A:$AE)*2)-1))),{3.9,7.9,11.9}),COLUMN(C147))</f>
        <v>#N/A</v>
      </c>
      <c r="CG150" s="44" t="e">
        <f ca="1">INDEX(FREQUENCY(MMULT({1,1},SUBTOTAL(9,OFFSET($E$1,MATCH($CD150,$C:$C,)+{3;4},INT(COLUMN($A:$AE)*2)-1))),{3.9,7.9,11.9}),COLUMN(D147))</f>
        <v>#N/A</v>
      </c>
    </row>
    <row r="151" spans="1:85" ht="17.25" customHeight="1" x14ac:dyDescent="0.15">
      <c r="A151" s="85"/>
      <c r="B151" s="49"/>
      <c r="C151" s="49"/>
      <c r="D151" s="56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 t="s">
        <v>18</v>
      </c>
      <c r="V151" s="12">
        <v>2</v>
      </c>
      <c r="W151" s="12" t="s">
        <v>14</v>
      </c>
      <c r="X151" s="12">
        <v>2</v>
      </c>
      <c r="Y151" s="12" t="s">
        <v>14</v>
      </c>
      <c r="Z151" s="12">
        <v>2</v>
      </c>
      <c r="AA151" s="12" t="s">
        <v>14</v>
      </c>
      <c r="AB151" s="12">
        <v>2</v>
      </c>
      <c r="AC151" s="12" t="s">
        <v>14</v>
      </c>
      <c r="AD151" s="12">
        <v>2</v>
      </c>
      <c r="AE151" s="12" t="s">
        <v>14</v>
      </c>
      <c r="AF151" s="12">
        <v>2</v>
      </c>
      <c r="AG151" s="12"/>
      <c r="AH151" s="12"/>
      <c r="AI151" s="12" t="s">
        <v>14</v>
      </c>
      <c r="AJ151" s="12">
        <v>2</v>
      </c>
      <c r="AK151" s="12" t="s">
        <v>14</v>
      </c>
      <c r="AL151" s="12">
        <v>2</v>
      </c>
      <c r="AM151" s="12" t="s">
        <v>14</v>
      </c>
      <c r="AN151" s="12">
        <v>2</v>
      </c>
      <c r="AO151" s="12" t="s">
        <v>14</v>
      </c>
      <c r="AP151" s="12">
        <v>2</v>
      </c>
      <c r="AQ151" s="12" t="s">
        <v>14</v>
      </c>
      <c r="AR151" s="12">
        <v>2</v>
      </c>
      <c r="AS151" s="12" t="s">
        <v>14</v>
      </c>
      <c r="AT151" s="12">
        <v>2</v>
      </c>
      <c r="AU151" s="12" t="s">
        <v>16</v>
      </c>
      <c r="AV151" s="12">
        <v>2</v>
      </c>
      <c r="AW151" s="12" t="s">
        <v>14</v>
      </c>
      <c r="AX151" s="12">
        <v>2</v>
      </c>
      <c r="AY151" s="12" t="s">
        <v>14</v>
      </c>
      <c r="AZ151" s="12">
        <v>2</v>
      </c>
      <c r="BA151" s="12" t="s">
        <v>14</v>
      </c>
      <c r="BB151" s="12">
        <v>2</v>
      </c>
      <c r="BC151" s="12" t="s">
        <v>14</v>
      </c>
      <c r="BD151" s="12">
        <v>2</v>
      </c>
      <c r="BE151" s="12" t="s">
        <v>14</v>
      </c>
      <c r="BF151" s="12">
        <v>2</v>
      </c>
      <c r="BG151" s="12" t="s">
        <v>14</v>
      </c>
      <c r="BH151" s="12">
        <v>2</v>
      </c>
      <c r="BI151" s="12" t="s">
        <v>16</v>
      </c>
      <c r="BJ151" s="12">
        <v>2</v>
      </c>
      <c r="BK151" s="12" t="s">
        <v>14</v>
      </c>
      <c r="BL151" s="12">
        <v>2</v>
      </c>
      <c r="BM151" s="12" t="s">
        <v>14</v>
      </c>
      <c r="BN151" s="35">
        <v>2</v>
      </c>
      <c r="BP151" s="27">
        <v>148</v>
      </c>
      <c r="BQ151" s="27"/>
      <c r="BR151" s="29">
        <f ca="1">SUMIF(OFFSET($E$4:$BM$9,ROWS($1:148)*6-6,),BR$2,OFFSET($F$4:$BN$9,ROWS($1:148)*6-6,))</f>
        <v>0</v>
      </c>
      <c r="BS151" s="29">
        <f ca="1">SUMIF(OFFSET($E$4:$BM$9,ROWS($1:148)*6-6,),BS$2,OFFSET($F$4:$BN$9,ROWS($1:148)*6-6,))</f>
        <v>0</v>
      </c>
      <c r="BT151" s="29">
        <f ca="1">SUMIF(OFFSET($E$4:$BM$9,ROWS($1:148)*6-6,),BT$2,OFFSET($F$4:$BN$9,ROWS($1:148)*6-6,))</f>
        <v>0</v>
      </c>
      <c r="BU151" s="29">
        <f ca="1">SUMIF(OFFSET($E$4:$BM$9,ROWS($1:148)*6-6,),BU$2,OFFSET($F$4:$BN$9,ROWS($1:148)*6-6,))</f>
        <v>0</v>
      </c>
      <c r="BV151" s="29">
        <f ca="1">SUMIF(OFFSET($E$4:$BM$9,ROWS($1:148)*6-6,),BV$2,OFFSET($F$4:$BN$9,ROWS($1:148)*6-6,))</f>
        <v>0</v>
      </c>
      <c r="BW151" s="29">
        <f ca="1">SUMIF(OFFSET($E$4:$BM$9,ROWS($1:148)*6-6,),BW$2,OFFSET($F$4:$BN$9,ROWS($1:148)*6-6,))</f>
        <v>0</v>
      </c>
      <c r="BX151" s="29">
        <f ca="1">SUMIF(OFFSET($E$4:$BM$9,ROWS($1:148)*6-6,),BX$2,OFFSET($F$4:$BN$9,ROWS($1:148)*6-6,))</f>
        <v>0</v>
      </c>
      <c r="BY151" s="29">
        <f ca="1">SUMIF(OFFSET($E$4:$BM$9,ROWS($1:148)*6-6,),BY$2,OFFSET($F$4:$BN$9,ROWS($1:148)*6-6,))</f>
        <v>0</v>
      </c>
      <c r="BZ151" s="29">
        <f ca="1">SUMIF(OFFSET($E$4:$BM$9,ROWS($1:148)*6-6,),BZ$2,OFFSET($F$4:$BN$9,ROWS($1:148)*6-6,))</f>
        <v>0</v>
      </c>
      <c r="CA151" s="29">
        <f ca="1">SUMIF(OFFSET($E$4:$BM$9,ROWS($1:148)*6-6,),CA$2,OFFSET($F$4:$BN$9,ROWS($1:148)*6-6,))</f>
        <v>0</v>
      </c>
      <c r="CB151" s="29">
        <f ca="1">SUMIF(OFFSET($E$4:$BM$9,ROWS($1:148)*6-6,),CB$2,OFFSET($F$4:$BN$9,ROWS($1:148)*6-6,))</f>
        <v>0</v>
      </c>
      <c r="CC151" s="43">
        <f ca="1">SUMIF(OFFSET($E$4:$BM$9,ROWS($1:148)*6-6,),CC$2,OFFSET($F$4:$BN$9,ROWS($1:148)*6-6,))</f>
        <v>0</v>
      </c>
      <c r="CD151" s="44"/>
      <c r="CE151" s="44" t="e">
        <f ca="1">INDEX(FREQUENCY(MMULT({1,1},SUBTOTAL(9,OFFSET($E$1,MATCH($CD151,$C:$C,)+{3;4},INT(COLUMN($A:$AE)*2)-1))),{3.9,7.9,11.9}),COLUMN(B148))</f>
        <v>#N/A</v>
      </c>
      <c r="CF151" s="44" t="e">
        <f ca="1">INDEX(FREQUENCY(MMULT({1,1},SUBTOTAL(9,OFFSET($E$1,MATCH($CD151,$C:$C,)+{3;4},INT(COLUMN($A:$AE)*2)-1))),{3.9,7.9,11.9}),COLUMN(C148))</f>
        <v>#N/A</v>
      </c>
      <c r="CG151" s="44" t="e">
        <f ca="1">INDEX(FREQUENCY(MMULT({1,1},SUBTOTAL(9,OFFSET($E$1,MATCH($CD151,$C:$C,)+{3;4},INT(COLUMN($A:$AE)*2)-1))),{3.9,7.9,11.9}),COLUMN(D148))</f>
        <v>#N/A</v>
      </c>
    </row>
    <row r="152" spans="1:85" ht="17.25" customHeight="1" x14ac:dyDescent="0.15">
      <c r="A152" s="85"/>
      <c r="B152" s="49"/>
      <c r="C152" s="49"/>
      <c r="D152" s="58" t="s">
        <v>49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 t="s">
        <v>15</v>
      </c>
      <c r="V152" s="14"/>
      <c r="W152" s="14" t="s">
        <v>15</v>
      </c>
      <c r="X152" s="14"/>
      <c r="Y152" s="14" t="s">
        <v>15</v>
      </c>
      <c r="Z152" s="14">
        <v>3</v>
      </c>
      <c r="AA152" s="14" t="s">
        <v>15</v>
      </c>
      <c r="AB152" s="14">
        <v>2</v>
      </c>
      <c r="AC152" s="14" t="s">
        <v>15</v>
      </c>
      <c r="AD152" s="14"/>
      <c r="AE152" s="14" t="s">
        <v>15</v>
      </c>
      <c r="AF152" s="14"/>
      <c r="AG152" s="14"/>
      <c r="AH152" s="14"/>
      <c r="AI152" s="14" t="s">
        <v>15</v>
      </c>
      <c r="AJ152" s="14">
        <v>3</v>
      </c>
      <c r="AK152" s="14" t="s">
        <v>15</v>
      </c>
      <c r="AL152" s="14"/>
      <c r="AM152" s="14" t="s">
        <v>15</v>
      </c>
      <c r="AN152" s="14"/>
      <c r="AO152" s="14" t="s">
        <v>15</v>
      </c>
      <c r="AP152" s="14">
        <v>3</v>
      </c>
      <c r="AQ152" s="14" t="s">
        <v>15</v>
      </c>
      <c r="AR152" s="14">
        <v>3</v>
      </c>
      <c r="AS152" s="14" t="s">
        <v>15</v>
      </c>
      <c r="AT152" s="14">
        <v>3</v>
      </c>
      <c r="AU152" s="14"/>
      <c r="AV152" s="14"/>
      <c r="AW152" s="14" t="s">
        <v>15</v>
      </c>
      <c r="AX152" s="14">
        <v>3</v>
      </c>
      <c r="AY152" s="14" t="s">
        <v>15</v>
      </c>
      <c r="AZ152" s="14">
        <v>3</v>
      </c>
      <c r="BA152" s="14" t="s">
        <v>15</v>
      </c>
      <c r="BB152" s="14">
        <v>3</v>
      </c>
      <c r="BC152" s="14" t="s">
        <v>15</v>
      </c>
      <c r="BD152" s="14">
        <v>3</v>
      </c>
      <c r="BE152" s="14" t="s">
        <v>15</v>
      </c>
      <c r="BF152" s="14">
        <v>4</v>
      </c>
      <c r="BG152" s="14" t="s">
        <v>15</v>
      </c>
      <c r="BH152" s="14"/>
      <c r="BI152" s="14"/>
      <c r="BJ152" s="14"/>
      <c r="BK152" s="14" t="s">
        <v>15</v>
      </c>
      <c r="BL152" s="14">
        <v>4</v>
      </c>
      <c r="BM152" s="14" t="s">
        <v>15</v>
      </c>
      <c r="BN152" s="37">
        <v>3</v>
      </c>
      <c r="BP152" s="27">
        <v>149</v>
      </c>
      <c r="BQ152" s="27"/>
      <c r="BR152" s="29">
        <f ca="1">SUMIF(OFFSET($E$4:$BM$9,ROWS($1:149)*6-6,),BR$2,OFFSET($F$4:$BN$9,ROWS($1:149)*6-6,))</f>
        <v>0</v>
      </c>
      <c r="BS152" s="29">
        <f ca="1">SUMIF(OFFSET($E$4:$BM$9,ROWS($1:149)*6-6,),BS$2,OFFSET($F$4:$BN$9,ROWS($1:149)*6-6,))</f>
        <v>0</v>
      </c>
      <c r="BT152" s="29">
        <f ca="1">SUMIF(OFFSET($E$4:$BM$9,ROWS($1:149)*6-6,),BT$2,OFFSET($F$4:$BN$9,ROWS($1:149)*6-6,))</f>
        <v>0</v>
      </c>
      <c r="BU152" s="29">
        <f ca="1">SUMIF(OFFSET($E$4:$BM$9,ROWS($1:149)*6-6,),BU$2,OFFSET($F$4:$BN$9,ROWS($1:149)*6-6,))</f>
        <v>0</v>
      </c>
      <c r="BV152" s="29">
        <f ca="1">SUMIF(OFFSET($E$4:$BM$9,ROWS($1:149)*6-6,),BV$2,OFFSET($F$4:$BN$9,ROWS($1:149)*6-6,))</f>
        <v>0</v>
      </c>
      <c r="BW152" s="29">
        <f ca="1">SUMIF(OFFSET($E$4:$BM$9,ROWS($1:149)*6-6,),BW$2,OFFSET($F$4:$BN$9,ROWS($1:149)*6-6,))</f>
        <v>0</v>
      </c>
      <c r="BX152" s="29">
        <f ca="1">SUMIF(OFFSET($E$4:$BM$9,ROWS($1:149)*6-6,),BX$2,OFFSET($F$4:$BN$9,ROWS($1:149)*6-6,))</f>
        <v>0</v>
      </c>
      <c r="BY152" s="29">
        <f ca="1">SUMIF(OFFSET($E$4:$BM$9,ROWS($1:149)*6-6,),BY$2,OFFSET($F$4:$BN$9,ROWS($1:149)*6-6,))</f>
        <v>0</v>
      </c>
      <c r="BZ152" s="29">
        <f ca="1">SUMIF(OFFSET($E$4:$BM$9,ROWS($1:149)*6-6,),BZ$2,OFFSET($F$4:$BN$9,ROWS($1:149)*6-6,))</f>
        <v>0</v>
      </c>
      <c r="CA152" s="29">
        <f ca="1">SUMIF(OFFSET($E$4:$BM$9,ROWS($1:149)*6-6,),CA$2,OFFSET($F$4:$BN$9,ROWS($1:149)*6-6,))</f>
        <v>0</v>
      </c>
      <c r="CB152" s="29">
        <f ca="1">SUMIF(OFFSET($E$4:$BM$9,ROWS($1:149)*6-6,),CB$2,OFFSET($F$4:$BN$9,ROWS($1:149)*6-6,))</f>
        <v>0</v>
      </c>
      <c r="CC152" s="43">
        <f ca="1">SUMIF(OFFSET($E$4:$BM$9,ROWS($1:149)*6-6,),CC$2,OFFSET($F$4:$BN$9,ROWS($1:149)*6-6,))</f>
        <v>0</v>
      </c>
      <c r="CD152" s="44"/>
      <c r="CE152" s="44" t="e">
        <f ca="1">INDEX(FREQUENCY(MMULT({1,1},SUBTOTAL(9,OFFSET($E$1,MATCH($CD152,$C:$C,)+{3;4},INT(COLUMN($A:$AE)*2)-1))),{3.9,7.9,11.9}),COLUMN(B149))</f>
        <v>#N/A</v>
      </c>
      <c r="CF152" s="44" t="e">
        <f ca="1">INDEX(FREQUENCY(MMULT({1,1},SUBTOTAL(9,OFFSET($E$1,MATCH($CD152,$C:$C,)+{3;4},INT(COLUMN($A:$AE)*2)-1))),{3.9,7.9,11.9}),COLUMN(C149))</f>
        <v>#N/A</v>
      </c>
      <c r="CG152" s="44" t="e">
        <f ca="1">INDEX(FREQUENCY(MMULT({1,1},SUBTOTAL(9,OFFSET($E$1,MATCH($CD152,$C:$C,)+{3;4},INT(COLUMN($A:$AE)*2)-1))),{3.9,7.9,11.9}),COLUMN(D149))</f>
        <v>#N/A</v>
      </c>
    </row>
    <row r="153" spans="1:85" ht="17.25" customHeight="1" thickBot="1" x14ac:dyDescent="0.2">
      <c r="A153" s="86"/>
      <c r="B153" s="50"/>
      <c r="C153" s="50"/>
      <c r="D153" s="59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38"/>
      <c r="BP153" s="27">
        <v>150</v>
      </c>
      <c r="BQ153" s="27"/>
      <c r="BR153" s="29">
        <f ca="1">SUMIF(OFFSET($E$4:$BM$9,ROWS($1:150)*6-6,),BR$2,OFFSET($F$4:$BN$9,ROWS($1:150)*6-6,))</f>
        <v>0</v>
      </c>
      <c r="BS153" s="29">
        <f ca="1">SUMIF(OFFSET($E$4:$BM$9,ROWS($1:150)*6-6,),BS$2,OFFSET($F$4:$BN$9,ROWS($1:150)*6-6,))</f>
        <v>0</v>
      </c>
      <c r="BT153" s="29">
        <f ca="1">SUMIF(OFFSET($E$4:$BM$9,ROWS($1:150)*6-6,),BT$2,OFFSET($F$4:$BN$9,ROWS($1:150)*6-6,))</f>
        <v>0</v>
      </c>
      <c r="BU153" s="29">
        <f ca="1">SUMIF(OFFSET($E$4:$BM$9,ROWS($1:150)*6-6,),BU$2,OFFSET($F$4:$BN$9,ROWS($1:150)*6-6,))</f>
        <v>0</v>
      </c>
      <c r="BV153" s="29">
        <f ca="1">SUMIF(OFFSET($E$4:$BM$9,ROWS($1:150)*6-6,),BV$2,OFFSET($F$4:$BN$9,ROWS($1:150)*6-6,))</f>
        <v>0</v>
      </c>
      <c r="BW153" s="29">
        <f ca="1">SUMIF(OFFSET($E$4:$BM$9,ROWS($1:150)*6-6,),BW$2,OFFSET($F$4:$BN$9,ROWS($1:150)*6-6,))</f>
        <v>0</v>
      </c>
      <c r="BX153" s="29">
        <f ca="1">SUMIF(OFFSET($E$4:$BM$9,ROWS($1:150)*6-6,),BX$2,OFFSET($F$4:$BN$9,ROWS($1:150)*6-6,))</f>
        <v>0</v>
      </c>
      <c r="BY153" s="29">
        <f ca="1">SUMIF(OFFSET($E$4:$BM$9,ROWS($1:150)*6-6,),BY$2,OFFSET($F$4:$BN$9,ROWS($1:150)*6-6,))</f>
        <v>0</v>
      </c>
      <c r="BZ153" s="29">
        <f ca="1">SUMIF(OFFSET($E$4:$BM$9,ROWS($1:150)*6-6,),BZ$2,OFFSET($F$4:$BN$9,ROWS($1:150)*6-6,))</f>
        <v>0</v>
      </c>
      <c r="CA153" s="29">
        <f ca="1">SUMIF(OFFSET($E$4:$BM$9,ROWS($1:150)*6-6,),CA$2,OFFSET($F$4:$BN$9,ROWS($1:150)*6-6,))</f>
        <v>0</v>
      </c>
      <c r="CB153" s="29">
        <f ca="1">SUMIF(OFFSET($E$4:$BM$9,ROWS($1:150)*6-6,),CB$2,OFFSET($F$4:$BN$9,ROWS($1:150)*6-6,))</f>
        <v>0</v>
      </c>
      <c r="CC153" s="43">
        <f ca="1">SUMIF(OFFSET($E$4:$BM$9,ROWS($1:150)*6-6,),CC$2,OFFSET($F$4:$BN$9,ROWS($1:150)*6-6,))</f>
        <v>0</v>
      </c>
      <c r="CD153" s="44"/>
      <c r="CE153" s="44" t="e">
        <f ca="1">INDEX(FREQUENCY(MMULT({1,1},SUBTOTAL(9,OFFSET($E$1,MATCH($CD153,$C:$C,)+{3;4},INT(COLUMN($A:$AE)*2)-1))),{3.9,7.9,11.9}),COLUMN(B150))</f>
        <v>#N/A</v>
      </c>
      <c r="CF153" s="44" t="e">
        <f ca="1">INDEX(FREQUENCY(MMULT({1,1},SUBTOTAL(9,OFFSET($E$1,MATCH($CD153,$C:$C,)+{3;4},INT(COLUMN($A:$AE)*2)-1))),{3.9,7.9,11.9}),COLUMN(C150))</f>
        <v>#N/A</v>
      </c>
      <c r="CG153" s="44" t="e">
        <f ca="1">INDEX(FREQUENCY(MMULT({1,1},SUBTOTAL(9,OFFSET($E$1,MATCH($CD153,$C:$C,)+{3;4},INT(COLUMN($A:$AE)*2)-1))),{3.9,7.9,11.9}),COLUMN(D150))</f>
        <v>#N/A</v>
      </c>
    </row>
    <row r="154" spans="1:85" ht="17.25" customHeight="1" x14ac:dyDescent="0.15">
      <c r="A154" s="84" t="s">
        <v>84</v>
      </c>
      <c r="B154" s="48" t="s">
        <v>43</v>
      </c>
      <c r="C154" s="48" t="s">
        <v>139</v>
      </c>
      <c r="D154" s="55" t="s">
        <v>45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14</v>
      </c>
      <c r="V154" s="11">
        <v>2</v>
      </c>
      <c r="W154" s="11" t="s">
        <v>18</v>
      </c>
      <c r="X154" s="11">
        <v>2</v>
      </c>
      <c r="Y154" s="11" t="s">
        <v>14</v>
      </c>
      <c r="Z154" s="11">
        <v>2</v>
      </c>
      <c r="AA154" s="11" t="s">
        <v>14</v>
      </c>
      <c r="AB154" s="11">
        <v>2</v>
      </c>
      <c r="AC154" s="11" t="s">
        <v>14</v>
      </c>
      <c r="AD154" s="11">
        <v>2</v>
      </c>
      <c r="AE154" s="11" t="s">
        <v>14</v>
      </c>
      <c r="AF154" s="11">
        <v>2</v>
      </c>
      <c r="AG154" s="11"/>
      <c r="AH154" s="11"/>
      <c r="AI154" s="11" t="s">
        <v>14</v>
      </c>
      <c r="AJ154" s="11">
        <v>2</v>
      </c>
      <c r="AK154" s="11" t="s">
        <v>14</v>
      </c>
      <c r="AL154" s="11">
        <v>2</v>
      </c>
      <c r="AM154" s="11" t="s">
        <v>14</v>
      </c>
      <c r="AN154" s="11">
        <v>2</v>
      </c>
      <c r="AO154" s="11" t="s">
        <v>14</v>
      </c>
      <c r="AP154" s="11">
        <v>2</v>
      </c>
      <c r="AQ154" s="11" t="s">
        <v>14</v>
      </c>
      <c r="AR154" s="11">
        <v>2</v>
      </c>
      <c r="AS154" s="11" t="s">
        <v>14</v>
      </c>
      <c r="AT154" s="11">
        <v>2</v>
      </c>
      <c r="AU154" s="11" t="s">
        <v>16</v>
      </c>
      <c r="AV154" s="11">
        <v>2</v>
      </c>
      <c r="AW154" s="11" t="s">
        <v>14</v>
      </c>
      <c r="AX154" s="11">
        <v>2</v>
      </c>
      <c r="AY154" s="11" t="s">
        <v>14</v>
      </c>
      <c r="AZ154" s="11">
        <v>2</v>
      </c>
      <c r="BA154" s="11" t="s">
        <v>14</v>
      </c>
      <c r="BB154" s="11">
        <v>2</v>
      </c>
      <c r="BC154" s="11" t="s">
        <v>14</v>
      </c>
      <c r="BD154" s="11">
        <v>2</v>
      </c>
      <c r="BE154" s="11" t="s">
        <v>14</v>
      </c>
      <c r="BF154" s="11">
        <v>2</v>
      </c>
      <c r="BG154" s="11" t="s">
        <v>14</v>
      </c>
      <c r="BH154" s="11">
        <v>2</v>
      </c>
      <c r="BI154" s="11" t="s">
        <v>16</v>
      </c>
      <c r="BJ154" s="11">
        <v>2</v>
      </c>
      <c r="BK154" s="11" t="s">
        <v>14</v>
      </c>
      <c r="BL154" s="11">
        <v>2</v>
      </c>
      <c r="BM154" s="11" t="s">
        <v>14</v>
      </c>
      <c r="BN154" s="34">
        <v>2</v>
      </c>
      <c r="BP154" s="27">
        <v>151</v>
      </c>
      <c r="BQ154" s="27"/>
      <c r="BR154" s="29">
        <f ca="1">SUMIF(OFFSET($E$4:$BM$9,ROWS($1:151)*6-6,),BR$2,OFFSET($F$4:$BN$9,ROWS($1:151)*6-6,))</f>
        <v>0</v>
      </c>
      <c r="BS154" s="29">
        <f ca="1">SUMIF(OFFSET($E$4:$BM$9,ROWS($1:151)*6-6,),BS$2,OFFSET($F$4:$BN$9,ROWS($1:151)*6-6,))</f>
        <v>0</v>
      </c>
      <c r="BT154" s="29">
        <f ca="1">SUMIF(OFFSET($E$4:$BM$9,ROWS($1:151)*6-6,),BT$2,OFFSET($F$4:$BN$9,ROWS($1:151)*6-6,))</f>
        <v>0</v>
      </c>
      <c r="BU154" s="29">
        <f ca="1">SUMIF(OFFSET($E$4:$BM$9,ROWS($1:151)*6-6,),BU$2,OFFSET($F$4:$BN$9,ROWS($1:151)*6-6,))</f>
        <v>0</v>
      </c>
      <c r="BV154" s="29">
        <f ca="1">SUMIF(OFFSET($E$4:$BM$9,ROWS($1:151)*6-6,),BV$2,OFFSET($F$4:$BN$9,ROWS($1:151)*6-6,))</f>
        <v>0</v>
      </c>
      <c r="BW154" s="29">
        <f ca="1">SUMIF(OFFSET($E$4:$BM$9,ROWS($1:151)*6-6,),BW$2,OFFSET($F$4:$BN$9,ROWS($1:151)*6-6,))</f>
        <v>0</v>
      </c>
      <c r="BX154" s="29">
        <f ca="1">SUMIF(OFFSET($E$4:$BM$9,ROWS($1:151)*6-6,),BX$2,OFFSET($F$4:$BN$9,ROWS($1:151)*6-6,))</f>
        <v>0</v>
      </c>
      <c r="BY154" s="29">
        <f ca="1">SUMIF(OFFSET($E$4:$BM$9,ROWS($1:151)*6-6,),BY$2,OFFSET($F$4:$BN$9,ROWS($1:151)*6-6,))</f>
        <v>0</v>
      </c>
      <c r="BZ154" s="29">
        <f ca="1">SUMIF(OFFSET($E$4:$BM$9,ROWS($1:151)*6-6,),BZ$2,OFFSET($F$4:$BN$9,ROWS($1:151)*6-6,))</f>
        <v>0</v>
      </c>
      <c r="CA154" s="29">
        <f ca="1">SUMIF(OFFSET($E$4:$BM$9,ROWS($1:151)*6-6,),CA$2,OFFSET($F$4:$BN$9,ROWS($1:151)*6-6,))</f>
        <v>0</v>
      </c>
      <c r="CB154" s="29">
        <f ca="1">SUMIF(OFFSET($E$4:$BM$9,ROWS($1:151)*6-6,),CB$2,OFFSET($F$4:$BN$9,ROWS($1:151)*6-6,))</f>
        <v>0</v>
      </c>
      <c r="CC154" s="43">
        <f ca="1">SUMIF(OFFSET($E$4:$BM$9,ROWS($1:151)*6-6,),CC$2,OFFSET($F$4:$BN$9,ROWS($1:151)*6-6,))</f>
        <v>0</v>
      </c>
      <c r="CD154" s="44"/>
      <c r="CE154" s="44" t="e">
        <f ca="1">INDEX(FREQUENCY(MMULT({1,1},SUBTOTAL(9,OFFSET($E$1,MATCH($CD154,$C:$C,)+{3;4},INT(COLUMN($A:$AE)*2)-1))),{3.9,7.9,11.9}),COLUMN(B151))</f>
        <v>#N/A</v>
      </c>
      <c r="CF154" s="44" t="e">
        <f ca="1">INDEX(FREQUENCY(MMULT({1,1},SUBTOTAL(9,OFFSET($E$1,MATCH($CD154,$C:$C,)+{3;4},INT(COLUMN($A:$AE)*2)-1))),{3.9,7.9,11.9}),COLUMN(C151))</f>
        <v>#N/A</v>
      </c>
      <c r="CG154" s="44" t="e">
        <f ca="1">INDEX(FREQUENCY(MMULT({1,1},SUBTOTAL(9,OFFSET($E$1,MATCH($CD154,$C:$C,)+{3;4},INT(COLUMN($A:$AE)*2)-1))),{3.9,7.9,11.9}),COLUMN(D151))</f>
        <v>#N/A</v>
      </c>
    </row>
    <row r="155" spans="1:85" ht="17.25" customHeight="1" x14ac:dyDescent="0.15">
      <c r="A155" s="85"/>
      <c r="B155" s="49"/>
      <c r="C155" s="49"/>
      <c r="D155" s="56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 t="s">
        <v>14</v>
      </c>
      <c r="V155" s="12">
        <v>2</v>
      </c>
      <c r="W155" s="12" t="s">
        <v>18</v>
      </c>
      <c r="X155" s="12">
        <v>2</v>
      </c>
      <c r="Y155" s="12" t="s">
        <v>14</v>
      </c>
      <c r="Z155" s="12">
        <v>2</v>
      </c>
      <c r="AA155" s="12" t="s">
        <v>14</v>
      </c>
      <c r="AB155" s="12">
        <v>2</v>
      </c>
      <c r="AC155" s="12" t="s">
        <v>14</v>
      </c>
      <c r="AD155" s="12">
        <v>2</v>
      </c>
      <c r="AE155" s="12" t="s">
        <v>14</v>
      </c>
      <c r="AF155" s="12">
        <v>2</v>
      </c>
      <c r="AG155" s="12"/>
      <c r="AH155" s="12"/>
      <c r="AI155" s="12" t="s">
        <v>14</v>
      </c>
      <c r="AJ155" s="12">
        <v>2</v>
      </c>
      <c r="AK155" s="12" t="s">
        <v>14</v>
      </c>
      <c r="AL155" s="12">
        <v>2</v>
      </c>
      <c r="AM155" s="12" t="s">
        <v>14</v>
      </c>
      <c r="AN155" s="12">
        <v>2</v>
      </c>
      <c r="AO155" s="12" t="s">
        <v>14</v>
      </c>
      <c r="AP155" s="12">
        <v>2</v>
      </c>
      <c r="AQ155" s="12" t="s">
        <v>14</v>
      </c>
      <c r="AR155" s="12">
        <v>2</v>
      </c>
      <c r="AS155" s="12" t="s">
        <v>14</v>
      </c>
      <c r="AT155" s="12">
        <v>2</v>
      </c>
      <c r="AU155" s="12" t="s">
        <v>16</v>
      </c>
      <c r="AV155" s="12">
        <v>2</v>
      </c>
      <c r="AW155" s="12" t="s">
        <v>14</v>
      </c>
      <c r="AX155" s="12">
        <v>2</v>
      </c>
      <c r="AY155" s="12" t="s">
        <v>14</v>
      </c>
      <c r="AZ155" s="12">
        <v>2</v>
      </c>
      <c r="BA155" s="12" t="s">
        <v>14</v>
      </c>
      <c r="BB155" s="12">
        <v>2</v>
      </c>
      <c r="BC155" s="12" t="s">
        <v>14</v>
      </c>
      <c r="BD155" s="12">
        <v>2</v>
      </c>
      <c r="BE155" s="12" t="s">
        <v>14</v>
      </c>
      <c r="BF155" s="12">
        <v>2</v>
      </c>
      <c r="BG155" s="12" t="s">
        <v>14</v>
      </c>
      <c r="BH155" s="12">
        <v>2</v>
      </c>
      <c r="BI155" s="12" t="s">
        <v>16</v>
      </c>
      <c r="BJ155" s="12">
        <v>2</v>
      </c>
      <c r="BK155" s="12" t="s">
        <v>14</v>
      </c>
      <c r="BL155" s="12">
        <v>2</v>
      </c>
      <c r="BM155" s="12" t="s">
        <v>14</v>
      </c>
      <c r="BN155" s="35">
        <v>2</v>
      </c>
      <c r="BP155" s="27">
        <v>152</v>
      </c>
      <c r="BQ155" s="27"/>
      <c r="BR155" s="29">
        <f ca="1">SUMIF(OFFSET($E$4:$BM$9,ROWS($1:152)*6-6,),BR$2,OFFSET($F$4:$BN$9,ROWS($1:152)*6-6,))</f>
        <v>0</v>
      </c>
      <c r="BS155" s="29">
        <f ca="1">SUMIF(OFFSET($E$4:$BM$9,ROWS($1:152)*6-6,),BS$2,OFFSET($F$4:$BN$9,ROWS($1:152)*6-6,))</f>
        <v>0</v>
      </c>
      <c r="BT155" s="29">
        <f ca="1">SUMIF(OFFSET($E$4:$BM$9,ROWS($1:152)*6-6,),BT$2,OFFSET($F$4:$BN$9,ROWS($1:152)*6-6,))</f>
        <v>0</v>
      </c>
      <c r="BU155" s="29">
        <f ca="1">SUMIF(OFFSET($E$4:$BM$9,ROWS($1:152)*6-6,),BU$2,OFFSET($F$4:$BN$9,ROWS($1:152)*6-6,))</f>
        <v>0</v>
      </c>
      <c r="BV155" s="29">
        <f ca="1">SUMIF(OFFSET($E$4:$BM$9,ROWS($1:152)*6-6,),BV$2,OFFSET($F$4:$BN$9,ROWS($1:152)*6-6,))</f>
        <v>0</v>
      </c>
      <c r="BW155" s="29">
        <f ca="1">SUMIF(OFFSET($E$4:$BM$9,ROWS($1:152)*6-6,),BW$2,OFFSET($F$4:$BN$9,ROWS($1:152)*6-6,))</f>
        <v>0</v>
      </c>
      <c r="BX155" s="29">
        <f ca="1">SUMIF(OFFSET($E$4:$BM$9,ROWS($1:152)*6-6,),BX$2,OFFSET($F$4:$BN$9,ROWS($1:152)*6-6,))</f>
        <v>0</v>
      </c>
      <c r="BY155" s="29">
        <f ca="1">SUMIF(OFFSET($E$4:$BM$9,ROWS($1:152)*6-6,),BY$2,OFFSET($F$4:$BN$9,ROWS($1:152)*6-6,))</f>
        <v>0</v>
      </c>
      <c r="BZ155" s="29">
        <f ca="1">SUMIF(OFFSET($E$4:$BM$9,ROWS($1:152)*6-6,),BZ$2,OFFSET($F$4:$BN$9,ROWS($1:152)*6-6,))</f>
        <v>0</v>
      </c>
      <c r="CA155" s="29">
        <f ca="1">SUMIF(OFFSET($E$4:$BM$9,ROWS($1:152)*6-6,),CA$2,OFFSET($F$4:$BN$9,ROWS($1:152)*6-6,))</f>
        <v>0</v>
      </c>
      <c r="CB155" s="29">
        <f ca="1">SUMIF(OFFSET($E$4:$BM$9,ROWS($1:152)*6-6,),CB$2,OFFSET($F$4:$BN$9,ROWS($1:152)*6-6,))</f>
        <v>0</v>
      </c>
      <c r="CC155" s="43">
        <f ca="1">SUMIF(OFFSET($E$4:$BM$9,ROWS($1:152)*6-6,),CC$2,OFFSET($F$4:$BN$9,ROWS($1:152)*6-6,))</f>
        <v>0</v>
      </c>
      <c r="CD155" s="44"/>
      <c r="CE155" s="44" t="e">
        <f ca="1">INDEX(FREQUENCY(MMULT({1,1},SUBTOTAL(9,OFFSET($E$1,MATCH($CD155,$C:$C,)+{3;4},INT(COLUMN($A:$AE)*2)-1))),{3.9,7.9,11.9}),COLUMN(B152))</f>
        <v>#N/A</v>
      </c>
      <c r="CF155" s="44" t="e">
        <f ca="1">INDEX(FREQUENCY(MMULT({1,1},SUBTOTAL(9,OFFSET($E$1,MATCH($CD155,$C:$C,)+{3;4},INT(COLUMN($A:$AE)*2)-1))),{3.9,7.9,11.9}),COLUMN(C152))</f>
        <v>#N/A</v>
      </c>
      <c r="CG155" s="44" t="e">
        <f ca="1">INDEX(FREQUENCY(MMULT({1,1},SUBTOTAL(9,OFFSET($E$1,MATCH($CD155,$C:$C,)+{3;4},INT(COLUMN($A:$AE)*2)-1))),{3.9,7.9,11.9}),COLUMN(D152))</f>
        <v>#N/A</v>
      </c>
    </row>
    <row r="156" spans="1:85" ht="17.25" customHeight="1" x14ac:dyDescent="0.15">
      <c r="A156" s="85"/>
      <c r="B156" s="49"/>
      <c r="C156" s="49"/>
      <c r="D156" s="57" t="s">
        <v>47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 t="s">
        <v>18</v>
      </c>
      <c r="V156" s="13">
        <v>2</v>
      </c>
      <c r="W156" s="13" t="s">
        <v>18</v>
      </c>
      <c r="X156" s="13">
        <v>2</v>
      </c>
      <c r="Y156" s="13" t="s">
        <v>14</v>
      </c>
      <c r="Z156" s="13">
        <v>2</v>
      </c>
      <c r="AA156" s="13" t="s">
        <v>14</v>
      </c>
      <c r="AB156" s="13">
        <v>2</v>
      </c>
      <c r="AC156" s="13" t="s">
        <v>14</v>
      </c>
      <c r="AD156" s="13">
        <v>2</v>
      </c>
      <c r="AE156" s="13" t="s">
        <v>14</v>
      </c>
      <c r="AF156" s="13">
        <v>2</v>
      </c>
      <c r="AG156" s="13"/>
      <c r="AH156" s="13"/>
      <c r="AI156" s="13" t="s">
        <v>14</v>
      </c>
      <c r="AJ156" s="13">
        <v>2</v>
      </c>
      <c r="AK156" s="13" t="s">
        <v>14</v>
      </c>
      <c r="AL156" s="13">
        <v>2</v>
      </c>
      <c r="AM156" s="13" t="s">
        <v>14</v>
      </c>
      <c r="AN156" s="13">
        <v>2</v>
      </c>
      <c r="AO156" s="13" t="s">
        <v>14</v>
      </c>
      <c r="AP156" s="13">
        <v>2</v>
      </c>
      <c r="AQ156" s="13" t="s">
        <v>14</v>
      </c>
      <c r="AR156" s="13">
        <v>2</v>
      </c>
      <c r="AS156" s="13" t="s">
        <v>14</v>
      </c>
      <c r="AT156" s="13">
        <v>2</v>
      </c>
      <c r="AU156" s="13" t="s">
        <v>16</v>
      </c>
      <c r="AV156" s="13">
        <v>2</v>
      </c>
      <c r="AW156" s="13" t="s">
        <v>14</v>
      </c>
      <c r="AX156" s="13">
        <v>2</v>
      </c>
      <c r="AY156" s="13" t="s">
        <v>14</v>
      </c>
      <c r="AZ156" s="13">
        <v>2</v>
      </c>
      <c r="BA156" s="13" t="s">
        <v>14</v>
      </c>
      <c r="BB156" s="13">
        <v>2</v>
      </c>
      <c r="BC156" s="13" t="s">
        <v>14</v>
      </c>
      <c r="BD156" s="13">
        <v>2</v>
      </c>
      <c r="BE156" s="13" t="s">
        <v>14</v>
      </c>
      <c r="BF156" s="13">
        <v>2</v>
      </c>
      <c r="BG156" s="13" t="s">
        <v>14</v>
      </c>
      <c r="BH156" s="13">
        <v>2</v>
      </c>
      <c r="BI156" s="13" t="s">
        <v>16</v>
      </c>
      <c r="BJ156" s="13">
        <v>2</v>
      </c>
      <c r="BK156" s="13" t="s">
        <v>14</v>
      </c>
      <c r="BL156" s="13">
        <v>2</v>
      </c>
      <c r="BM156" s="13" t="s">
        <v>14</v>
      </c>
      <c r="BN156" s="36">
        <v>2</v>
      </c>
      <c r="BP156" s="27">
        <v>153</v>
      </c>
      <c r="BQ156" s="27"/>
      <c r="BR156" s="29">
        <f ca="1">SUMIF(OFFSET($E$4:$BM$9,ROWS($1:153)*6-6,),BR$2,OFFSET($F$4:$BN$9,ROWS($1:153)*6-6,))</f>
        <v>0</v>
      </c>
      <c r="BS156" s="29">
        <f ca="1">SUMIF(OFFSET($E$4:$BM$9,ROWS($1:153)*6-6,),BS$2,OFFSET($F$4:$BN$9,ROWS($1:153)*6-6,))</f>
        <v>0</v>
      </c>
      <c r="BT156" s="29">
        <f ca="1">SUMIF(OFFSET($E$4:$BM$9,ROWS($1:153)*6-6,),BT$2,OFFSET($F$4:$BN$9,ROWS($1:153)*6-6,))</f>
        <v>0</v>
      </c>
      <c r="BU156" s="29">
        <f ca="1">SUMIF(OFFSET($E$4:$BM$9,ROWS($1:153)*6-6,),BU$2,OFFSET($F$4:$BN$9,ROWS($1:153)*6-6,))</f>
        <v>0</v>
      </c>
      <c r="BV156" s="29">
        <f ca="1">SUMIF(OFFSET($E$4:$BM$9,ROWS($1:153)*6-6,),BV$2,OFFSET($F$4:$BN$9,ROWS($1:153)*6-6,))</f>
        <v>0</v>
      </c>
      <c r="BW156" s="29">
        <f ca="1">SUMIF(OFFSET($E$4:$BM$9,ROWS($1:153)*6-6,),BW$2,OFFSET($F$4:$BN$9,ROWS($1:153)*6-6,))</f>
        <v>0</v>
      </c>
      <c r="BX156" s="29">
        <f ca="1">SUMIF(OFFSET($E$4:$BM$9,ROWS($1:153)*6-6,),BX$2,OFFSET($F$4:$BN$9,ROWS($1:153)*6-6,))</f>
        <v>0</v>
      </c>
      <c r="BY156" s="29">
        <f ca="1">SUMIF(OFFSET($E$4:$BM$9,ROWS($1:153)*6-6,),BY$2,OFFSET($F$4:$BN$9,ROWS($1:153)*6-6,))</f>
        <v>0</v>
      </c>
      <c r="BZ156" s="29">
        <f ca="1">SUMIF(OFFSET($E$4:$BM$9,ROWS($1:153)*6-6,),BZ$2,OFFSET($F$4:$BN$9,ROWS($1:153)*6-6,))</f>
        <v>0</v>
      </c>
      <c r="CA156" s="29">
        <f ca="1">SUMIF(OFFSET($E$4:$BM$9,ROWS($1:153)*6-6,),CA$2,OFFSET($F$4:$BN$9,ROWS($1:153)*6-6,))</f>
        <v>0</v>
      </c>
      <c r="CB156" s="29">
        <f ca="1">SUMIF(OFFSET($E$4:$BM$9,ROWS($1:153)*6-6,),CB$2,OFFSET($F$4:$BN$9,ROWS($1:153)*6-6,))</f>
        <v>0</v>
      </c>
      <c r="CC156" s="43">
        <f ca="1">SUMIF(OFFSET($E$4:$BM$9,ROWS($1:153)*6-6,),CC$2,OFFSET($F$4:$BN$9,ROWS($1:153)*6-6,))</f>
        <v>0</v>
      </c>
      <c r="CD156" s="44"/>
      <c r="CE156" s="44" t="e">
        <f ca="1">INDEX(FREQUENCY(MMULT({1,1},SUBTOTAL(9,OFFSET($E$1,MATCH($CD156,$C:$C,)+{3;4},INT(COLUMN($A:$AE)*2)-1))),{3.9,7.9,11.9}),COLUMN(B153))</f>
        <v>#N/A</v>
      </c>
      <c r="CF156" s="44" t="e">
        <f ca="1">INDEX(FREQUENCY(MMULT({1,1},SUBTOTAL(9,OFFSET($E$1,MATCH($CD156,$C:$C,)+{3;4},INT(COLUMN($A:$AE)*2)-1))),{3.9,7.9,11.9}),COLUMN(C153))</f>
        <v>#N/A</v>
      </c>
      <c r="CG156" s="44" t="e">
        <f ca="1">INDEX(FREQUENCY(MMULT({1,1},SUBTOTAL(9,OFFSET($E$1,MATCH($CD156,$C:$C,)+{3;4},INT(COLUMN($A:$AE)*2)-1))),{3.9,7.9,11.9}),COLUMN(D153))</f>
        <v>#N/A</v>
      </c>
    </row>
    <row r="157" spans="1:85" ht="17.25" customHeight="1" x14ac:dyDescent="0.15">
      <c r="A157" s="85"/>
      <c r="B157" s="49"/>
      <c r="C157" s="49"/>
      <c r="D157" s="56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 t="s">
        <v>18</v>
      </c>
      <c r="V157" s="12">
        <v>2</v>
      </c>
      <c r="W157" s="12" t="s">
        <v>18</v>
      </c>
      <c r="X157" s="12">
        <v>2</v>
      </c>
      <c r="Y157" s="12" t="s">
        <v>14</v>
      </c>
      <c r="Z157" s="12">
        <v>2</v>
      </c>
      <c r="AA157" s="12" t="s">
        <v>14</v>
      </c>
      <c r="AB157" s="12">
        <v>2</v>
      </c>
      <c r="AC157" s="12" t="s">
        <v>14</v>
      </c>
      <c r="AD157" s="12">
        <v>2</v>
      </c>
      <c r="AE157" s="12" t="s">
        <v>14</v>
      </c>
      <c r="AF157" s="12">
        <v>2</v>
      </c>
      <c r="AG157" s="12"/>
      <c r="AH157" s="12"/>
      <c r="AI157" s="12" t="s">
        <v>14</v>
      </c>
      <c r="AJ157" s="12">
        <v>2</v>
      </c>
      <c r="AK157" s="12" t="s">
        <v>14</v>
      </c>
      <c r="AL157" s="12">
        <v>2</v>
      </c>
      <c r="AM157" s="12" t="s">
        <v>14</v>
      </c>
      <c r="AN157" s="12">
        <v>2</v>
      </c>
      <c r="AO157" s="12" t="s">
        <v>14</v>
      </c>
      <c r="AP157" s="12">
        <v>2</v>
      </c>
      <c r="AQ157" s="12" t="s">
        <v>14</v>
      </c>
      <c r="AR157" s="12">
        <v>2</v>
      </c>
      <c r="AS157" s="12" t="s">
        <v>14</v>
      </c>
      <c r="AT157" s="12">
        <v>2</v>
      </c>
      <c r="AU157" s="12" t="s">
        <v>16</v>
      </c>
      <c r="AV157" s="12">
        <v>2</v>
      </c>
      <c r="AW157" s="12" t="s">
        <v>14</v>
      </c>
      <c r="AX157" s="12">
        <v>2</v>
      </c>
      <c r="AY157" s="12" t="s">
        <v>14</v>
      </c>
      <c r="AZ157" s="12">
        <v>2</v>
      </c>
      <c r="BA157" s="12" t="s">
        <v>14</v>
      </c>
      <c r="BB157" s="12">
        <v>2</v>
      </c>
      <c r="BC157" s="12" t="s">
        <v>14</v>
      </c>
      <c r="BD157" s="12">
        <v>2</v>
      </c>
      <c r="BE157" s="12" t="s">
        <v>14</v>
      </c>
      <c r="BF157" s="12">
        <v>2</v>
      </c>
      <c r="BG157" s="12" t="s">
        <v>14</v>
      </c>
      <c r="BH157" s="12">
        <v>2</v>
      </c>
      <c r="BI157" s="12" t="s">
        <v>16</v>
      </c>
      <c r="BJ157" s="12">
        <v>2</v>
      </c>
      <c r="BK157" s="12" t="s">
        <v>14</v>
      </c>
      <c r="BL157" s="12">
        <v>2</v>
      </c>
      <c r="BM157" s="12" t="s">
        <v>14</v>
      </c>
      <c r="BN157" s="35">
        <v>2</v>
      </c>
      <c r="BP157" s="27">
        <v>154</v>
      </c>
      <c r="BQ157" s="27"/>
      <c r="BR157" s="29">
        <f ca="1">SUMIF(OFFSET($E$4:$BM$9,ROWS($1:154)*6-6,),BR$2,OFFSET($F$4:$BN$9,ROWS($1:154)*6-6,))</f>
        <v>0</v>
      </c>
      <c r="BS157" s="29">
        <f ca="1">SUMIF(OFFSET($E$4:$BM$9,ROWS($1:154)*6-6,),BS$2,OFFSET($F$4:$BN$9,ROWS($1:154)*6-6,))</f>
        <v>0</v>
      </c>
      <c r="BT157" s="29">
        <f ca="1">SUMIF(OFFSET($E$4:$BM$9,ROWS($1:154)*6-6,),BT$2,OFFSET($F$4:$BN$9,ROWS($1:154)*6-6,))</f>
        <v>0</v>
      </c>
      <c r="BU157" s="29">
        <f ca="1">SUMIF(OFFSET($E$4:$BM$9,ROWS($1:154)*6-6,),BU$2,OFFSET($F$4:$BN$9,ROWS($1:154)*6-6,))</f>
        <v>0</v>
      </c>
      <c r="BV157" s="29">
        <f ca="1">SUMIF(OFFSET($E$4:$BM$9,ROWS($1:154)*6-6,),BV$2,OFFSET($F$4:$BN$9,ROWS($1:154)*6-6,))</f>
        <v>0</v>
      </c>
      <c r="BW157" s="29">
        <f ca="1">SUMIF(OFFSET($E$4:$BM$9,ROWS($1:154)*6-6,),BW$2,OFFSET($F$4:$BN$9,ROWS($1:154)*6-6,))</f>
        <v>0</v>
      </c>
      <c r="BX157" s="29">
        <f ca="1">SUMIF(OFFSET($E$4:$BM$9,ROWS($1:154)*6-6,),BX$2,OFFSET($F$4:$BN$9,ROWS($1:154)*6-6,))</f>
        <v>0</v>
      </c>
      <c r="BY157" s="29">
        <f ca="1">SUMIF(OFFSET($E$4:$BM$9,ROWS($1:154)*6-6,),BY$2,OFFSET($F$4:$BN$9,ROWS($1:154)*6-6,))</f>
        <v>0</v>
      </c>
      <c r="BZ157" s="29">
        <f ca="1">SUMIF(OFFSET($E$4:$BM$9,ROWS($1:154)*6-6,),BZ$2,OFFSET($F$4:$BN$9,ROWS($1:154)*6-6,))</f>
        <v>0</v>
      </c>
      <c r="CA157" s="29">
        <f ca="1">SUMIF(OFFSET($E$4:$BM$9,ROWS($1:154)*6-6,),CA$2,OFFSET($F$4:$BN$9,ROWS($1:154)*6-6,))</f>
        <v>0</v>
      </c>
      <c r="CB157" s="29">
        <f ca="1">SUMIF(OFFSET($E$4:$BM$9,ROWS($1:154)*6-6,),CB$2,OFFSET($F$4:$BN$9,ROWS($1:154)*6-6,))</f>
        <v>0</v>
      </c>
      <c r="CC157" s="43">
        <f ca="1">SUMIF(OFFSET($E$4:$BM$9,ROWS($1:154)*6-6,),CC$2,OFFSET($F$4:$BN$9,ROWS($1:154)*6-6,))</f>
        <v>0</v>
      </c>
      <c r="CD157" s="44"/>
      <c r="CE157" s="44" t="e">
        <f ca="1">INDEX(FREQUENCY(MMULT({1,1},SUBTOTAL(9,OFFSET($E$1,MATCH($CD157,$C:$C,)+{3;4},INT(COLUMN($A:$AE)*2)-1))),{3.9,7.9,11.9}),COLUMN(B154))</f>
        <v>#N/A</v>
      </c>
      <c r="CF157" s="44" t="e">
        <f ca="1">INDEX(FREQUENCY(MMULT({1,1},SUBTOTAL(9,OFFSET($E$1,MATCH($CD157,$C:$C,)+{3;4},INT(COLUMN($A:$AE)*2)-1))),{3.9,7.9,11.9}),COLUMN(C154))</f>
        <v>#N/A</v>
      </c>
      <c r="CG157" s="44" t="e">
        <f ca="1">INDEX(FREQUENCY(MMULT({1,1},SUBTOTAL(9,OFFSET($E$1,MATCH($CD157,$C:$C,)+{3;4},INT(COLUMN($A:$AE)*2)-1))),{3.9,7.9,11.9}),COLUMN(D154))</f>
        <v>#N/A</v>
      </c>
    </row>
    <row r="158" spans="1:85" ht="17.25" customHeight="1" x14ac:dyDescent="0.15">
      <c r="A158" s="85"/>
      <c r="B158" s="49"/>
      <c r="C158" s="49"/>
      <c r="D158" s="58" t="s">
        <v>49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 t="s">
        <v>15</v>
      </c>
      <c r="V158" s="14"/>
      <c r="W158" s="14" t="s">
        <v>15</v>
      </c>
      <c r="X158" s="14">
        <v>4</v>
      </c>
      <c r="Y158" s="14" t="s">
        <v>15</v>
      </c>
      <c r="Z158" s="14"/>
      <c r="AA158" s="14" t="s">
        <v>15</v>
      </c>
      <c r="AB158" s="14">
        <v>3</v>
      </c>
      <c r="AC158" s="14" t="s">
        <v>15</v>
      </c>
      <c r="AD158" s="14"/>
      <c r="AE158" s="14" t="s">
        <v>15</v>
      </c>
      <c r="AF158" s="14"/>
      <c r="AG158" s="14"/>
      <c r="AH158" s="14"/>
      <c r="AI158" s="14" t="s">
        <v>15</v>
      </c>
      <c r="AJ158" s="14"/>
      <c r="AK158" s="14" t="s">
        <v>15</v>
      </c>
      <c r="AL158" s="14"/>
      <c r="AM158" s="14" t="s">
        <v>15</v>
      </c>
      <c r="AN158" s="14"/>
      <c r="AO158" s="14" t="s">
        <v>15</v>
      </c>
      <c r="AP158" s="14"/>
      <c r="AQ158" s="14" t="s">
        <v>15</v>
      </c>
      <c r="AR158" s="14">
        <v>3</v>
      </c>
      <c r="AS158" s="14" t="s">
        <v>15</v>
      </c>
      <c r="AT158" s="14">
        <v>3</v>
      </c>
      <c r="AU158" s="14"/>
      <c r="AV158" s="14"/>
      <c r="AW158" s="14" t="s">
        <v>15</v>
      </c>
      <c r="AX158" s="14">
        <v>3</v>
      </c>
      <c r="AY158" s="14" t="s">
        <v>15</v>
      </c>
      <c r="AZ158" s="14">
        <v>3</v>
      </c>
      <c r="BA158" s="14" t="s">
        <v>15</v>
      </c>
      <c r="BB158" s="14">
        <v>3</v>
      </c>
      <c r="BC158" s="14" t="s">
        <v>15</v>
      </c>
      <c r="BD158" s="14">
        <v>3</v>
      </c>
      <c r="BE158" s="14" t="s">
        <v>15</v>
      </c>
      <c r="BF158" s="14">
        <v>4</v>
      </c>
      <c r="BG158" s="14" t="s">
        <v>15</v>
      </c>
      <c r="BH158" s="14"/>
      <c r="BI158" s="14"/>
      <c r="BJ158" s="14"/>
      <c r="BK158" s="14" t="s">
        <v>15</v>
      </c>
      <c r="BL158" s="14">
        <v>4</v>
      </c>
      <c r="BM158" s="14" t="s">
        <v>15</v>
      </c>
      <c r="BN158" s="37">
        <v>3</v>
      </c>
      <c r="BP158" s="27">
        <v>155</v>
      </c>
      <c r="BQ158" s="27"/>
      <c r="BR158" s="29">
        <f ca="1">SUMIF(OFFSET($E$4:$BM$9,ROWS($1:155)*6-6,),BR$2,OFFSET($F$4:$BN$9,ROWS($1:155)*6-6,))</f>
        <v>0</v>
      </c>
      <c r="BS158" s="29">
        <f ca="1">SUMIF(OFFSET($E$4:$BM$9,ROWS($1:155)*6-6,),BS$2,OFFSET($F$4:$BN$9,ROWS($1:155)*6-6,))</f>
        <v>0</v>
      </c>
      <c r="BT158" s="29">
        <f ca="1">SUMIF(OFFSET($E$4:$BM$9,ROWS($1:155)*6-6,),BT$2,OFFSET($F$4:$BN$9,ROWS($1:155)*6-6,))</f>
        <v>0</v>
      </c>
      <c r="BU158" s="29">
        <f ca="1">SUMIF(OFFSET($E$4:$BM$9,ROWS($1:155)*6-6,),BU$2,OFFSET($F$4:$BN$9,ROWS($1:155)*6-6,))</f>
        <v>0</v>
      </c>
      <c r="BV158" s="29">
        <f ca="1">SUMIF(OFFSET($E$4:$BM$9,ROWS($1:155)*6-6,),BV$2,OFFSET($F$4:$BN$9,ROWS($1:155)*6-6,))</f>
        <v>0</v>
      </c>
      <c r="BW158" s="29">
        <f ca="1">SUMIF(OFFSET($E$4:$BM$9,ROWS($1:155)*6-6,),BW$2,OFFSET($F$4:$BN$9,ROWS($1:155)*6-6,))</f>
        <v>0</v>
      </c>
      <c r="BX158" s="29">
        <f ca="1">SUMIF(OFFSET($E$4:$BM$9,ROWS($1:155)*6-6,),BX$2,OFFSET($F$4:$BN$9,ROWS($1:155)*6-6,))</f>
        <v>0</v>
      </c>
      <c r="BY158" s="29">
        <f ca="1">SUMIF(OFFSET($E$4:$BM$9,ROWS($1:155)*6-6,),BY$2,OFFSET($F$4:$BN$9,ROWS($1:155)*6-6,))</f>
        <v>0</v>
      </c>
      <c r="BZ158" s="29">
        <f ca="1">SUMIF(OFFSET($E$4:$BM$9,ROWS($1:155)*6-6,),BZ$2,OFFSET($F$4:$BN$9,ROWS($1:155)*6-6,))</f>
        <v>0</v>
      </c>
      <c r="CA158" s="29">
        <f ca="1">SUMIF(OFFSET($E$4:$BM$9,ROWS($1:155)*6-6,),CA$2,OFFSET($F$4:$BN$9,ROWS($1:155)*6-6,))</f>
        <v>0</v>
      </c>
      <c r="CB158" s="29">
        <f ca="1">SUMIF(OFFSET($E$4:$BM$9,ROWS($1:155)*6-6,),CB$2,OFFSET($F$4:$BN$9,ROWS($1:155)*6-6,))</f>
        <v>0</v>
      </c>
      <c r="CC158" s="43">
        <f ca="1">SUMIF(OFFSET($E$4:$BM$9,ROWS($1:155)*6-6,),CC$2,OFFSET($F$4:$BN$9,ROWS($1:155)*6-6,))</f>
        <v>0</v>
      </c>
      <c r="CD158" s="44"/>
      <c r="CE158" s="44" t="e">
        <f ca="1">INDEX(FREQUENCY(MMULT({1,1},SUBTOTAL(9,OFFSET($E$1,MATCH($CD158,$C:$C,)+{3;4},INT(COLUMN($A:$AE)*2)-1))),{3.9,7.9,11.9}),COLUMN(B155))</f>
        <v>#N/A</v>
      </c>
      <c r="CF158" s="44" t="e">
        <f ca="1">INDEX(FREQUENCY(MMULT({1,1},SUBTOTAL(9,OFFSET($E$1,MATCH($CD158,$C:$C,)+{3;4},INT(COLUMN($A:$AE)*2)-1))),{3.9,7.9,11.9}),COLUMN(C155))</f>
        <v>#N/A</v>
      </c>
      <c r="CG158" s="44" t="e">
        <f ca="1">INDEX(FREQUENCY(MMULT({1,1},SUBTOTAL(9,OFFSET($E$1,MATCH($CD158,$C:$C,)+{3;4},INT(COLUMN($A:$AE)*2)-1))),{3.9,7.9,11.9}),COLUMN(D155))</f>
        <v>#N/A</v>
      </c>
    </row>
    <row r="159" spans="1:85" ht="17.25" customHeight="1" thickBot="1" x14ac:dyDescent="0.2">
      <c r="A159" s="86"/>
      <c r="B159" s="50"/>
      <c r="C159" s="50"/>
      <c r="D159" s="59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38"/>
      <c r="BP159" s="27">
        <v>156</v>
      </c>
      <c r="BQ159" s="27"/>
      <c r="BR159" s="29">
        <f ca="1">SUMIF(OFFSET($E$4:$BM$9,ROWS($1:156)*6-6,),BR$2,OFFSET($F$4:$BN$9,ROWS($1:156)*6-6,))</f>
        <v>0</v>
      </c>
      <c r="BS159" s="29">
        <f ca="1">SUMIF(OFFSET($E$4:$BM$9,ROWS($1:156)*6-6,),BS$2,OFFSET($F$4:$BN$9,ROWS($1:156)*6-6,))</f>
        <v>0</v>
      </c>
      <c r="BT159" s="29">
        <f ca="1">SUMIF(OFFSET($E$4:$BM$9,ROWS($1:156)*6-6,),BT$2,OFFSET($F$4:$BN$9,ROWS($1:156)*6-6,))</f>
        <v>0</v>
      </c>
      <c r="BU159" s="29">
        <f ca="1">SUMIF(OFFSET($E$4:$BM$9,ROWS($1:156)*6-6,),BU$2,OFFSET($F$4:$BN$9,ROWS($1:156)*6-6,))</f>
        <v>0</v>
      </c>
      <c r="BV159" s="29">
        <f ca="1">SUMIF(OFFSET($E$4:$BM$9,ROWS($1:156)*6-6,),BV$2,OFFSET($F$4:$BN$9,ROWS($1:156)*6-6,))</f>
        <v>0</v>
      </c>
      <c r="BW159" s="29">
        <f ca="1">SUMIF(OFFSET($E$4:$BM$9,ROWS($1:156)*6-6,),BW$2,OFFSET($F$4:$BN$9,ROWS($1:156)*6-6,))</f>
        <v>0</v>
      </c>
      <c r="BX159" s="29">
        <f ca="1">SUMIF(OFFSET($E$4:$BM$9,ROWS($1:156)*6-6,),BX$2,OFFSET($F$4:$BN$9,ROWS($1:156)*6-6,))</f>
        <v>0</v>
      </c>
      <c r="BY159" s="29">
        <f ca="1">SUMIF(OFFSET($E$4:$BM$9,ROWS($1:156)*6-6,),BY$2,OFFSET($F$4:$BN$9,ROWS($1:156)*6-6,))</f>
        <v>0</v>
      </c>
      <c r="BZ159" s="29">
        <f ca="1">SUMIF(OFFSET($E$4:$BM$9,ROWS($1:156)*6-6,),BZ$2,OFFSET($F$4:$BN$9,ROWS($1:156)*6-6,))</f>
        <v>0</v>
      </c>
      <c r="CA159" s="29">
        <f ca="1">SUMIF(OFFSET($E$4:$BM$9,ROWS($1:156)*6-6,),CA$2,OFFSET($F$4:$BN$9,ROWS($1:156)*6-6,))</f>
        <v>0</v>
      </c>
      <c r="CB159" s="29">
        <f ca="1">SUMIF(OFFSET($E$4:$BM$9,ROWS($1:156)*6-6,),CB$2,OFFSET($F$4:$BN$9,ROWS($1:156)*6-6,))</f>
        <v>0</v>
      </c>
      <c r="CC159" s="43">
        <f ca="1">SUMIF(OFFSET($E$4:$BM$9,ROWS($1:156)*6-6,),CC$2,OFFSET($F$4:$BN$9,ROWS($1:156)*6-6,))</f>
        <v>0</v>
      </c>
      <c r="CD159" s="44"/>
      <c r="CE159" s="44" t="e">
        <f ca="1">INDEX(FREQUENCY(MMULT({1,1},SUBTOTAL(9,OFFSET($E$1,MATCH($CD159,$C:$C,)+{3;4},INT(COLUMN($A:$AE)*2)-1))),{3.9,7.9,11.9}),COLUMN(B156))</f>
        <v>#N/A</v>
      </c>
      <c r="CF159" s="44" t="e">
        <f ca="1">INDEX(FREQUENCY(MMULT({1,1},SUBTOTAL(9,OFFSET($E$1,MATCH($CD159,$C:$C,)+{3;4},INT(COLUMN($A:$AE)*2)-1))),{3.9,7.9,11.9}),COLUMN(C156))</f>
        <v>#N/A</v>
      </c>
      <c r="CG159" s="44" t="e">
        <f ca="1">INDEX(FREQUENCY(MMULT({1,1},SUBTOTAL(9,OFFSET($E$1,MATCH($CD159,$C:$C,)+{3;4},INT(COLUMN($A:$AE)*2)-1))),{3.9,7.9,11.9}),COLUMN(D156))</f>
        <v>#N/A</v>
      </c>
    </row>
    <row r="160" spans="1:85" ht="17.25" customHeight="1" x14ac:dyDescent="0.15">
      <c r="A160" s="84" t="s">
        <v>88</v>
      </c>
      <c r="B160" s="48" t="s">
        <v>107</v>
      </c>
      <c r="C160" s="48" t="s">
        <v>100</v>
      </c>
      <c r="D160" s="55" t="s">
        <v>45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14</v>
      </c>
      <c r="V160" s="11">
        <v>2</v>
      </c>
      <c r="W160" s="11" t="s">
        <v>18</v>
      </c>
      <c r="X160" s="11">
        <v>2</v>
      </c>
      <c r="Y160" s="11" t="s">
        <v>14</v>
      </c>
      <c r="Z160" s="11">
        <v>2</v>
      </c>
      <c r="AA160" s="11" t="s">
        <v>14</v>
      </c>
      <c r="AB160" s="11">
        <v>2</v>
      </c>
      <c r="AC160" s="11" t="s">
        <v>14</v>
      </c>
      <c r="AD160" s="11">
        <v>2</v>
      </c>
      <c r="AE160" s="11" t="s">
        <v>14</v>
      </c>
      <c r="AF160" s="11">
        <v>2</v>
      </c>
      <c r="AG160" s="11"/>
      <c r="AH160" s="11"/>
      <c r="AI160" s="11" t="s">
        <v>14</v>
      </c>
      <c r="AJ160" s="11">
        <v>2</v>
      </c>
      <c r="AK160" s="11" t="s">
        <v>14</v>
      </c>
      <c r="AL160" s="11">
        <v>2</v>
      </c>
      <c r="AM160" s="11" t="s">
        <v>14</v>
      </c>
      <c r="AN160" s="11">
        <v>2</v>
      </c>
      <c r="AO160" s="11" t="s">
        <v>14</v>
      </c>
      <c r="AP160" s="11">
        <v>2</v>
      </c>
      <c r="AQ160" s="11" t="s">
        <v>14</v>
      </c>
      <c r="AR160" s="11">
        <v>2</v>
      </c>
      <c r="AS160" s="11" t="s">
        <v>14</v>
      </c>
      <c r="AT160" s="11">
        <v>2</v>
      </c>
      <c r="AU160" s="11" t="s">
        <v>16</v>
      </c>
      <c r="AV160" s="11">
        <v>2</v>
      </c>
      <c r="AW160" s="11" t="s">
        <v>14</v>
      </c>
      <c r="AX160" s="11">
        <v>2</v>
      </c>
      <c r="AY160" s="11" t="s">
        <v>14</v>
      </c>
      <c r="AZ160" s="11">
        <v>2</v>
      </c>
      <c r="BA160" s="11" t="s">
        <v>14</v>
      </c>
      <c r="BB160" s="11">
        <v>2</v>
      </c>
      <c r="BC160" s="11" t="s">
        <v>14</v>
      </c>
      <c r="BD160" s="11">
        <v>2</v>
      </c>
      <c r="BE160" s="11" t="s">
        <v>14</v>
      </c>
      <c r="BF160" s="11">
        <v>2</v>
      </c>
      <c r="BG160" s="11" t="s">
        <v>14</v>
      </c>
      <c r="BH160" s="11">
        <v>2</v>
      </c>
      <c r="BI160" s="11" t="s">
        <v>16</v>
      </c>
      <c r="BJ160" s="11">
        <v>2</v>
      </c>
      <c r="BK160" s="11" t="s">
        <v>14</v>
      </c>
      <c r="BL160" s="11">
        <v>2</v>
      </c>
      <c r="BM160" s="11" t="s">
        <v>14</v>
      </c>
      <c r="BN160" s="34">
        <v>2</v>
      </c>
      <c r="BP160" s="27">
        <v>157</v>
      </c>
      <c r="BQ160" s="27"/>
      <c r="BR160" s="29">
        <f ca="1">SUMIF(OFFSET($E$4:$BM$9,ROWS($1:157)*6-6,),BR$2,OFFSET($F$4:$BN$9,ROWS($1:157)*6-6,))</f>
        <v>0</v>
      </c>
      <c r="BS160" s="29">
        <f ca="1">SUMIF(OFFSET($E$4:$BM$9,ROWS($1:157)*6-6,),BS$2,OFFSET($F$4:$BN$9,ROWS($1:157)*6-6,))</f>
        <v>0</v>
      </c>
      <c r="BT160" s="29">
        <f ca="1">SUMIF(OFFSET($E$4:$BM$9,ROWS($1:157)*6-6,),BT$2,OFFSET($F$4:$BN$9,ROWS($1:157)*6-6,))</f>
        <v>0</v>
      </c>
      <c r="BU160" s="29">
        <f ca="1">SUMIF(OFFSET($E$4:$BM$9,ROWS($1:157)*6-6,),BU$2,OFFSET($F$4:$BN$9,ROWS($1:157)*6-6,))</f>
        <v>0</v>
      </c>
      <c r="BV160" s="29">
        <f ca="1">SUMIF(OFFSET($E$4:$BM$9,ROWS($1:157)*6-6,),BV$2,OFFSET($F$4:$BN$9,ROWS($1:157)*6-6,))</f>
        <v>0</v>
      </c>
      <c r="BW160" s="29">
        <f ca="1">SUMIF(OFFSET($E$4:$BM$9,ROWS($1:157)*6-6,),BW$2,OFFSET($F$4:$BN$9,ROWS($1:157)*6-6,))</f>
        <v>0</v>
      </c>
      <c r="BX160" s="29">
        <f ca="1">SUMIF(OFFSET($E$4:$BM$9,ROWS($1:157)*6-6,),BX$2,OFFSET($F$4:$BN$9,ROWS($1:157)*6-6,))</f>
        <v>0</v>
      </c>
      <c r="BY160" s="29">
        <f ca="1">SUMIF(OFFSET($E$4:$BM$9,ROWS($1:157)*6-6,),BY$2,OFFSET($F$4:$BN$9,ROWS($1:157)*6-6,))</f>
        <v>0</v>
      </c>
      <c r="BZ160" s="29">
        <f ca="1">SUMIF(OFFSET($E$4:$BM$9,ROWS($1:157)*6-6,),BZ$2,OFFSET($F$4:$BN$9,ROWS($1:157)*6-6,))</f>
        <v>0</v>
      </c>
      <c r="CA160" s="29">
        <f ca="1">SUMIF(OFFSET($E$4:$BM$9,ROWS($1:157)*6-6,),CA$2,OFFSET($F$4:$BN$9,ROWS($1:157)*6-6,))</f>
        <v>0</v>
      </c>
      <c r="CB160" s="29">
        <f ca="1">SUMIF(OFFSET($E$4:$BM$9,ROWS($1:157)*6-6,),CB$2,OFFSET($F$4:$BN$9,ROWS($1:157)*6-6,))</f>
        <v>0</v>
      </c>
      <c r="CC160" s="43">
        <f ca="1">SUMIF(OFFSET($E$4:$BM$9,ROWS($1:157)*6-6,),CC$2,OFFSET($F$4:$BN$9,ROWS($1:157)*6-6,))</f>
        <v>0</v>
      </c>
      <c r="CD160" s="44"/>
      <c r="CE160" s="44" t="e">
        <f ca="1">INDEX(FREQUENCY(MMULT({1,1},SUBTOTAL(9,OFFSET($E$1,MATCH($CD160,$C:$C,)+{3;4},INT(COLUMN($A:$AE)*2)-1))),{3.9,7.9,11.9}),COLUMN(B157))</f>
        <v>#N/A</v>
      </c>
      <c r="CF160" s="44" t="e">
        <f ca="1">INDEX(FREQUENCY(MMULT({1,1},SUBTOTAL(9,OFFSET($E$1,MATCH($CD160,$C:$C,)+{3;4},INT(COLUMN($A:$AE)*2)-1))),{3.9,7.9,11.9}),COLUMN(C157))</f>
        <v>#N/A</v>
      </c>
      <c r="CG160" s="44" t="e">
        <f ca="1">INDEX(FREQUENCY(MMULT({1,1},SUBTOTAL(9,OFFSET($E$1,MATCH($CD160,$C:$C,)+{3;4},INT(COLUMN($A:$AE)*2)-1))),{3.9,7.9,11.9}),COLUMN(D157))</f>
        <v>#N/A</v>
      </c>
    </row>
    <row r="161" spans="1:85" ht="17.25" customHeight="1" x14ac:dyDescent="0.15">
      <c r="A161" s="85"/>
      <c r="B161" s="49"/>
      <c r="C161" s="49"/>
      <c r="D161" s="56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 t="s">
        <v>14</v>
      </c>
      <c r="V161" s="12">
        <v>2</v>
      </c>
      <c r="W161" s="12" t="s">
        <v>18</v>
      </c>
      <c r="X161" s="12">
        <v>2</v>
      </c>
      <c r="Y161" s="12" t="s">
        <v>14</v>
      </c>
      <c r="Z161" s="12">
        <v>2</v>
      </c>
      <c r="AA161" s="12" t="s">
        <v>14</v>
      </c>
      <c r="AB161" s="12">
        <v>2</v>
      </c>
      <c r="AC161" s="12" t="s">
        <v>14</v>
      </c>
      <c r="AD161" s="12">
        <v>2</v>
      </c>
      <c r="AE161" s="12" t="s">
        <v>14</v>
      </c>
      <c r="AF161" s="12">
        <v>2</v>
      </c>
      <c r="AG161" s="12"/>
      <c r="AH161" s="12"/>
      <c r="AI161" s="12" t="s">
        <v>14</v>
      </c>
      <c r="AJ161" s="12">
        <v>2</v>
      </c>
      <c r="AK161" s="12" t="s">
        <v>14</v>
      </c>
      <c r="AL161" s="12">
        <v>2</v>
      </c>
      <c r="AM161" s="12" t="s">
        <v>14</v>
      </c>
      <c r="AN161" s="12">
        <v>2</v>
      </c>
      <c r="AO161" s="12" t="s">
        <v>14</v>
      </c>
      <c r="AP161" s="12">
        <v>2</v>
      </c>
      <c r="AQ161" s="12" t="s">
        <v>14</v>
      </c>
      <c r="AR161" s="12">
        <v>2</v>
      </c>
      <c r="AS161" s="12" t="s">
        <v>14</v>
      </c>
      <c r="AT161" s="12">
        <v>2</v>
      </c>
      <c r="AU161" s="12" t="s">
        <v>16</v>
      </c>
      <c r="AV161" s="12">
        <v>2</v>
      </c>
      <c r="AW161" s="12" t="s">
        <v>14</v>
      </c>
      <c r="AX161" s="12">
        <v>2</v>
      </c>
      <c r="AY161" s="12" t="s">
        <v>14</v>
      </c>
      <c r="AZ161" s="12">
        <v>2</v>
      </c>
      <c r="BA161" s="12" t="s">
        <v>14</v>
      </c>
      <c r="BB161" s="12">
        <v>2</v>
      </c>
      <c r="BC161" s="12" t="s">
        <v>14</v>
      </c>
      <c r="BD161" s="12">
        <v>2</v>
      </c>
      <c r="BE161" s="12" t="s">
        <v>14</v>
      </c>
      <c r="BF161" s="12">
        <v>2</v>
      </c>
      <c r="BG161" s="12" t="s">
        <v>14</v>
      </c>
      <c r="BH161" s="12">
        <v>2</v>
      </c>
      <c r="BI161" s="12" t="s">
        <v>16</v>
      </c>
      <c r="BJ161" s="12">
        <v>2</v>
      </c>
      <c r="BK161" s="12" t="s">
        <v>14</v>
      </c>
      <c r="BL161" s="12">
        <v>2</v>
      </c>
      <c r="BM161" s="12" t="s">
        <v>14</v>
      </c>
      <c r="BN161" s="35">
        <v>2</v>
      </c>
      <c r="BP161" s="27">
        <v>158</v>
      </c>
      <c r="BQ161" s="27"/>
      <c r="BR161" s="29">
        <f ca="1">SUMIF(OFFSET($E$4:$BM$9,ROWS($1:158)*6-6,),BR$2,OFFSET($F$4:$BN$9,ROWS($1:158)*6-6,))</f>
        <v>0</v>
      </c>
      <c r="BS161" s="29">
        <f ca="1">SUMIF(OFFSET($E$4:$BM$9,ROWS($1:158)*6-6,),BS$2,OFFSET($F$4:$BN$9,ROWS($1:158)*6-6,))</f>
        <v>0</v>
      </c>
      <c r="BT161" s="29">
        <f ca="1">SUMIF(OFFSET($E$4:$BM$9,ROWS($1:158)*6-6,),BT$2,OFFSET($F$4:$BN$9,ROWS($1:158)*6-6,))</f>
        <v>0</v>
      </c>
      <c r="BU161" s="29">
        <f ca="1">SUMIF(OFFSET($E$4:$BM$9,ROWS($1:158)*6-6,),BU$2,OFFSET($F$4:$BN$9,ROWS($1:158)*6-6,))</f>
        <v>0</v>
      </c>
      <c r="BV161" s="29">
        <f ca="1">SUMIF(OFFSET($E$4:$BM$9,ROWS($1:158)*6-6,),BV$2,OFFSET($F$4:$BN$9,ROWS($1:158)*6-6,))</f>
        <v>0</v>
      </c>
      <c r="BW161" s="29">
        <f ca="1">SUMIF(OFFSET($E$4:$BM$9,ROWS($1:158)*6-6,),BW$2,OFFSET($F$4:$BN$9,ROWS($1:158)*6-6,))</f>
        <v>0</v>
      </c>
      <c r="BX161" s="29">
        <f ca="1">SUMIF(OFFSET($E$4:$BM$9,ROWS($1:158)*6-6,),BX$2,OFFSET($F$4:$BN$9,ROWS($1:158)*6-6,))</f>
        <v>0</v>
      </c>
      <c r="BY161" s="29">
        <f ca="1">SUMIF(OFFSET($E$4:$BM$9,ROWS($1:158)*6-6,),BY$2,OFFSET($F$4:$BN$9,ROWS($1:158)*6-6,))</f>
        <v>0</v>
      </c>
      <c r="BZ161" s="29">
        <f ca="1">SUMIF(OFFSET($E$4:$BM$9,ROWS($1:158)*6-6,),BZ$2,OFFSET($F$4:$BN$9,ROWS($1:158)*6-6,))</f>
        <v>0</v>
      </c>
      <c r="CA161" s="29">
        <f ca="1">SUMIF(OFFSET($E$4:$BM$9,ROWS($1:158)*6-6,),CA$2,OFFSET($F$4:$BN$9,ROWS($1:158)*6-6,))</f>
        <v>0</v>
      </c>
      <c r="CB161" s="29">
        <f ca="1">SUMIF(OFFSET($E$4:$BM$9,ROWS($1:158)*6-6,),CB$2,OFFSET($F$4:$BN$9,ROWS($1:158)*6-6,))</f>
        <v>0</v>
      </c>
      <c r="CC161" s="43">
        <f ca="1">SUMIF(OFFSET($E$4:$BM$9,ROWS($1:158)*6-6,),CC$2,OFFSET($F$4:$BN$9,ROWS($1:158)*6-6,))</f>
        <v>0</v>
      </c>
      <c r="CD161" s="47"/>
      <c r="CE161" s="44" t="e">
        <f ca="1">INDEX(FREQUENCY(MMULT({1,1},SUBTOTAL(9,OFFSET($E$1,MATCH($CD161,$C:$C,)+{3;4},INT(COLUMN($A:$AE)*2)-1))),{3.9,7.9,11.9}),COLUMN(B158))</f>
        <v>#N/A</v>
      </c>
      <c r="CF161" s="44" t="e">
        <f ca="1">INDEX(FREQUENCY(MMULT({1,1},SUBTOTAL(9,OFFSET($E$1,MATCH($CD161,$C:$C,)+{3;4},INT(COLUMN($A:$AE)*2)-1))),{3.9,7.9,11.9}),COLUMN(C158))</f>
        <v>#N/A</v>
      </c>
      <c r="CG161" s="44" t="e">
        <f ca="1">INDEX(FREQUENCY(MMULT({1,1},SUBTOTAL(9,OFFSET($E$1,MATCH($CD161,$C:$C,)+{3;4},INT(COLUMN($A:$AE)*2)-1))),{3.9,7.9,11.9}),COLUMN(D158))</f>
        <v>#N/A</v>
      </c>
    </row>
    <row r="162" spans="1:85" ht="17.25" customHeight="1" x14ac:dyDescent="0.15">
      <c r="A162" s="85"/>
      <c r="B162" s="49"/>
      <c r="C162" s="49"/>
      <c r="D162" s="57" t="s">
        <v>47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 t="s">
        <v>18</v>
      </c>
      <c r="V162" s="13">
        <v>2</v>
      </c>
      <c r="W162" s="13" t="s">
        <v>18</v>
      </c>
      <c r="X162" s="13">
        <v>2</v>
      </c>
      <c r="Y162" s="13" t="s">
        <v>14</v>
      </c>
      <c r="Z162" s="13">
        <v>2</v>
      </c>
      <c r="AA162" s="13" t="s">
        <v>14</v>
      </c>
      <c r="AB162" s="13">
        <v>2</v>
      </c>
      <c r="AC162" s="13" t="s">
        <v>14</v>
      </c>
      <c r="AD162" s="13">
        <v>2</v>
      </c>
      <c r="AE162" s="13" t="s">
        <v>14</v>
      </c>
      <c r="AF162" s="13">
        <v>2</v>
      </c>
      <c r="AG162" s="13"/>
      <c r="AH162" s="13"/>
      <c r="AI162" s="13" t="s">
        <v>14</v>
      </c>
      <c r="AJ162" s="13">
        <v>2</v>
      </c>
      <c r="AK162" s="13" t="s">
        <v>14</v>
      </c>
      <c r="AL162" s="13">
        <v>2</v>
      </c>
      <c r="AM162" s="13" t="s">
        <v>14</v>
      </c>
      <c r="AN162" s="13">
        <v>2</v>
      </c>
      <c r="AO162" s="13" t="s">
        <v>14</v>
      </c>
      <c r="AP162" s="13">
        <v>2</v>
      </c>
      <c r="AQ162" s="13" t="s">
        <v>14</v>
      </c>
      <c r="AR162" s="13">
        <v>2</v>
      </c>
      <c r="AS162" s="13" t="s">
        <v>14</v>
      </c>
      <c r="AT162" s="13">
        <v>2</v>
      </c>
      <c r="AU162" s="13" t="s">
        <v>16</v>
      </c>
      <c r="AV162" s="13">
        <v>2</v>
      </c>
      <c r="AW162" s="13" t="s">
        <v>14</v>
      </c>
      <c r="AX162" s="13">
        <v>2</v>
      </c>
      <c r="AY162" s="13" t="s">
        <v>14</v>
      </c>
      <c r="AZ162" s="13">
        <v>2</v>
      </c>
      <c r="BA162" s="13" t="s">
        <v>14</v>
      </c>
      <c r="BB162" s="13">
        <v>2</v>
      </c>
      <c r="BC162" s="13" t="s">
        <v>14</v>
      </c>
      <c r="BD162" s="13">
        <v>2</v>
      </c>
      <c r="BE162" s="13" t="s">
        <v>14</v>
      </c>
      <c r="BF162" s="13">
        <v>2</v>
      </c>
      <c r="BG162" s="13" t="s">
        <v>14</v>
      </c>
      <c r="BH162" s="13">
        <v>2</v>
      </c>
      <c r="BI162" s="13" t="s">
        <v>16</v>
      </c>
      <c r="BJ162" s="13">
        <v>2</v>
      </c>
      <c r="BK162" s="13" t="s">
        <v>14</v>
      </c>
      <c r="BL162" s="13">
        <v>2</v>
      </c>
      <c r="BM162" s="13" t="s">
        <v>14</v>
      </c>
      <c r="BN162" s="36">
        <v>2</v>
      </c>
      <c r="BP162" s="27">
        <v>159</v>
      </c>
      <c r="BQ162" s="27"/>
      <c r="BR162" s="29">
        <f ca="1">SUMIF(OFFSET($E$4:$BM$9,ROWS($1:159)*6-6,),BR$2,OFFSET($F$4:$BN$9,ROWS($1:159)*6-6,))</f>
        <v>0</v>
      </c>
      <c r="BS162" s="29">
        <f ca="1">SUMIF(OFFSET($E$4:$BM$9,ROWS($1:159)*6-6,),BS$2,OFFSET($F$4:$BN$9,ROWS($1:159)*6-6,))</f>
        <v>0</v>
      </c>
      <c r="BT162" s="29">
        <f ca="1">SUMIF(OFFSET($E$4:$BM$9,ROWS($1:159)*6-6,),BT$2,OFFSET($F$4:$BN$9,ROWS($1:159)*6-6,))</f>
        <v>0</v>
      </c>
      <c r="BU162" s="29">
        <f ca="1">SUMIF(OFFSET($E$4:$BM$9,ROWS($1:159)*6-6,),BU$2,OFFSET($F$4:$BN$9,ROWS($1:159)*6-6,))</f>
        <v>0</v>
      </c>
      <c r="BV162" s="29">
        <f ca="1">SUMIF(OFFSET($E$4:$BM$9,ROWS($1:159)*6-6,),BV$2,OFFSET($F$4:$BN$9,ROWS($1:159)*6-6,))</f>
        <v>0</v>
      </c>
      <c r="BW162" s="29">
        <f ca="1">SUMIF(OFFSET($E$4:$BM$9,ROWS($1:159)*6-6,),BW$2,OFFSET($F$4:$BN$9,ROWS($1:159)*6-6,))</f>
        <v>0</v>
      </c>
      <c r="BX162" s="29">
        <f ca="1">SUMIF(OFFSET($E$4:$BM$9,ROWS($1:159)*6-6,),BX$2,OFFSET($F$4:$BN$9,ROWS($1:159)*6-6,))</f>
        <v>0</v>
      </c>
      <c r="BY162" s="29">
        <f ca="1">SUMIF(OFFSET($E$4:$BM$9,ROWS($1:159)*6-6,),BY$2,OFFSET($F$4:$BN$9,ROWS($1:159)*6-6,))</f>
        <v>0</v>
      </c>
      <c r="BZ162" s="29">
        <f ca="1">SUMIF(OFFSET($E$4:$BM$9,ROWS($1:159)*6-6,),BZ$2,OFFSET($F$4:$BN$9,ROWS($1:159)*6-6,))</f>
        <v>0</v>
      </c>
      <c r="CA162" s="29">
        <f ca="1">SUMIF(OFFSET($E$4:$BM$9,ROWS($1:159)*6-6,),CA$2,OFFSET($F$4:$BN$9,ROWS($1:159)*6-6,))</f>
        <v>0</v>
      </c>
      <c r="CB162" s="29">
        <f ca="1">SUMIF(OFFSET($E$4:$BM$9,ROWS($1:159)*6-6,),CB$2,OFFSET($F$4:$BN$9,ROWS($1:159)*6-6,))</f>
        <v>0</v>
      </c>
      <c r="CC162" s="43">
        <f ca="1">SUMIF(OFFSET($E$4:$BM$9,ROWS($1:159)*6-6,),CC$2,OFFSET($F$4:$BN$9,ROWS($1:159)*6-6,))</f>
        <v>0</v>
      </c>
      <c r="CD162" s="47"/>
      <c r="CE162" s="44" t="e">
        <f ca="1">INDEX(FREQUENCY(MMULT({1,1},SUBTOTAL(9,OFFSET($E$1,MATCH($CD162,$C:$C,)+{3;4},INT(COLUMN($A:$AE)*2)-1))),{3.9,7.9,11.9}),COLUMN(B159))</f>
        <v>#N/A</v>
      </c>
      <c r="CF162" s="44" t="e">
        <f ca="1">INDEX(FREQUENCY(MMULT({1,1},SUBTOTAL(9,OFFSET($E$1,MATCH($CD162,$C:$C,)+{3;4},INT(COLUMN($A:$AE)*2)-1))),{3.9,7.9,11.9}),COLUMN(C159))</f>
        <v>#N/A</v>
      </c>
      <c r="CG162" s="44" t="e">
        <f ca="1">INDEX(FREQUENCY(MMULT({1,1},SUBTOTAL(9,OFFSET($E$1,MATCH($CD162,$C:$C,)+{3;4},INT(COLUMN($A:$AE)*2)-1))),{3.9,7.9,11.9}),COLUMN(D159))</f>
        <v>#N/A</v>
      </c>
    </row>
    <row r="163" spans="1:85" ht="17.25" customHeight="1" x14ac:dyDescent="0.15">
      <c r="A163" s="85"/>
      <c r="B163" s="49"/>
      <c r="C163" s="49"/>
      <c r="D163" s="56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 t="s">
        <v>18</v>
      </c>
      <c r="V163" s="12">
        <v>2</v>
      </c>
      <c r="W163" s="12" t="s">
        <v>18</v>
      </c>
      <c r="X163" s="12">
        <v>2</v>
      </c>
      <c r="Y163" s="12" t="s">
        <v>14</v>
      </c>
      <c r="Z163" s="12">
        <v>2</v>
      </c>
      <c r="AA163" s="12" t="s">
        <v>14</v>
      </c>
      <c r="AB163" s="12">
        <v>2</v>
      </c>
      <c r="AC163" s="12" t="s">
        <v>14</v>
      </c>
      <c r="AD163" s="12">
        <v>2</v>
      </c>
      <c r="AE163" s="12" t="s">
        <v>14</v>
      </c>
      <c r="AF163" s="12">
        <v>2</v>
      </c>
      <c r="AG163" s="12"/>
      <c r="AH163" s="12"/>
      <c r="AI163" s="12" t="s">
        <v>14</v>
      </c>
      <c r="AJ163" s="12">
        <v>2</v>
      </c>
      <c r="AK163" s="12" t="s">
        <v>14</v>
      </c>
      <c r="AL163" s="12">
        <v>2</v>
      </c>
      <c r="AM163" s="12" t="s">
        <v>14</v>
      </c>
      <c r="AN163" s="12">
        <v>2</v>
      </c>
      <c r="AO163" s="12" t="s">
        <v>14</v>
      </c>
      <c r="AP163" s="12">
        <v>2</v>
      </c>
      <c r="AQ163" s="12" t="s">
        <v>14</v>
      </c>
      <c r="AR163" s="12">
        <v>2</v>
      </c>
      <c r="AS163" s="12" t="s">
        <v>14</v>
      </c>
      <c r="AT163" s="12">
        <v>2</v>
      </c>
      <c r="AU163" s="12" t="s">
        <v>16</v>
      </c>
      <c r="AV163" s="12">
        <v>2</v>
      </c>
      <c r="AW163" s="12" t="s">
        <v>14</v>
      </c>
      <c r="AX163" s="12">
        <v>2</v>
      </c>
      <c r="AY163" s="12" t="s">
        <v>14</v>
      </c>
      <c r="AZ163" s="12">
        <v>2</v>
      </c>
      <c r="BA163" s="12" t="s">
        <v>14</v>
      </c>
      <c r="BB163" s="12">
        <v>2</v>
      </c>
      <c r="BC163" s="12" t="s">
        <v>14</v>
      </c>
      <c r="BD163" s="12">
        <v>2</v>
      </c>
      <c r="BE163" s="12" t="s">
        <v>14</v>
      </c>
      <c r="BF163" s="12">
        <v>2</v>
      </c>
      <c r="BG163" s="12" t="s">
        <v>14</v>
      </c>
      <c r="BH163" s="12">
        <v>2</v>
      </c>
      <c r="BI163" s="12" t="s">
        <v>16</v>
      </c>
      <c r="BJ163" s="12">
        <v>2</v>
      </c>
      <c r="BK163" s="12" t="s">
        <v>14</v>
      </c>
      <c r="BL163" s="12">
        <v>2</v>
      </c>
      <c r="BM163" s="12" t="s">
        <v>14</v>
      </c>
      <c r="BN163" s="35">
        <v>2</v>
      </c>
      <c r="BP163" s="27">
        <v>160</v>
      </c>
      <c r="BQ163" s="27"/>
      <c r="BR163" s="29">
        <f ca="1">SUMIF(OFFSET($E$4:$BM$9,ROWS($1:160)*6-6,),BR$2,OFFSET($F$4:$BN$9,ROWS($1:160)*6-6,))</f>
        <v>0</v>
      </c>
      <c r="BS163" s="29">
        <f ca="1">SUMIF(OFFSET($E$4:$BM$9,ROWS($1:160)*6-6,),BS$2,OFFSET($F$4:$BN$9,ROWS($1:160)*6-6,))</f>
        <v>0</v>
      </c>
      <c r="BT163" s="29">
        <f ca="1">SUMIF(OFFSET($E$4:$BM$9,ROWS($1:160)*6-6,),BT$2,OFFSET($F$4:$BN$9,ROWS($1:160)*6-6,))</f>
        <v>0</v>
      </c>
      <c r="BU163" s="29">
        <f ca="1">SUMIF(OFFSET($E$4:$BM$9,ROWS($1:160)*6-6,),BU$2,OFFSET($F$4:$BN$9,ROWS($1:160)*6-6,))</f>
        <v>0</v>
      </c>
      <c r="BV163" s="29">
        <f ca="1">SUMIF(OFFSET($E$4:$BM$9,ROWS($1:160)*6-6,),BV$2,OFFSET($F$4:$BN$9,ROWS($1:160)*6-6,))</f>
        <v>0</v>
      </c>
      <c r="BW163" s="29">
        <f ca="1">SUMIF(OFFSET($E$4:$BM$9,ROWS($1:160)*6-6,),BW$2,OFFSET($F$4:$BN$9,ROWS($1:160)*6-6,))</f>
        <v>0</v>
      </c>
      <c r="BX163" s="29">
        <f ca="1">SUMIF(OFFSET($E$4:$BM$9,ROWS($1:160)*6-6,),BX$2,OFFSET($F$4:$BN$9,ROWS($1:160)*6-6,))</f>
        <v>0</v>
      </c>
      <c r="BY163" s="29">
        <f ca="1">SUMIF(OFFSET($E$4:$BM$9,ROWS($1:160)*6-6,),BY$2,OFFSET($F$4:$BN$9,ROWS($1:160)*6-6,))</f>
        <v>0</v>
      </c>
      <c r="BZ163" s="29">
        <f ca="1">SUMIF(OFFSET($E$4:$BM$9,ROWS($1:160)*6-6,),BZ$2,OFFSET($F$4:$BN$9,ROWS($1:160)*6-6,))</f>
        <v>0</v>
      </c>
      <c r="CA163" s="29">
        <f ca="1">SUMIF(OFFSET($E$4:$BM$9,ROWS($1:160)*6-6,),CA$2,OFFSET($F$4:$BN$9,ROWS($1:160)*6-6,))</f>
        <v>0</v>
      </c>
      <c r="CB163" s="29">
        <f ca="1">SUMIF(OFFSET($E$4:$BM$9,ROWS($1:160)*6-6,),CB$2,OFFSET($F$4:$BN$9,ROWS($1:160)*6-6,))</f>
        <v>0</v>
      </c>
      <c r="CC163" s="43">
        <f ca="1">SUMIF(OFFSET($E$4:$BM$9,ROWS($1:160)*6-6,),CC$2,OFFSET($F$4:$BN$9,ROWS($1:160)*6-6,))</f>
        <v>0</v>
      </c>
      <c r="CD163" s="47"/>
      <c r="CE163" s="44" t="e">
        <f ca="1">INDEX(FREQUENCY(MMULT({1,1},SUBTOTAL(9,OFFSET($E$1,MATCH($CD163,$C:$C,)+{3;4},INT(COLUMN($A:$AE)*2)-1))),{3.9,7.9,11.9}),COLUMN(B160))</f>
        <v>#N/A</v>
      </c>
      <c r="CF163" s="44" t="e">
        <f ca="1">INDEX(FREQUENCY(MMULT({1,1},SUBTOTAL(9,OFFSET($E$1,MATCH($CD163,$C:$C,)+{3;4},INT(COLUMN($A:$AE)*2)-1))),{3.9,7.9,11.9}),COLUMN(C160))</f>
        <v>#N/A</v>
      </c>
      <c r="CG163" s="44" t="e">
        <f ca="1">INDEX(FREQUENCY(MMULT({1,1},SUBTOTAL(9,OFFSET($E$1,MATCH($CD163,$C:$C,)+{3;4},INT(COLUMN($A:$AE)*2)-1))),{3.9,7.9,11.9}),COLUMN(D160))</f>
        <v>#N/A</v>
      </c>
    </row>
    <row r="164" spans="1:85" ht="17.25" customHeight="1" x14ac:dyDescent="0.15">
      <c r="A164" s="85"/>
      <c r="B164" s="49"/>
      <c r="C164" s="49"/>
      <c r="D164" s="58" t="s">
        <v>49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 t="s">
        <v>15</v>
      </c>
      <c r="V164" s="14"/>
      <c r="W164" s="14" t="s">
        <v>15</v>
      </c>
      <c r="X164" s="14"/>
      <c r="Y164" s="14" t="s">
        <v>15</v>
      </c>
      <c r="Z164" s="14"/>
      <c r="AA164" s="14" t="s">
        <v>15</v>
      </c>
      <c r="AB164" s="14">
        <v>3</v>
      </c>
      <c r="AC164" s="14" t="s">
        <v>15</v>
      </c>
      <c r="AD164" s="14"/>
      <c r="AE164" s="14" t="s">
        <v>15</v>
      </c>
      <c r="AF164" s="14"/>
      <c r="AG164" s="14"/>
      <c r="AH164" s="14"/>
      <c r="AI164" s="14" t="s">
        <v>15</v>
      </c>
      <c r="AJ164" s="14"/>
      <c r="AK164" s="14" t="s">
        <v>15</v>
      </c>
      <c r="AL164" s="14"/>
      <c r="AM164" s="14" t="s">
        <v>15</v>
      </c>
      <c r="AN164" s="14"/>
      <c r="AO164" s="14" t="s">
        <v>15</v>
      </c>
      <c r="AP164" s="14"/>
      <c r="AQ164" s="14" t="s">
        <v>15</v>
      </c>
      <c r="AR164" s="14">
        <v>3</v>
      </c>
      <c r="AS164" s="14" t="s">
        <v>15</v>
      </c>
      <c r="AT164" s="14">
        <v>3</v>
      </c>
      <c r="AU164" s="14"/>
      <c r="AV164" s="14"/>
      <c r="AW164" s="14" t="s">
        <v>15</v>
      </c>
      <c r="AX164" s="14">
        <v>3</v>
      </c>
      <c r="AY164" s="14" t="s">
        <v>15</v>
      </c>
      <c r="AZ164" s="14">
        <v>3</v>
      </c>
      <c r="BA164" s="14" t="s">
        <v>15</v>
      </c>
      <c r="BB164" s="14">
        <v>3</v>
      </c>
      <c r="BC164" s="14" t="s">
        <v>15</v>
      </c>
      <c r="BD164" s="14">
        <v>3</v>
      </c>
      <c r="BE164" s="14" t="s">
        <v>15</v>
      </c>
      <c r="BF164" s="14">
        <v>4</v>
      </c>
      <c r="BG164" s="14" t="s">
        <v>15</v>
      </c>
      <c r="BH164" s="14"/>
      <c r="BI164" s="14"/>
      <c r="BJ164" s="14"/>
      <c r="BK164" s="14" t="s">
        <v>15</v>
      </c>
      <c r="BL164" s="14">
        <v>4</v>
      </c>
      <c r="BM164" s="14" t="s">
        <v>15</v>
      </c>
      <c r="BN164" s="37">
        <v>3</v>
      </c>
      <c r="BP164" s="27">
        <v>161</v>
      </c>
      <c r="BQ164" s="27"/>
      <c r="BR164" s="29">
        <f ca="1">SUMIF(OFFSET($E$4:$BM$9,ROWS($1:161)*6-6,),BR$2,OFFSET($F$4:$BN$9,ROWS($1:161)*6-6,))</f>
        <v>0</v>
      </c>
      <c r="BS164" s="29">
        <f ca="1">SUMIF(OFFSET($E$4:$BM$9,ROWS($1:161)*6-6,),BS$2,OFFSET($F$4:$BN$9,ROWS($1:161)*6-6,))</f>
        <v>0</v>
      </c>
      <c r="BT164" s="29">
        <f ca="1">SUMIF(OFFSET($E$4:$BM$9,ROWS($1:161)*6-6,),BT$2,OFFSET($F$4:$BN$9,ROWS($1:161)*6-6,))</f>
        <v>0</v>
      </c>
      <c r="BU164" s="29">
        <f ca="1">SUMIF(OFFSET($E$4:$BM$9,ROWS($1:161)*6-6,),BU$2,OFFSET($F$4:$BN$9,ROWS($1:161)*6-6,))</f>
        <v>0</v>
      </c>
      <c r="BV164" s="29">
        <f ca="1">SUMIF(OFFSET($E$4:$BM$9,ROWS($1:161)*6-6,),BV$2,OFFSET($F$4:$BN$9,ROWS($1:161)*6-6,))</f>
        <v>0</v>
      </c>
      <c r="BW164" s="29">
        <f ca="1">SUMIF(OFFSET($E$4:$BM$9,ROWS($1:161)*6-6,),BW$2,OFFSET($F$4:$BN$9,ROWS($1:161)*6-6,))</f>
        <v>0</v>
      </c>
      <c r="BX164" s="29">
        <f ca="1">SUMIF(OFFSET($E$4:$BM$9,ROWS($1:161)*6-6,),BX$2,OFFSET($F$4:$BN$9,ROWS($1:161)*6-6,))</f>
        <v>0</v>
      </c>
      <c r="BY164" s="29">
        <f ca="1">SUMIF(OFFSET($E$4:$BM$9,ROWS($1:161)*6-6,),BY$2,OFFSET($F$4:$BN$9,ROWS($1:161)*6-6,))</f>
        <v>0</v>
      </c>
      <c r="BZ164" s="29">
        <f ca="1">SUMIF(OFFSET($E$4:$BM$9,ROWS($1:161)*6-6,),BZ$2,OFFSET($F$4:$BN$9,ROWS($1:161)*6-6,))</f>
        <v>0</v>
      </c>
      <c r="CA164" s="29">
        <f ca="1">SUMIF(OFFSET($E$4:$BM$9,ROWS($1:161)*6-6,),CA$2,OFFSET($F$4:$BN$9,ROWS($1:161)*6-6,))</f>
        <v>0</v>
      </c>
      <c r="CB164" s="29">
        <f ca="1">SUMIF(OFFSET($E$4:$BM$9,ROWS($1:161)*6-6,),CB$2,OFFSET($F$4:$BN$9,ROWS($1:161)*6-6,))</f>
        <v>0</v>
      </c>
      <c r="CC164" s="43">
        <f ca="1">SUMIF(OFFSET($E$4:$BM$9,ROWS($1:161)*6-6,),CC$2,OFFSET($F$4:$BN$9,ROWS($1:161)*6-6,))</f>
        <v>0</v>
      </c>
      <c r="CD164" s="47"/>
      <c r="CE164" s="44" t="e">
        <f ca="1">INDEX(FREQUENCY(MMULT({1,1},SUBTOTAL(9,OFFSET($E$1,MATCH($CD164,$C:$C,)+{3;4},INT(COLUMN($A:$AE)*2)-1))),{3.9,7.9,11.9}),COLUMN(B161))</f>
        <v>#N/A</v>
      </c>
      <c r="CF164" s="44" t="e">
        <f ca="1">INDEX(FREQUENCY(MMULT({1,1},SUBTOTAL(9,OFFSET($E$1,MATCH($CD164,$C:$C,)+{3;4},INT(COLUMN($A:$AE)*2)-1))),{3.9,7.9,11.9}),COLUMN(C161))</f>
        <v>#N/A</v>
      </c>
      <c r="CG164" s="44" t="e">
        <f ca="1">INDEX(FREQUENCY(MMULT({1,1},SUBTOTAL(9,OFFSET($E$1,MATCH($CD164,$C:$C,)+{3;4},INT(COLUMN($A:$AE)*2)-1))),{3.9,7.9,11.9}),COLUMN(D161))</f>
        <v>#N/A</v>
      </c>
    </row>
    <row r="165" spans="1:85" ht="17.25" customHeight="1" thickBot="1" x14ac:dyDescent="0.2">
      <c r="A165" s="86"/>
      <c r="B165" s="50"/>
      <c r="C165" s="50"/>
      <c r="D165" s="59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38"/>
      <c r="BP165" s="27">
        <v>162</v>
      </c>
      <c r="BQ165" s="27"/>
      <c r="BR165" s="29">
        <f ca="1">SUMIF(OFFSET($E$4:$BM$9,ROWS($1:162)*6-6,),BR$2,OFFSET($F$4:$BN$9,ROWS($1:162)*6-6,))</f>
        <v>0</v>
      </c>
      <c r="BS165" s="29">
        <f ca="1">SUMIF(OFFSET($E$4:$BM$9,ROWS($1:162)*6-6,),BS$2,OFFSET($F$4:$BN$9,ROWS($1:162)*6-6,))</f>
        <v>0</v>
      </c>
      <c r="BT165" s="29">
        <f ca="1">SUMIF(OFFSET($E$4:$BM$9,ROWS($1:162)*6-6,),BT$2,OFFSET($F$4:$BN$9,ROWS($1:162)*6-6,))</f>
        <v>0</v>
      </c>
      <c r="BU165" s="29">
        <f ca="1">SUMIF(OFFSET($E$4:$BM$9,ROWS($1:162)*6-6,),BU$2,OFFSET($F$4:$BN$9,ROWS($1:162)*6-6,))</f>
        <v>0</v>
      </c>
      <c r="BV165" s="29">
        <f ca="1">SUMIF(OFFSET($E$4:$BM$9,ROWS($1:162)*6-6,),BV$2,OFFSET($F$4:$BN$9,ROWS($1:162)*6-6,))</f>
        <v>0</v>
      </c>
      <c r="BW165" s="29">
        <f ca="1">SUMIF(OFFSET($E$4:$BM$9,ROWS($1:162)*6-6,),BW$2,OFFSET($F$4:$BN$9,ROWS($1:162)*6-6,))</f>
        <v>0</v>
      </c>
      <c r="BX165" s="29">
        <f ca="1">SUMIF(OFFSET($E$4:$BM$9,ROWS($1:162)*6-6,),BX$2,OFFSET($F$4:$BN$9,ROWS($1:162)*6-6,))</f>
        <v>0</v>
      </c>
      <c r="BY165" s="29">
        <f ca="1">SUMIF(OFFSET($E$4:$BM$9,ROWS($1:162)*6-6,),BY$2,OFFSET($F$4:$BN$9,ROWS($1:162)*6-6,))</f>
        <v>0</v>
      </c>
      <c r="BZ165" s="29">
        <f ca="1">SUMIF(OFFSET($E$4:$BM$9,ROWS($1:162)*6-6,),BZ$2,OFFSET($F$4:$BN$9,ROWS($1:162)*6-6,))</f>
        <v>0</v>
      </c>
      <c r="CA165" s="29">
        <f ca="1">SUMIF(OFFSET($E$4:$BM$9,ROWS($1:162)*6-6,),CA$2,OFFSET($F$4:$BN$9,ROWS($1:162)*6-6,))</f>
        <v>0</v>
      </c>
      <c r="CB165" s="29">
        <f ca="1">SUMIF(OFFSET($E$4:$BM$9,ROWS($1:162)*6-6,),CB$2,OFFSET($F$4:$BN$9,ROWS($1:162)*6-6,))</f>
        <v>0</v>
      </c>
      <c r="CC165" s="43">
        <f ca="1">SUMIF(OFFSET($E$4:$BM$9,ROWS($1:162)*6-6,),CC$2,OFFSET($F$4:$BN$9,ROWS($1:162)*6-6,))</f>
        <v>0</v>
      </c>
      <c r="CD165" s="47"/>
      <c r="CE165" s="44" t="e">
        <f ca="1">INDEX(FREQUENCY(MMULT({1,1},SUBTOTAL(9,OFFSET($E$1,MATCH($CD165,$C:$C,)+{3;4},INT(COLUMN($A:$AE)*2)-1))),{3.9,7.9,11.9}),COLUMN(B162))</f>
        <v>#N/A</v>
      </c>
      <c r="CF165" s="44" t="e">
        <f ca="1">INDEX(FREQUENCY(MMULT({1,1},SUBTOTAL(9,OFFSET($E$1,MATCH($CD165,$C:$C,)+{3;4},INT(COLUMN($A:$AE)*2)-1))),{3.9,7.9,11.9}),COLUMN(C162))</f>
        <v>#N/A</v>
      </c>
      <c r="CG165" s="44" t="e">
        <f ca="1">INDEX(FREQUENCY(MMULT({1,1},SUBTOTAL(9,OFFSET($E$1,MATCH($CD165,$C:$C,)+{3;4},INT(COLUMN($A:$AE)*2)-1))),{3.9,7.9,11.9}),COLUMN(D162))</f>
        <v>#N/A</v>
      </c>
    </row>
    <row r="166" spans="1:85" ht="17.25" customHeight="1" x14ac:dyDescent="0.15">
      <c r="A166" s="84" t="s">
        <v>84</v>
      </c>
      <c r="B166" s="48" t="s">
        <v>43</v>
      </c>
      <c r="C166" s="48" t="s">
        <v>142</v>
      </c>
      <c r="D166" s="55" t="s">
        <v>45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14</v>
      </c>
      <c r="V166" s="11">
        <v>2</v>
      </c>
      <c r="W166" s="11" t="s">
        <v>18</v>
      </c>
      <c r="X166" s="11">
        <v>1</v>
      </c>
      <c r="Y166" s="11" t="s">
        <v>14</v>
      </c>
      <c r="Z166" s="11">
        <v>2</v>
      </c>
      <c r="AA166" s="11" t="s">
        <v>14</v>
      </c>
      <c r="AB166" s="11">
        <v>2</v>
      </c>
      <c r="AC166" s="11" t="s">
        <v>14</v>
      </c>
      <c r="AD166" s="11">
        <v>2</v>
      </c>
      <c r="AE166" s="11" t="s">
        <v>14</v>
      </c>
      <c r="AF166" s="11">
        <v>2</v>
      </c>
      <c r="AG166" s="11"/>
      <c r="AH166" s="11"/>
      <c r="AI166" s="11" t="s">
        <v>14</v>
      </c>
      <c r="AJ166" s="11">
        <v>2</v>
      </c>
      <c r="AK166" s="11" t="s">
        <v>14</v>
      </c>
      <c r="AL166" s="11">
        <v>2</v>
      </c>
      <c r="AM166" s="11" t="s">
        <v>14</v>
      </c>
      <c r="AN166" s="11">
        <v>2</v>
      </c>
      <c r="AO166" s="11" t="s">
        <v>14</v>
      </c>
      <c r="AP166" s="11">
        <v>2</v>
      </c>
      <c r="AQ166" s="11" t="s">
        <v>14</v>
      </c>
      <c r="AR166" s="11">
        <v>2</v>
      </c>
      <c r="AS166" s="11" t="s">
        <v>14</v>
      </c>
      <c r="AT166" s="11">
        <v>2</v>
      </c>
      <c r="AU166" s="11" t="s">
        <v>16</v>
      </c>
      <c r="AV166" s="11">
        <v>2</v>
      </c>
      <c r="AW166" s="11" t="s">
        <v>14</v>
      </c>
      <c r="AX166" s="11">
        <v>2</v>
      </c>
      <c r="AY166" s="11" t="s">
        <v>14</v>
      </c>
      <c r="AZ166" s="11">
        <v>2</v>
      </c>
      <c r="BA166" s="11" t="s">
        <v>14</v>
      </c>
      <c r="BB166" s="11">
        <v>2</v>
      </c>
      <c r="BC166" s="11" t="s">
        <v>14</v>
      </c>
      <c r="BD166" s="11">
        <v>2</v>
      </c>
      <c r="BE166" s="11" t="s">
        <v>14</v>
      </c>
      <c r="BF166" s="11">
        <v>2</v>
      </c>
      <c r="BG166" s="11" t="s">
        <v>14</v>
      </c>
      <c r="BH166" s="11">
        <v>2</v>
      </c>
      <c r="BI166" s="11" t="s">
        <v>16</v>
      </c>
      <c r="BJ166" s="11">
        <v>2</v>
      </c>
      <c r="BK166" s="11" t="s">
        <v>14</v>
      </c>
      <c r="BL166" s="11">
        <v>2</v>
      </c>
      <c r="BM166" s="11" t="s">
        <v>14</v>
      </c>
      <c r="BN166" s="34">
        <v>2</v>
      </c>
      <c r="BP166" s="45"/>
      <c r="BQ166" s="45"/>
      <c r="BR166" s="46"/>
      <c r="BS166" s="46"/>
      <c r="BT166" s="46"/>
      <c r="BU166" s="46"/>
      <c r="BV166" s="46"/>
      <c r="BW166" s="46"/>
    </row>
    <row r="167" spans="1:85" ht="17.25" customHeight="1" x14ac:dyDescent="0.15">
      <c r="A167" s="85"/>
      <c r="B167" s="49"/>
      <c r="C167" s="49"/>
      <c r="D167" s="56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 t="s">
        <v>14</v>
      </c>
      <c r="V167" s="12">
        <v>2</v>
      </c>
      <c r="W167" s="12" t="s">
        <v>14</v>
      </c>
      <c r="X167" s="12">
        <v>3</v>
      </c>
      <c r="Y167" s="12" t="s">
        <v>14</v>
      </c>
      <c r="Z167" s="12">
        <v>2</v>
      </c>
      <c r="AA167" s="12" t="s">
        <v>14</v>
      </c>
      <c r="AB167" s="12">
        <v>2</v>
      </c>
      <c r="AC167" s="12" t="s">
        <v>14</v>
      </c>
      <c r="AD167" s="12">
        <v>2</v>
      </c>
      <c r="AE167" s="12" t="s">
        <v>14</v>
      </c>
      <c r="AF167" s="12">
        <v>2</v>
      </c>
      <c r="AG167" s="12"/>
      <c r="AH167" s="12"/>
      <c r="AI167" s="12" t="s">
        <v>14</v>
      </c>
      <c r="AJ167" s="12">
        <v>2</v>
      </c>
      <c r="AK167" s="12" t="s">
        <v>14</v>
      </c>
      <c r="AL167" s="12">
        <v>2</v>
      </c>
      <c r="AM167" s="12" t="s">
        <v>14</v>
      </c>
      <c r="AN167" s="12">
        <v>2</v>
      </c>
      <c r="AO167" s="12" t="s">
        <v>14</v>
      </c>
      <c r="AP167" s="12">
        <v>2</v>
      </c>
      <c r="AQ167" s="12" t="s">
        <v>14</v>
      </c>
      <c r="AR167" s="12">
        <v>2</v>
      </c>
      <c r="AS167" s="12" t="s">
        <v>14</v>
      </c>
      <c r="AT167" s="12">
        <v>2</v>
      </c>
      <c r="AU167" s="12" t="s">
        <v>16</v>
      </c>
      <c r="AV167" s="12">
        <v>2</v>
      </c>
      <c r="AW167" s="12" t="s">
        <v>14</v>
      </c>
      <c r="AX167" s="12">
        <v>2</v>
      </c>
      <c r="AY167" s="12" t="s">
        <v>14</v>
      </c>
      <c r="AZ167" s="12">
        <v>2</v>
      </c>
      <c r="BA167" s="12" t="s">
        <v>14</v>
      </c>
      <c r="BB167" s="12">
        <v>2</v>
      </c>
      <c r="BC167" s="12" t="s">
        <v>14</v>
      </c>
      <c r="BD167" s="12">
        <v>2</v>
      </c>
      <c r="BE167" s="12" t="s">
        <v>14</v>
      </c>
      <c r="BF167" s="12">
        <v>2</v>
      </c>
      <c r="BG167" s="12" t="s">
        <v>14</v>
      </c>
      <c r="BH167" s="12">
        <v>2</v>
      </c>
      <c r="BI167" s="12" t="s">
        <v>16</v>
      </c>
      <c r="BJ167" s="12">
        <v>2</v>
      </c>
      <c r="BK167" s="12" t="s">
        <v>14</v>
      </c>
      <c r="BL167" s="12">
        <v>2</v>
      </c>
      <c r="BM167" s="12" t="s">
        <v>14</v>
      </c>
      <c r="BN167" s="35">
        <v>2</v>
      </c>
      <c r="BP167" s="45"/>
      <c r="BQ167" s="45"/>
      <c r="BR167" s="46"/>
      <c r="BS167" s="46"/>
      <c r="BT167" s="46"/>
      <c r="BU167" s="46"/>
      <c r="BV167" s="46"/>
      <c r="BW167" s="46"/>
    </row>
    <row r="168" spans="1:85" ht="17.25" customHeight="1" x14ac:dyDescent="0.15">
      <c r="A168" s="85"/>
      <c r="B168" s="49"/>
      <c r="C168" s="49"/>
      <c r="D168" s="57" t="s">
        <v>47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 t="s">
        <v>18</v>
      </c>
      <c r="V168" s="13">
        <v>2</v>
      </c>
      <c r="W168" s="13" t="s">
        <v>14</v>
      </c>
      <c r="X168" s="13">
        <v>2</v>
      </c>
      <c r="Y168" s="13" t="s">
        <v>14</v>
      </c>
      <c r="Z168" s="13">
        <v>2</v>
      </c>
      <c r="AA168" s="13" t="s">
        <v>14</v>
      </c>
      <c r="AB168" s="13">
        <v>2</v>
      </c>
      <c r="AC168" s="13" t="s">
        <v>14</v>
      </c>
      <c r="AD168" s="13">
        <v>2</v>
      </c>
      <c r="AE168" s="13" t="s">
        <v>14</v>
      </c>
      <c r="AF168" s="13">
        <v>2</v>
      </c>
      <c r="AG168" s="13"/>
      <c r="AH168" s="13"/>
      <c r="AI168" s="13" t="s">
        <v>14</v>
      </c>
      <c r="AJ168" s="13">
        <v>2</v>
      </c>
      <c r="AK168" s="13" t="s">
        <v>14</v>
      </c>
      <c r="AL168" s="13">
        <v>2</v>
      </c>
      <c r="AM168" s="13" t="s">
        <v>14</v>
      </c>
      <c r="AN168" s="13">
        <v>2</v>
      </c>
      <c r="AO168" s="13" t="s">
        <v>14</v>
      </c>
      <c r="AP168" s="13">
        <v>2</v>
      </c>
      <c r="AQ168" s="13" t="s">
        <v>14</v>
      </c>
      <c r="AR168" s="13">
        <v>2</v>
      </c>
      <c r="AS168" s="13" t="s">
        <v>14</v>
      </c>
      <c r="AT168" s="13">
        <v>2</v>
      </c>
      <c r="AU168" s="13" t="s">
        <v>16</v>
      </c>
      <c r="AV168" s="13">
        <v>2</v>
      </c>
      <c r="AW168" s="13" t="s">
        <v>14</v>
      </c>
      <c r="AX168" s="13">
        <v>2</v>
      </c>
      <c r="AY168" s="13" t="s">
        <v>14</v>
      </c>
      <c r="AZ168" s="13">
        <v>2</v>
      </c>
      <c r="BA168" s="13" t="s">
        <v>14</v>
      </c>
      <c r="BB168" s="13">
        <v>2</v>
      </c>
      <c r="BC168" s="13" t="s">
        <v>14</v>
      </c>
      <c r="BD168" s="13">
        <v>2</v>
      </c>
      <c r="BE168" s="13" t="s">
        <v>14</v>
      </c>
      <c r="BF168" s="13">
        <v>2</v>
      </c>
      <c r="BG168" s="13" t="s">
        <v>14</v>
      </c>
      <c r="BH168" s="13">
        <v>2</v>
      </c>
      <c r="BI168" s="13" t="s">
        <v>16</v>
      </c>
      <c r="BJ168" s="13">
        <v>2</v>
      </c>
      <c r="BK168" s="13" t="s">
        <v>14</v>
      </c>
      <c r="BL168" s="13">
        <v>2</v>
      </c>
      <c r="BM168" s="13" t="s">
        <v>14</v>
      </c>
      <c r="BN168" s="36">
        <v>2</v>
      </c>
      <c r="BP168" s="45"/>
      <c r="BQ168" s="45"/>
      <c r="BR168" s="46"/>
      <c r="BS168" s="46"/>
      <c r="BT168" s="46"/>
      <c r="BU168" s="46"/>
      <c r="BV168" s="46"/>
      <c r="BW168" s="46"/>
    </row>
    <row r="169" spans="1:85" ht="17.25" customHeight="1" x14ac:dyDescent="0.15">
      <c r="A169" s="85"/>
      <c r="B169" s="49"/>
      <c r="C169" s="49"/>
      <c r="D169" s="56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 t="s">
        <v>15</v>
      </c>
      <c r="P169" s="12">
        <v>2</v>
      </c>
      <c r="Q169" s="12"/>
      <c r="R169" s="12"/>
      <c r="S169" s="12"/>
      <c r="T169" s="12"/>
      <c r="U169" s="12" t="s">
        <v>18</v>
      </c>
      <c r="V169" s="12">
        <v>2</v>
      </c>
      <c r="W169" s="12" t="s">
        <v>14</v>
      </c>
      <c r="X169" s="12">
        <v>2</v>
      </c>
      <c r="Y169" s="12" t="s">
        <v>14</v>
      </c>
      <c r="Z169" s="12">
        <v>2</v>
      </c>
      <c r="AA169" s="12" t="s">
        <v>14</v>
      </c>
      <c r="AB169" s="12">
        <v>2</v>
      </c>
      <c r="AC169" s="12" t="s">
        <v>14</v>
      </c>
      <c r="AD169" s="12">
        <v>2</v>
      </c>
      <c r="AE169" s="12" t="s">
        <v>14</v>
      </c>
      <c r="AF169" s="12">
        <v>2</v>
      </c>
      <c r="AG169" s="12"/>
      <c r="AH169" s="12"/>
      <c r="AI169" s="12" t="s">
        <v>14</v>
      </c>
      <c r="AJ169" s="12">
        <v>2</v>
      </c>
      <c r="AK169" s="12" t="s">
        <v>14</v>
      </c>
      <c r="AL169" s="12">
        <v>2</v>
      </c>
      <c r="AM169" s="12" t="s">
        <v>14</v>
      </c>
      <c r="AN169" s="12">
        <v>2</v>
      </c>
      <c r="AO169" s="12" t="s">
        <v>14</v>
      </c>
      <c r="AP169" s="12">
        <v>2</v>
      </c>
      <c r="AQ169" s="12" t="s">
        <v>14</v>
      </c>
      <c r="AR169" s="12">
        <v>2</v>
      </c>
      <c r="AS169" s="12" t="s">
        <v>14</v>
      </c>
      <c r="AT169" s="12">
        <v>2</v>
      </c>
      <c r="AU169" s="12" t="s">
        <v>16</v>
      </c>
      <c r="AV169" s="12">
        <v>2</v>
      </c>
      <c r="AW169" s="12" t="s">
        <v>14</v>
      </c>
      <c r="AX169" s="12">
        <v>2</v>
      </c>
      <c r="AY169" s="12" t="s">
        <v>14</v>
      </c>
      <c r="AZ169" s="12">
        <v>2</v>
      </c>
      <c r="BA169" s="12" t="s">
        <v>14</v>
      </c>
      <c r="BB169" s="12">
        <v>2</v>
      </c>
      <c r="BC169" s="12" t="s">
        <v>14</v>
      </c>
      <c r="BD169" s="12">
        <v>2</v>
      </c>
      <c r="BE169" s="12" t="s">
        <v>14</v>
      </c>
      <c r="BF169" s="12">
        <v>2</v>
      </c>
      <c r="BG169" s="12" t="s">
        <v>14</v>
      </c>
      <c r="BH169" s="12">
        <v>2</v>
      </c>
      <c r="BI169" s="12" t="s">
        <v>16</v>
      </c>
      <c r="BJ169" s="12">
        <v>2</v>
      </c>
      <c r="BK169" s="12" t="s">
        <v>14</v>
      </c>
      <c r="BL169" s="12">
        <v>2</v>
      </c>
      <c r="BM169" s="12" t="s">
        <v>14</v>
      </c>
      <c r="BN169" s="35">
        <v>2</v>
      </c>
      <c r="BP169" s="45"/>
      <c r="BQ169" s="45"/>
      <c r="BR169" s="46"/>
      <c r="BS169" s="46"/>
      <c r="BT169" s="46"/>
      <c r="BU169" s="46"/>
      <c r="BV169" s="46"/>
      <c r="BW169" s="46"/>
    </row>
    <row r="170" spans="1:85" ht="17.25" customHeight="1" x14ac:dyDescent="0.15">
      <c r="A170" s="85"/>
      <c r="B170" s="49"/>
      <c r="C170" s="49"/>
      <c r="D170" s="58" t="s">
        <v>49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 t="s">
        <v>15</v>
      </c>
      <c r="V170" s="14"/>
      <c r="W170" s="14" t="s">
        <v>15</v>
      </c>
      <c r="X170" s="14">
        <v>4</v>
      </c>
      <c r="Y170" s="14" t="s">
        <v>15</v>
      </c>
      <c r="Z170" s="14">
        <v>3</v>
      </c>
      <c r="AA170" s="14" t="s">
        <v>15</v>
      </c>
      <c r="AB170" s="14">
        <v>3</v>
      </c>
      <c r="AC170" s="14" t="s">
        <v>15</v>
      </c>
      <c r="AD170" s="14"/>
      <c r="AE170" s="14" t="s">
        <v>15</v>
      </c>
      <c r="AF170" s="14"/>
      <c r="AG170" s="14"/>
      <c r="AH170" s="14"/>
      <c r="AI170" s="14" t="s">
        <v>15</v>
      </c>
      <c r="AJ170" s="14">
        <v>4</v>
      </c>
      <c r="AK170" s="14" t="s">
        <v>15</v>
      </c>
      <c r="AL170" s="14">
        <v>4</v>
      </c>
      <c r="AM170" s="14" t="s">
        <v>15</v>
      </c>
      <c r="AN170" s="14"/>
      <c r="AO170" s="14" t="s">
        <v>15</v>
      </c>
      <c r="AP170" s="14">
        <v>3</v>
      </c>
      <c r="AQ170" s="14" t="s">
        <v>15</v>
      </c>
      <c r="AR170" s="14">
        <v>4</v>
      </c>
      <c r="AS170" s="14" t="s">
        <v>15</v>
      </c>
      <c r="AT170" s="14">
        <v>3</v>
      </c>
      <c r="AU170" s="14"/>
      <c r="AV170" s="14"/>
      <c r="AW170" s="14" t="s">
        <v>15</v>
      </c>
      <c r="AX170" s="14">
        <v>4</v>
      </c>
      <c r="AY170" s="14" t="s">
        <v>15</v>
      </c>
      <c r="AZ170" s="14">
        <v>4</v>
      </c>
      <c r="BA170" s="14" t="s">
        <v>15</v>
      </c>
      <c r="BB170" s="14">
        <v>4</v>
      </c>
      <c r="BC170" s="14" t="s">
        <v>15</v>
      </c>
      <c r="BD170" s="14">
        <v>4</v>
      </c>
      <c r="BE170" s="14" t="s">
        <v>15</v>
      </c>
      <c r="BF170" s="14">
        <v>4</v>
      </c>
      <c r="BG170" s="14" t="s">
        <v>15</v>
      </c>
      <c r="BH170" s="14"/>
      <c r="BI170" s="14"/>
      <c r="BJ170" s="14"/>
      <c r="BK170" s="14" t="s">
        <v>15</v>
      </c>
      <c r="BL170" s="14">
        <v>4</v>
      </c>
      <c r="BM170" s="14" t="s">
        <v>15</v>
      </c>
      <c r="BN170" s="37">
        <v>3</v>
      </c>
      <c r="BP170" s="45"/>
      <c r="BQ170" s="45"/>
      <c r="BR170" s="46"/>
      <c r="BS170" s="46"/>
      <c r="BT170" s="46"/>
      <c r="BU170" s="46"/>
      <c r="BV170" s="46"/>
      <c r="BW170" s="46"/>
    </row>
    <row r="171" spans="1:85" ht="17.25" customHeight="1" thickBot="1" x14ac:dyDescent="0.2">
      <c r="A171" s="86"/>
      <c r="B171" s="50"/>
      <c r="C171" s="50"/>
      <c r="D171" s="59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38"/>
      <c r="BP171" s="45"/>
      <c r="BQ171" s="45"/>
      <c r="BR171" s="46"/>
      <c r="BS171" s="46"/>
      <c r="BT171" s="46"/>
      <c r="BU171" s="46"/>
      <c r="BV171" s="46"/>
      <c r="BW171" s="46"/>
    </row>
    <row r="172" spans="1:85" ht="17.25" customHeight="1" x14ac:dyDescent="0.15">
      <c r="A172" s="84" t="s">
        <v>84</v>
      </c>
      <c r="B172" s="48" t="s">
        <v>43</v>
      </c>
      <c r="C172" s="48" t="s">
        <v>56</v>
      </c>
      <c r="D172" s="55" t="s">
        <v>45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14</v>
      </c>
      <c r="V172" s="11">
        <v>2</v>
      </c>
      <c r="W172" s="11" t="s">
        <v>18</v>
      </c>
      <c r="X172" s="11">
        <v>1</v>
      </c>
      <c r="Y172" s="11" t="s">
        <v>14</v>
      </c>
      <c r="Z172" s="11">
        <v>2</v>
      </c>
      <c r="AA172" s="11" t="s">
        <v>14</v>
      </c>
      <c r="AB172" s="11">
        <v>2</v>
      </c>
      <c r="AC172" s="11" t="s">
        <v>14</v>
      </c>
      <c r="AD172" s="11">
        <v>2</v>
      </c>
      <c r="AE172" s="11" t="s">
        <v>14</v>
      </c>
      <c r="AF172" s="11">
        <v>2</v>
      </c>
      <c r="AG172" s="11"/>
      <c r="AH172" s="11"/>
      <c r="AI172" s="11" t="s">
        <v>14</v>
      </c>
      <c r="AJ172" s="11">
        <v>2</v>
      </c>
      <c r="AK172" s="11" t="s">
        <v>14</v>
      </c>
      <c r="AL172" s="11">
        <v>2</v>
      </c>
      <c r="AM172" s="11" t="s">
        <v>14</v>
      </c>
      <c r="AN172" s="11">
        <v>2</v>
      </c>
      <c r="AO172" s="11" t="s">
        <v>14</v>
      </c>
      <c r="AP172" s="11">
        <v>2</v>
      </c>
      <c r="AQ172" s="11" t="s">
        <v>14</v>
      </c>
      <c r="AR172" s="11">
        <v>2</v>
      </c>
      <c r="AS172" s="11" t="s">
        <v>14</v>
      </c>
      <c r="AT172" s="11">
        <v>2</v>
      </c>
      <c r="AU172" s="11" t="s">
        <v>16</v>
      </c>
      <c r="AV172" s="11">
        <v>2</v>
      </c>
      <c r="AW172" s="11" t="s">
        <v>14</v>
      </c>
      <c r="AX172" s="11">
        <v>2</v>
      </c>
      <c r="AY172" s="11" t="s">
        <v>14</v>
      </c>
      <c r="AZ172" s="11">
        <v>2</v>
      </c>
      <c r="BA172" s="11" t="s">
        <v>14</v>
      </c>
      <c r="BB172" s="11">
        <v>2</v>
      </c>
      <c r="BC172" s="11" t="s">
        <v>14</v>
      </c>
      <c r="BD172" s="11">
        <v>2</v>
      </c>
      <c r="BE172" s="11" t="s">
        <v>14</v>
      </c>
      <c r="BF172" s="11">
        <v>2</v>
      </c>
      <c r="BG172" s="11" t="s">
        <v>14</v>
      </c>
      <c r="BH172" s="11">
        <v>2</v>
      </c>
      <c r="BI172" s="11" t="s">
        <v>16</v>
      </c>
      <c r="BJ172" s="11">
        <v>2</v>
      </c>
      <c r="BK172" s="11" t="s">
        <v>14</v>
      </c>
      <c r="BL172" s="11">
        <v>2</v>
      </c>
      <c r="BM172" s="11" t="s">
        <v>14</v>
      </c>
      <c r="BN172" s="34">
        <v>2</v>
      </c>
      <c r="BP172" s="45"/>
      <c r="BQ172" s="45"/>
      <c r="BR172" s="46"/>
      <c r="BS172" s="46"/>
      <c r="BT172" s="46"/>
      <c r="BU172" s="46"/>
      <c r="BV172" s="46"/>
      <c r="BW172" s="46"/>
    </row>
    <row r="173" spans="1:85" ht="17.25" customHeight="1" x14ac:dyDescent="0.15">
      <c r="A173" s="85"/>
      <c r="B173" s="49"/>
      <c r="C173" s="49"/>
      <c r="D173" s="56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 t="s">
        <v>14</v>
      </c>
      <c r="V173" s="12">
        <v>2</v>
      </c>
      <c r="W173" s="12" t="s">
        <v>14</v>
      </c>
      <c r="X173" s="12">
        <v>3</v>
      </c>
      <c r="Y173" s="12" t="s">
        <v>14</v>
      </c>
      <c r="Z173" s="12">
        <v>2</v>
      </c>
      <c r="AA173" s="12" t="s">
        <v>14</v>
      </c>
      <c r="AB173" s="12">
        <v>2</v>
      </c>
      <c r="AC173" s="12" t="s">
        <v>14</v>
      </c>
      <c r="AD173" s="12">
        <v>2</v>
      </c>
      <c r="AE173" s="12" t="s">
        <v>14</v>
      </c>
      <c r="AF173" s="12">
        <v>2</v>
      </c>
      <c r="AG173" s="12"/>
      <c r="AH173" s="12"/>
      <c r="AI173" s="12" t="s">
        <v>14</v>
      </c>
      <c r="AJ173" s="12">
        <v>2</v>
      </c>
      <c r="AK173" s="12" t="s">
        <v>14</v>
      </c>
      <c r="AL173" s="12">
        <v>2</v>
      </c>
      <c r="AM173" s="12" t="s">
        <v>14</v>
      </c>
      <c r="AN173" s="12">
        <v>2</v>
      </c>
      <c r="AO173" s="12" t="s">
        <v>14</v>
      </c>
      <c r="AP173" s="12">
        <v>2</v>
      </c>
      <c r="AQ173" s="12" t="s">
        <v>14</v>
      </c>
      <c r="AR173" s="12">
        <v>2</v>
      </c>
      <c r="AS173" s="12" t="s">
        <v>14</v>
      </c>
      <c r="AT173" s="12">
        <v>2</v>
      </c>
      <c r="AU173" s="12" t="s">
        <v>16</v>
      </c>
      <c r="AV173" s="12">
        <v>2</v>
      </c>
      <c r="AW173" s="12" t="s">
        <v>14</v>
      </c>
      <c r="AX173" s="12">
        <v>2</v>
      </c>
      <c r="AY173" s="12" t="s">
        <v>14</v>
      </c>
      <c r="AZ173" s="12">
        <v>2</v>
      </c>
      <c r="BA173" s="12" t="s">
        <v>14</v>
      </c>
      <c r="BB173" s="12">
        <v>2</v>
      </c>
      <c r="BC173" s="12" t="s">
        <v>14</v>
      </c>
      <c r="BD173" s="12">
        <v>2</v>
      </c>
      <c r="BE173" s="12" t="s">
        <v>14</v>
      </c>
      <c r="BF173" s="12">
        <v>2</v>
      </c>
      <c r="BG173" s="12" t="s">
        <v>14</v>
      </c>
      <c r="BH173" s="12">
        <v>2</v>
      </c>
      <c r="BI173" s="12" t="s">
        <v>16</v>
      </c>
      <c r="BJ173" s="12">
        <v>2</v>
      </c>
      <c r="BK173" s="12" t="s">
        <v>14</v>
      </c>
      <c r="BL173" s="12">
        <v>2</v>
      </c>
      <c r="BM173" s="12" t="s">
        <v>14</v>
      </c>
      <c r="BN173" s="35">
        <v>2</v>
      </c>
      <c r="BP173" s="45"/>
      <c r="BQ173" s="45"/>
      <c r="BR173" s="46"/>
      <c r="BS173" s="46"/>
      <c r="BT173" s="46"/>
      <c r="BU173" s="46"/>
      <c r="BV173" s="46"/>
      <c r="BW173" s="46"/>
    </row>
    <row r="174" spans="1:85" ht="17.25" customHeight="1" x14ac:dyDescent="0.15">
      <c r="A174" s="85"/>
      <c r="B174" s="49"/>
      <c r="C174" s="49"/>
      <c r="D174" s="57" t="s">
        <v>47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 t="s">
        <v>18</v>
      </c>
      <c r="V174" s="13">
        <v>2</v>
      </c>
      <c r="W174" s="13" t="s">
        <v>14</v>
      </c>
      <c r="X174" s="13">
        <v>2</v>
      </c>
      <c r="Y174" s="13" t="s">
        <v>14</v>
      </c>
      <c r="Z174" s="13">
        <v>2</v>
      </c>
      <c r="AA174" s="13" t="s">
        <v>14</v>
      </c>
      <c r="AB174" s="13">
        <v>2</v>
      </c>
      <c r="AC174" s="13" t="s">
        <v>14</v>
      </c>
      <c r="AD174" s="13">
        <v>2</v>
      </c>
      <c r="AE174" s="13" t="s">
        <v>14</v>
      </c>
      <c r="AF174" s="13">
        <v>2</v>
      </c>
      <c r="AG174" s="13"/>
      <c r="AH174" s="13"/>
      <c r="AI174" s="13" t="s">
        <v>14</v>
      </c>
      <c r="AJ174" s="13">
        <v>2</v>
      </c>
      <c r="AK174" s="13" t="s">
        <v>14</v>
      </c>
      <c r="AL174" s="13">
        <v>2</v>
      </c>
      <c r="AM174" s="13" t="s">
        <v>14</v>
      </c>
      <c r="AN174" s="13">
        <v>2</v>
      </c>
      <c r="AO174" s="13" t="s">
        <v>14</v>
      </c>
      <c r="AP174" s="13">
        <v>2</v>
      </c>
      <c r="AQ174" s="13" t="s">
        <v>14</v>
      </c>
      <c r="AR174" s="13">
        <v>2</v>
      </c>
      <c r="AS174" s="13" t="s">
        <v>14</v>
      </c>
      <c r="AT174" s="13">
        <v>2</v>
      </c>
      <c r="AU174" s="13" t="s">
        <v>16</v>
      </c>
      <c r="AV174" s="13">
        <v>2</v>
      </c>
      <c r="AW174" s="13" t="s">
        <v>14</v>
      </c>
      <c r="AX174" s="13">
        <v>2</v>
      </c>
      <c r="AY174" s="13" t="s">
        <v>14</v>
      </c>
      <c r="AZ174" s="13">
        <v>2</v>
      </c>
      <c r="BA174" s="13" t="s">
        <v>14</v>
      </c>
      <c r="BB174" s="13">
        <v>2</v>
      </c>
      <c r="BC174" s="13" t="s">
        <v>14</v>
      </c>
      <c r="BD174" s="13">
        <v>2</v>
      </c>
      <c r="BE174" s="13" t="s">
        <v>14</v>
      </c>
      <c r="BF174" s="13">
        <v>2</v>
      </c>
      <c r="BG174" s="13" t="s">
        <v>14</v>
      </c>
      <c r="BH174" s="13">
        <v>2</v>
      </c>
      <c r="BI174" s="13" t="s">
        <v>16</v>
      </c>
      <c r="BJ174" s="13">
        <v>2</v>
      </c>
      <c r="BK174" s="13" t="s">
        <v>14</v>
      </c>
      <c r="BL174" s="13">
        <v>2</v>
      </c>
      <c r="BM174" s="13" t="s">
        <v>14</v>
      </c>
      <c r="BN174" s="36">
        <v>2</v>
      </c>
      <c r="BP174" s="45"/>
      <c r="BQ174" s="45"/>
      <c r="BR174" s="46"/>
      <c r="BS174" s="46"/>
      <c r="BT174" s="46"/>
      <c r="BU174" s="46"/>
      <c r="BV174" s="46"/>
      <c r="BW174" s="46"/>
    </row>
    <row r="175" spans="1:85" ht="17.25" customHeight="1" x14ac:dyDescent="0.15">
      <c r="A175" s="85"/>
      <c r="B175" s="49"/>
      <c r="C175" s="49"/>
      <c r="D175" s="56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 t="s">
        <v>18</v>
      </c>
      <c r="V175" s="12">
        <v>2</v>
      </c>
      <c r="W175" s="12" t="s">
        <v>14</v>
      </c>
      <c r="X175" s="12">
        <v>2</v>
      </c>
      <c r="Y175" s="12" t="s">
        <v>14</v>
      </c>
      <c r="Z175" s="12">
        <v>2</v>
      </c>
      <c r="AA175" s="12" t="s">
        <v>14</v>
      </c>
      <c r="AB175" s="12">
        <v>2</v>
      </c>
      <c r="AC175" s="12" t="s">
        <v>14</v>
      </c>
      <c r="AD175" s="12">
        <v>2</v>
      </c>
      <c r="AE175" s="12" t="s">
        <v>14</v>
      </c>
      <c r="AF175" s="12">
        <v>2</v>
      </c>
      <c r="AG175" s="12"/>
      <c r="AH175" s="12"/>
      <c r="AI175" s="12" t="s">
        <v>14</v>
      </c>
      <c r="AJ175" s="12">
        <v>2</v>
      </c>
      <c r="AK175" s="12" t="s">
        <v>14</v>
      </c>
      <c r="AL175" s="12">
        <v>2</v>
      </c>
      <c r="AM175" s="12" t="s">
        <v>14</v>
      </c>
      <c r="AN175" s="12">
        <v>2</v>
      </c>
      <c r="AO175" s="12" t="s">
        <v>14</v>
      </c>
      <c r="AP175" s="12">
        <v>2</v>
      </c>
      <c r="AQ175" s="12" t="s">
        <v>14</v>
      </c>
      <c r="AR175" s="12">
        <v>2</v>
      </c>
      <c r="AS175" s="12" t="s">
        <v>14</v>
      </c>
      <c r="AT175" s="12">
        <v>2</v>
      </c>
      <c r="AU175" s="12" t="s">
        <v>16</v>
      </c>
      <c r="AV175" s="12">
        <v>2</v>
      </c>
      <c r="AW175" s="12" t="s">
        <v>14</v>
      </c>
      <c r="AX175" s="12">
        <v>2</v>
      </c>
      <c r="AY175" s="12" t="s">
        <v>14</v>
      </c>
      <c r="AZ175" s="12">
        <v>2</v>
      </c>
      <c r="BA175" s="12" t="s">
        <v>14</v>
      </c>
      <c r="BB175" s="12">
        <v>2</v>
      </c>
      <c r="BC175" s="12" t="s">
        <v>14</v>
      </c>
      <c r="BD175" s="12">
        <v>2</v>
      </c>
      <c r="BE175" s="12" t="s">
        <v>14</v>
      </c>
      <c r="BF175" s="12">
        <v>2</v>
      </c>
      <c r="BG175" s="12" t="s">
        <v>14</v>
      </c>
      <c r="BH175" s="12">
        <v>2</v>
      </c>
      <c r="BI175" s="12" t="s">
        <v>16</v>
      </c>
      <c r="BJ175" s="12">
        <v>2</v>
      </c>
      <c r="BK175" s="12" t="s">
        <v>14</v>
      </c>
      <c r="BL175" s="12">
        <v>2</v>
      </c>
      <c r="BM175" s="12" t="s">
        <v>14</v>
      </c>
      <c r="BN175" s="35">
        <v>2</v>
      </c>
      <c r="BP175" s="45"/>
      <c r="BQ175" s="45"/>
      <c r="BR175" s="46"/>
      <c r="BS175" s="46"/>
      <c r="BT175" s="46"/>
      <c r="BU175" s="46"/>
      <c r="BV175" s="46"/>
      <c r="BW175" s="46"/>
    </row>
    <row r="176" spans="1:85" ht="17.25" customHeight="1" x14ac:dyDescent="0.15">
      <c r="A176" s="85"/>
      <c r="B176" s="49"/>
      <c r="C176" s="49"/>
      <c r="D176" s="58" t="s">
        <v>49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 t="s">
        <v>15</v>
      </c>
      <c r="V176" s="14"/>
      <c r="W176" s="14" t="s">
        <v>15</v>
      </c>
      <c r="X176" s="14">
        <v>4</v>
      </c>
      <c r="Y176" s="14" t="s">
        <v>15</v>
      </c>
      <c r="Z176" s="14">
        <v>3</v>
      </c>
      <c r="AA176" s="14" t="s">
        <v>15</v>
      </c>
      <c r="AB176" s="14">
        <v>3</v>
      </c>
      <c r="AC176" s="14" t="s">
        <v>15</v>
      </c>
      <c r="AD176" s="14"/>
      <c r="AE176" s="14" t="s">
        <v>15</v>
      </c>
      <c r="AF176" s="14"/>
      <c r="AG176" s="14"/>
      <c r="AH176" s="14"/>
      <c r="AI176" s="14" t="s">
        <v>15</v>
      </c>
      <c r="AJ176" s="14">
        <v>3</v>
      </c>
      <c r="AK176" s="14" t="s">
        <v>15</v>
      </c>
      <c r="AL176" s="14"/>
      <c r="AM176" s="14" t="s">
        <v>15</v>
      </c>
      <c r="AN176" s="14"/>
      <c r="AO176" s="14" t="s">
        <v>15</v>
      </c>
      <c r="AP176" s="14">
        <v>1</v>
      </c>
      <c r="AQ176" s="14" t="s">
        <v>15</v>
      </c>
      <c r="AR176" s="14">
        <v>4</v>
      </c>
      <c r="AS176" s="14" t="s">
        <v>15</v>
      </c>
      <c r="AT176" s="14">
        <v>3</v>
      </c>
      <c r="AU176" s="14"/>
      <c r="AV176" s="14"/>
      <c r="AW176" s="14" t="s">
        <v>15</v>
      </c>
      <c r="AX176" s="14">
        <v>4</v>
      </c>
      <c r="AY176" s="14" t="s">
        <v>15</v>
      </c>
      <c r="AZ176" s="14">
        <v>4</v>
      </c>
      <c r="BA176" s="14" t="s">
        <v>15</v>
      </c>
      <c r="BB176" s="14">
        <v>3</v>
      </c>
      <c r="BC176" s="14" t="s">
        <v>15</v>
      </c>
      <c r="BD176" s="14">
        <v>4</v>
      </c>
      <c r="BE176" s="14" t="s">
        <v>15</v>
      </c>
      <c r="BF176" s="14">
        <v>4</v>
      </c>
      <c r="BG176" s="14" t="s">
        <v>15</v>
      </c>
      <c r="BH176" s="14"/>
      <c r="BI176" s="14"/>
      <c r="BJ176" s="14"/>
      <c r="BK176" s="14" t="s">
        <v>15</v>
      </c>
      <c r="BL176" s="14">
        <v>4</v>
      </c>
      <c r="BM176" s="14" t="s">
        <v>15</v>
      </c>
      <c r="BN176" s="37">
        <v>3</v>
      </c>
      <c r="BP176" s="45"/>
      <c r="BQ176" s="45"/>
      <c r="BR176" s="46"/>
      <c r="BS176" s="46"/>
      <c r="BT176" s="46"/>
      <c r="BU176" s="46"/>
      <c r="BV176" s="46"/>
      <c r="BW176" s="46"/>
    </row>
    <row r="177" spans="1:75" ht="17.25" customHeight="1" thickBot="1" x14ac:dyDescent="0.2">
      <c r="A177" s="86"/>
      <c r="B177" s="50"/>
      <c r="C177" s="50"/>
      <c r="D177" s="59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38"/>
      <c r="BP177" s="45"/>
      <c r="BQ177" s="45"/>
      <c r="BR177" s="46"/>
      <c r="BS177" s="46"/>
      <c r="BT177" s="46"/>
      <c r="BU177" s="46"/>
      <c r="BV177" s="46"/>
      <c r="BW177" s="46"/>
    </row>
    <row r="178" spans="1:75" ht="17.25" customHeight="1" x14ac:dyDescent="0.15">
      <c r="A178" s="84" t="s">
        <v>85</v>
      </c>
      <c r="B178" s="48" t="s">
        <v>43</v>
      </c>
      <c r="C178" s="48" t="s">
        <v>143</v>
      </c>
      <c r="D178" s="55" t="s">
        <v>45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14</v>
      </c>
      <c r="V178" s="11">
        <v>2</v>
      </c>
      <c r="W178" s="11" t="s">
        <v>14</v>
      </c>
      <c r="X178" s="11">
        <v>2</v>
      </c>
      <c r="Y178" s="11" t="s">
        <v>14</v>
      </c>
      <c r="Z178" s="11">
        <v>2</v>
      </c>
      <c r="AA178" s="11" t="s">
        <v>18</v>
      </c>
      <c r="AB178" s="11">
        <v>2</v>
      </c>
      <c r="AC178" s="11" t="s">
        <v>14</v>
      </c>
      <c r="AD178" s="11">
        <v>2</v>
      </c>
      <c r="AE178" s="11" t="s">
        <v>14</v>
      </c>
      <c r="AF178" s="11">
        <v>2</v>
      </c>
      <c r="AG178" s="11"/>
      <c r="AH178" s="11"/>
      <c r="AI178" s="11" t="s">
        <v>14</v>
      </c>
      <c r="AJ178" s="11">
        <v>2</v>
      </c>
      <c r="AK178" s="11" t="s">
        <v>14</v>
      </c>
      <c r="AL178" s="11">
        <v>2</v>
      </c>
      <c r="AM178" s="11" t="s">
        <v>14</v>
      </c>
      <c r="AN178" s="11">
        <v>2</v>
      </c>
      <c r="AO178" s="11" t="s">
        <v>14</v>
      </c>
      <c r="AP178" s="11">
        <v>2</v>
      </c>
      <c r="AQ178" s="11" t="s">
        <v>14</v>
      </c>
      <c r="AR178" s="11">
        <v>2</v>
      </c>
      <c r="AS178" s="11" t="s">
        <v>14</v>
      </c>
      <c r="AT178" s="11">
        <v>2</v>
      </c>
      <c r="AU178" s="11" t="s">
        <v>16</v>
      </c>
      <c r="AV178" s="11">
        <v>2</v>
      </c>
      <c r="AW178" s="11" t="s">
        <v>14</v>
      </c>
      <c r="AX178" s="11">
        <v>2</v>
      </c>
      <c r="AY178" s="11" t="s">
        <v>14</v>
      </c>
      <c r="AZ178" s="11">
        <v>2</v>
      </c>
      <c r="BA178" s="11" t="s">
        <v>14</v>
      </c>
      <c r="BB178" s="11">
        <v>2</v>
      </c>
      <c r="BC178" s="11" t="s">
        <v>14</v>
      </c>
      <c r="BD178" s="11">
        <v>2</v>
      </c>
      <c r="BE178" s="11" t="s">
        <v>14</v>
      </c>
      <c r="BF178" s="11">
        <v>2</v>
      </c>
      <c r="BG178" s="11" t="s">
        <v>14</v>
      </c>
      <c r="BH178" s="11">
        <v>2</v>
      </c>
      <c r="BI178" s="11" t="s">
        <v>16</v>
      </c>
      <c r="BJ178" s="11">
        <v>2</v>
      </c>
      <c r="BK178" s="11" t="s">
        <v>14</v>
      </c>
      <c r="BL178" s="11">
        <v>2</v>
      </c>
      <c r="BM178" s="11" t="s">
        <v>14</v>
      </c>
      <c r="BN178" s="34">
        <v>2</v>
      </c>
      <c r="BP178" s="45"/>
      <c r="BQ178" s="45"/>
      <c r="BR178" s="46"/>
      <c r="BS178" s="46"/>
      <c r="BT178" s="46"/>
      <c r="BU178" s="46"/>
      <c r="BV178" s="46"/>
      <c r="BW178" s="46"/>
    </row>
    <row r="179" spans="1:75" ht="17.25" customHeight="1" x14ac:dyDescent="0.15">
      <c r="A179" s="85"/>
      <c r="B179" s="49"/>
      <c r="C179" s="49"/>
      <c r="D179" s="56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 t="s">
        <v>14</v>
      </c>
      <c r="V179" s="12">
        <v>2</v>
      </c>
      <c r="W179" s="12" t="s">
        <v>14</v>
      </c>
      <c r="X179" s="12">
        <v>2</v>
      </c>
      <c r="Y179" s="12" t="s">
        <v>14</v>
      </c>
      <c r="Z179" s="12">
        <v>2</v>
      </c>
      <c r="AA179" s="12" t="s">
        <v>18</v>
      </c>
      <c r="AB179" s="12">
        <v>2</v>
      </c>
      <c r="AC179" s="12" t="s">
        <v>14</v>
      </c>
      <c r="AD179" s="12">
        <v>2</v>
      </c>
      <c r="AE179" s="12" t="s">
        <v>14</v>
      </c>
      <c r="AF179" s="12">
        <v>2</v>
      </c>
      <c r="AG179" s="12"/>
      <c r="AH179" s="12"/>
      <c r="AI179" s="12" t="s">
        <v>14</v>
      </c>
      <c r="AJ179" s="12">
        <v>2</v>
      </c>
      <c r="AK179" s="12" t="s">
        <v>14</v>
      </c>
      <c r="AL179" s="12">
        <v>2</v>
      </c>
      <c r="AM179" s="12" t="s">
        <v>14</v>
      </c>
      <c r="AN179" s="12">
        <v>2</v>
      </c>
      <c r="AO179" s="12" t="s">
        <v>14</v>
      </c>
      <c r="AP179" s="12">
        <v>2</v>
      </c>
      <c r="AQ179" s="12" t="s">
        <v>14</v>
      </c>
      <c r="AR179" s="12">
        <v>2</v>
      </c>
      <c r="AS179" s="12" t="s">
        <v>14</v>
      </c>
      <c r="AT179" s="12">
        <v>2</v>
      </c>
      <c r="AU179" s="12" t="s">
        <v>16</v>
      </c>
      <c r="AV179" s="12">
        <v>2</v>
      </c>
      <c r="AW179" s="12" t="s">
        <v>14</v>
      </c>
      <c r="AX179" s="12">
        <v>2</v>
      </c>
      <c r="AY179" s="12" t="s">
        <v>14</v>
      </c>
      <c r="AZ179" s="12">
        <v>2</v>
      </c>
      <c r="BA179" s="12" t="s">
        <v>14</v>
      </c>
      <c r="BB179" s="12">
        <v>2</v>
      </c>
      <c r="BC179" s="12" t="s">
        <v>14</v>
      </c>
      <c r="BD179" s="12">
        <v>2</v>
      </c>
      <c r="BE179" s="12" t="s">
        <v>14</v>
      </c>
      <c r="BF179" s="12">
        <v>2</v>
      </c>
      <c r="BG179" s="12" t="s">
        <v>14</v>
      </c>
      <c r="BH179" s="12">
        <v>2</v>
      </c>
      <c r="BI179" s="12" t="s">
        <v>16</v>
      </c>
      <c r="BJ179" s="12">
        <v>2</v>
      </c>
      <c r="BK179" s="12" t="s">
        <v>14</v>
      </c>
      <c r="BL179" s="12">
        <v>2</v>
      </c>
      <c r="BM179" s="12" t="s">
        <v>14</v>
      </c>
      <c r="BN179" s="35">
        <v>2</v>
      </c>
      <c r="BP179" s="45"/>
      <c r="BQ179" s="45"/>
      <c r="BR179" s="46"/>
      <c r="BS179" s="46"/>
      <c r="BT179" s="46"/>
      <c r="BU179" s="46"/>
      <c r="BV179" s="46"/>
      <c r="BW179" s="46"/>
    </row>
    <row r="180" spans="1:75" ht="17.25" customHeight="1" x14ac:dyDescent="0.15">
      <c r="A180" s="85"/>
      <c r="B180" s="49"/>
      <c r="C180" s="49"/>
      <c r="D180" s="57" t="s">
        <v>47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 t="s">
        <v>14</v>
      </c>
      <c r="V180" s="13">
        <v>2</v>
      </c>
      <c r="W180" s="13" t="s">
        <v>14</v>
      </c>
      <c r="X180" s="13">
        <v>2</v>
      </c>
      <c r="Y180" s="13" t="s">
        <v>14</v>
      </c>
      <c r="Z180" s="13">
        <v>2</v>
      </c>
      <c r="AA180" s="13" t="s">
        <v>18</v>
      </c>
      <c r="AB180" s="13">
        <v>2</v>
      </c>
      <c r="AC180" s="13" t="s">
        <v>14</v>
      </c>
      <c r="AD180" s="13">
        <v>2</v>
      </c>
      <c r="AE180" s="13" t="s">
        <v>14</v>
      </c>
      <c r="AF180" s="13">
        <v>2</v>
      </c>
      <c r="AG180" s="13"/>
      <c r="AH180" s="13"/>
      <c r="AI180" s="13" t="s">
        <v>14</v>
      </c>
      <c r="AJ180" s="13">
        <v>2</v>
      </c>
      <c r="AK180" s="13" t="s">
        <v>14</v>
      </c>
      <c r="AL180" s="13">
        <v>2</v>
      </c>
      <c r="AM180" s="13" t="s">
        <v>14</v>
      </c>
      <c r="AN180" s="13">
        <v>2</v>
      </c>
      <c r="AO180" s="13" t="s">
        <v>14</v>
      </c>
      <c r="AP180" s="13">
        <v>2</v>
      </c>
      <c r="AQ180" s="13" t="s">
        <v>14</v>
      </c>
      <c r="AR180" s="13">
        <v>2</v>
      </c>
      <c r="AS180" s="13" t="s">
        <v>14</v>
      </c>
      <c r="AT180" s="13">
        <v>2</v>
      </c>
      <c r="AU180" s="13" t="s">
        <v>16</v>
      </c>
      <c r="AV180" s="13">
        <v>2</v>
      </c>
      <c r="AW180" s="13" t="s">
        <v>14</v>
      </c>
      <c r="AX180" s="13">
        <v>2</v>
      </c>
      <c r="AY180" s="13" t="s">
        <v>14</v>
      </c>
      <c r="AZ180" s="13">
        <v>2</v>
      </c>
      <c r="BA180" s="13" t="s">
        <v>14</v>
      </c>
      <c r="BB180" s="13">
        <v>2</v>
      </c>
      <c r="BC180" s="13" t="s">
        <v>14</v>
      </c>
      <c r="BD180" s="13">
        <v>2</v>
      </c>
      <c r="BE180" s="13" t="s">
        <v>14</v>
      </c>
      <c r="BF180" s="13">
        <v>2</v>
      </c>
      <c r="BG180" s="13" t="s">
        <v>14</v>
      </c>
      <c r="BH180" s="13">
        <v>2</v>
      </c>
      <c r="BI180" s="13" t="s">
        <v>16</v>
      </c>
      <c r="BJ180" s="13">
        <v>2</v>
      </c>
      <c r="BK180" s="13" t="s">
        <v>14</v>
      </c>
      <c r="BL180" s="13">
        <v>2</v>
      </c>
      <c r="BM180" s="13" t="s">
        <v>14</v>
      </c>
      <c r="BN180" s="36">
        <v>2</v>
      </c>
      <c r="BP180" s="45"/>
      <c r="BQ180" s="45"/>
      <c r="BR180" s="46"/>
      <c r="BS180" s="46"/>
      <c r="BT180" s="46"/>
      <c r="BU180" s="46"/>
      <c r="BV180" s="46"/>
      <c r="BW180" s="46"/>
    </row>
    <row r="181" spans="1:75" ht="17.25" customHeight="1" x14ac:dyDescent="0.15">
      <c r="A181" s="85"/>
      <c r="B181" s="49"/>
      <c r="C181" s="49"/>
      <c r="D181" s="56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 t="s">
        <v>14</v>
      </c>
      <c r="V181" s="12">
        <v>2</v>
      </c>
      <c r="W181" s="12" t="s">
        <v>14</v>
      </c>
      <c r="X181" s="12">
        <v>2</v>
      </c>
      <c r="Y181" s="12" t="s">
        <v>14</v>
      </c>
      <c r="Z181" s="12">
        <v>2</v>
      </c>
      <c r="AA181" s="12" t="s">
        <v>18</v>
      </c>
      <c r="AB181" s="12">
        <v>2</v>
      </c>
      <c r="AC181" s="12" t="s">
        <v>14</v>
      </c>
      <c r="AD181" s="12">
        <v>2</v>
      </c>
      <c r="AE181" s="12" t="s">
        <v>14</v>
      </c>
      <c r="AF181" s="12">
        <v>2</v>
      </c>
      <c r="AG181" s="12"/>
      <c r="AH181" s="12"/>
      <c r="AI181" s="12" t="s">
        <v>14</v>
      </c>
      <c r="AJ181" s="12">
        <v>2</v>
      </c>
      <c r="AK181" s="12" t="s">
        <v>14</v>
      </c>
      <c r="AL181" s="12">
        <v>2</v>
      </c>
      <c r="AM181" s="12" t="s">
        <v>14</v>
      </c>
      <c r="AN181" s="12">
        <v>2</v>
      </c>
      <c r="AO181" s="12" t="s">
        <v>14</v>
      </c>
      <c r="AP181" s="12">
        <v>2</v>
      </c>
      <c r="AQ181" s="12" t="s">
        <v>14</v>
      </c>
      <c r="AR181" s="12">
        <v>2</v>
      </c>
      <c r="AS181" s="12" t="s">
        <v>14</v>
      </c>
      <c r="AT181" s="12">
        <v>2</v>
      </c>
      <c r="AU181" s="12" t="s">
        <v>16</v>
      </c>
      <c r="AV181" s="12">
        <v>2</v>
      </c>
      <c r="AW181" s="12" t="s">
        <v>14</v>
      </c>
      <c r="AX181" s="12">
        <v>2</v>
      </c>
      <c r="AY181" s="12" t="s">
        <v>14</v>
      </c>
      <c r="AZ181" s="12">
        <v>2</v>
      </c>
      <c r="BA181" s="12" t="s">
        <v>14</v>
      </c>
      <c r="BB181" s="12">
        <v>2</v>
      </c>
      <c r="BC181" s="12" t="s">
        <v>14</v>
      </c>
      <c r="BD181" s="12">
        <v>2</v>
      </c>
      <c r="BE181" s="12" t="s">
        <v>14</v>
      </c>
      <c r="BF181" s="12">
        <v>2</v>
      </c>
      <c r="BG181" s="12" t="s">
        <v>14</v>
      </c>
      <c r="BH181" s="12">
        <v>2</v>
      </c>
      <c r="BI181" s="12" t="s">
        <v>16</v>
      </c>
      <c r="BJ181" s="12">
        <v>2</v>
      </c>
      <c r="BK181" s="12" t="s">
        <v>14</v>
      </c>
      <c r="BL181" s="12">
        <v>2</v>
      </c>
      <c r="BM181" s="12" t="s">
        <v>14</v>
      </c>
      <c r="BN181" s="35">
        <v>2</v>
      </c>
      <c r="BP181" s="45"/>
      <c r="BQ181" s="45"/>
      <c r="BR181" s="46"/>
      <c r="BS181" s="46"/>
      <c r="BT181" s="46"/>
      <c r="BU181" s="46"/>
      <c r="BV181" s="46"/>
      <c r="BW181" s="46"/>
    </row>
    <row r="182" spans="1:75" ht="17.25" customHeight="1" x14ac:dyDescent="0.15">
      <c r="A182" s="85"/>
      <c r="B182" s="49"/>
      <c r="C182" s="49"/>
      <c r="D182" s="58" t="s">
        <v>49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 t="s">
        <v>15</v>
      </c>
      <c r="V182" s="14"/>
      <c r="W182" s="14" t="s">
        <v>15</v>
      </c>
      <c r="X182" s="14">
        <v>4</v>
      </c>
      <c r="Y182" s="14" t="s">
        <v>15</v>
      </c>
      <c r="Z182" s="14"/>
      <c r="AA182" s="14" t="s">
        <v>15</v>
      </c>
      <c r="AB182" s="14"/>
      <c r="AC182" s="14" t="s">
        <v>15</v>
      </c>
      <c r="AD182" s="14"/>
      <c r="AE182" s="14" t="s">
        <v>15</v>
      </c>
      <c r="AF182" s="14"/>
      <c r="AG182" s="14"/>
      <c r="AH182" s="14"/>
      <c r="AI182" s="14" t="s">
        <v>15</v>
      </c>
      <c r="AJ182" s="14"/>
      <c r="AK182" s="14" t="s">
        <v>15</v>
      </c>
      <c r="AL182" s="14"/>
      <c r="AM182" s="14" t="s">
        <v>15</v>
      </c>
      <c r="AN182" s="14">
        <v>4</v>
      </c>
      <c r="AO182" s="14" t="s">
        <v>15</v>
      </c>
      <c r="AP182" s="14">
        <v>3</v>
      </c>
      <c r="AQ182" s="14" t="s">
        <v>15</v>
      </c>
      <c r="AR182" s="14">
        <v>3</v>
      </c>
      <c r="AS182" s="14" t="s">
        <v>15</v>
      </c>
      <c r="AT182" s="14"/>
      <c r="AU182" s="14"/>
      <c r="AV182" s="14"/>
      <c r="AW182" s="14" t="s">
        <v>15</v>
      </c>
      <c r="AX182" s="14">
        <v>4</v>
      </c>
      <c r="AY182" s="14" t="s">
        <v>15</v>
      </c>
      <c r="AZ182" s="14">
        <v>4</v>
      </c>
      <c r="BA182" s="14" t="s">
        <v>15</v>
      </c>
      <c r="BB182" s="14">
        <v>4</v>
      </c>
      <c r="BC182" s="14" t="s">
        <v>15</v>
      </c>
      <c r="BD182" s="14">
        <v>4</v>
      </c>
      <c r="BE182" s="14" t="s">
        <v>15</v>
      </c>
      <c r="BF182" s="14">
        <v>4</v>
      </c>
      <c r="BG182" s="14" t="s">
        <v>15</v>
      </c>
      <c r="BH182" s="14">
        <v>4</v>
      </c>
      <c r="BI182" s="14"/>
      <c r="BJ182" s="14"/>
      <c r="BK182" s="14" t="s">
        <v>15</v>
      </c>
      <c r="BL182" s="14">
        <v>4</v>
      </c>
      <c r="BM182" s="14" t="s">
        <v>15</v>
      </c>
      <c r="BN182" s="37"/>
      <c r="BP182" s="45"/>
      <c r="BQ182" s="45"/>
      <c r="BR182" s="46"/>
      <c r="BS182" s="46"/>
      <c r="BT182" s="46"/>
      <c r="BU182" s="46"/>
      <c r="BV182" s="46"/>
      <c r="BW182" s="46"/>
    </row>
    <row r="183" spans="1:75" ht="17.25" customHeight="1" thickBot="1" x14ac:dyDescent="0.2">
      <c r="A183" s="86"/>
      <c r="B183" s="50"/>
      <c r="C183" s="50"/>
      <c r="D183" s="59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38"/>
      <c r="BP183" s="45"/>
      <c r="BQ183" s="45"/>
      <c r="BR183" s="46"/>
      <c r="BS183" s="46"/>
      <c r="BT183" s="46"/>
      <c r="BU183" s="46"/>
      <c r="BV183" s="46"/>
      <c r="BW183" s="46"/>
    </row>
    <row r="184" spans="1:75" ht="17.25" customHeight="1" x14ac:dyDescent="0.15">
      <c r="A184" s="84" t="s">
        <v>85</v>
      </c>
      <c r="B184" s="48" t="s">
        <v>43</v>
      </c>
      <c r="C184" s="48" t="s">
        <v>144</v>
      </c>
      <c r="D184" s="55" t="s">
        <v>45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14</v>
      </c>
      <c r="V184" s="11">
        <v>2</v>
      </c>
      <c r="W184" s="11" t="s">
        <v>14</v>
      </c>
      <c r="X184" s="11">
        <v>2</v>
      </c>
      <c r="Y184" s="11" t="s">
        <v>14</v>
      </c>
      <c r="Z184" s="11">
        <v>2</v>
      </c>
      <c r="AA184" s="11" t="s">
        <v>14</v>
      </c>
      <c r="AB184" s="11">
        <v>2</v>
      </c>
      <c r="AC184" s="11" t="s">
        <v>14</v>
      </c>
      <c r="AD184" s="11">
        <v>2</v>
      </c>
      <c r="AE184" s="11" t="s">
        <v>14</v>
      </c>
      <c r="AF184" s="11">
        <v>2</v>
      </c>
      <c r="AG184" s="11"/>
      <c r="AH184" s="11"/>
      <c r="AI184" s="11" t="s">
        <v>14</v>
      </c>
      <c r="AJ184" s="11">
        <v>2</v>
      </c>
      <c r="AK184" s="11" t="s">
        <v>14</v>
      </c>
      <c r="AL184" s="11">
        <v>2</v>
      </c>
      <c r="AM184" s="11" t="s">
        <v>14</v>
      </c>
      <c r="AN184" s="11">
        <v>2</v>
      </c>
      <c r="AO184" s="11" t="s">
        <v>14</v>
      </c>
      <c r="AP184" s="11">
        <v>2</v>
      </c>
      <c r="AQ184" s="11" t="s">
        <v>14</v>
      </c>
      <c r="AR184" s="11">
        <v>2</v>
      </c>
      <c r="AS184" s="11" t="s">
        <v>14</v>
      </c>
      <c r="AT184" s="11">
        <v>2</v>
      </c>
      <c r="AU184" s="11" t="s">
        <v>16</v>
      </c>
      <c r="AV184" s="11">
        <v>2</v>
      </c>
      <c r="AW184" s="11" t="s">
        <v>14</v>
      </c>
      <c r="AX184" s="11">
        <v>2</v>
      </c>
      <c r="AY184" s="11" t="s">
        <v>14</v>
      </c>
      <c r="AZ184" s="11">
        <v>2</v>
      </c>
      <c r="BA184" s="11" t="s">
        <v>14</v>
      </c>
      <c r="BB184" s="11">
        <v>2</v>
      </c>
      <c r="BC184" s="11" t="s">
        <v>14</v>
      </c>
      <c r="BD184" s="11">
        <v>2</v>
      </c>
      <c r="BE184" s="11" t="s">
        <v>14</v>
      </c>
      <c r="BF184" s="11">
        <v>2</v>
      </c>
      <c r="BG184" s="11" t="s">
        <v>14</v>
      </c>
      <c r="BH184" s="11">
        <v>2</v>
      </c>
      <c r="BI184" s="11" t="s">
        <v>16</v>
      </c>
      <c r="BJ184" s="11">
        <v>2</v>
      </c>
      <c r="BK184" s="11" t="s">
        <v>14</v>
      </c>
      <c r="BL184" s="11">
        <v>2</v>
      </c>
      <c r="BM184" s="11" t="s">
        <v>14</v>
      </c>
      <c r="BN184" s="34">
        <v>2</v>
      </c>
      <c r="BP184" s="45"/>
      <c r="BQ184" s="45"/>
      <c r="BR184" s="46"/>
      <c r="BS184" s="46"/>
      <c r="BT184" s="46"/>
      <c r="BU184" s="46"/>
      <c r="BV184" s="46"/>
      <c r="BW184" s="46"/>
    </row>
    <row r="185" spans="1:75" ht="17.25" customHeight="1" x14ac:dyDescent="0.15">
      <c r="A185" s="85"/>
      <c r="B185" s="49"/>
      <c r="C185" s="49"/>
      <c r="D185" s="56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14</v>
      </c>
      <c r="V185" s="12">
        <v>2</v>
      </c>
      <c r="W185" s="12" t="s">
        <v>14</v>
      </c>
      <c r="X185" s="12">
        <v>2</v>
      </c>
      <c r="Y185" s="12" t="s">
        <v>14</v>
      </c>
      <c r="Z185" s="12">
        <v>2</v>
      </c>
      <c r="AA185" s="12" t="s">
        <v>14</v>
      </c>
      <c r="AB185" s="12">
        <v>2</v>
      </c>
      <c r="AC185" s="12" t="s">
        <v>14</v>
      </c>
      <c r="AD185" s="12">
        <v>2</v>
      </c>
      <c r="AE185" s="12" t="s">
        <v>14</v>
      </c>
      <c r="AF185" s="12">
        <v>2</v>
      </c>
      <c r="AG185" s="12"/>
      <c r="AH185" s="12"/>
      <c r="AI185" s="12" t="s">
        <v>14</v>
      </c>
      <c r="AJ185" s="12">
        <v>2</v>
      </c>
      <c r="AK185" s="12" t="s">
        <v>14</v>
      </c>
      <c r="AL185" s="12">
        <v>2</v>
      </c>
      <c r="AM185" s="12" t="s">
        <v>14</v>
      </c>
      <c r="AN185" s="12">
        <v>2</v>
      </c>
      <c r="AO185" s="12" t="s">
        <v>14</v>
      </c>
      <c r="AP185" s="12">
        <v>2</v>
      </c>
      <c r="AQ185" s="12" t="s">
        <v>14</v>
      </c>
      <c r="AR185" s="12">
        <v>2</v>
      </c>
      <c r="AS185" s="12" t="s">
        <v>14</v>
      </c>
      <c r="AT185" s="12">
        <v>2</v>
      </c>
      <c r="AU185" s="12" t="s">
        <v>16</v>
      </c>
      <c r="AV185" s="12">
        <v>2</v>
      </c>
      <c r="AW185" s="12" t="s">
        <v>14</v>
      </c>
      <c r="AX185" s="12">
        <v>2</v>
      </c>
      <c r="AY185" s="12" t="s">
        <v>14</v>
      </c>
      <c r="AZ185" s="12">
        <v>2</v>
      </c>
      <c r="BA185" s="12" t="s">
        <v>14</v>
      </c>
      <c r="BB185" s="12">
        <v>2</v>
      </c>
      <c r="BC185" s="12" t="s">
        <v>14</v>
      </c>
      <c r="BD185" s="12">
        <v>2</v>
      </c>
      <c r="BE185" s="12" t="s">
        <v>14</v>
      </c>
      <c r="BF185" s="12">
        <v>2</v>
      </c>
      <c r="BG185" s="12" t="s">
        <v>14</v>
      </c>
      <c r="BH185" s="12">
        <v>2</v>
      </c>
      <c r="BI185" s="12" t="s">
        <v>16</v>
      </c>
      <c r="BJ185" s="12">
        <v>2</v>
      </c>
      <c r="BK185" s="12" t="s">
        <v>14</v>
      </c>
      <c r="BL185" s="12">
        <v>2</v>
      </c>
      <c r="BM185" s="12" t="s">
        <v>14</v>
      </c>
      <c r="BN185" s="35">
        <v>2</v>
      </c>
      <c r="BP185" s="45"/>
      <c r="BQ185" s="45"/>
      <c r="BR185" s="46"/>
      <c r="BS185" s="46"/>
      <c r="BT185" s="46"/>
      <c r="BU185" s="46"/>
      <c r="BV185" s="46"/>
      <c r="BW185" s="46"/>
    </row>
    <row r="186" spans="1:75" ht="17.25" customHeight="1" x14ac:dyDescent="0.15">
      <c r="A186" s="85"/>
      <c r="B186" s="49"/>
      <c r="C186" s="49"/>
      <c r="D186" s="57" t="s">
        <v>47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 t="s">
        <v>14</v>
      </c>
      <c r="V186" s="13">
        <v>2</v>
      </c>
      <c r="W186" s="13" t="s">
        <v>14</v>
      </c>
      <c r="X186" s="13">
        <v>2</v>
      </c>
      <c r="Y186" s="13" t="s">
        <v>14</v>
      </c>
      <c r="Z186" s="13">
        <v>2</v>
      </c>
      <c r="AA186" s="13" t="s">
        <v>14</v>
      </c>
      <c r="AB186" s="13">
        <v>2</v>
      </c>
      <c r="AC186" s="13" t="s">
        <v>14</v>
      </c>
      <c r="AD186" s="13">
        <v>2</v>
      </c>
      <c r="AE186" s="13" t="s">
        <v>14</v>
      </c>
      <c r="AF186" s="13">
        <v>2</v>
      </c>
      <c r="AG186" s="13"/>
      <c r="AH186" s="13"/>
      <c r="AI186" s="13" t="s">
        <v>14</v>
      </c>
      <c r="AJ186" s="13">
        <v>2</v>
      </c>
      <c r="AK186" s="13" t="s">
        <v>14</v>
      </c>
      <c r="AL186" s="13">
        <v>2</v>
      </c>
      <c r="AM186" s="13" t="s">
        <v>14</v>
      </c>
      <c r="AN186" s="13">
        <v>2</v>
      </c>
      <c r="AO186" s="13" t="s">
        <v>14</v>
      </c>
      <c r="AP186" s="13">
        <v>2</v>
      </c>
      <c r="AQ186" s="13" t="s">
        <v>14</v>
      </c>
      <c r="AR186" s="13">
        <v>2</v>
      </c>
      <c r="AS186" s="13" t="s">
        <v>14</v>
      </c>
      <c r="AT186" s="13">
        <v>2</v>
      </c>
      <c r="AU186" s="13" t="s">
        <v>16</v>
      </c>
      <c r="AV186" s="13">
        <v>2</v>
      </c>
      <c r="AW186" s="13" t="s">
        <v>14</v>
      </c>
      <c r="AX186" s="13">
        <v>2</v>
      </c>
      <c r="AY186" s="13" t="s">
        <v>14</v>
      </c>
      <c r="AZ186" s="13">
        <v>2</v>
      </c>
      <c r="BA186" s="13" t="s">
        <v>14</v>
      </c>
      <c r="BB186" s="13">
        <v>2</v>
      </c>
      <c r="BC186" s="13" t="s">
        <v>14</v>
      </c>
      <c r="BD186" s="13">
        <v>2</v>
      </c>
      <c r="BE186" s="13" t="s">
        <v>14</v>
      </c>
      <c r="BF186" s="13">
        <v>2</v>
      </c>
      <c r="BG186" s="13" t="s">
        <v>14</v>
      </c>
      <c r="BH186" s="13">
        <v>2</v>
      </c>
      <c r="BI186" s="13" t="s">
        <v>16</v>
      </c>
      <c r="BJ186" s="13">
        <v>2</v>
      </c>
      <c r="BK186" s="13" t="s">
        <v>14</v>
      </c>
      <c r="BL186" s="13">
        <v>2</v>
      </c>
      <c r="BM186" s="13" t="s">
        <v>14</v>
      </c>
      <c r="BN186" s="36">
        <v>2</v>
      </c>
      <c r="BP186" s="45"/>
      <c r="BQ186" s="45"/>
      <c r="BR186" s="46"/>
      <c r="BS186" s="46"/>
      <c r="BT186" s="46"/>
      <c r="BU186" s="46"/>
      <c r="BV186" s="46"/>
      <c r="BW186" s="46"/>
    </row>
    <row r="187" spans="1:75" ht="17.25" customHeight="1" x14ac:dyDescent="0.15">
      <c r="A187" s="85"/>
      <c r="B187" s="49"/>
      <c r="C187" s="49"/>
      <c r="D187" s="56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 t="s">
        <v>14</v>
      </c>
      <c r="V187" s="12">
        <v>2</v>
      </c>
      <c r="W187" s="12" t="s">
        <v>14</v>
      </c>
      <c r="X187" s="12">
        <v>2</v>
      </c>
      <c r="Y187" s="12" t="s">
        <v>14</v>
      </c>
      <c r="Z187" s="12">
        <v>2</v>
      </c>
      <c r="AA187" s="12" t="s">
        <v>14</v>
      </c>
      <c r="AB187" s="12">
        <v>2</v>
      </c>
      <c r="AC187" s="12" t="s">
        <v>14</v>
      </c>
      <c r="AD187" s="12">
        <v>2</v>
      </c>
      <c r="AE187" s="12" t="s">
        <v>14</v>
      </c>
      <c r="AF187" s="12">
        <v>2</v>
      </c>
      <c r="AG187" s="12"/>
      <c r="AH187" s="12"/>
      <c r="AI187" s="12" t="s">
        <v>14</v>
      </c>
      <c r="AJ187" s="12">
        <v>2</v>
      </c>
      <c r="AK187" s="12" t="s">
        <v>14</v>
      </c>
      <c r="AL187" s="12">
        <v>2</v>
      </c>
      <c r="AM187" s="12" t="s">
        <v>14</v>
      </c>
      <c r="AN187" s="12">
        <v>2</v>
      </c>
      <c r="AO187" s="12" t="s">
        <v>14</v>
      </c>
      <c r="AP187" s="12">
        <v>2</v>
      </c>
      <c r="AQ187" s="12" t="s">
        <v>14</v>
      </c>
      <c r="AR187" s="12">
        <v>2</v>
      </c>
      <c r="AS187" s="12" t="s">
        <v>14</v>
      </c>
      <c r="AT187" s="12">
        <v>2</v>
      </c>
      <c r="AU187" s="12" t="s">
        <v>16</v>
      </c>
      <c r="AV187" s="12">
        <v>2</v>
      </c>
      <c r="AW187" s="12" t="s">
        <v>14</v>
      </c>
      <c r="AX187" s="12">
        <v>2</v>
      </c>
      <c r="AY187" s="12" t="s">
        <v>14</v>
      </c>
      <c r="AZ187" s="12">
        <v>2</v>
      </c>
      <c r="BA187" s="12" t="s">
        <v>14</v>
      </c>
      <c r="BB187" s="12">
        <v>2</v>
      </c>
      <c r="BC187" s="12" t="s">
        <v>14</v>
      </c>
      <c r="BD187" s="12">
        <v>2</v>
      </c>
      <c r="BE187" s="12" t="s">
        <v>14</v>
      </c>
      <c r="BF187" s="12">
        <v>2</v>
      </c>
      <c r="BG187" s="12" t="s">
        <v>14</v>
      </c>
      <c r="BH187" s="12">
        <v>2</v>
      </c>
      <c r="BI187" s="12" t="s">
        <v>16</v>
      </c>
      <c r="BJ187" s="12">
        <v>2</v>
      </c>
      <c r="BK187" s="12" t="s">
        <v>14</v>
      </c>
      <c r="BL187" s="12">
        <v>2</v>
      </c>
      <c r="BM187" s="12" t="s">
        <v>14</v>
      </c>
      <c r="BN187" s="35">
        <v>2</v>
      </c>
      <c r="BP187" s="45"/>
      <c r="BQ187" s="45"/>
      <c r="BR187" s="46"/>
      <c r="BS187" s="46"/>
      <c r="BT187" s="46"/>
      <c r="BU187" s="46"/>
      <c r="BV187" s="46"/>
      <c r="BW187" s="46"/>
    </row>
    <row r="188" spans="1:75" ht="17.25" customHeight="1" x14ac:dyDescent="0.15">
      <c r="A188" s="85"/>
      <c r="B188" s="49"/>
      <c r="C188" s="49"/>
      <c r="D188" s="58" t="s">
        <v>49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 t="s">
        <v>15</v>
      </c>
      <c r="V188" s="14"/>
      <c r="W188" s="14" t="s">
        <v>15</v>
      </c>
      <c r="X188" s="14">
        <v>4</v>
      </c>
      <c r="Y188" s="14" t="s">
        <v>15</v>
      </c>
      <c r="Z188" s="14"/>
      <c r="AA188" s="14" t="s">
        <v>15</v>
      </c>
      <c r="AB188" s="14"/>
      <c r="AC188" s="14" t="s">
        <v>15</v>
      </c>
      <c r="AD188" s="14"/>
      <c r="AE188" s="14" t="s">
        <v>15</v>
      </c>
      <c r="AF188" s="14"/>
      <c r="AG188" s="14"/>
      <c r="AH188" s="14"/>
      <c r="AI188" s="14" t="s">
        <v>15</v>
      </c>
      <c r="AJ188" s="14"/>
      <c r="AK188" s="14" t="s">
        <v>15</v>
      </c>
      <c r="AL188" s="14"/>
      <c r="AM188" s="14" t="s">
        <v>15</v>
      </c>
      <c r="AN188" s="14">
        <v>4</v>
      </c>
      <c r="AO188" s="14" t="s">
        <v>15</v>
      </c>
      <c r="AP188" s="14">
        <v>3</v>
      </c>
      <c r="AQ188" s="14" t="s">
        <v>15</v>
      </c>
      <c r="AR188" s="14">
        <v>3</v>
      </c>
      <c r="AS188" s="14" t="s">
        <v>15</v>
      </c>
      <c r="AT188" s="14"/>
      <c r="AU188" s="14"/>
      <c r="AV188" s="14"/>
      <c r="AW188" s="14" t="s">
        <v>15</v>
      </c>
      <c r="AX188" s="14">
        <v>4</v>
      </c>
      <c r="AY188" s="14" t="s">
        <v>15</v>
      </c>
      <c r="AZ188" s="14">
        <v>4</v>
      </c>
      <c r="BA188" s="14" t="s">
        <v>15</v>
      </c>
      <c r="BB188" s="14">
        <v>5</v>
      </c>
      <c r="BC188" s="14" t="s">
        <v>15</v>
      </c>
      <c r="BD188" s="14">
        <v>4</v>
      </c>
      <c r="BE188" s="14" t="s">
        <v>15</v>
      </c>
      <c r="BF188" s="14">
        <v>4</v>
      </c>
      <c r="BG188" s="14" t="s">
        <v>15</v>
      </c>
      <c r="BH188" s="14">
        <v>4</v>
      </c>
      <c r="BI188" s="14"/>
      <c r="BJ188" s="14"/>
      <c r="BK188" s="14" t="s">
        <v>15</v>
      </c>
      <c r="BL188" s="14">
        <v>4</v>
      </c>
      <c r="BM188" s="14" t="s">
        <v>15</v>
      </c>
      <c r="BN188" s="37"/>
      <c r="BP188" s="45"/>
      <c r="BQ188" s="45"/>
      <c r="BR188" s="46"/>
      <c r="BS188" s="46"/>
      <c r="BT188" s="46"/>
      <c r="BU188" s="46"/>
      <c r="BV188" s="46"/>
      <c r="BW188" s="46"/>
    </row>
    <row r="189" spans="1:75" ht="17.25" customHeight="1" thickBot="1" x14ac:dyDescent="0.2">
      <c r="A189" s="86"/>
      <c r="B189" s="50"/>
      <c r="C189" s="50"/>
      <c r="D189" s="59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38"/>
      <c r="BP189" s="45"/>
      <c r="BQ189" s="45"/>
      <c r="BR189" s="46"/>
      <c r="BS189" s="46"/>
      <c r="BT189" s="46"/>
      <c r="BU189" s="46"/>
      <c r="BV189" s="46"/>
      <c r="BW189" s="46"/>
    </row>
    <row r="190" spans="1:75" ht="17.25" customHeight="1" x14ac:dyDescent="0.15">
      <c r="A190" s="84" t="s">
        <v>85</v>
      </c>
      <c r="B190" s="48" t="s">
        <v>43</v>
      </c>
      <c r="C190" s="48" t="s">
        <v>145</v>
      </c>
      <c r="D190" s="55" t="s">
        <v>45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14</v>
      </c>
      <c r="V190" s="11">
        <v>2</v>
      </c>
      <c r="W190" s="11" t="s">
        <v>14</v>
      </c>
      <c r="X190" s="11">
        <v>2</v>
      </c>
      <c r="Y190" s="11" t="s">
        <v>14</v>
      </c>
      <c r="Z190" s="11">
        <v>2</v>
      </c>
      <c r="AA190" s="11" t="s">
        <v>14</v>
      </c>
      <c r="AB190" s="11">
        <v>2</v>
      </c>
      <c r="AC190" s="11" t="s">
        <v>18</v>
      </c>
      <c r="AD190" s="11">
        <v>2</v>
      </c>
      <c r="AE190" s="11" t="s">
        <v>18</v>
      </c>
      <c r="AF190" s="11">
        <v>2</v>
      </c>
      <c r="AG190" s="11"/>
      <c r="AH190" s="11"/>
      <c r="AI190" s="11" t="s">
        <v>14</v>
      </c>
      <c r="AJ190" s="11">
        <v>2</v>
      </c>
      <c r="AK190" s="11" t="s">
        <v>14</v>
      </c>
      <c r="AL190" s="11">
        <v>2</v>
      </c>
      <c r="AM190" s="11" t="s">
        <v>14</v>
      </c>
      <c r="AN190" s="11">
        <v>2</v>
      </c>
      <c r="AO190" s="11" t="s">
        <v>14</v>
      </c>
      <c r="AP190" s="11">
        <v>2</v>
      </c>
      <c r="AQ190" s="11" t="s">
        <v>14</v>
      </c>
      <c r="AR190" s="11">
        <v>2</v>
      </c>
      <c r="AS190" s="11" t="s">
        <v>14</v>
      </c>
      <c r="AT190" s="11">
        <v>2</v>
      </c>
      <c r="AU190" s="11"/>
      <c r="AV190" s="11"/>
      <c r="AW190" s="11" t="s">
        <v>17</v>
      </c>
      <c r="AX190" s="11">
        <v>2</v>
      </c>
      <c r="AY190" s="11" t="s">
        <v>14</v>
      </c>
      <c r="AZ190" s="11">
        <v>2</v>
      </c>
      <c r="BA190" s="11" t="s">
        <v>14</v>
      </c>
      <c r="BB190" s="11">
        <v>2</v>
      </c>
      <c r="BC190" s="11" t="s">
        <v>14</v>
      </c>
      <c r="BD190" s="11">
        <v>2</v>
      </c>
      <c r="BE190" s="11" t="s">
        <v>14</v>
      </c>
      <c r="BF190" s="11">
        <v>2</v>
      </c>
      <c r="BG190" s="11" t="s">
        <v>14</v>
      </c>
      <c r="BH190" s="11">
        <v>2</v>
      </c>
      <c r="BI190" s="11" t="s">
        <v>16</v>
      </c>
      <c r="BJ190" s="11">
        <v>2</v>
      </c>
      <c r="BK190" s="11" t="s">
        <v>14</v>
      </c>
      <c r="BL190" s="11">
        <v>2</v>
      </c>
      <c r="BM190" s="11" t="s">
        <v>14</v>
      </c>
      <c r="BN190" s="34">
        <v>2</v>
      </c>
      <c r="BP190" s="45"/>
      <c r="BQ190" s="45"/>
      <c r="BR190" s="46"/>
      <c r="BS190" s="46"/>
      <c r="BT190" s="46"/>
      <c r="BU190" s="46"/>
      <c r="BV190" s="46"/>
      <c r="BW190" s="46"/>
    </row>
    <row r="191" spans="1:75" ht="17.25" customHeight="1" x14ac:dyDescent="0.15">
      <c r="A191" s="85"/>
      <c r="B191" s="49"/>
      <c r="C191" s="49"/>
      <c r="D191" s="56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14</v>
      </c>
      <c r="V191" s="12">
        <v>2</v>
      </c>
      <c r="W191" s="12" t="s">
        <v>14</v>
      </c>
      <c r="X191" s="12">
        <v>2</v>
      </c>
      <c r="Y191" s="12" t="s">
        <v>14</v>
      </c>
      <c r="Z191" s="12">
        <v>2</v>
      </c>
      <c r="AA191" s="12" t="s">
        <v>14</v>
      </c>
      <c r="AB191" s="12">
        <v>2</v>
      </c>
      <c r="AC191" s="12" t="s">
        <v>18</v>
      </c>
      <c r="AD191" s="12">
        <v>2</v>
      </c>
      <c r="AE191" s="12" t="s">
        <v>18</v>
      </c>
      <c r="AF191" s="12">
        <v>2</v>
      </c>
      <c r="AG191" s="12"/>
      <c r="AH191" s="12"/>
      <c r="AI191" s="12" t="s">
        <v>14</v>
      </c>
      <c r="AJ191" s="12">
        <v>2</v>
      </c>
      <c r="AK191" s="12" t="s">
        <v>14</v>
      </c>
      <c r="AL191" s="12">
        <v>2</v>
      </c>
      <c r="AM191" s="12" t="s">
        <v>14</v>
      </c>
      <c r="AN191" s="12">
        <v>2</v>
      </c>
      <c r="AO191" s="12" t="s">
        <v>14</v>
      </c>
      <c r="AP191" s="12">
        <v>2</v>
      </c>
      <c r="AQ191" s="12" t="s">
        <v>14</v>
      </c>
      <c r="AR191" s="12">
        <v>2</v>
      </c>
      <c r="AS191" s="12" t="s">
        <v>14</v>
      </c>
      <c r="AT191" s="12">
        <v>2</v>
      </c>
      <c r="AU191" s="12"/>
      <c r="AV191" s="12"/>
      <c r="AW191" s="12" t="s">
        <v>17</v>
      </c>
      <c r="AX191" s="12">
        <v>2</v>
      </c>
      <c r="AY191" s="12" t="s">
        <v>14</v>
      </c>
      <c r="AZ191" s="12">
        <v>2</v>
      </c>
      <c r="BA191" s="12" t="s">
        <v>14</v>
      </c>
      <c r="BB191" s="12">
        <v>2</v>
      </c>
      <c r="BC191" s="12" t="s">
        <v>14</v>
      </c>
      <c r="BD191" s="12">
        <v>2</v>
      </c>
      <c r="BE191" s="12" t="s">
        <v>14</v>
      </c>
      <c r="BF191" s="12">
        <v>2</v>
      </c>
      <c r="BG191" s="12" t="s">
        <v>14</v>
      </c>
      <c r="BH191" s="12">
        <v>2</v>
      </c>
      <c r="BI191" s="12" t="s">
        <v>16</v>
      </c>
      <c r="BJ191" s="12">
        <v>2</v>
      </c>
      <c r="BK191" s="12" t="s">
        <v>14</v>
      </c>
      <c r="BL191" s="12">
        <v>2</v>
      </c>
      <c r="BM191" s="12" t="s">
        <v>14</v>
      </c>
      <c r="BN191" s="35">
        <v>2</v>
      </c>
      <c r="BP191" s="45"/>
      <c r="BQ191" s="45"/>
      <c r="BR191" s="46"/>
      <c r="BS191" s="46"/>
      <c r="BT191" s="46"/>
      <c r="BU191" s="46"/>
      <c r="BV191" s="46"/>
      <c r="BW191" s="46"/>
    </row>
    <row r="192" spans="1:75" ht="17.25" customHeight="1" x14ac:dyDescent="0.15">
      <c r="A192" s="85"/>
      <c r="B192" s="49"/>
      <c r="C192" s="49"/>
      <c r="D192" s="57" t="s">
        <v>47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 t="s">
        <v>14</v>
      </c>
      <c r="V192" s="13">
        <v>2</v>
      </c>
      <c r="W192" s="13" t="s">
        <v>14</v>
      </c>
      <c r="X192" s="13">
        <v>2</v>
      </c>
      <c r="Y192" s="13" t="s">
        <v>14</v>
      </c>
      <c r="Z192" s="13">
        <v>2</v>
      </c>
      <c r="AA192" s="13" t="s">
        <v>14</v>
      </c>
      <c r="AB192" s="13">
        <v>2</v>
      </c>
      <c r="AC192" s="13" t="s">
        <v>18</v>
      </c>
      <c r="AD192" s="13">
        <v>2</v>
      </c>
      <c r="AE192" s="13" t="s">
        <v>18</v>
      </c>
      <c r="AF192" s="13">
        <v>2</v>
      </c>
      <c r="AG192" s="13"/>
      <c r="AH192" s="13"/>
      <c r="AI192" s="13" t="s">
        <v>14</v>
      </c>
      <c r="AJ192" s="13">
        <v>2</v>
      </c>
      <c r="AK192" s="13" t="s">
        <v>14</v>
      </c>
      <c r="AL192" s="13">
        <v>2</v>
      </c>
      <c r="AM192" s="13" t="s">
        <v>14</v>
      </c>
      <c r="AN192" s="13">
        <v>2</v>
      </c>
      <c r="AO192" s="13" t="s">
        <v>14</v>
      </c>
      <c r="AP192" s="13">
        <v>2</v>
      </c>
      <c r="AQ192" s="13" t="s">
        <v>14</v>
      </c>
      <c r="AR192" s="13">
        <v>2</v>
      </c>
      <c r="AS192" s="13" t="s">
        <v>14</v>
      </c>
      <c r="AT192" s="13">
        <v>2</v>
      </c>
      <c r="AU192" s="13"/>
      <c r="AV192" s="13"/>
      <c r="AW192" s="13" t="s">
        <v>17</v>
      </c>
      <c r="AX192" s="13">
        <v>2</v>
      </c>
      <c r="AY192" s="13" t="s">
        <v>14</v>
      </c>
      <c r="AZ192" s="13">
        <v>2</v>
      </c>
      <c r="BA192" s="13" t="s">
        <v>14</v>
      </c>
      <c r="BB192" s="13">
        <v>2</v>
      </c>
      <c r="BC192" s="13" t="s">
        <v>14</v>
      </c>
      <c r="BD192" s="13">
        <v>2</v>
      </c>
      <c r="BE192" s="13" t="s">
        <v>14</v>
      </c>
      <c r="BF192" s="13">
        <v>2</v>
      </c>
      <c r="BG192" s="13" t="s">
        <v>14</v>
      </c>
      <c r="BH192" s="13">
        <v>2</v>
      </c>
      <c r="BI192" s="13" t="s">
        <v>16</v>
      </c>
      <c r="BJ192" s="13">
        <v>2</v>
      </c>
      <c r="BK192" s="13" t="s">
        <v>14</v>
      </c>
      <c r="BL192" s="13">
        <v>2</v>
      </c>
      <c r="BM192" s="13" t="s">
        <v>14</v>
      </c>
      <c r="BN192" s="36">
        <v>2</v>
      </c>
      <c r="BP192" s="45"/>
      <c r="BQ192" s="45"/>
      <c r="BR192" s="46"/>
      <c r="BS192" s="46"/>
      <c r="BT192" s="46"/>
      <c r="BU192" s="46"/>
      <c r="BV192" s="46"/>
      <c r="BW192" s="46"/>
    </row>
    <row r="193" spans="1:75" ht="17.25" customHeight="1" x14ac:dyDescent="0.15">
      <c r="A193" s="85"/>
      <c r="B193" s="49"/>
      <c r="C193" s="49"/>
      <c r="D193" s="56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14</v>
      </c>
      <c r="V193" s="12">
        <v>2</v>
      </c>
      <c r="W193" s="12" t="s">
        <v>14</v>
      </c>
      <c r="X193" s="12">
        <v>2</v>
      </c>
      <c r="Y193" s="12" t="s">
        <v>14</v>
      </c>
      <c r="Z193" s="12">
        <v>2</v>
      </c>
      <c r="AA193" s="12" t="s">
        <v>14</v>
      </c>
      <c r="AB193" s="12">
        <v>2</v>
      </c>
      <c r="AC193" s="12" t="s">
        <v>18</v>
      </c>
      <c r="AD193" s="12">
        <v>2</v>
      </c>
      <c r="AE193" s="12" t="s">
        <v>18</v>
      </c>
      <c r="AF193" s="12">
        <v>2</v>
      </c>
      <c r="AG193" s="12"/>
      <c r="AH193" s="12"/>
      <c r="AI193" s="12" t="s">
        <v>14</v>
      </c>
      <c r="AJ193" s="12">
        <v>2</v>
      </c>
      <c r="AK193" s="12" t="s">
        <v>14</v>
      </c>
      <c r="AL193" s="12">
        <v>2</v>
      </c>
      <c r="AM193" s="12" t="s">
        <v>14</v>
      </c>
      <c r="AN193" s="12">
        <v>2</v>
      </c>
      <c r="AO193" s="12" t="s">
        <v>14</v>
      </c>
      <c r="AP193" s="12">
        <v>2</v>
      </c>
      <c r="AQ193" s="12" t="s">
        <v>14</v>
      </c>
      <c r="AR193" s="12">
        <v>2</v>
      </c>
      <c r="AS193" s="12" t="s">
        <v>14</v>
      </c>
      <c r="AT193" s="12">
        <v>2</v>
      </c>
      <c r="AU193" s="12"/>
      <c r="AV193" s="12"/>
      <c r="AW193" s="12" t="s">
        <v>17</v>
      </c>
      <c r="AX193" s="12">
        <v>2</v>
      </c>
      <c r="AY193" s="12" t="s">
        <v>14</v>
      </c>
      <c r="AZ193" s="12">
        <v>2</v>
      </c>
      <c r="BA193" s="12" t="s">
        <v>14</v>
      </c>
      <c r="BB193" s="12">
        <v>2</v>
      </c>
      <c r="BC193" s="12" t="s">
        <v>14</v>
      </c>
      <c r="BD193" s="12">
        <v>2</v>
      </c>
      <c r="BE193" s="12" t="s">
        <v>14</v>
      </c>
      <c r="BF193" s="12">
        <v>2</v>
      </c>
      <c r="BG193" s="12" t="s">
        <v>14</v>
      </c>
      <c r="BH193" s="12">
        <v>2</v>
      </c>
      <c r="BI193" s="12" t="s">
        <v>16</v>
      </c>
      <c r="BJ193" s="12">
        <v>2</v>
      </c>
      <c r="BK193" s="12" t="s">
        <v>14</v>
      </c>
      <c r="BL193" s="12">
        <v>2</v>
      </c>
      <c r="BM193" s="12" t="s">
        <v>14</v>
      </c>
      <c r="BN193" s="35">
        <v>2</v>
      </c>
      <c r="BP193" s="45"/>
      <c r="BQ193" s="45"/>
      <c r="BR193" s="46"/>
      <c r="BS193" s="46"/>
      <c r="BT193" s="46"/>
      <c r="BU193" s="46"/>
      <c r="BV193" s="46"/>
      <c r="BW193" s="46"/>
    </row>
    <row r="194" spans="1:75" ht="17.25" customHeight="1" x14ac:dyDescent="0.15">
      <c r="A194" s="85"/>
      <c r="B194" s="49"/>
      <c r="C194" s="49"/>
      <c r="D194" s="58" t="s">
        <v>49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 t="s">
        <v>15</v>
      </c>
      <c r="V194" s="14"/>
      <c r="W194" s="14" t="s">
        <v>15</v>
      </c>
      <c r="X194" s="14"/>
      <c r="Y194" s="14" t="s">
        <v>15</v>
      </c>
      <c r="Z194" s="14"/>
      <c r="AA194" s="14" t="s">
        <v>15</v>
      </c>
      <c r="AB194" s="14"/>
      <c r="AC194" s="14" t="s">
        <v>15</v>
      </c>
      <c r="AD194" s="14"/>
      <c r="AE194" s="14" t="s">
        <v>15</v>
      </c>
      <c r="AF194" s="14"/>
      <c r="AG194" s="14"/>
      <c r="AH194" s="14"/>
      <c r="AI194" s="14" t="s">
        <v>15</v>
      </c>
      <c r="AJ194" s="14"/>
      <c r="AK194" s="14" t="s">
        <v>15</v>
      </c>
      <c r="AL194" s="14">
        <v>4</v>
      </c>
      <c r="AM194" s="14" t="s">
        <v>15</v>
      </c>
      <c r="AN194" s="14"/>
      <c r="AO194" s="14" t="s">
        <v>15</v>
      </c>
      <c r="AP194" s="14">
        <v>3</v>
      </c>
      <c r="AQ194" s="14" t="s">
        <v>15</v>
      </c>
      <c r="AR194" s="14"/>
      <c r="AS194" s="14" t="s">
        <v>15</v>
      </c>
      <c r="AT194" s="14"/>
      <c r="AU194" s="14"/>
      <c r="AV194" s="14"/>
      <c r="AW194" s="14" t="s">
        <v>15</v>
      </c>
      <c r="AX194" s="14"/>
      <c r="AY194" s="14" t="s">
        <v>15</v>
      </c>
      <c r="AZ194" s="14"/>
      <c r="BA194" s="14" t="s">
        <v>15</v>
      </c>
      <c r="BB194" s="14"/>
      <c r="BC194" s="14" t="s">
        <v>15</v>
      </c>
      <c r="BD194" s="14"/>
      <c r="BE194" s="14" t="s">
        <v>15</v>
      </c>
      <c r="BF194" s="14"/>
      <c r="BG194" s="14" t="s">
        <v>15</v>
      </c>
      <c r="BH194" s="14"/>
      <c r="BI194" s="14"/>
      <c r="BJ194" s="14"/>
      <c r="BK194" s="14" t="s">
        <v>15</v>
      </c>
      <c r="BL194" s="14"/>
      <c r="BM194" s="14" t="s">
        <v>15</v>
      </c>
      <c r="BN194" s="37"/>
      <c r="BP194" s="45"/>
      <c r="BQ194" s="45"/>
      <c r="BR194" s="46"/>
      <c r="BS194" s="46"/>
      <c r="BT194" s="46"/>
      <c r="BU194" s="46"/>
      <c r="BV194" s="46"/>
      <c r="BW194" s="46"/>
    </row>
    <row r="195" spans="1:75" ht="17.25" customHeight="1" thickBot="1" x14ac:dyDescent="0.2">
      <c r="A195" s="86"/>
      <c r="B195" s="50"/>
      <c r="C195" s="50"/>
      <c r="D195" s="59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38"/>
      <c r="BP195" s="45"/>
      <c r="BQ195" s="45"/>
      <c r="BR195" s="46"/>
      <c r="BS195" s="46"/>
      <c r="BT195" s="46"/>
      <c r="BU195" s="46"/>
      <c r="BV195" s="46"/>
      <c r="BW195" s="46"/>
    </row>
    <row r="196" spans="1:75" ht="17.25" customHeight="1" x14ac:dyDescent="0.15">
      <c r="A196" s="84" t="s">
        <v>85</v>
      </c>
      <c r="B196" s="48" t="s">
        <v>43</v>
      </c>
      <c r="C196" s="48" t="s">
        <v>135</v>
      </c>
      <c r="D196" s="55" t="s">
        <v>45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14</v>
      </c>
      <c r="V196" s="11">
        <v>2</v>
      </c>
      <c r="W196" s="11" t="s">
        <v>14</v>
      </c>
      <c r="X196" s="11">
        <v>2</v>
      </c>
      <c r="Y196" s="11" t="s">
        <v>14</v>
      </c>
      <c r="Z196" s="11">
        <v>2</v>
      </c>
      <c r="AA196" s="11" t="s">
        <v>18</v>
      </c>
      <c r="AB196" s="11">
        <v>2</v>
      </c>
      <c r="AC196" s="11" t="s">
        <v>18</v>
      </c>
      <c r="AD196" s="11">
        <v>2</v>
      </c>
      <c r="AE196" s="11" t="s">
        <v>18</v>
      </c>
      <c r="AF196" s="11">
        <v>2</v>
      </c>
      <c r="AG196" s="11"/>
      <c r="AH196" s="11"/>
      <c r="AI196" s="11" t="s">
        <v>14</v>
      </c>
      <c r="AJ196" s="11">
        <v>2</v>
      </c>
      <c r="AK196" s="11" t="s">
        <v>14</v>
      </c>
      <c r="AL196" s="11">
        <v>2</v>
      </c>
      <c r="AM196" s="11" t="s">
        <v>14</v>
      </c>
      <c r="AN196" s="11">
        <v>2</v>
      </c>
      <c r="AO196" s="11" t="s">
        <v>14</v>
      </c>
      <c r="AP196" s="11">
        <v>2</v>
      </c>
      <c r="AQ196" s="11" t="s">
        <v>14</v>
      </c>
      <c r="AR196" s="11">
        <v>2</v>
      </c>
      <c r="AS196" s="11" t="s">
        <v>14</v>
      </c>
      <c r="AT196" s="11">
        <v>2</v>
      </c>
      <c r="AU196" s="11" t="s">
        <v>16</v>
      </c>
      <c r="AV196" s="11">
        <v>2</v>
      </c>
      <c r="AW196" s="11" t="s">
        <v>14</v>
      </c>
      <c r="AX196" s="11">
        <v>2</v>
      </c>
      <c r="AY196" s="11" t="s">
        <v>14</v>
      </c>
      <c r="AZ196" s="11">
        <v>2</v>
      </c>
      <c r="BA196" s="11" t="s">
        <v>14</v>
      </c>
      <c r="BB196" s="11">
        <v>2</v>
      </c>
      <c r="BC196" s="11" t="s">
        <v>14</v>
      </c>
      <c r="BD196" s="11">
        <v>2</v>
      </c>
      <c r="BE196" s="11" t="s">
        <v>14</v>
      </c>
      <c r="BF196" s="11">
        <v>2</v>
      </c>
      <c r="BG196" s="11" t="s">
        <v>14</v>
      </c>
      <c r="BH196" s="11">
        <v>2</v>
      </c>
      <c r="BI196" s="11"/>
      <c r="BJ196" s="11"/>
      <c r="BK196" s="11" t="s">
        <v>14</v>
      </c>
      <c r="BL196" s="11">
        <v>2</v>
      </c>
      <c r="BM196" s="11" t="s">
        <v>14</v>
      </c>
      <c r="BN196" s="34">
        <v>2</v>
      </c>
      <c r="BP196" s="45"/>
      <c r="BQ196" s="45"/>
      <c r="BR196" s="46"/>
      <c r="BS196" s="46"/>
      <c r="BT196" s="46"/>
      <c r="BU196" s="46"/>
      <c r="BV196" s="46"/>
      <c r="BW196" s="46"/>
    </row>
    <row r="197" spans="1:75" ht="17.25" customHeight="1" x14ac:dyDescent="0.15">
      <c r="A197" s="85"/>
      <c r="B197" s="49"/>
      <c r="C197" s="49"/>
      <c r="D197" s="56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14</v>
      </c>
      <c r="V197" s="12">
        <v>2</v>
      </c>
      <c r="W197" s="12" t="s">
        <v>14</v>
      </c>
      <c r="X197" s="12">
        <v>2</v>
      </c>
      <c r="Y197" s="12" t="s">
        <v>14</v>
      </c>
      <c r="Z197" s="12">
        <v>2</v>
      </c>
      <c r="AA197" s="12" t="s">
        <v>18</v>
      </c>
      <c r="AB197" s="12">
        <v>2</v>
      </c>
      <c r="AC197" s="12" t="s">
        <v>18</v>
      </c>
      <c r="AD197" s="12">
        <v>2</v>
      </c>
      <c r="AE197" s="12" t="s">
        <v>18</v>
      </c>
      <c r="AF197" s="12">
        <v>2</v>
      </c>
      <c r="AG197" s="12"/>
      <c r="AH197" s="12"/>
      <c r="AI197" s="12" t="s">
        <v>14</v>
      </c>
      <c r="AJ197" s="12">
        <v>2</v>
      </c>
      <c r="AK197" s="12" t="s">
        <v>14</v>
      </c>
      <c r="AL197" s="12">
        <v>2</v>
      </c>
      <c r="AM197" s="12" t="s">
        <v>14</v>
      </c>
      <c r="AN197" s="12">
        <v>2</v>
      </c>
      <c r="AO197" s="12" t="s">
        <v>14</v>
      </c>
      <c r="AP197" s="12">
        <v>2</v>
      </c>
      <c r="AQ197" s="12" t="s">
        <v>14</v>
      </c>
      <c r="AR197" s="12">
        <v>2</v>
      </c>
      <c r="AS197" s="12" t="s">
        <v>14</v>
      </c>
      <c r="AT197" s="12">
        <v>2</v>
      </c>
      <c r="AU197" s="12" t="s">
        <v>16</v>
      </c>
      <c r="AV197" s="12">
        <v>2</v>
      </c>
      <c r="AW197" s="12" t="s">
        <v>14</v>
      </c>
      <c r="AX197" s="12">
        <v>2</v>
      </c>
      <c r="AY197" s="12" t="s">
        <v>14</v>
      </c>
      <c r="AZ197" s="12">
        <v>2</v>
      </c>
      <c r="BA197" s="12" t="s">
        <v>14</v>
      </c>
      <c r="BB197" s="12">
        <v>2</v>
      </c>
      <c r="BC197" s="12" t="s">
        <v>14</v>
      </c>
      <c r="BD197" s="12">
        <v>2</v>
      </c>
      <c r="BE197" s="12" t="s">
        <v>14</v>
      </c>
      <c r="BF197" s="12">
        <v>2</v>
      </c>
      <c r="BG197" s="12" t="s">
        <v>14</v>
      </c>
      <c r="BH197" s="12">
        <v>2</v>
      </c>
      <c r="BI197" s="12"/>
      <c r="BJ197" s="12"/>
      <c r="BK197" s="12" t="s">
        <v>14</v>
      </c>
      <c r="BL197" s="12">
        <v>2</v>
      </c>
      <c r="BM197" s="12" t="s">
        <v>14</v>
      </c>
      <c r="BN197" s="35">
        <v>2</v>
      </c>
      <c r="BP197" s="45"/>
      <c r="BQ197" s="45"/>
      <c r="BR197" s="46"/>
      <c r="BS197" s="46"/>
      <c r="BT197" s="46"/>
      <c r="BU197" s="46"/>
      <c r="BV197" s="46"/>
      <c r="BW197" s="46"/>
    </row>
    <row r="198" spans="1:75" ht="17.25" customHeight="1" x14ac:dyDescent="0.15">
      <c r="A198" s="85"/>
      <c r="B198" s="49"/>
      <c r="C198" s="49"/>
      <c r="D198" s="57" t="s">
        <v>47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 t="s">
        <v>14</v>
      </c>
      <c r="V198" s="13">
        <v>2</v>
      </c>
      <c r="W198" s="13" t="s">
        <v>14</v>
      </c>
      <c r="X198" s="13">
        <v>2</v>
      </c>
      <c r="Y198" s="13" t="s">
        <v>14</v>
      </c>
      <c r="Z198" s="13">
        <v>2</v>
      </c>
      <c r="AA198" s="13" t="s">
        <v>18</v>
      </c>
      <c r="AB198" s="13">
        <v>2</v>
      </c>
      <c r="AC198" s="13" t="s">
        <v>18</v>
      </c>
      <c r="AD198" s="13">
        <v>2</v>
      </c>
      <c r="AE198" s="13" t="s">
        <v>18</v>
      </c>
      <c r="AF198" s="13">
        <v>2</v>
      </c>
      <c r="AG198" s="13"/>
      <c r="AH198" s="13"/>
      <c r="AI198" s="13" t="s">
        <v>14</v>
      </c>
      <c r="AJ198" s="13">
        <v>2</v>
      </c>
      <c r="AK198" s="13" t="s">
        <v>14</v>
      </c>
      <c r="AL198" s="13">
        <v>2</v>
      </c>
      <c r="AM198" s="13" t="s">
        <v>14</v>
      </c>
      <c r="AN198" s="13">
        <v>2</v>
      </c>
      <c r="AO198" s="13" t="s">
        <v>14</v>
      </c>
      <c r="AP198" s="13">
        <v>2</v>
      </c>
      <c r="AQ198" s="13" t="s">
        <v>14</v>
      </c>
      <c r="AR198" s="13">
        <v>2</v>
      </c>
      <c r="AS198" s="13" t="s">
        <v>14</v>
      </c>
      <c r="AT198" s="13">
        <v>2</v>
      </c>
      <c r="AU198" s="13" t="s">
        <v>16</v>
      </c>
      <c r="AV198" s="13">
        <v>2</v>
      </c>
      <c r="AW198" s="13" t="s">
        <v>14</v>
      </c>
      <c r="AX198" s="13">
        <v>2</v>
      </c>
      <c r="AY198" s="13" t="s">
        <v>14</v>
      </c>
      <c r="AZ198" s="13">
        <v>2</v>
      </c>
      <c r="BA198" s="13" t="s">
        <v>14</v>
      </c>
      <c r="BB198" s="13">
        <v>2</v>
      </c>
      <c r="BC198" s="13" t="s">
        <v>14</v>
      </c>
      <c r="BD198" s="13">
        <v>2</v>
      </c>
      <c r="BE198" s="13" t="s">
        <v>14</v>
      </c>
      <c r="BF198" s="13">
        <v>2</v>
      </c>
      <c r="BG198" s="13" t="s">
        <v>14</v>
      </c>
      <c r="BH198" s="13">
        <v>2</v>
      </c>
      <c r="BI198" s="13"/>
      <c r="BJ198" s="13"/>
      <c r="BK198" s="13" t="s">
        <v>14</v>
      </c>
      <c r="BL198" s="13">
        <v>2</v>
      </c>
      <c r="BM198" s="13" t="s">
        <v>14</v>
      </c>
      <c r="BN198" s="36">
        <v>2</v>
      </c>
      <c r="BP198" s="45"/>
      <c r="BQ198" s="45"/>
      <c r="BR198" s="46"/>
      <c r="BS198" s="46"/>
      <c r="BT198" s="46"/>
      <c r="BU198" s="46"/>
      <c r="BV198" s="46"/>
      <c r="BW198" s="46"/>
    </row>
    <row r="199" spans="1:75" ht="17.25" customHeight="1" x14ac:dyDescent="0.15">
      <c r="A199" s="85"/>
      <c r="B199" s="49"/>
      <c r="C199" s="49"/>
      <c r="D199" s="56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 t="s">
        <v>14</v>
      </c>
      <c r="V199" s="12">
        <v>2</v>
      </c>
      <c r="W199" s="12" t="s">
        <v>14</v>
      </c>
      <c r="X199" s="12">
        <v>2</v>
      </c>
      <c r="Y199" s="12" t="s">
        <v>14</v>
      </c>
      <c r="Z199" s="12">
        <v>2</v>
      </c>
      <c r="AA199" s="12" t="s">
        <v>18</v>
      </c>
      <c r="AB199" s="12">
        <v>2</v>
      </c>
      <c r="AC199" s="12" t="s">
        <v>18</v>
      </c>
      <c r="AD199" s="12">
        <v>2</v>
      </c>
      <c r="AE199" s="12" t="s">
        <v>18</v>
      </c>
      <c r="AF199" s="12">
        <v>2</v>
      </c>
      <c r="AG199" s="12"/>
      <c r="AH199" s="12"/>
      <c r="AI199" s="12" t="s">
        <v>14</v>
      </c>
      <c r="AJ199" s="12">
        <v>2</v>
      </c>
      <c r="AK199" s="12" t="s">
        <v>14</v>
      </c>
      <c r="AL199" s="12">
        <v>2</v>
      </c>
      <c r="AM199" s="12" t="s">
        <v>14</v>
      </c>
      <c r="AN199" s="12">
        <v>2</v>
      </c>
      <c r="AO199" s="12" t="s">
        <v>14</v>
      </c>
      <c r="AP199" s="12">
        <v>2</v>
      </c>
      <c r="AQ199" s="12" t="s">
        <v>14</v>
      </c>
      <c r="AR199" s="12">
        <v>2</v>
      </c>
      <c r="AS199" s="12" t="s">
        <v>14</v>
      </c>
      <c r="AT199" s="12">
        <v>2</v>
      </c>
      <c r="AU199" s="12" t="s">
        <v>16</v>
      </c>
      <c r="AV199" s="12">
        <v>2</v>
      </c>
      <c r="AW199" s="12" t="s">
        <v>14</v>
      </c>
      <c r="AX199" s="12">
        <v>2</v>
      </c>
      <c r="AY199" s="12" t="s">
        <v>14</v>
      </c>
      <c r="AZ199" s="12">
        <v>2</v>
      </c>
      <c r="BA199" s="12" t="s">
        <v>14</v>
      </c>
      <c r="BB199" s="12">
        <v>2</v>
      </c>
      <c r="BC199" s="12" t="s">
        <v>14</v>
      </c>
      <c r="BD199" s="12">
        <v>2</v>
      </c>
      <c r="BE199" s="12" t="s">
        <v>14</v>
      </c>
      <c r="BF199" s="12">
        <v>2</v>
      </c>
      <c r="BG199" s="12" t="s">
        <v>14</v>
      </c>
      <c r="BH199" s="12">
        <v>2</v>
      </c>
      <c r="BI199" s="12"/>
      <c r="BJ199" s="12"/>
      <c r="BK199" s="12" t="s">
        <v>14</v>
      </c>
      <c r="BL199" s="12">
        <v>2</v>
      </c>
      <c r="BM199" s="12" t="s">
        <v>14</v>
      </c>
      <c r="BN199" s="35">
        <v>2</v>
      </c>
      <c r="BP199" s="45"/>
      <c r="BQ199" s="45"/>
      <c r="BR199" s="46"/>
      <c r="BS199" s="46"/>
      <c r="BT199" s="46"/>
      <c r="BU199" s="46"/>
      <c r="BV199" s="46"/>
      <c r="BW199" s="46"/>
    </row>
    <row r="200" spans="1:75" ht="17.25" customHeight="1" x14ac:dyDescent="0.15">
      <c r="A200" s="85"/>
      <c r="B200" s="49"/>
      <c r="C200" s="49"/>
      <c r="D200" s="58" t="s">
        <v>49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 t="s">
        <v>15</v>
      </c>
      <c r="V200" s="14"/>
      <c r="W200" s="14" t="s">
        <v>15</v>
      </c>
      <c r="X200" s="14"/>
      <c r="Y200" s="14" t="s">
        <v>15</v>
      </c>
      <c r="Z200" s="14"/>
      <c r="AA200" s="14" t="s">
        <v>15</v>
      </c>
      <c r="AB200" s="14"/>
      <c r="AC200" s="14" t="s">
        <v>15</v>
      </c>
      <c r="AD200" s="14"/>
      <c r="AE200" s="14" t="s">
        <v>15</v>
      </c>
      <c r="AF200" s="14"/>
      <c r="AG200" s="14"/>
      <c r="AH200" s="14"/>
      <c r="AI200" s="14" t="s">
        <v>15</v>
      </c>
      <c r="AJ200" s="14"/>
      <c r="AK200" s="14" t="s">
        <v>15</v>
      </c>
      <c r="AL200" s="14">
        <v>4</v>
      </c>
      <c r="AM200" s="14" t="s">
        <v>15</v>
      </c>
      <c r="AN200" s="14"/>
      <c r="AO200" s="14" t="s">
        <v>15</v>
      </c>
      <c r="AP200" s="14">
        <v>3</v>
      </c>
      <c r="AQ200" s="14" t="s">
        <v>15</v>
      </c>
      <c r="AR200" s="14"/>
      <c r="AS200" s="14" t="s">
        <v>15</v>
      </c>
      <c r="AT200" s="14">
        <v>3</v>
      </c>
      <c r="AU200" s="14"/>
      <c r="AV200" s="14"/>
      <c r="AW200" s="14" t="s">
        <v>15</v>
      </c>
      <c r="AX200" s="14"/>
      <c r="AY200" s="14" t="s">
        <v>15</v>
      </c>
      <c r="AZ200" s="14"/>
      <c r="BA200" s="14" t="s">
        <v>15</v>
      </c>
      <c r="BB200" s="14"/>
      <c r="BC200" s="14" t="s">
        <v>15</v>
      </c>
      <c r="BD200" s="14"/>
      <c r="BE200" s="14" t="s">
        <v>15</v>
      </c>
      <c r="BF200" s="14">
        <v>3</v>
      </c>
      <c r="BG200" s="14" t="s">
        <v>15</v>
      </c>
      <c r="BH200" s="14"/>
      <c r="BI200" s="14"/>
      <c r="BJ200" s="14"/>
      <c r="BK200" s="14" t="s">
        <v>15</v>
      </c>
      <c r="BL200" s="14"/>
      <c r="BM200" s="14" t="s">
        <v>15</v>
      </c>
      <c r="BN200" s="37"/>
      <c r="BP200" s="45"/>
      <c r="BQ200" s="45"/>
      <c r="BR200" s="46"/>
      <c r="BS200" s="46"/>
      <c r="BT200" s="46"/>
      <c r="BU200" s="46"/>
      <c r="BV200" s="46"/>
      <c r="BW200" s="46"/>
    </row>
    <row r="201" spans="1:75" ht="17.25" customHeight="1" thickBot="1" x14ac:dyDescent="0.2">
      <c r="A201" s="86"/>
      <c r="B201" s="50"/>
      <c r="C201" s="50"/>
      <c r="D201" s="59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38"/>
      <c r="BP201" s="45"/>
      <c r="BQ201" s="45"/>
      <c r="BR201" s="46"/>
      <c r="BS201" s="46"/>
      <c r="BT201" s="46"/>
      <c r="BU201" s="46"/>
      <c r="BV201" s="46"/>
      <c r="BW201" s="46"/>
    </row>
    <row r="202" spans="1:75" ht="17.25" customHeight="1" x14ac:dyDescent="0.15">
      <c r="A202" s="84" t="s">
        <v>87</v>
      </c>
      <c r="B202" s="48" t="s">
        <v>107</v>
      </c>
      <c r="C202" s="48" t="s">
        <v>101</v>
      </c>
      <c r="D202" s="55" t="s">
        <v>45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17</v>
      </c>
      <c r="V202" s="11">
        <v>2</v>
      </c>
      <c r="W202" s="11" t="s">
        <v>17</v>
      </c>
      <c r="X202" s="11">
        <v>2</v>
      </c>
      <c r="Y202" s="11" t="s">
        <v>17</v>
      </c>
      <c r="Z202" s="11">
        <v>2</v>
      </c>
      <c r="AA202" s="11" t="s">
        <v>17</v>
      </c>
      <c r="AB202" s="11">
        <v>2</v>
      </c>
      <c r="AC202" s="11" t="s">
        <v>17</v>
      </c>
      <c r="AD202" s="11">
        <v>2</v>
      </c>
      <c r="AE202" s="11" t="s">
        <v>17</v>
      </c>
      <c r="AF202" s="11">
        <v>2</v>
      </c>
      <c r="AG202" s="11"/>
      <c r="AH202" s="11"/>
      <c r="AI202" s="11" t="s">
        <v>14</v>
      </c>
      <c r="AJ202" s="11">
        <v>2</v>
      </c>
      <c r="AK202" s="11" t="s">
        <v>14</v>
      </c>
      <c r="AL202" s="11">
        <v>2</v>
      </c>
      <c r="AM202" s="11" t="s">
        <v>14</v>
      </c>
      <c r="AN202" s="11">
        <v>2</v>
      </c>
      <c r="AO202" s="11" t="s">
        <v>14</v>
      </c>
      <c r="AP202" s="11">
        <v>2</v>
      </c>
      <c r="AQ202" s="11" t="s">
        <v>14</v>
      </c>
      <c r="AR202" s="11">
        <v>2</v>
      </c>
      <c r="AS202" s="11" t="s">
        <v>14</v>
      </c>
      <c r="AT202" s="11">
        <v>2</v>
      </c>
      <c r="AU202" s="11" t="s">
        <v>16</v>
      </c>
      <c r="AV202" s="11">
        <v>2</v>
      </c>
      <c r="AW202" s="11" t="s">
        <v>14</v>
      </c>
      <c r="AX202" s="11">
        <v>2</v>
      </c>
      <c r="AY202" s="11" t="s">
        <v>14</v>
      </c>
      <c r="AZ202" s="11">
        <v>2</v>
      </c>
      <c r="BA202" s="11" t="s">
        <v>14</v>
      </c>
      <c r="BB202" s="11">
        <v>2</v>
      </c>
      <c r="BC202" s="11" t="s">
        <v>14</v>
      </c>
      <c r="BD202" s="11">
        <v>2</v>
      </c>
      <c r="BE202" s="11" t="s">
        <v>14</v>
      </c>
      <c r="BF202" s="11">
        <v>2</v>
      </c>
      <c r="BG202" s="11" t="s">
        <v>14</v>
      </c>
      <c r="BH202" s="11">
        <v>2</v>
      </c>
      <c r="BI202" s="11" t="s">
        <v>16</v>
      </c>
      <c r="BJ202" s="11">
        <v>2</v>
      </c>
      <c r="BK202" s="11" t="s">
        <v>14</v>
      </c>
      <c r="BL202" s="11">
        <v>2</v>
      </c>
      <c r="BM202" s="11" t="s">
        <v>14</v>
      </c>
      <c r="BN202" s="34">
        <v>2</v>
      </c>
      <c r="BP202" s="45"/>
      <c r="BQ202" s="45"/>
      <c r="BR202" s="46"/>
      <c r="BS202" s="46"/>
      <c r="BT202" s="46"/>
      <c r="BU202" s="46"/>
      <c r="BV202" s="46"/>
      <c r="BW202" s="46"/>
    </row>
    <row r="203" spans="1:75" ht="17.25" customHeight="1" x14ac:dyDescent="0.15">
      <c r="A203" s="85"/>
      <c r="B203" s="49"/>
      <c r="C203" s="49"/>
      <c r="D203" s="56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 t="s">
        <v>17</v>
      </c>
      <c r="V203" s="12">
        <v>2</v>
      </c>
      <c r="W203" s="12" t="s">
        <v>17</v>
      </c>
      <c r="X203" s="12">
        <v>2</v>
      </c>
      <c r="Y203" s="12" t="s">
        <v>17</v>
      </c>
      <c r="Z203" s="12">
        <v>2</v>
      </c>
      <c r="AA203" s="12" t="s">
        <v>17</v>
      </c>
      <c r="AB203" s="12">
        <v>2</v>
      </c>
      <c r="AC203" s="12" t="s">
        <v>17</v>
      </c>
      <c r="AD203" s="12">
        <v>2</v>
      </c>
      <c r="AE203" s="12" t="s">
        <v>17</v>
      </c>
      <c r="AF203" s="12">
        <v>2</v>
      </c>
      <c r="AG203" s="12"/>
      <c r="AH203" s="12"/>
      <c r="AI203" s="12" t="s">
        <v>14</v>
      </c>
      <c r="AJ203" s="12">
        <v>2</v>
      </c>
      <c r="AK203" s="12" t="s">
        <v>14</v>
      </c>
      <c r="AL203" s="12">
        <v>2</v>
      </c>
      <c r="AM203" s="12" t="s">
        <v>14</v>
      </c>
      <c r="AN203" s="12">
        <v>2</v>
      </c>
      <c r="AO203" s="12" t="s">
        <v>14</v>
      </c>
      <c r="AP203" s="12">
        <v>2</v>
      </c>
      <c r="AQ203" s="12" t="s">
        <v>14</v>
      </c>
      <c r="AR203" s="12">
        <v>2</v>
      </c>
      <c r="AS203" s="12" t="s">
        <v>14</v>
      </c>
      <c r="AT203" s="12">
        <v>2</v>
      </c>
      <c r="AU203" s="12" t="s">
        <v>16</v>
      </c>
      <c r="AV203" s="12">
        <v>2</v>
      </c>
      <c r="AW203" s="12" t="s">
        <v>14</v>
      </c>
      <c r="AX203" s="12">
        <v>2</v>
      </c>
      <c r="AY203" s="12" t="s">
        <v>14</v>
      </c>
      <c r="AZ203" s="12">
        <v>2</v>
      </c>
      <c r="BA203" s="12" t="s">
        <v>14</v>
      </c>
      <c r="BB203" s="12">
        <v>2</v>
      </c>
      <c r="BC203" s="12" t="s">
        <v>14</v>
      </c>
      <c r="BD203" s="12">
        <v>2</v>
      </c>
      <c r="BE203" s="12" t="s">
        <v>14</v>
      </c>
      <c r="BF203" s="12">
        <v>2</v>
      </c>
      <c r="BG203" s="12" t="s">
        <v>14</v>
      </c>
      <c r="BH203" s="12">
        <v>2</v>
      </c>
      <c r="BI203" s="12" t="s">
        <v>16</v>
      </c>
      <c r="BJ203" s="12">
        <v>2</v>
      </c>
      <c r="BK203" s="12" t="s">
        <v>14</v>
      </c>
      <c r="BL203" s="12">
        <v>2</v>
      </c>
      <c r="BM203" s="12" t="s">
        <v>14</v>
      </c>
      <c r="BN203" s="35">
        <v>2</v>
      </c>
      <c r="BP203" s="45"/>
      <c r="BQ203" s="45"/>
      <c r="BR203" s="46"/>
      <c r="BS203" s="46"/>
      <c r="BT203" s="46"/>
      <c r="BU203" s="46"/>
      <c r="BV203" s="46"/>
      <c r="BW203" s="46"/>
    </row>
    <row r="204" spans="1:75" ht="17.25" customHeight="1" x14ac:dyDescent="0.15">
      <c r="A204" s="85"/>
      <c r="B204" s="49"/>
      <c r="C204" s="49"/>
      <c r="D204" s="57" t="s">
        <v>47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 t="s">
        <v>17</v>
      </c>
      <c r="V204" s="13">
        <v>2</v>
      </c>
      <c r="W204" s="13" t="s">
        <v>17</v>
      </c>
      <c r="X204" s="13">
        <v>2</v>
      </c>
      <c r="Y204" s="13" t="s">
        <v>17</v>
      </c>
      <c r="Z204" s="13">
        <v>2</v>
      </c>
      <c r="AA204" s="13" t="s">
        <v>17</v>
      </c>
      <c r="AB204" s="13">
        <v>2</v>
      </c>
      <c r="AC204" s="13" t="s">
        <v>17</v>
      </c>
      <c r="AD204" s="13">
        <v>2</v>
      </c>
      <c r="AE204" s="13" t="s">
        <v>17</v>
      </c>
      <c r="AF204" s="13">
        <v>2</v>
      </c>
      <c r="AG204" s="13"/>
      <c r="AH204" s="13"/>
      <c r="AI204" s="13" t="s">
        <v>14</v>
      </c>
      <c r="AJ204" s="13">
        <v>2</v>
      </c>
      <c r="AK204" s="13" t="s">
        <v>14</v>
      </c>
      <c r="AL204" s="13">
        <v>2</v>
      </c>
      <c r="AM204" s="13" t="s">
        <v>14</v>
      </c>
      <c r="AN204" s="13">
        <v>2</v>
      </c>
      <c r="AO204" s="13" t="s">
        <v>14</v>
      </c>
      <c r="AP204" s="13">
        <v>2</v>
      </c>
      <c r="AQ204" s="13" t="s">
        <v>14</v>
      </c>
      <c r="AR204" s="13">
        <v>2</v>
      </c>
      <c r="AS204" s="13" t="s">
        <v>14</v>
      </c>
      <c r="AT204" s="13">
        <v>2</v>
      </c>
      <c r="AU204" s="13" t="s">
        <v>16</v>
      </c>
      <c r="AV204" s="13">
        <v>2</v>
      </c>
      <c r="AW204" s="13" t="s">
        <v>14</v>
      </c>
      <c r="AX204" s="13">
        <v>2</v>
      </c>
      <c r="AY204" s="13" t="s">
        <v>14</v>
      </c>
      <c r="AZ204" s="13">
        <v>2</v>
      </c>
      <c r="BA204" s="13" t="s">
        <v>14</v>
      </c>
      <c r="BB204" s="13">
        <v>2</v>
      </c>
      <c r="BC204" s="13" t="s">
        <v>14</v>
      </c>
      <c r="BD204" s="13">
        <v>2</v>
      </c>
      <c r="BE204" s="13" t="s">
        <v>14</v>
      </c>
      <c r="BF204" s="13">
        <v>2</v>
      </c>
      <c r="BG204" s="13" t="s">
        <v>14</v>
      </c>
      <c r="BH204" s="13">
        <v>2</v>
      </c>
      <c r="BI204" s="13"/>
      <c r="BJ204" s="13"/>
      <c r="BK204" s="13" t="s">
        <v>14</v>
      </c>
      <c r="BL204" s="13">
        <v>2</v>
      </c>
      <c r="BM204" s="13" t="s">
        <v>14</v>
      </c>
      <c r="BN204" s="36">
        <v>2</v>
      </c>
      <c r="BP204" s="45"/>
      <c r="BQ204" s="45"/>
      <c r="BR204" s="46"/>
      <c r="BS204" s="46"/>
      <c r="BT204" s="46"/>
      <c r="BU204" s="46"/>
      <c r="BV204" s="46"/>
      <c r="BW204" s="46"/>
    </row>
    <row r="205" spans="1:75" ht="17.25" customHeight="1" x14ac:dyDescent="0.15">
      <c r="A205" s="85"/>
      <c r="B205" s="49"/>
      <c r="C205" s="49"/>
      <c r="D205" s="56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17</v>
      </c>
      <c r="V205" s="12">
        <v>2</v>
      </c>
      <c r="W205" s="12" t="s">
        <v>17</v>
      </c>
      <c r="X205" s="12">
        <v>2</v>
      </c>
      <c r="Y205" s="12" t="s">
        <v>17</v>
      </c>
      <c r="Z205" s="12">
        <v>2</v>
      </c>
      <c r="AA205" s="12" t="s">
        <v>17</v>
      </c>
      <c r="AB205" s="12">
        <v>2</v>
      </c>
      <c r="AC205" s="12" t="s">
        <v>17</v>
      </c>
      <c r="AD205" s="12">
        <v>2</v>
      </c>
      <c r="AE205" s="12" t="s">
        <v>17</v>
      </c>
      <c r="AF205" s="12">
        <v>2</v>
      </c>
      <c r="AG205" s="12"/>
      <c r="AH205" s="12"/>
      <c r="AI205" s="12" t="s">
        <v>14</v>
      </c>
      <c r="AJ205" s="12">
        <v>2</v>
      </c>
      <c r="AK205" s="12" t="s">
        <v>14</v>
      </c>
      <c r="AL205" s="12">
        <v>2</v>
      </c>
      <c r="AM205" s="12" t="s">
        <v>14</v>
      </c>
      <c r="AN205" s="12">
        <v>2</v>
      </c>
      <c r="AO205" s="12" t="s">
        <v>14</v>
      </c>
      <c r="AP205" s="12">
        <v>2</v>
      </c>
      <c r="AQ205" s="12" t="s">
        <v>14</v>
      </c>
      <c r="AR205" s="12">
        <v>2</v>
      </c>
      <c r="AS205" s="12" t="s">
        <v>14</v>
      </c>
      <c r="AT205" s="12">
        <v>2</v>
      </c>
      <c r="AU205" s="12" t="s">
        <v>16</v>
      </c>
      <c r="AV205" s="12">
        <v>2</v>
      </c>
      <c r="AW205" s="12" t="s">
        <v>14</v>
      </c>
      <c r="AX205" s="12">
        <v>2</v>
      </c>
      <c r="AY205" s="12" t="s">
        <v>14</v>
      </c>
      <c r="AZ205" s="12">
        <v>2</v>
      </c>
      <c r="BA205" s="12" t="s">
        <v>14</v>
      </c>
      <c r="BB205" s="12">
        <v>2</v>
      </c>
      <c r="BC205" s="12" t="s">
        <v>14</v>
      </c>
      <c r="BD205" s="12">
        <v>2</v>
      </c>
      <c r="BE205" s="12" t="s">
        <v>14</v>
      </c>
      <c r="BF205" s="12">
        <v>2</v>
      </c>
      <c r="BG205" s="12" t="s">
        <v>14</v>
      </c>
      <c r="BH205" s="12">
        <v>2</v>
      </c>
      <c r="BI205" s="12"/>
      <c r="BJ205" s="12"/>
      <c r="BK205" s="12" t="s">
        <v>14</v>
      </c>
      <c r="BL205" s="12">
        <v>2</v>
      </c>
      <c r="BM205" s="12" t="s">
        <v>14</v>
      </c>
      <c r="BN205" s="35">
        <v>2</v>
      </c>
      <c r="BP205" s="45"/>
      <c r="BQ205" s="45"/>
      <c r="BR205" s="46"/>
      <c r="BS205" s="46"/>
      <c r="BT205" s="46"/>
      <c r="BU205" s="46"/>
      <c r="BV205" s="46"/>
      <c r="BW205" s="46"/>
    </row>
    <row r="206" spans="1:75" ht="17.25" customHeight="1" x14ac:dyDescent="0.15">
      <c r="A206" s="85"/>
      <c r="B206" s="49"/>
      <c r="C206" s="49"/>
      <c r="D206" s="58" t="s">
        <v>49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 t="s">
        <v>15</v>
      </c>
      <c r="V206" s="14"/>
      <c r="W206" s="14" t="s">
        <v>15</v>
      </c>
      <c r="X206" s="14"/>
      <c r="Y206" s="14" t="s">
        <v>15</v>
      </c>
      <c r="Z206" s="14"/>
      <c r="AA206" s="14" t="s">
        <v>15</v>
      </c>
      <c r="AB206" s="14"/>
      <c r="AC206" s="14" t="s">
        <v>15</v>
      </c>
      <c r="AD206" s="14"/>
      <c r="AE206" s="14" t="s">
        <v>15</v>
      </c>
      <c r="AF206" s="14"/>
      <c r="AG206" s="14"/>
      <c r="AH206" s="14"/>
      <c r="AI206" s="14" t="s">
        <v>15</v>
      </c>
      <c r="AJ206" s="14"/>
      <c r="AK206" s="14" t="s">
        <v>15</v>
      </c>
      <c r="AL206" s="14"/>
      <c r="AM206" s="14" t="s">
        <v>15</v>
      </c>
      <c r="AN206" s="14">
        <v>4</v>
      </c>
      <c r="AO206" s="14" t="s">
        <v>15</v>
      </c>
      <c r="AP206" s="14">
        <v>3</v>
      </c>
      <c r="AQ206" s="14" t="s">
        <v>15</v>
      </c>
      <c r="AR206" s="14"/>
      <c r="AS206" s="14" t="s">
        <v>15</v>
      </c>
      <c r="AT206" s="14"/>
      <c r="AU206" s="14"/>
      <c r="AV206" s="14"/>
      <c r="AW206" s="14" t="s">
        <v>15</v>
      </c>
      <c r="AX206" s="14">
        <v>4</v>
      </c>
      <c r="AY206" s="14" t="s">
        <v>15</v>
      </c>
      <c r="AZ206" s="14">
        <v>4</v>
      </c>
      <c r="BA206" s="14" t="s">
        <v>15</v>
      </c>
      <c r="BB206" s="14">
        <v>5</v>
      </c>
      <c r="BC206" s="14" t="s">
        <v>15</v>
      </c>
      <c r="BD206" s="14">
        <v>4</v>
      </c>
      <c r="BE206" s="14" t="s">
        <v>15</v>
      </c>
      <c r="BF206" s="14">
        <v>4</v>
      </c>
      <c r="BG206" s="14" t="s">
        <v>15</v>
      </c>
      <c r="BH206" s="14">
        <v>5</v>
      </c>
      <c r="BI206" s="14"/>
      <c r="BJ206" s="14"/>
      <c r="BK206" s="14" t="s">
        <v>15</v>
      </c>
      <c r="BL206" s="14">
        <v>4</v>
      </c>
      <c r="BM206" s="14" t="s">
        <v>15</v>
      </c>
      <c r="BN206" s="37">
        <v>3</v>
      </c>
    </row>
    <row r="207" spans="1:75" ht="17.25" customHeight="1" thickBot="1" x14ac:dyDescent="0.2">
      <c r="A207" s="86"/>
      <c r="B207" s="50"/>
      <c r="C207" s="50"/>
      <c r="D207" s="59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38"/>
    </row>
    <row r="208" spans="1:75" ht="17.25" customHeight="1" x14ac:dyDescent="0.15">
      <c r="A208" s="84" t="s">
        <v>87</v>
      </c>
      <c r="B208" s="75" t="s">
        <v>82</v>
      </c>
      <c r="C208" s="65" t="s">
        <v>102</v>
      </c>
      <c r="D208" s="55" t="s">
        <v>45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17</v>
      </c>
      <c r="V208" s="11">
        <v>2</v>
      </c>
      <c r="W208" s="11" t="s">
        <v>17</v>
      </c>
      <c r="X208" s="11">
        <v>2</v>
      </c>
      <c r="Y208" s="11" t="s">
        <v>17</v>
      </c>
      <c r="Z208" s="11">
        <v>2</v>
      </c>
      <c r="AA208" s="11" t="s">
        <v>17</v>
      </c>
      <c r="AB208" s="11">
        <v>2</v>
      </c>
      <c r="AC208" s="11" t="s">
        <v>17</v>
      </c>
      <c r="AD208" s="11">
        <v>2</v>
      </c>
      <c r="AE208" s="11" t="s">
        <v>17</v>
      </c>
      <c r="AF208" s="11">
        <v>2</v>
      </c>
      <c r="AG208" s="11"/>
      <c r="AH208" s="11"/>
      <c r="AI208" s="11" t="s">
        <v>14</v>
      </c>
      <c r="AJ208" s="11">
        <v>2</v>
      </c>
      <c r="AK208" s="11" t="s">
        <v>14</v>
      </c>
      <c r="AL208" s="11">
        <v>2</v>
      </c>
      <c r="AM208" s="11" t="s">
        <v>14</v>
      </c>
      <c r="AN208" s="11">
        <v>2</v>
      </c>
      <c r="AO208" s="11" t="s">
        <v>14</v>
      </c>
      <c r="AP208" s="11">
        <v>2</v>
      </c>
      <c r="AQ208" s="11" t="s">
        <v>14</v>
      </c>
      <c r="AR208" s="11">
        <v>2</v>
      </c>
      <c r="AS208" s="11" t="s">
        <v>14</v>
      </c>
      <c r="AT208" s="11">
        <v>2</v>
      </c>
      <c r="AU208" s="11" t="s">
        <v>16</v>
      </c>
      <c r="AV208" s="11">
        <v>2</v>
      </c>
      <c r="AW208" s="11" t="s">
        <v>14</v>
      </c>
      <c r="AX208" s="11">
        <v>2</v>
      </c>
      <c r="AY208" s="11" t="s">
        <v>14</v>
      </c>
      <c r="AZ208" s="11">
        <v>2</v>
      </c>
      <c r="BA208" s="11" t="s">
        <v>14</v>
      </c>
      <c r="BB208" s="11">
        <v>2</v>
      </c>
      <c r="BC208" s="11" t="s">
        <v>14</v>
      </c>
      <c r="BD208" s="11">
        <v>2</v>
      </c>
      <c r="BE208" s="11" t="s">
        <v>14</v>
      </c>
      <c r="BF208" s="11">
        <v>2</v>
      </c>
      <c r="BG208" s="11" t="s">
        <v>14</v>
      </c>
      <c r="BH208" s="11">
        <v>2</v>
      </c>
      <c r="BI208" s="11" t="s">
        <v>16</v>
      </c>
      <c r="BJ208" s="11">
        <v>2</v>
      </c>
      <c r="BK208" s="11" t="s">
        <v>14</v>
      </c>
      <c r="BL208" s="11">
        <v>2</v>
      </c>
      <c r="BM208" s="11" t="s">
        <v>14</v>
      </c>
      <c r="BN208" s="34">
        <v>2</v>
      </c>
    </row>
    <row r="209" spans="1:66" ht="17.25" customHeight="1" x14ac:dyDescent="0.15">
      <c r="A209" s="85"/>
      <c r="B209" s="76"/>
      <c r="C209" s="66"/>
      <c r="D209" s="56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 t="s">
        <v>17</v>
      </c>
      <c r="V209" s="12">
        <v>2</v>
      </c>
      <c r="W209" s="12" t="s">
        <v>17</v>
      </c>
      <c r="X209" s="12">
        <v>2</v>
      </c>
      <c r="Y209" s="12" t="s">
        <v>17</v>
      </c>
      <c r="Z209" s="12">
        <v>2</v>
      </c>
      <c r="AA209" s="12" t="s">
        <v>17</v>
      </c>
      <c r="AB209" s="12">
        <v>2</v>
      </c>
      <c r="AC209" s="12" t="s">
        <v>17</v>
      </c>
      <c r="AD209" s="12">
        <v>2</v>
      </c>
      <c r="AE209" s="12" t="s">
        <v>17</v>
      </c>
      <c r="AF209" s="12">
        <v>2</v>
      </c>
      <c r="AG209" s="12"/>
      <c r="AH209" s="12"/>
      <c r="AI209" s="12" t="s">
        <v>14</v>
      </c>
      <c r="AJ209" s="12">
        <v>2</v>
      </c>
      <c r="AK209" s="12" t="s">
        <v>14</v>
      </c>
      <c r="AL209" s="12">
        <v>2</v>
      </c>
      <c r="AM209" s="12" t="s">
        <v>14</v>
      </c>
      <c r="AN209" s="12">
        <v>2</v>
      </c>
      <c r="AO209" s="12" t="s">
        <v>14</v>
      </c>
      <c r="AP209" s="12">
        <v>2</v>
      </c>
      <c r="AQ209" s="12" t="s">
        <v>14</v>
      </c>
      <c r="AR209" s="12">
        <v>2</v>
      </c>
      <c r="AS209" s="12" t="s">
        <v>14</v>
      </c>
      <c r="AT209" s="12">
        <v>2</v>
      </c>
      <c r="AU209" s="12" t="s">
        <v>16</v>
      </c>
      <c r="AV209" s="12">
        <v>2</v>
      </c>
      <c r="AW209" s="12" t="s">
        <v>14</v>
      </c>
      <c r="AX209" s="12">
        <v>2</v>
      </c>
      <c r="AY209" s="12" t="s">
        <v>14</v>
      </c>
      <c r="AZ209" s="12">
        <v>2</v>
      </c>
      <c r="BA209" s="12" t="s">
        <v>14</v>
      </c>
      <c r="BB209" s="12">
        <v>2</v>
      </c>
      <c r="BC209" s="12" t="s">
        <v>14</v>
      </c>
      <c r="BD209" s="12">
        <v>2</v>
      </c>
      <c r="BE209" s="12" t="s">
        <v>14</v>
      </c>
      <c r="BF209" s="12">
        <v>2</v>
      </c>
      <c r="BG209" s="12" t="s">
        <v>14</v>
      </c>
      <c r="BH209" s="12">
        <v>2</v>
      </c>
      <c r="BI209" s="12" t="s">
        <v>16</v>
      </c>
      <c r="BJ209" s="12">
        <v>2</v>
      </c>
      <c r="BK209" s="12" t="s">
        <v>14</v>
      </c>
      <c r="BL209" s="12">
        <v>2</v>
      </c>
      <c r="BM209" s="12" t="s">
        <v>14</v>
      </c>
      <c r="BN209" s="35">
        <v>2</v>
      </c>
    </row>
    <row r="210" spans="1:66" ht="17.25" customHeight="1" x14ac:dyDescent="0.15">
      <c r="A210" s="85"/>
      <c r="B210" s="76"/>
      <c r="C210" s="66"/>
      <c r="D210" s="57" t="s">
        <v>47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 t="s">
        <v>17</v>
      </c>
      <c r="V210" s="13">
        <v>2</v>
      </c>
      <c r="W210" s="13" t="s">
        <v>17</v>
      </c>
      <c r="X210" s="13">
        <v>2</v>
      </c>
      <c r="Y210" s="13" t="s">
        <v>17</v>
      </c>
      <c r="Z210" s="13">
        <v>2</v>
      </c>
      <c r="AA210" s="13" t="s">
        <v>17</v>
      </c>
      <c r="AB210" s="13">
        <v>2</v>
      </c>
      <c r="AC210" s="13" t="s">
        <v>17</v>
      </c>
      <c r="AD210" s="13">
        <v>2</v>
      </c>
      <c r="AE210" s="13" t="s">
        <v>17</v>
      </c>
      <c r="AF210" s="13">
        <v>2</v>
      </c>
      <c r="AG210" s="13"/>
      <c r="AH210" s="13"/>
      <c r="AI210" s="13" t="s">
        <v>14</v>
      </c>
      <c r="AJ210" s="13">
        <v>2</v>
      </c>
      <c r="AK210" s="13" t="s">
        <v>14</v>
      </c>
      <c r="AL210" s="13">
        <v>2</v>
      </c>
      <c r="AM210" s="13" t="s">
        <v>14</v>
      </c>
      <c r="AN210" s="13">
        <v>2</v>
      </c>
      <c r="AO210" s="13" t="s">
        <v>14</v>
      </c>
      <c r="AP210" s="13">
        <v>2</v>
      </c>
      <c r="AQ210" s="13" t="s">
        <v>14</v>
      </c>
      <c r="AR210" s="13">
        <v>2</v>
      </c>
      <c r="AS210" s="13" t="s">
        <v>14</v>
      </c>
      <c r="AT210" s="13">
        <v>2</v>
      </c>
      <c r="AU210" s="13" t="s">
        <v>16</v>
      </c>
      <c r="AV210" s="13">
        <v>2</v>
      </c>
      <c r="AW210" s="13" t="s">
        <v>14</v>
      </c>
      <c r="AX210" s="13">
        <v>2</v>
      </c>
      <c r="AY210" s="13" t="s">
        <v>14</v>
      </c>
      <c r="AZ210" s="13">
        <v>2</v>
      </c>
      <c r="BA210" s="13" t="s">
        <v>14</v>
      </c>
      <c r="BB210" s="13">
        <v>2</v>
      </c>
      <c r="BC210" s="13" t="s">
        <v>14</v>
      </c>
      <c r="BD210" s="13">
        <v>2</v>
      </c>
      <c r="BE210" s="13" t="s">
        <v>14</v>
      </c>
      <c r="BF210" s="13">
        <v>2</v>
      </c>
      <c r="BG210" s="13" t="s">
        <v>14</v>
      </c>
      <c r="BH210" s="13">
        <v>2</v>
      </c>
      <c r="BI210" s="13" t="s">
        <v>16</v>
      </c>
      <c r="BJ210" s="13">
        <v>2</v>
      </c>
      <c r="BK210" s="13" t="s">
        <v>14</v>
      </c>
      <c r="BL210" s="13">
        <v>2</v>
      </c>
      <c r="BM210" s="13" t="s">
        <v>14</v>
      </c>
      <c r="BN210" s="36">
        <v>2</v>
      </c>
    </row>
    <row r="211" spans="1:66" ht="17.25" customHeight="1" x14ac:dyDescent="0.15">
      <c r="A211" s="85"/>
      <c r="B211" s="76"/>
      <c r="C211" s="66"/>
      <c r="D211" s="56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 t="s">
        <v>17</v>
      </c>
      <c r="V211" s="12">
        <v>2</v>
      </c>
      <c r="W211" s="12" t="s">
        <v>17</v>
      </c>
      <c r="X211" s="12">
        <v>2</v>
      </c>
      <c r="Y211" s="12" t="s">
        <v>17</v>
      </c>
      <c r="Z211" s="12">
        <v>2</v>
      </c>
      <c r="AA211" s="12" t="s">
        <v>17</v>
      </c>
      <c r="AB211" s="12">
        <v>2</v>
      </c>
      <c r="AC211" s="12" t="s">
        <v>17</v>
      </c>
      <c r="AD211" s="12">
        <v>2</v>
      </c>
      <c r="AE211" s="12" t="s">
        <v>17</v>
      </c>
      <c r="AF211" s="12">
        <v>2</v>
      </c>
      <c r="AG211" s="12"/>
      <c r="AH211" s="12"/>
      <c r="AI211" s="12" t="s">
        <v>14</v>
      </c>
      <c r="AJ211" s="12">
        <v>2</v>
      </c>
      <c r="AK211" s="12" t="s">
        <v>14</v>
      </c>
      <c r="AL211" s="12">
        <v>2</v>
      </c>
      <c r="AM211" s="12" t="s">
        <v>14</v>
      </c>
      <c r="AN211" s="12">
        <v>2</v>
      </c>
      <c r="AO211" s="12" t="s">
        <v>14</v>
      </c>
      <c r="AP211" s="12">
        <v>2</v>
      </c>
      <c r="AQ211" s="12" t="s">
        <v>14</v>
      </c>
      <c r="AR211" s="12">
        <v>2</v>
      </c>
      <c r="AS211" s="12" t="s">
        <v>14</v>
      </c>
      <c r="AT211" s="12">
        <v>2</v>
      </c>
      <c r="AU211" s="12" t="s">
        <v>16</v>
      </c>
      <c r="AV211" s="12">
        <v>2</v>
      </c>
      <c r="AW211" s="12" t="s">
        <v>14</v>
      </c>
      <c r="AX211" s="12">
        <v>2</v>
      </c>
      <c r="AY211" s="12" t="s">
        <v>14</v>
      </c>
      <c r="AZ211" s="12">
        <v>2</v>
      </c>
      <c r="BA211" s="12" t="s">
        <v>14</v>
      </c>
      <c r="BB211" s="12">
        <v>2</v>
      </c>
      <c r="BC211" s="12" t="s">
        <v>14</v>
      </c>
      <c r="BD211" s="12">
        <v>2</v>
      </c>
      <c r="BE211" s="12" t="s">
        <v>14</v>
      </c>
      <c r="BF211" s="12">
        <v>2</v>
      </c>
      <c r="BG211" s="12" t="s">
        <v>14</v>
      </c>
      <c r="BH211" s="12">
        <v>2</v>
      </c>
      <c r="BI211" s="12" t="s">
        <v>16</v>
      </c>
      <c r="BJ211" s="12">
        <v>2</v>
      </c>
      <c r="BK211" s="12" t="s">
        <v>14</v>
      </c>
      <c r="BL211" s="12">
        <v>2</v>
      </c>
      <c r="BM211" s="12" t="s">
        <v>14</v>
      </c>
      <c r="BN211" s="35">
        <v>2</v>
      </c>
    </row>
    <row r="212" spans="1:66" ht="17.25" customHeight="1" x14ac:dyDescent="0.15">
      <c r="A212" s="85"/>
      <c r="B212" s="76"/>
      <c r="C212" s="66"/>
      <c r="D212" s="58" t="s">
        <v>49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 t="s">
        <v>15</v>
      </c>
      <c r="V212" s="14"/>
      <c r="W212" s="14" t="s">
        <v>15</v>
      </c>
      <c r="X212" s="14"/>
      <c r="Y212" s="14" t="s">
        <v>15</v>
      </c>
      <c r="Z212" s="14"/>
      <c r="AA212" s="14" t="s">
        <v>15</v>
      </c>
      <c r="AB212" s="14"/>
      <c r="AC212" s="14" t="s">
        <v>15</v>
      </c>
      <c r="AD212" s="14"/>
      <c r="AE212" s="14" t="s">
        <v>15</v>
      </c>
      <c r="AF212" s="14"/>
      <c r="AG212" s="14"/>
      <c r="AH212" s="14"/>
      <c r="AI212" s="14" t="s">
        <v>15</v>
      </c>
      <c r="AJ212" s="14"/>
      <c r="AK212" s="14" t="s">
        <v>15</v>
      </c>
      <c r="AL212" s="14"/>
      <c r="AM212" s="14" t="s">
        <v>15</v>
      </c>
      <c r="AN212" s="14">
        <v>3.5</v>
      </c>
      <c r="AO212" s="14" t="s">
        <v>15</v>
      </c>
      <c r="AP212" s="14">
        <v>2.5</v>
      </c>
      <c r="AQ212" s="14" t="s">
        <v>15</v>
      </c>
      <c r="AR212" s="14"/>
      <c r="AS212" s="14" t="s">
        <v>15</v>
      </c>
      <c r="AT212" s="14"/>
      <c r="AU212" s="14"/>
      <c r="AV212" s="14"/>
      <c r="AW212" s="14" t="s">
        <v>15</v>
      </c>
      <c r="AX212" s="14">
        <v>3.5</v>
      </c>
      <c r="AY212" s="14" t="s">
        <v>15</v>
      </c>
      <c r="AZ212" s="14">
        <v>3.5</v>
      </c>
      <c r="BA212" s="14" t="s">
        <v>15</v>
      </c>
      <c r="BB212" s="14">
        <v>4.5</v>
      </c>
      <c r="BC212" s="14" t="s">
        <v>15</v>
      </c>
      <c r="BD212" s="14">
        <v>3.5</v>
      </c>
      <c r="BE212" s="14" t="s">
        <v>15</v>
      </c>
      <c r="BF212" s="14">
        <v>3.5</v>
      </c>
      <c r="BG212" s="14" t="s">
        <v>15</v>
      </c>
      <c r="BH212" s="14"/>
      <c r="BI212" s="14"/>
      <c r="BJ212" s="14"/>
      <c r="BK212" s="14" t="s">
        <v>15</v>
      </c>
      <c r="BL212" s="14">
        <v>3.5</v>
      </c>
      <c r="BM212" s="14" t="s">
        <v>15</v>
      </c>
      <c r="BN212" s="37"/>
    </row>
    <row r="213" spans="1:66" ht="17.25" customHeight="1" thickBot="1" x14ac:dyDescent="0.2">
      <c r="A213" s="86"/>
      <c r="B213" s="77"/>
      <c r="C213" s="67"/>
      <c r="D213" s="59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38"/>
    </row>
    <row r="214" spans="1:66" ht="17.25" customHeight="1" x14ac:dyDescent="0.15">
      <c r="A214" s="84" t="s">
        <v>87</v>
      </c>
      <c r="B214" s="48" t="s">
        <v>107</v>
      </c>
      <c r="C214" s="68" t="s">
        <v>105</v>
      </c>
      <c r="D214" s="55" t="s">
        <v>45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34"/>
    </row>
    <row r="215" spans="1:66" ht="17.25" customHeight="1" x14ac:dyDescent="0.15">
      <c r="A215" s="85"/>
      <c r="B215" s="49"/>
      <c r="C215" s="69"/>
      <c r="D215" s="56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35"/>
    </row>
    <row r="216" spans="1:66" ht="17.25" customHeight="1" x14ac:dyDescent="0.15">
      <c r="A216" s="85"/>
      <c r="B216" s="49"/>
      <c r="C216" s="69"/>
      <c r="D216" s="57" t="s">
        <v>47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36"/>
    </row>
    <row r="217" spans="1:66" ht="17.25" customHeight="1" x14ac:dyDescent="0.15">
      <c r="A217" s="85"/>
      <c r="B217" s="49"/>
      <c r="C217" s="69"/>
      <c r="D217" s="56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35"/>
    </row>
    <row r="218" spans="1:66" ht="17.25" customHeight="1" x14ac:dyDescent="0.15">
      <c r="A218" s="85"/>
      <c r="B218" s="49"/>
      <c r="C218" s="69"/>
      <c r="D218" s="58" t="s">
        <v>49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37"/>
    </row>
    <row r="219" spans="1:66" ht="17.25" customHeight="1" thickBot="1" x14ac:dyDescent="0.2">
      <c r="A219" s="86"/>
      <c r="B219" s="50"/>
      <c r="C219" s="70"/>
      <c r="D219" s="59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38"/>
    </row>
    <row r="220" spans="1:66" ht="17.25" customHeight="1" x14ac:dyDescent="0.15">
      <c r="A220" s="84" t="s">
        <v>87</v>
      </c>
      <c r="B220" s="48" t="s">
        <v>107</v>
      </c>
      <c r="C220" s="68" t="s">
        <v>104</v>
      </c>
      <c r="D220" s="55" t="s">
        <v>45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34"/>
    </row>
    <row r="221" spans="1:66" ht="17.25" customHeight="1" x14ac:dyDescent="0.15">
      <c r="A221" s="85"/>
      <c r="B221" s="49"/>
      <c r="C221" s="69"/>
      <c r="D221" s="56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35"/>
    </row>
    <row r="222" spans="1:66" ht="17.25" customHeight="1" x14ac:dyDescent="0.15">
      <c r="A222" s="85"/>
      <c r="B222" s="49"/>
      <c r="C222" s="69"/>
      <c r="D222" s="57" t="s">
        <v>47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36"/>
    </row>
    <row r="223" spans="1:66" ht="17.25" customHeight="1" x14ac:dyDescent="0.15">
      <c r="A223" s="85"/>
      <c r="B223" s="49"/>
      <c r="C223" s="69"/>
      <c r="D223" s="56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35"/>
    </row>
    <row r="224" spans="1:66" ht="17.25" customHeight="1" x14ac:dyDescent="0.15">
      <c r="A224" s="85"/>
      <c r="B224" s="49"/>
      <c r="C224" s="69"/>
      <c r="D224" s="58" t="s">
        <v>49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37"/>
    </row>
    <row r="225" spans="1:66" ht="17.25" customHeight="1" thickBot="1" x14ac:dyDescent="0.2">
      <c r="A225" s="86"/>
      <c r="B225" s="50"/>
      <c r="C225" s="70"/>
      <c r="D225" s="59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38"/>
    </row>
    <row r="226" spans="1:66" ht="17.25" customHeight="1" x14ac:dyDescent="0.15">
      <c r="A226" s="84" t="s">
        <v>87</v>
      </c>
      <c r="B226" s="48" t="s">
        <v>107</v>
      </c>
      <c r="C226" s="48" t="s">
        <v>103</v>
      </c>
      <c r="D226" s="55" t="s">
        <v>45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18</v>
      </c>
      <c r="V226" s="11">
        <v>2</v>
      </c>
      <c r="W226" s="11" t="s">
        <v>18</v>
      </c>
      <c r="X226" s="11">
        <v>2</v>
      </c>
      <c r="Y226" s="11" t="s">
        <v>18</v>
      </c>
      <c r="Z226" s="11">
        <v>2</v>
      </c>
      <c r="AA226" s="11" t="s">
        <v>18</v>
      </c>
      <c r="AB226" s="11">
        <v>2</v>
      </c>
      <c r="AC226" s="11" t="s">
        <v>18</v>
      </c>
      <c r="AD226" s="11">
        <v>2</v>
      </c>
      <c r="AE226" s="11" t="s">
        <v>14</v>
      </c>
      <c r="AF226" s="11">
        <v>2</v>
      </c>
      <c r="AG226" s="11"/>
      <c r="AH226" s="11"/>
      <c r="AI226" s="11" t="s">
        <v>14</v>
      </c>
      <c r="AJ226" s="11">
        <v>2</v>
      </c>
      <c r="AK226" s="11" t="s">
        <v>14</v>
      </c>
      <c r="AL226" s="11">
        <v>2</v>
      </c>
      <c r="AM226" s="11" t="s">
        <v>14</v>
      </c>
      <c r="AN226" s="11">
        <v>2</v>
      </c>
      <c r="AO226" s="11" t="s">
        <v>14</v>
      </c>
      <c r="AP226" s="11">
        <v>2</v>
      </c>
      <c r="AQ226" s="11" t="s">
        <v>14</v>
      </c>
      <c r="AR226" s="11">
        <v>2</v>
      </c>
      <c r="AS226" s="11" t="s">
        <v>14</v>
      </c>
      <c r="AT226" s="11">
        <v>2</v>
      </c>
      <c r="AU226" s="11" t="s">
        <v>16</v>
      </c>
      <c r="AV226" s="11">
        <v>2</v>
      </c>
      <c r="AW226" s="11" t="s">
        <v>14</v>
      </c>
      <c r="AX226" s="11">
        <v>2</v>
      </c>
      <c r="AY226" s="11" t="s">
        <v>14</v>
      </c>
      <c r="AZ226" s="11">
        <v>2</v>
      </c>
      <c r="BA226" s="11" t="s">
        <v>14</v>
      </c>
      <c r="BB226" s="11">
        <v>2</v>
      </c>
      <c r="BC226" s="11" t="s">
        <v>14</v>
      </c>
      <c r="BD226" s="11">
        <v>2</v>
      </c>
      <c r="BE226" s="11" t="s">
        <v>14</v>
      </c>
      <c r="BF226" s="11">
        <v>2</v>
      </c>
      <c r="BG226" s="11" t="s">
        <v>14</v>
      </c>
      <c r="BH226" s="11">
        <v>2</v>
      </c>
      <c r="BI226" s="11" t="s">
        <v>16</v>
      </c>
      <c r="BJ226" s="11">
        <v>2</v>
      </c>
      <c r="BK226" s="11" t="s">
        <v>14</v>
      </c>
      <c r="BL226" s="11">
        <v>2</v>
      </c>
      <c r="BM226" s="11" t="s">
        <v>14</v>
      </c>
      <c r="BN226" s="34">
        <v>2</v>
      </c>
    </row>
    <row r="227" spans="1:66" ht="17.25" customHeight="1" x14ac:dyDescent="0.15">
      <c r="A227" s="85"/>
      <c r="B227" s="49"/>
      <c r="C227" s="49"/>
      <c r="D227" s="56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18</v>
      </c>
      <c r="V227" s="12">
        <v>2</v>
      </c>
      <c r="W227" s="12" t="s">
        <v>18</v>
      </c>
      <c r="X227" s="12">
        <v>2</v>
      </c>
      <c r="Y227" s="12" t="s">
        <v>18</v>
      </c>
      <c r="Z227" s="12">
        <v>2</v>
      </c>
      <c r="AA227" s="12" t="s">
        <v>18</v>
      </c>
      <c r="AB227" s="12">
        <v>2</v>
      </c>
      <c r="AC227" s="12" t="s">
        <v>18</v>
      </c>
      <c r="AD227" s="12">
        <v>2</v>
      </c>
      <c r="AE227" s="12" t="s">
        <v>14</v>
      </c>
      <c r="AF227" s="12">
        <v>2</v>
      </c>
      <c r="AG227" s="12"/>
      <c r="AH227" s="12"/>
      <c r="AI227" s="12" t="s">
        <v>14</v>
      </c>
      <c r="AJ227" s="12">
        <v>2</v>
      </c>
      <c r="AK227" s="12" t="s">
        <v>14</v>
      </c>
      <c r="AL227" s="12">
        <v>2</v>
      </c>
      <c r="AM227" s="12" t="s">
        <v>14</v>
      </c>
      <c r="AN227" s="12">
        <v>2</v>
      </c>
      <c r="AO227" s="12" t="s">
        <v>14</v>
      </c>
      <c r="AP227" s="12">
        <v>2</v>
      </c>
      <c r="AQ227" s="12" t="s">
        <v>14</v>
      </c>
      <c r="AR227" s="12">
        <v>2</v>
      </c>
      <c r="AS227" s="12" t="s">
        <v>14</v>
      </c>
      <c r="AT227" s="12">
        <v>2</v>
      </c>
      <c r="AU227" s="12" t="s">
        <v>16</v>
      </c>
      <c r="AV227" s="12">
        <v>2</v>
      </c>
      <c r="AW227" s="12" t="s">
        <v>14</v>
      </c>
      <c r="AX227" s="12">
        <v>2</v>
      </c>
      <c r="AY227" s="12" t="s">
        <v>14</v>
      </c>
      <c r="AZ227" s="12">
        <v>2</v>
      </c>
      <c r="BA227" s="12" t="s">
        <v>14</v>
      </c>
      <c r="BB227" s="12">
        <v>2</v>
      </c>
      <c r="BC227" s="12" t="s">
        <v>14</v>
      </c>
      <c r="BD227" s="12">
        <v>2</v>
      </c>
      <c r="BE227" s="12" t="s">
        <v>14</v>
      </c>
      <c r="BF227" s="12">
        <v>2</v>
      </c>
      <c r="BG227" s="12" t="s">
        <v>14</v>
      </c>
      <c r="BH227" s="12">
        <v>2</v>
      </c>
      <c r="BI227" s="12" t="s">
        <v>16</v>
      </c>
      <c r="BJ227" s="12">
        <v>2</v>
      </c>
      <c r="BK227" s="12" t="s">
        <v>14</v>
      </c>
      <c r="BL227" s="12">
        <v>2</v>
      </c>
      <c r="BM227" s="12" t="s">
        <v>14</v>
      </c>
      <c r="BN227" s="35">
        <v>2</v>
      </c>
    </row>
    <row r="228" spans="1:66" ht="17.25" customHeight="1" x14ac:dyDescent="0.15">
      <c r="A228" s="85"/>
      <c r="B228" s="49"/>
      <c r="C228" s="49"/>
      <c r="D228" s="57" t="s">
        <v>47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 t="s">
        <v>18</v>
      </c>
      <c r="V228" s="13">
        <v>2</v>
      </c>
      <c r="W228" s="13" t="s">
        <v>18</v>
      </c>
      <c r="X228" s="13">
        <v>2</v>
      </c>
      <c r="Y228" s="13" t="s">
        <v>18</v>
      </c>
      <c r="Z228" s="13">
        <v>2</v>
      </c>
      <c r="AA228" s="13" t="s">
        <v>18</v>
      </c>
      <c r="AB228" s="13">
        <v>2</v>
      </c>
      <c r="AC228" s="13" t="s">
        <v>18</v>
      </c>
      <c r="AD228" s="13">
        <v>2</v>
      </c>
      <c r="AE228" s="13" t="s">
        <v>14</v>
      </c>
      <c r="AF228" s="13">
        <v>2</v>
      </c>
      <c r="AG228" s="13"/>
      <c r="AH228" s="13"/>
      <c r="AI228" s="13" t="s">
        <v>14</v>
      </c>
      <c r="AJ228" s="13">
        <v>2</v>
      </c>
      <c r="AK228" s="13" t="s">
        <v>14</v>
      </c>
      <c r="AL228" s="13">
        <v>2</v>
      </c>
      <c r="AM228" s="13" t="s">
        <v>14</v>
      </c>
      <c r="AN228" s="13">
        <v>2</v>
      </c>
      <c r="AO228" s="13" t="s">
        <v>14</v>
      </c>
      <c r="AP228" s="13">
        <v>2</v>
      </c>
      <c r="AQ228" s="13" t="s">
        <v>14</v>
      </c>
      <c r="AR228" s="13">
        <v>2</v>
      </c>
      <c r="AS228" s="13" t="s">
        <v>14</v>
      </c>
      <c r="AT228" s="13">
        <v>2</v>
      </c>
      <c r="AU228" s="13" t="s">
        <v>16</v>
      </c>
      <c r="AV228" s="13">
        <v>2</v>
      </c>
      <c r="AW228" s="13" t="s">
        <v>14</v>
      </c>
      <c r="AX228" s="13">
        <v>2</v>
      </c>
      <c r="AY228" s="13" t="s">
        <v>14</v>
      </c>
      <c r="AZ228" s="13">
        <v>2</v>
      </c>
      <c r="BA228" s="13" t="s">
        <v>14</v>
      </c>
      <c r="BB228" s="13">
        <v>2</v>
      </c>
      <c r="BC228" s="13" t="s">
        <v>14</v>
      </c>
      <c r="BD228" s="13">
        <v>2</v>
      </c>
      <c r="BE228" s="13" t="s">
        <v>14</v>
      </c>
      <c r="BF228" s="13">
        <v>2</v>
      </c>
      <c r="BG228" s="13" t="s">
        <v>14</v>
      </c>
      <c r="BH228" s="13">
        <v>2</v>
      </c>
      <c r="BI228" s="13" t="s">
        <v>16</v>
      </c>
      <c r="BJ228" s="13">
        <v>2</v>
      </c>
      <c r="BK228" s="13" t="s">
        <v>14</v>
      </c>
      <c r="BL228" s="13">
        <v>2</v>
      </c>
      <c r="BM228" s="13" t="s">
        <v>14</v>
      </c>
      <c r="BN228" s="36">
        <v>2</v>
      </c>
    </row>
    <row r="229" spans="1:66" ht="17.25" customHeight="1" x14ac:dyDescent="0.15">
      <c r="A229" s="85"/>
      <c r="B229" s="49"/>
      <c r="C229" s="49"/>
      <c r="D229" s="56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 t="s">
        <v>18</v>
      </c>
      <c r="V229" s="12">
        <v>2</v>
      </c>
      <c r="W229" s="12" t="s">
        <v>18</v>
      </c>
      <c r="X229" s="12">
        <v>2</v>
      </c>
      <c r="Y229" s="12" t="s">
        <v>18</v>
      </c>
      <c r="Z229" s="12">
        <v>2</v>
      </c>
      <c r="AA229" s="12" t="s">
        <v>18</v>
      </c>
      <c r="AB229" s="12">
        <v>2</v>
      </c>
      <c r="AC229" s="12" t="s">
        <v>18</v>
      </c>
      <c r="AD229" s="12">
        <v>2</v>
      </c>
      <c r="AE229" s="12" t="s">
        <v>14</v>
      </c>
      <c r="AF229" s="12">
        <v>2</v>
      </c>
      <c r="AG229" s="12"/>
      <c r="AH229" s="12"/>
      <c r="AI229" s="12" t="s">
        <v>14</v>
      </c>
      <c r="AJ229" s="12">
        <v>2</v>
      </c>
      <c r="AK229" s="12" t="s">
        <v>14</v>
      </c>
      <c r="AL229" s="12">
        <v>2</v>
      </c>
      <c r="AM229" s="12" t="s">
        <v>14</v>
      </c>
      <c r="AN229" s="12">
        <v>2</v>
      </c>
      <c r="AO229" s="12" t="s">
        <v>14</v>
      </c>
      <c r="AP229" s="12">
        <v>2</v>
      </c>
      <c r="AQ229" s="12" t="s">
        <v>14</v>
      </c>
      <c r="AR229" s="12">
        <v>2</v>
      </c>
      <c r="AS229" s="12" t="s">
        <v>14</v>
      </c>
      <c r="AT229" s="12">
        <v>2</v>
      </c>
      <c r="AU229" s="12" t="s">
        <v>16</v>
      </c>
      <c r="AV229" s="12">
        <v>2</v>
      </c>
      <c r="AW229" s="12" t="s">
        <v>14</v>
      </c>
      <c r="AX229" s="12">
        <v>2</v>
      </c>
      <c r="AY229" s="12" t="s">
        <v>14</v>
      </c>
      <c r="AZ229" s="12">
        <v>2</v>
      </c>
      <c r="BA229" s="12" t="s">
        <v>14</v>
      </c>
      <c r="BB229" s="12">
        <v>2</v>
      </c>
      <c r="BC229" s="12" t="s">
        <v>14</v>
      </c>
      <c r="BD229" s="12">
        <v>2</v>
      </c>
      <c r="BE229" s="12" t="s">
        <v>14</v>
      </c>
      <c r="BF229" s="12">
        <v>2</v>
      </c>
      <c r="BG229" s="12" t="s">
        <v>14</v>
      </c>
      <c r="BH229" s="12">
        <v>2</v>
      </c>
      <c r="BI229" s="12" t="s">
        <v>16</v>
      </c>
      <c r="BJ229" s="12">
        <v>2</v>
      </c>
      <c r="BK229" s="12" t="s">
        <v>14</v>
      </c>
      <c r="BL229" s="12">
        <v>2</v>
      </c>
      <c r="BM229" s="12" t="s">
        <v>14</v>
      </c>
      <c r="BN229" s="35">
        <v>2</v>
      </c>
    </row>
    <row r="230" spans="1:66" ht="17.25" customHeight="1" x14ac:dyDescent="0.15">
      <c r="A230" s="85"/>
      <c r="B230" s="49"/>
      <c r="C230" s="49"/>
      <c r="D230" s="58" t="s">
        <v>49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 t="s">
        <v>15</v>
      </c>
      <c r="V230" s="14"/>
      <c r="W230" s="14" t="s">
        <v>15</v>
      </c>
      <c r="X230" s="14"/>
      <c r="Y230" s="14" t="s">
        <v>15</v>
      </c>
      <c r="Z230" s="14"/>
      <c r="AA230" s="14" t="s">
        <v>15</v>
      </c>
      <c r="AB230" s="14"/>
      <c r="AC230" s="14" t="s">
        <v>15</v>
      </c>
      <c r="AD230" s="14"/>
      <c r="AE230" s="14" t="s">
        <v>15</v>
      </c>
      <c r="AF230" s="14"/>
      <c r="AG230" s="14"/>
      <c r="AH230" s="14"/>
      <c r="AI230" s="14" t="s">
        <v>15</v>
      </c>
      <c r="AJ230" s="14"/>
      <c r="AK230" s="14" t="s">
        <v>15</v>
      </c>
      <c r="AL230" s="14"/>
      <c r="AM230" s="14" t="s">
        <v>15</v>
      </c>
      <c r="AN230" s="14">
        <v>4</v>
      </c>
      <c r="AO230" s="14" t="s">
        <v>15</v>
      </c>
      <c r="AP230" s="14">
        <v>3</v>
      </c>
      <c r="AQ230" s="14" t="s">
        <v>15</v>
      </c>
      <c r="AR230" s="14"/>
      <c r="AS230" s="14" t="s">
        <v>15</v>
      </c>
      <c r="AT230" s="14"/>
      <c r="AU230" s="14"/>
      <c r="AV230" s="14"/>
      <c r="AW230" s="14" t="s">
        <v>15</v>
      </c>
      <c r="AX230" s="14">
        <v>3</v>
      </c>
      <c r="AY230" s="14" t="s">
        <v>15</v>
      </c>
      <c r="AZ230" s="14">
        <v>4</v>
      </c>
      <c r="BA230" s="14" t="s">
        <v>15</v>
      </c>
      <c r="BB230" s="14">
        <v>5</v>
      </c>
      <c r="BC230" s="14" t="s">
        <v>15</v>
      </c>
      <c r="BD230" s="14">
        <v>4</v>
      </c>
      <c r="BE230" s="14" t="s">
        <v>15</v>
      </c>
      <c r="BF230" s="14">
        <v>4</v>
      </c>
      <c r="BG230" s="14" t="s">
        <v>15</v>
      </c>
      <c r="BH230" s="14">
        <v>4</v>
      </c>
      <c r="BI230" s="14"/>
      <c r="BJ230" s="14"/>
      <c r="BK230" s="14" t="s">
        <v>15</v>
      </c>
      <c r="BL230" s="14">
        <v>4</v>
      </c>
      <c r="BM230" s="14" t="s">
        <v>15</v>
      </c>
      <c r="BN230" s="37"/>
    </row>
    <row r="231" spans="1:66" ht="17.25" customHeight="1" thickBot="1" x14ac:dyDescent="0.2">
      <c r="A231" s="86"/>
      <c r="B231" s="50"/>
      <c r="C231" s="50"/>
      <c r="D231" s="59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38"/>
    </row>
    <row r="232" spans="1:66" ht="17.25" customHeight="1" x14ac:dyDescent="0.15">
      <c r="A232" s="84" t="s">
        <v>87</v>
      </c>
      <c r="B232" s="48" t="s">
        <v>107</v>
      </c>
      <c r="C232" s="48" t="s">
        <v>106</v>
      </c>
      <c r="D232" s="55" t="s">
        <v>45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17</v>
      </c>
      <c r="V232" s="11">
        <v>2</v>
      </c>
      <c r="W232" s="11" t="s">
        <v>17</v>
      </c>
      <c r="X232" s="11">
        <v>2</v>
      </c>
      <c r="Y232" s="11" t="s">
        <v>17</v>
      </c>
      <c r="Z232" s="11">
        <v>2</v>
      </c>
      <c r="AA232" s="11" t="s">
        <v>17</v>
      </c>
      <c r="AB232" s="11">
        <v>2</v>
      </c>
      <c r="AC232" s="11" t="s">
        <v>17</v>
      </c>
      <c r="AD232" s="11">
        <v>2</v>
      </c>
      <c r="AE232" s="11" t="s">
        <v>17</v>
      </c>
      <c r="AF232" s="11">
        <v>2</v>
      </c>
      <c r="AG232" s="11"/>
      <c r="AH232" s="11"/>
      <c r="AI232" s="11" t="s">
        <v>17</v>
      </c>
      <c r="AJ232" s="11">
        <v>2</v>
      </c>
      <c r="AK232" s="11" t="s">
        <v>17</v>
      </c>
      <c r="AL232" s="11">
        <v>2</v>
      </c>
      <c r="AM232" s="11" t="s">
        <v>17</v>
      </c>
      <c r="AN232" s="11">
        <v>2</v>
      </c>
      <c r="AO232" s="11" t="s">
        <v>17</v>
      </c>
      <c r="AP232" s="11">
        <v>2</v>
      </c>
      <c r="AQ232" s="11" t="s">
        <v>17</v>
      </c>
      <c r="AR232" s="11">
        <v>2</v>
      </c>
      <c r="AS232" s="11" t="s">
        <v>17</v>
      </c>
      <c r="AT232" s="11">
        <v>2</v>
      </c>
      <c r="AU232" s="11"/>
      <c r="AV232" s="11"/>
      <c r="AW232" s="11" t="s">
        <v>14</v>
      </c>
      <c r="AX232" s="11">
        <v>2</v>
      </c>
      <c r="AY232" s="11" t="s">
        <v>14</v>
      </c>
      <c r="AZ232" s="11">
        <v>2</v>
      </c>
      <c r="BA232" s="11" t="s">
        <v>14</v>
      </c>
      <c r="BB232" s="11">
        <v>2</v>
      </c>
      <c r="BC232" s="11" t="s">
        <v>14</v>
      </c>
      <c r="BD232" s="11">
        <v>2</v>
      </c>
      <c r="BE232" s="11" t="s">
        <v>14</v>
      </c>
      <c r="BF232" s="11">
        <v>2</v>
      </c>
      <c r="BG232" s="11" t="s">
        <v>14</v>
      </c>
      <c r="BH232" s="11">
        <v>2</v>
      </c>
      <c r="BI232" s="11" t="s">
        <v>16</v>
      </c>
      <c r="BJ232" s="11">
        <v>2</v>
      </c>
      <c r="BK232" s="11" t="s">
        <v>14</v>
      </c>
      <c r="BL232" s="11">
        <v>2</v>
      </c>
      <c r="BM232" s="11" t="s">
        <v>14</v>
      </c>
      <c r="BN232" s="34">
        <v>2</v>
      </c>
    </row>
    <row r="233" spans="1:66" ht="17.25" customHeight="1" x14ac:dyDescent="0.15">
      <c r="A233" s="85"/>
      <c r="B233" s="49"/>
      <c r="C233" s="49"/>
      <c r="D233" s="56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 t="s">
        <v>17</v>
      </c>
      <c r="V233" s="12">
        <v>2</v>
      </c>
      <c r="W233" s="12" t="s">
        <v>17</v>
      </c>
      <c r="X233" s="12">
        <v>2</v>
      </c>
      <c r="Y233" s="12" t="s">
        <v>17</v>
      </c>
      <c r="Z233" s="12">
        <v>2</v>
      </c>
      <c r="AA233" s="12" t="s">
        <v>17</v>
      </c>
      <c r="AB233" s="12">
        <v>2</v>
      </c>
      <c r="AC233" s="12" t="s">
        <v>17</v>
      </c>
      <c r="AD233" s="12">
        <v>2</v>
      </c>
      <c r="AE233" s="12" t="s">
        <v>17</v>
      </c>
      <c r="AF233" s="12">
        <v>2</v>
      </c>
      <c r="AG233" s="12"/>
      <c r="AH233" s="12"/>
      <c r="AI233" s="12" t="s">
        <v>17</v>
      </c>
      <c r="AJ233" s="12">
        <v>2</v>
      </c>
      <c r="AK233" s="12" t="s">
        <v>17</v>
      </c>
      <c r="AL233" s="12">
        <v>2</v>
      </c>
      <c r="AM233" s="12" t="s">
        <v>17</v>
      </c>
      <c r="AN233" s="12">
        <v>2</v>
      </c>
      <c r="AO233" s="12" t="s">
        <v>17</v>
      </c>
      <c r="AP233" s="12">
        <v>2</v>
      </c>
      <c r="AQ233" s="12" t="s">
        <v>17</v>
      </c>
      <c r="AR233" s="12">
        <v>2</v>
      </c>
      <c r="AS233" s="12" t="s">
        <v>17</v>
      </c>
      <c r="AT233" s="12">
        <v>2</v>
      </c>
      <c r="AU233" s="12"/>
      <c r="AV233" s="12"/>
      <c r="AW233" s="12" t="s">
        <v>14</v>
      </c>
      <c r="AX233" s="12">
        <v>2</v>
      </c>
      <c r="AY233" s="12" t="s">
        <v>14</v>
      </c>
      <c r="AZ233" s="12">
        <v>2</v>
      </c>
      <c r="BA233" s="12" t="s">
        <v>14</v>
      </c>
      <c r="BB233" s="12">
        <v>2</v>
      </c>
      <c r="BC233" s="12" t="s">
        <v>14</v>
      </c>
      <c r="BD233" s="12">
        <v>2</v>
      </c>
      <c r="BE233" s="12" t="s">
        <v>14</v>
      </c>
      <c r="BF233" s="12">
        <v>2</v>
      </c>
      <c r="BG233" s="12" t="s">
        <v>14</v>
      </c>
      <c r="BH233" s="12">
        <v>2</v>
      </c>
      <c r="BI233" s="12" t="s">
        <v>16</v>
      </c>
      <c r="BJ233" s="12">
        <v>2</v>
      </c>
      <c r="BK233" s="12" t="s">
        <v>14</v>
      </c>
      <c r="BL233" s="12">
        <v>2</v>
      </c>
      <c r="BM233" s="12" t="s">
        <v>14</v>
      </c>
      <c r="BN233" s="35">
        <v>2</v>
      </c>
    </row>
    <row r="234" spans="1:66" ht="17.25" customHeight="1" x14ac:dyDescent="0.15">
      <c r="A234" s="85"/>
      <c r="B234" s="49"/>
      <c r="C234" s="49"/>
      <c r="D234" s="57" t="s">
        <v>47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 t="s">
        <v>17</v>
      </c>
      <c r="V234" s="13">
        <v>2</v>
      </c>
      <c r="W234" s="13" t="s">
        <v>17</v>
      </c>
      <c r="X234" s="13">
        <v>2</v>
      </c>
      <c r="Y234" s="13" t="s">
        <v>17</v>
      </c>
      <c r="Z234" s="13">
        <v>2</v>
      </c>
      <c r="AA234" s="13" t="s">
        <v>17</v>
      </c>
      <c r="AB234" s="13">
        <v>2</v>
      </c>
      <c r="AC234" s="13" t="s">
        <v>17</v>
      </c>
      <c r="AD234" s="13">
        <v>2</v>
      </c>
      <c r="AE234" s="13" t="s">
        <v>17</v>
      </c>
      <c r="AF234" s="13">
        <v>2</v>
      </c>
      <c r="AG234" s="13"/>
      <c r="AH234" s="13"/>
      <c r="AI234" s="13" t="s">
        <v>17</v>
      </c>
      <c r="AJ234" s="13">
        <v>2</v>
      </c>
      <c r="AK234" s="13" t="s">
        <v>17</v>
      </c>
      <c r="AL234" s="13">
        <v>2</v>
      </c>
      <c r="AM234" s="13" t="s">
        <v>17</v>
      </c>
      <c r="AN234" s="13">
        <v>2</v>
      </c>
      <c r="AO234" s="13" t="s">
        <v>17</v>
      </c>
      <c r="AP234" s="13">
        <v>2</v>
      </c>
      <c r="AQ234" s="13" t="s">
        <v>17</v>
      </c>
      <c r="AR234" s="13">
        <v>2</v>
      </c>
      <c r="AS234" s="13" t="s">
        <v>17</v>
      </c>
      <c r="AT234" s="13">
        <v>2</v>
      </c>
      <c r="AU234" s="13"/>
      <c r="AV234" s="13"/>
      <c r="AW234" s="13" t="s">
        <v>14</v>
      </c>
      <c r="AX234" s="13">
        <v>2</v>
      </c>
      <c r="AY234" s="13" t="s">
        <v>14</v>
      </c>
      <c r="AZ234" s="13">
        <v>2</v>
      </c>
      <c r="BA234" s="13" t="s">
        <v>14</v>
      </c>
      <c r="BB234" s="13">
        <v>2</v>
      </c>
      <c r="BC234" s="13" t="s">
        <v>14</v>
      </c>
      <c r="BD234" s="13">
        <v>2</v>
      </c>
      <c r="BE234" s="13" t="s">
        <v>14</v>
      </c>
      <c r="BF234" s="13">
        <v>2</v>
      </c>
      <c r="BG234" s="13" t="s">
        <v>14</v>
      </c>
      <c r="BH234" s="13">
        <v>2</v>
      </c>
      <c r="BI234" s="13" t="s">
        <v>16</v>
      </c>
      <c r="BJ234" s="13">
        <v>2</v>
      </c>
      <c r="BK234" s="13" t="s">
        <v>14</v>
      </c>
      <c r="BL234" s="13">
        <v>2</v>
      </c>
      <c r="BM234" s="13" t="s">
        <v>14</v>
      </c>
      <c r="BN234" s="36">
        <v>2</v>
      </c>
    </row>
    <row r="235" spans="1:66" ht="17.25" customHeight="1" x14ac:dyDescent="0.15">
      <c r="A235" s="85"/>
      <c r="B235" s="49"/>
      <c r="C235" s="49"/>
      <c r="D235" s="56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 t="s">
        <v>17</v>
      </c>
      <c r="V235" s="12">
        <v>2</v>
      </c>
      <c r="W235" s="12" t="s">
        <v>17</v>
      </c>
      <c r="X235" s="12">
        <v>2</v>
      </c>
      <c r="Y235" s="12" t="s">
        <v>17</v>
      </c>
      <c r="Z235" s="12">
        <v>2</v>
      </c>
      <c r="AA235" s="12" t="s">
        <v>17</v>
      </c>
      <c r="AB235" s="12">
        <v>2</v>
      </c>
      <c r="AC235" s="12" t="s">
        <v>17</v>
      </c>
      <c r="AD235" s="12">
        <v>2</v>
      </c>
      <c r="AE235" s="12" t="s">
        <v>17</v>
      </c>
      <c r="AF235" s="12">
        <v>2</v>
      </c>
      <c r="AG235" s="12"/>
      <c r="AH235" s="12"/>
      <c r="AI235" s="12" t="s">
        <v>17</v>
      </c>
      <c r="AJ235" s="12">
        <v>2</v>
      </c>
      <c r="AK235" s="12" t="s">
        <v>17</v>
      </c>
      <c r="AL235" s="12">
        <v>2</v>
      </c>
      <c r="AM235" s="12" t="s">
        <v>17</v>
      </c>
      <c r="AN235" s="12">
        <v>2</v>
      </c>
      <c r="AO235" s="12" t="s">
        <v>17</v>
      </c>
      <c r="AP235" s="12">
        <v>2</v>
      </c>
      <c r="AQ235" s="12" t="s">
        <v>17</v>
      </c>
      <c r="AR235" s="12">
        <v>2</v>
      </c>
      <c r="AS235" s="12" t="s">
        <v>17</v>
      </c>
      <c r="AT235" s="12">
        <v>2</v>
      </c>
      <c r="AU235" s="12"/>
      <c r="AV235" s="12"/>
      <c r="AW235" s="12" t="s">
        <v>14</v>
      </c>
      <c r="AX235" s="12">
        <v>2</v>
      </c>
      <c r="AY235" s="12" t="s">
        <v>14</v>
      </c>
      <c r="AZ235" s="12">
        <v>2</v>
      </c>
      <c r="BA235" s="12" t="s">
        <v>14</v>
      </c>
      <c r="BB235" s="12">
        <v>2</v>
      </c>
      <c r="BC235" s="12" t="s">
        <v>14</v>
      </c>
      <c r="BD235" s="12">
        <v>2</v>
      </c>
      <c r="BE235" s="12" t="s">
        <v>14</v>
      </c>
      <c r="BF235" s="12">
        <v>2</v>
      </c>
      <c r="BG235" s="12" t="s">
        <v>14</v>
      </c>
      <c r="BH235" s="12">
        <v>2</v>
      </c>
      <c r="BI235" s="12" t="s">
        <v>16</v>
      </c>
      <c r="BJ235" s="12">
        <v>2</v>
      </c>
      <c r="BK235" s="12" t="s">
        <v>14</v>
      </c>
      <c r="BL235" s="12">
        <v>2</v>
      </c>
      <c r="BM235" s="12" t="s">
        <v>14</v>
      </c>
      <c r="BN235" s="35">
        <v>2</v>
      </c>
    </row>
    <row r="236" spans="1:66" ht="17.25" customHeight="1" x14ac:dyDescent="0.15">
      <c r="A236" s="85"/>
      <c r="B236" s="49"/>
      <c r="C236" s="49"/>
      <c r="D236" s="58" t="s">
        <v>49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 t="s">
        <v>15</v>
      </c>
      <c r="V236" s="14"/>
      <c r="W236" s="14" t="s">
        <v>15</v>
      </c>
      <c r="X236" s="14"/>
      <c r="Y236" s="14" t="s">
        <v>15</v>
      </c>
      <c r="Z236" s="14"/>
      <c r="AA236" s="14" t="s">
        <v>15</v>
      </c>
      <c r="AB236" s="14"/>
      <c r="AC236" s="14" t="s">
        <v>15</v>
      </c>
      <c r="AD236" s="14"/>
      <c r="AE236" s="14" t="s">
        <v>15</v>
      </c>
      <c r="AF236" s="14"/>
      <c r="AG236" s="14"/>
      <c r="AH236" s="14"/>
      <c r="AI236" s="14" t="s">
        <v>15</v>
      </c>
      <c r="AJ236" s="14"/>
      <c r="AK236" s="14" t="s">
        <v>15</v>
      </c>
      <c r="AL236" s="14"/>
      <c r="AM236" s="14" t="s">
        <v>15</v>
      </c>
      <c r="AN236" s="14"/>
      <c r="AO236" s="14" t="s">
        <v>15</v>
      </c>
      <c r="AP236" s="14"/>
      <c r="AQ236" s="14" t="s">
        <v>15</v>
      </c>
      <c r="AR236" s="14"/>
      <c r="AS236" s="14" t="s">
        <v>15</v>
      </c>
      <c r="AT236" s="14"/>
      <c r="AU236" s="14"/>
      <c r="AV236" s="14"/>
      <c r="AW236" s="14" t="s">
        <v>15</v>
      </c>
      <c r="AX236" s="14">
        <v>3</v>
      </c>
      <c r="AY236" s="14" t="s">
        <v>15</v>
      </c>
      <c r="AZ236" s="14">
        <v>4</v>
      </c>
      <c r="BA236" s="14" t="s">
        <v>15</v>
      </c>
      <c r="BB236" s="14">
        <v>5</v>
      </c>
      <c r="BC236" s="14" t="s">
        <v>15</v>
      </c>
      <c r="BD236" s="14">
        <v>4</v>
      </c>
      <c r="BE236" s="14" t="s">
        <v>15</v>
      </c>
      <c r="BF236" s="14">
        <v>4</v>
      </c>
      <c r="BG236" s="14" t="s">
        <v>15</v>
      </c>
      <c r="BH236" s="14"/>
      <c r="BI236" s="14"/>
      <c r="BJ236" s="14"/>
      <c r="BK236" s="14" t="s">
        <v>15</v>
      </c>
      <c r="BL236" s="14">
        <v>4</v>
      </c>
      <c r="BM236" s="14" t="s">
        <v>15</v>
      </c>
      <c r="BN236" s="37"/>
    </row>
    <row r="237" spans="1:66" ht="17.25" customHeight="1" thickBot="1" x14ac:dyDescent="0.2">
      <c r="A237" s="86"/>
      <c r="B237" s="50"/>
      <c r="C237" s="50"/>
      <c r="D237" s="59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38"/>
    </row>
    <row r="238" spans="1:66" ht="17.25" customHeight="1" x14ac:dyDescent="0.15">
      <c r="A238" s="84" t="s">
        <v>87</v>
      </c>
      <c r="B238" s="48" t="s">
        <v>107</v>
      </c>
      <c r="C238" s="48" t="s">
        <v>138</v>
      </c>
      <c r="D238" s="55" t="s">
        <v>45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14</v>
      </c>
      <c r="V238" s="11">
        <v>2</v>
      </c>
      <c r="W238" s="11" t="s">
        <v>14</v>
      </c>
      <c r="X238" s="11">
        <v>2</v>
      </c>
      <c r="Y238" s="11" t="s">
        <v>14</v>
      </c>
      <c r="Z238" s="11">
        <v>2</v>
      </c>
      <c r="AA238" s="11" t="s">
        <v>18</v>
      </c>
      <c r="AB238" s="11">
        <v>2</v>
      </c>
      <c r="AC238" s="11" t="s">
        <v>18</v>
      </c>
      <c r="AD238" s="11">
        <v>2</v>
      </c>
      <c r="AE238" s="11" t="s">
        <v>14</v>
      </c>
      <c r="AF238" s="11">
        <v>2</v>
      </c>
      <c r="AG238" s="11"/>
      <c r="AH238" s="11"/>
      <c r="AI238" s="11" t="s">
        <v>14</v>
      </c>
      <c r="AJ238" s="11">
        <v>2</v>
      </c>
      <c r="AK238" s="11" t="s">
        <v>14</v>
      </c>
      <c r="AL238" s="11">
        <v>2</v>
      </c>
      <c r="AM238" s="11" t="s">
        <v>14</v>
      </c>
      <c r="AN238" s="11">
        <v>2</v>
      </c>
      <c r="AO238" s="11" t="s">
        <v>14</v>
      </c>
      <c r="AP238" s="11">
        <v>2</v>
      </c>
      <c r="AQ238" s="11" t="s">
        <v>14</v>
      </c>
      <c r="AR238" s="11">
        <v>2</v>
      </c>
      <c r="AS238" s="11" t="s">
        <v>14</v>
      </c>
      <c r="AT238" s="11">
        <v>2</v>
      </c>
      <c r="AU238" s="11" t="s">
        <v>16</v>
      </c>
      <c r="AV238" s="11">
        <v>2</v>
      </c>
      <c r="AW238" s="11" t="s">
        <v>14</v>
      </c>
      <c r="AX238" s="11">
        <v>2</v>
      </c>
      <c r="AY238" s="11" t="s">
        <v>14</v>
      </c>
      <c r="AZ238" s="11">
        <v>2</v>
      </c>
      <c r="BA238" s="11" t="s">
        <v>14</v>
      </c>
      <c r="BB238" s="11">
        <v>2</v>
      </c>
      <c r="BC238" s="11" t="s">
        <v>14</v>
      </c>
      <c r="BD238" s="11">
        <v>2</v>
      </c>
      <c r="BE238" s="11" t="s">
        <v>14</v>
      </c>
      <c r="BF238" s="11">
        <v>2</v>
      </c>
      <c r="BG238" s="11" t="s">
        <v>14</v>
      </c>
      <c r="BH238" s="11">
        <v>2</v>
      </c>
      <c r="BI238" s="11" t="s">
        <v>16</v>
      </c>
      <c r="BJ238" s="11">
        <v>2</v>
      </c>
      <c r="BK238" s="11" t="s">
        <v>14</v>
      </c>
      <c r="BL238" s="11">
        <v>2</v>
      </c>
      <c r="BM238" s="11" t="s">
        <v>14</v>
      </c>
      <c r="BN238" s="34">
        <v>2</v>
      </c>
    </row>
    <row r="239" spans="1:66" ht="17.25" customHeight="1" x14ac:dyDescent="0.15">
      <c r="A239" s="85"/>
      <c r="B239" s="49"/>
      <c r="C239" s="49"/>
      <c r="D239" s="56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 t="s">
        <v>14</v>
      </c>
      <c r="V239" s="12">
        <v>2</v>
      </c>
      <c r="W239" s="12" t="s">
        <v>14</v>
      </c>
      <c r="X239" s="12">
        <v>2</v>
      </c>
      <c r="Y239" s="12" t="s">
        <v>14</v>
      </c>
      <c r="Z239" s="12">
        <v>2</v>
      </c>
      <c r="AA239" s="12" t="s">
        <v>18</v>
      </c>
      <c r="AB239" s="12">
        <v>2</v>
      </c>
      <c r="AC239" s="12" t="s">
        <v>18</v>
      </c>
      <c r="AD239" s="12">
        <v>2</v>
      </c>
      <c r="AE239" s="12" t="s">
        <v>14</v>
      </c>
      <c r="AF239" s="12">
        <v>2</v>
      </c>
      <c r="AG239" s="12"/>
      <c r="AH239" s="12"/>
      <c r="AI239" s="12" t="s">
        <v>14</v>
      </c>
      <c r="AJ239" s="12">
        <v>2</v>
      </c>
      <c r="AK239" s="12" t="s">
        <v>14</v>
      </c>
      <c r="AL239" s="12">
        <v>2</v>
      </c>
      <c r="AM239" s="12" t="s">
        <v>14</v>
      </c>
      <c r="AN239" s="12">
        <v>2</v>
      </c>
      <c r="AO239" s="12" t="s">
        <v>14</v>
      </c>
      <c r="AP239" s="12">
        <v>2</v>
      </c>
      <c r="AQ239" s="12" t="s">
        <v>14</v>
      </c>
      <c r="AR239" s="12">
        <v>2</v>
      </c>
      <c r="AS239" s="12" t="s">
        <v>14</v>
      </c>
      <c r="AT239" s="12">
        <v>2</v>
      </c>
      <c r="AU239" s="12" t="s">
        <v>16</v>
      </c>
      <c r="AV239" s="12">
        <v>2</v>
      </c>
      <c r="AW239" s="12" t="s">
        <v>14</v>
      </c>
      <c r="AX239" s="12">
        <v>2</v>
      </c>
      <c r="AY239" s="12" t="s">
        <v>14</v>
      </c>
      <c r="AZ239" s="12">
        <v>2</v>
      </c>
      <c r="BA239" s="12" t="s">
        <v>14</v>
      </c>
      <c r="BB239" s="12">
        <v>2</v>
      </c>
      <c r="BC239" s="12" t="s">
        <v>14</v>
      </c>
      <c r="BD239" s="12">
        <v>2</v>
      </c>
      <c r="BE239" s="12" t="s">
        <v>14</v>
      </c>
      <c r="BF239" s="12">
        <v>2</v>
      </c>
      <c r="BG239" s="12" t="s">
        <v>14</v>
      </c>
      <c r="BH239" s="12">
        <v>2</v>
      </c>
      <c r="BI239" s="12" t="s">
        <v>16</v>
      </c>
      <c r="BJ239" s="12">
        <v>2</v>
      </c>
      <c r="BK239" s="12" t="s">
        <v>14</v>
      </c>
      <c r="BL239" s="12">
        <v>2</v>
      </c>
      <c r="BM239" s="12" t="s">
        <v>14</v>
      </c>
      <c r="BN239" s="35">
        <v>2</v>
      </c>
    </row>
    <row r="240" spans="1:66" ht="17.25" customHeight="1" x14ac:dyDescent="0.15">
      <c r="A240" s="85"/>
      <c r="B240" s="49"/>
      <c r="C240" s="49"/>
      <c r="D240" s="57" t="s">
        <v>47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 t="s">
        <v>14</v>
      </c>
      <c r="V240" s="13">
        <v>2</v>
      </c>
      <c r="W240" s="13" t="s">
        <v>14</v>
      </c>
      <c r="X240" s="13">
        <v>2</v>
      </c>
      <c r="Y240" s="13" t="s">
        <v>14</v>
      </c>
      <c r="Z240" s="13">
        <v>2</v>
      </c>
      <c r="AA240" s="13" t="s">
        <v>18</v>
      </c>
      <c r="AB240" s="13">
        <v>2</v>
      </c>
      <c r="AC240" s="13" t="s">
        <v>18</v>
      </c>
      <c r="AD240" s="13">
        <v>2</v>
      </c>
      <c r="AE240" s="13" t="s">
        <v>14</v>
      </c>
      <c r="AF240" s="13">
        <v>2</v>
      </c>
      <c r="AG240" s="13"/>
      <c r="AH240" s="13"/>
      <c r="AI240" s="13" t="s">
        <v>14</v>
      </c>
      <c r="AJ240" s="13">
        <v>2</v>
      </c>
      <c r="AK240" s="13" t="s">
        <v>14</v>
      </c>
      <c r="AL240" s="13">
        <v>2</v>
      </c>
      <c r="AM240" s="13" t="s">
        <v>14</v>
      </c>
      <c r="AN240" s="13">
        <v>2</v>
      </c>
      <c r="AO240" s="13" t="s">
        <v>14</v>
      </c>
      <c r="AP240" s="13">
        <v>2</v>
      </c>
      <c r="AQ240" s="13" t="s">
        <v>14</v>
      </c>
      <c r="AR240" s="13">
        <v>2</v>
      </c>
      <c r="AS240" s="13" t="s">
        <v>14</v>
      </c>
      <c r="AT240" s="13">
        <v>2</v>
      </c>
      <c r="AU240" s="13" t="s">
        <v>16</v>
      </c>
      <c r="AV240" s="13">
        <v>2</v>
      </c>
      <c r="AW240" s="13" t="s">
        <v>14</v>
      </c>
      <c r="AX240" s="13">
        <v>2</v>
      </c>
      <c r="AY240" s="13" t="s">
        <v>14</v>
      </c>
      <c r="AZ240" s="13">
        <v>2</v>
      </c>
      <c r="BA240" s="13" t="s">
        <v>14</v>
      </c>
      <c r="BB240" s="13">
        <v>2</v>
      </c>
      <c r="BC240" s="13" t="s">
        <v>14</v>
      </c>
      <c r="BD240" s="13">
        <v>2</v>
      </c>
      <c r="BE240" s="13" t="s">
        <v>14</v>
      </c>
      <c r="BF240" s="13">
        <v>2</v>
      </c>
      <c r="BG240" s="13" t="s">
        <v>14</v>
      </c>
      <c r="BH240" s="13">
        <v>2</v>
      </c>
      <c r="BI240" s="13" t="s">
        <v>16</v>
      </c>
      <c r="BJ240" s="13">
        <v>2</v>
      </c>
      <c r="BK240" s="13" t="s">
        <v>14</v>
      </c>
      <c r="BL240" s="13">
        <v>2</v>
      </c>
      <c r="BM240" s="13" t="s">
        <v>14</v>
      </c>
      <c r="BN240" s="36">
        <v>2</v>
      </c>
    </row>
    <row r="241" spans="1:66" ht="17.25" customHeight="1" x14ac:dyDescent="0.15">
      <c r="A241" s="85"/>
      <c r="B241" s="49"/>
      <c r="C241" s="49"/>
      <c r="D241" s="56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 t="s">
        <v>14</v>
      </c>
      <c r="V241" s="12">
        <v>2</v>
      </c>
      <c r="W241" s="12" t="s">
        <v>14</v>
      </c>
      <c r="X241" s="12">
        <v>2</v>
      </c>
      <c r="Y241" s="12" t="s">
        <v>14</v>
      </c>
      <c r="Z241" s="12">
        <v>2</v>
      </c>
      <c r="AA241" s="12" t="s">
        <v>18</v>
      </c>
      <c r="AB241" s="12">
        <v>2</v>
      </c>
      <c r="AC241" s="12" t="s">
        <v>18</v>
      </c>
      <c r="AD241" s="12">
        <v>2</v>
      </c>
      <c r="AE241" s="12" t="s">
        <v>14</v>
      </c>
      <c r="AF241" s="12">
        <v>2</v>
      </c>
      <c r="AG241" s="12"/>
      <c r="AH241" s="12"/>
      <c r="AI241" s="12" t="s">
        <v>14</v>
      </c>
      <c r="AJ241" s="12">
        <v>2</v>
      </c>
      <c r="AK241" s="12" t="s">
        <v>14</v>
      </c>
      <c r="AL241" s="12">
        <v>2</v>
      </c>
      <c r="AM241" s="12" t="s">
        <v>14</v>
      </c>
      <c r="AN241" s="12">
        <v>2</v>
      </c>
      <c r="AO241" s="12" t="s">
        <v>14</v>
      </c>
      <c r="AP241" s="12">
        <v>2</v>
      </c>
      <c r="AQ241" s="12" t="s">
        <v>14</v>
      </c>
      <c r="AR241" s="12">
        <v>2</v>
      </c>
      <c r="AS241" s="12" t="s">
        <v>14</v>
      </c>
      <c r="AT241" s="12">
        <v>2</v>
      </c>
      <c r="AU241" s="12" t="s">
        <v>16</v>
      </c>
      <c r="AV241" s="12">
        <v>2</v>
      </c>
      <c r="AW241" s="12" t="s">
        <v>14</v>
      </c>
      <c r="AX241" s="12">
        <v>2</v>
      </c>
      <c r="AY241" s="12" t="s">
        <v>14</v>
      </c>
      <c r="AZ241" s="12">
        <v>2</v>
      </c>
      <c r="BA241" s="12" t="s">
        <v>14</v>
      </c>
      <c r="BB241" s="12">
        <v>2</v>
      </c>
      <c r="BC241" s="12" t="s">
        <v>14</v>
      </c>
      <c r="BD241" s="12">
        <v>2</v>
      </c>
      <c r="BE241" s="12" t="s">
        <v>14</v>
      </c>
      <c r="BF241" s="12">
        <v>2</v>
      </c>
      <c r="BG241" s="12" t="s">
        <v>14</v>
      </c>
      <c r="BH241" s="12">
        <v>2</v>
      </c>
      <c r="BI241" s="12" t="s">
        <v>16</v>
      </c>
      <c r="BJ241" s="12">
        <v>2</v>
      </c>
      <c r="BK241" s="12" t="s">
        <v>14</v>
      </c>
      <c r="BL241" s="12">
        <v>2</v>
      </c>
      <c r="BM241" s="12" t="s">
        <v>14</v>
      </c>
      <c r="BN241" s="35">
        <v>2</v>
      </c>
    </row>
    <row r="242" spans="1:66" ht="17.25" customHeight="1" x14ac:dyDescent="0.15">
      <c r="A242" s="85"/>
      <c r="B242" s="49"/>
      <c r="C242" s="49"/>
      <c r="D242" s="58" t="s">
        <v>49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 t="s">
        <v>15</v>
      </c>
      <c r="V242" s="14"/>
      <c r="W242" s="14" t="s">
        <v>15</v>
      </c>
      <c r="X242" s="14">
        <v>4</v>
      </c>
      <c r="Y242" s="14" t="s">
        <v>15</v>
      </c>
      <c r="Z242" s="14"/>
      <c r="AA242" s="14" t="s">
        <v>15</v>
      </c>
      <c r="AB242" s="14"/>
      <c r="AC242" s="14" t="s">
        <v>15</v>
      </c>
      <c r="AD242" s="14"/>
      <c r="AE242" s="14" t="s">
        <v>15</v>
      </c>
      <c r="AF242" s="14"/>
      <c r="AG242" s="14"/>
      <c r="AH242" s="14"/>
      <c r="AI242" s="14" t="s">
        <v>15</v>
      </c>
      <c r="AJ242" s="14"/>
      <c r="AK242" s="14" t="s">
        <v>15</v>
      </c>
      <c r="AL242" s="14"/>
      <c r="AM242" s="14" t="s">
        <v>15</v>
      </c>
      <c r="AN242" s="14">
        <v>4</v>
      </c>
      <c r="AO242" s="14" t="s">
        <v>15</v>
      </c>
      <c r="AP242" s="14">
        <v>3</v>
      </c>
      <c r="AQ242" s="14" t="s">
        <v>15</v>
      </c>
      <c r="AR242" s="14">
        <v>3</v>
      </c>
      <c r="AS242" s="14" t="s">
        <v>15</v>
      </c>
      <c r="AT242" s="14"/>
      <c r="AU242" s="14"/>
      <c r="AV242" s="14"/>
      <c r="AW242" s="14" t="s">
        <v>15</v>
      </c>
      <c r="AX242" s="14">
        <v>3</v>
      </c>
      <c r="AY242" s="14" t="s">
        <v>15</v>
      </c>
      <c r="AZ242" s="14">
        <v>4</v>
      </c>
      <c r="BA242" s="14" t="s">
        <v>15</v>
      </c>
      <c r="BB242" s="14">
        <v>5</v>
      </c>
      <c r="BC242" s="14" t="s">
        <v>15</v>
      </c>
      <c r="BD242" s="14">
        <v>4</v>
      </c>
      <c r="BE242" s="14" t="s">
        <v>15</v>
      </c>
      <c r="BF242" s="14">
        <v>4</v>
      </c>
      <c r="BG242" s="14" t="s">
        <v>15</v>
      </c>
      <c r="BH242" s="14"/>
      <c r="BI242" s="14"/>
      <c r="BJ242" s="14"/>
      <c r="BK242" s="14" t="s">
        <v>15</v>
      </c>
      <c r="BL242" s="14">
        <v>4</v>
      </c>
      <c r="BM242" s="14" t="s">
        <v>15</v>
      </c>
      <c r="BN242" s="37"/>
    </row>
    <row r="243" spans="1:66" ht="17.25" customHeight="1" thickBot="1" x14ac:dyDescent="0.2">
      <c r="A243" s="86"/>
      <c r="B243" s="50"/>
      <c r="C243" s="50"/>
      <c r="D243" s="59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38"/>
    </row>
    <row r="244" spans="1:66" ht="17.25" customHeight="1" x14ac:dyDescent="0.15">
      <c r="A244" s="84" t="s">
        <v>91</v>
      </c>
      <c r="B244" s="48" t="s">
        <v>107</v>
      </c>
      <c r="C244" s="48" t="s">
        <v>122</v>
      </c>
      <c r="D244" s="55" t="s">
        <v>45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14</v>
      </c>
      <c r="V244" s="11">
        <v>2</v>
      </c>
      <c r="W244" s="11" t="s">
        <v>14</v>
      </c>
      <c r="X244" s="11">
        <v>2</v>
      </c>
      <c r="Y244" s="11" t="s">
        <v>14</v>
      </c>
      <c r="Z244" s="11">
        <v>2</v>
      </c>
      <c r="AA244" s="11" t="s">
        <v>18</v>
      </c>
      <c r="AB244" s="11">
        <v>2</v>
      </c>
      <c r="AC244" s="11" t="s">
        <v>14</v>
      </c>
      <c r="AD244" s="11">
        <v>2</v>
      </c>
      <c r="AE244" s="11" t="s">
        <v>14</v>
      </c>
      <c r="AF244" s="11">
        <v>2</v>
      </c>
      <c r="AG244" s="11"/>
      <c r="AH244" s="11"/>
      <c r="AI244" s="11" t="s">
        <v>14</v>
      </c>
      <c r="AJ244" s="11">
        <v>2</v>
      </c>
      <c r="AK244" s="11" t="s">
        <v>14</v>
      </c>
      <c r="AL244" s="11">
        <v>2</v>
      </c>
      <c r="AM244" s="11" t="s">
        <v>14</v>
      </c>
      <c r="AN244" s="11">
        <v>2</v>
      </c>
      <c r="AO244" s="11" t="s">
        <v>14</v>
      </c>
      <c r="AP244" s="11">
        <v>2</v>
      </c>
      <c r="AQ244" s="11" t="s">
        <v>14</v>
      </c>
      <c r="AR244" s="11">
        <v>2</v>
      </c>
      <c r="AS244" s="11" t="s">
        <v>14</v>
      </c>
      <c r="AT244" s="11">
        <v>2</v>
      </c>
      <c r="AU244" s="11" t="s">
        <v>16</v>
      </c>
      <c r="AV244" s="11">
        <v>1</v>
      </c>
      <c r="AW244" s="11" t="s">
        <v>14</v>
      </c>
      <c r="AX244" s="11">
        <v>2</v>
      </c>
      <c r="AY244" s="11" t="s">
        <v>14</v>
      </c>
      <c r="AZ244" s="11">
        <v>2</v>
      </c>
      <c r="BA244" s="11" t="s">
        <v>14</v>
      </c>
      <c r="BB244" s="11">
        <v>2</v>
      </c>
      <c r="BC244" s="11" t="s">
        <v>14</v>
      </c>
      <c r="BD244" s="11">
        <v>2</v>
      </c>
      <c r="BE244" s="11" t="s">
        <v>14</v>
      </c>
      <c r="BF244" s="11">
        <v>2</v>
      </c>
      <c r="BG244" s="11" t="s">
        <v>14</v>
      </c>
      <c r="BH244" s="11">
        <v>2</v>
      </c>
      <c r="BI244" s="11" t="s">
        <v>16</v>
      </c>
      <c r="BJ244" s="11">
        <v>1</v>
      </c>
      <c r="BK244" s="11" t="s">
        <v>14</v>
      </c>
      <c r="BL244" s="11">
        <v>2</v>
      </c>
      <c r="BM244" s="11" t="s">
        <v>14</v>
      </c>
      <c r="BN244" s="34">
        <v>2</v>
      </c>
    </row>
    <row r="245" spans="1:66" ht="17.25" customHeight="1" x14ac:dyDescent="0.15">
      <c r="A245" s="85"/>
      <c r="B245" s="49"/>
      <c r="C245" s="49"/>
      <c r="D245" s="56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 t="s">
        <v>14</v>
      </c>
      <c r="V245" s="12">
        <v>2</v>
      </c>
      <c r="W245" s="12" t="s">
        <v>14</v>
      </c>
      <c r="X245" s="12">
        <v>2</v>
      </c>
      <c r="Y245" s="12" t="s">
        <v>14</v>
      </c>
      <c r="Z245" s="12">
        <v>2</v>
      </c>
      <c r="AA245" s="12" t="s">
        <v>18</v>
      </c>
      <c r="AB245" s="12">
        <v>2</v>
      </c>
      <c r="AC245" s="12" t="s">
        <v>14</v>
      </c>
      <c r="AD245" s="12">
        <v>2</v>
      </c>
      <c r="AE245" s="12" t="s">
        <v>14</v>
      </c>
      <c r="AF245" s="12">
        <v>2</v>
      </c>
      <c r="AG245" s="12"/>
      <c r="AH245" s="12"/>
      <c r="AI245" s="12" t="s">
        <v>14</v>
      </c>
      <c r="AJ245" s="12">
        <v>2</v>
      </c>
      <c r="AK245" s="12" t="s">
        <v>14</v>
      </c>
      <c r="AL245" s="12">
        <v>2</v>
      </c>
      <c r="AM245" s="12" t="s">
        <v>14</v>
      </c>
      <c r="AN245" s="12">
        <v>2</v>
      </c>
      <c r="AO245" s="12" t="s">
        <v>14</v>
      </c>
      <c r="AP245" s="12">
        <v>2</v>
      </c>
      <c r="AQ245" s="12" t="s">
        <v>14</v>
      </c>
      <c r="AR245" s="12">
        <v>2</v>
      </c>
      <c r="AS245" s="12" t="s">
        <v>14</v>
      </c>
      <c r="AT245" s="12">
        <v>2</v>
      </c>
      <c r="AU245" s="12" t="s">
        <v>16</v>
      </c>
      <c r="AV245" s="12">
        <v>2</v>
      </c>
      <c r="AW245" s="12" t="s">
        <v>14</v>
      </c>
      <c r="AX245" s="12">
        <v>2</v>
      </c>
      <c r="AY245" s="12" t="s">
        <v>14</v>
      </c>
      <c r="AZ245" s="12">
        <v>2</v>
      </c>
      <c r="BA245" s="12" t="s">
        <v>14</v>
      </c>
      <c r="BB245" s="12">
        <v>2</v>
      </c>
      <c r="BC245" s="12" t="s">
        <v>14</v>
      </c>
      <c r="BD245" s="12">
        <v>2</v>
      </c>
      <c r="BE245" s="12" t="s">
        <v>14</v>
      </c>
      <c r="BF245" s="12">
        <v>2</v>
      </c>
      <c r="BG245" s="12" t="s">
        <v>14</v>
      </c>
      <c r="BH245" s="12">
        <v>2</v>
      </c>
      <c r="BI245" s="12" t="s">
        <v>16</v>
      </c>
      <c r="BJ245" s="12">
        <v>2</v>
      </c>
      <c r="BK245" s="12" t="s">
        <v>14</v>
      </c>
      <c r="BL245" s="12">
        <v>2</v>
      </c>
      <c r="BM245" s="12" t="s">
        <v>14</v>
      </c>
      <c r="BN245" s="35">
        <v>2</v>
      </c>
    </row>
    <row r="246" spans="1:66" ht="17.25" customHeight="1" x14ac:dyDescent="0.15">
      <c r="A246" s="85"/>
      <c r="B246" s="49"/>
      <c r="C246" s="49"/>
      <c r="D246" s="57" t="s">
        <v>47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 t="s">
        <v>14</v>
      </c>
      <c r="V246" s="13">
        <v>2</v>
      </c>
      <c r="W246" s="13" t="s">
        <v>14</v>
      </c>
      <c r="X246" s="13">
        <v>2</v>
      </c>
      <c r="Y246" s="13" t="s">
        <v>14</v>
      </c>
      <c r="Z246" s="13">
        <v>2</v>
      </c>
      <c r="AA246" s="13" t="s">
        <v>18</v>
      </c>
      <c r="AB246" s="13">
        <v>2</v>
      </c>
      <c r="AC246" s="13" t="s">
        <v>14</v>
      </c>
      <c r="AD246" s="13">
        <v>2</v>
      </c>
      <c r="AE246" s="13" t="s">
        <v>14</v>
      </c>
      <c r="AF246" s="13">
        <v>2</v>
      </c>
      <c r="AG246" s="13"/>
      <c r="AH246" s="13"/>
      <c r="AI246" s="13" t="s">
        <v>14</v>
      </c>
      <c r="AJ246" s="13">
        <v>2</v>
      </c>
      <c r="AK246" s="13" t="s">
        <v>14</v>
      </c>
      <c r="AL246" s="13">
        <v>2</v>
      </c>
      <c r="AM246" s="13" t="s">
        <v>14</v>
      </c>
      <c r="AN246" s="13">
        <v>2</v>
      </c>
      <c r="AO246" s="13" t="s">
        <v>14</v>
      </c>
      <c r="AP246" s="13">
        <v>2</v>
      </c>
      <c r="AQ246" s="13" t="s">
        <v>14</v>
      </c>
      <c r="AR246" s="13">
        <v>2</v>
      </c>
      <c r="AS246" s="13" t="s">
        <v>14</v>
      </c>
      <c r="AT246" s="13">
        <v>2</v>
      </c>
      <c r="AU246" s="13"/>
      <c r="AV246" s="13"/>
      <c r="AW246" s="13" t="s">
        <v>14</v>
      </c>
      <c r="AX246" s="13">
        <v>2</v>
      </c>
      <c r="AY246" s="13" t="s">
        <v>14</v>
      </c>
      <c r="AZ246" s="13">
        <v>2</v>
      </c>
      <c r="BA246" s="13" t="s">
        <v>14</v>
      </c>
      <c r="BB246" s="13">
        <v>2</v>
      </c>
      <c r="BC246" s="13" t="s">
        <v>14</v>
      </c>
      <c r="BD246" s="13">
        <v>2</v>
      </c>
      <c r="BE246" s="13" t="s">
        <v>14</v>
      </c>
      <c r="BF246" s="13">
        <v>2</v>
      </c>
      <c r="BG246" s="13" t="s">
        <v>14</v>
      </c>
      <c r="BH246" s="13">
        <v>2</v>
      </c>
      <c r="BI246" s="13"/>
      <c r="BJ246" s="13"/>
      <c r="BK246" s="13" t="s">
        <v>14</v>
      </c>
      <c r="BL246" s="13">
        <v>2</v>
      </c>
      <c r="BM246" s="13" t="s">
        <v>14</v>
      </c>
      <c r="BN246" s="36">
        <v>2</v>
      </c>
    </row>
    <row r="247" spans="1:66" ht="17.25" customHeight="1" x14ac:dyDescent="0.15">
      <c r="A247" s="85"/>
      <c r="B247" s="49"/>
      <c r="C247" s="49"/>
      <c r="D247" s="56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 t="s">
        <v>14</v>
      </c>
      <c r="V247" s="12">
        <v>2</v>
      </c>
      <c r="W247" s="12" t="s">
        <v>14</v>
      </c>
      <c r="X247" s="12">
        <v>2</v>
      </c>
      <c r="Y247" s="12" t="s">
        <v>14</v>
      </c>
      <c r="Z247" s="12">
        <v>2</v>
      </c>
      <c r="AA247" s="12" t="s">
        <v>18</v>
      </c>
      <c r="AB247" s="12">
        <v>2</v>
      </c>
      <c r="AC247" s="12" t="s">
        <v>14</v>
      </c>
      <c r="AD247" s="12">
        <v>2</v>
      </c>
      <c r="AE247" s="12" t="s">
        <v>14</v>
      </c>
      <c r="AF247" s="12">
        <v>2</v>
      </c>
      <c r="AG247" s="12"/>
      <c r="AH247" s="12"/>
      <c r="AI247" s="12" t="s">
        <v>14</v>
      </c>
      <c r="AJ247" s="12">
        <v>2</v>
      </c>
      <c r="AK247" s="12" t="s">
        <v>14</v>
      </c>
      <c r="AL247" s="12">
        <v>2</v>
      </c>
      <c r="AM247" s="12" t="s">
        <v>14</v>
      </c>
      <c r="AN247" s="12">
        <v>2</v>
      </c>
      <c r="AO247" s="12" t="s">
        <v>14</v>
      </c>
      <c r="AP247" s="12">
        <v>2</v>
      </c>
      <c r="AQ247" s="12" t="s">
        <v>14</v>
      </c>
      <c r="AR247" s="12">
        <v>2</v>
      </c>
      <c r="AS247" s="12" t="s">
        <v>14</v>
      </c>
      <c r="AT247" s="12">
        <v>2</v>
      </c>
      <c r="AU247" s="12"/>
      <c r="AV247" s="12"/>
      <c r="AW247" s="12" t="s">
        <v>14</v>
      </c>
      <c r="AX247" s="12">
        <v>2</v>
      </c>
      <c r="AY247" s="12" t="s">
        <v>14</v>
      </c>
      <c r="AZ247" s="12">
        <v>2</v>
      </c>
      <c r="BA247" s="12" t="s">
        <v>14</v>
      </c>
      <c r="BB247" s="12">
        <v>2</v>
      </c>
      <c r="BC247" s="12" t="s">
        <v>14</v>
      </c>
      <c r="BD247" s="12">
        <v>2</v>
      </c>
      <c r="BE247" s="12" t="s">
        <v>14</v>
      </c>
      <c r="BF247" s="12">
        <v>2</v>
      </c>
      <c r="BG247" s="12" t="s">
        <v>14</v>
      </c>
      <c r="BH247" s="12">
        <v>2</v>
      </c>
      <c r="BI247" s="12"/>
      <c r="BJ247" s="12"/>
      <c r="BK247" s="12" t="s">
        <v>14</v>
      </c>
      <c r="BL247" s="12">
        <v>2</v>
      </c>
      <c r="BM247" s="12" t="s">
        <v>14</v>
      </c>
      <c r="BN247" s="35">
        <v>2</v>
      </c>
    </row>
    <row r="248" spans="1:66" ht="17.25" customHeight="1" x14ac:dyDescent="0.15">
      <c r="A248" s="85"/>
      <c r="B248" s="49"/>
      <c r="C248" s="49"/>
      <c r="D248" s="58" t="s">
        <v>49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 t="s">
        <v>15</v>
      </c>
      <c r="V248" s="14"/>
      <c r="W248" s="14" t="s">
        <v>15</v>
      </c>
      <c r="X248" s="14"/>
      <c r="Y248" s="14" t="s">
        <v>15</v>
      </c>
      <c r="Z248" s="14"/>
      <c r="AA248" s="14" t="s">
        <v>15</v>
      </c>
      <c r="AB248" s="14"/>
      <c r="AC248" s="14" t="s">
        <v>15</v>
      </c>
      <c r="AD248" s="14"/>
      <c r="AE248" s="14" t="s">
        <v>15</v>
      </c>
      <c r="AF248" s="14"/>
      <c r="AG248" s="14"/>
      <c r="AH248" s="14"/>
      <c r="AI248" s="14" t="s">
        <v>15</v>
      </c>
      <c r="AJ248" s="14"/>
      <c r="AK248" s="14" t="s">
        <v>15</v>
      </c>
      <c r="AL248" s="14">
        <v>3</v>
      </c>
      <c r="AM248" s="14" t="s">
        <v>15</v>
      </c>
      <c r="AN248" s="14"/>
      <c r="AO248" s="14" t="s">
        <v>15</v>
      </c>
      <c r="AP248" s="14">
        <v>1</v>
      </c>
      <c r="AQ248" s="14" t="s">
        <v>15</v>
      </c>
      <c r="AR248" s="14">
        <v>2</v>
      </c>
      <c r="AS248" s="14" t="s">
        <v>15</v>
      </c>
      <c r="AT248" s="14"/>
      <c r="AU248" s="14"/>
      <c r="AV248" s="14"/>
      <c r="AW248" s="14" t="s">
        <v>15</v>
      </c>
      <c r="AX248" s="14">
        <v>3</v>
      </c>
      <c r="AY248" s="14" t="s">
        <v>15</v>
      </c>
      <c r="AZ248" s="14">
        <v>3</v>
      </c>
      <c r="BA248" s="14" t="s">
        <v>15</v>
      </c>
      <c r="BB248" s="14">
        <v>2</v>
      </c>
      <c r="BC248" s="14" t="s">
        <v>15</v>
      </c>
      <c r="BD248" s="14">
        <v>3</v>
      </c>
      <c r="BE248" s="14" t="s">
        <v>15</v>
      </c>
      <c r="BF248" s="14"/>
      <c r="BG248" s="14" t="s">
        <v>15</v>
      </c>
      <c r="BH248" s="14"/>
      <c r="BI248" s="14"/>
      <c r="BJ248" s="14"/>
      <c r="BK248" s="14" t="s">
        <v>15</v>
      </c>
      <c r="BL248" s="14"/>
      <c r="BM248" s="14" t="s">
        <v>15</v>
      </c>
      <c r="BN248" s="37"/>
    </row>
    <row r="249" spans="1:66" ht="17.25" customHeight="1" thickBot="1" x14ac:dyDescent="0.2">
      <c r="A249" s="86"/>
      <c r="B249" s="50"/>
      <c r="C249" s="50"/>
      <c r="D249" s="59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38"/>
    </row>
    <row r="250" spans="1:66" ht="17.25" customHeight="1" x14ac:dyDescent="0.15">
      <c r="A250" s="84" t="s">
        <v>91</v>
      </c>
      <c r="B250" s="48" t="s">
        <v>107</v>
      </c>
      <c r="C250" s="48" t="s">
        <v>90</v>
      </c>
      <c r="D250" s="55" t="s">
        <v>45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14</v>
      </c>
      <c r="V250" s="11">
        <v>2</v>
      </c>
      <c r="W250" s="11" t="s">
        <v>14</v>
      </c>
      <c r="X250" s="11">
        <v>2</v>
      </c>
      <c r="Y250" s="11" t="s">
        <v>14</v>
      </c>
      <c r="Z250" s="11">
        <v>2</v>
      </c>
      <c r="AA250" s="11" t="s">
        <v>18</v>
      </c>
      <c r="AB250" s="11">
        <v>2</v>
      </c>
      <c r="AC250" s="11" t="s">
        <v>14</v>
      </c>
      <c r="AD250" s="11">
        <v>2</v>
      </c>
      <c r="AE250" s="11" t="s">
        <v>14</v>
      </c>
      <c r="AF250" s="11">
        <v>2</v>
      </c>
      <c r="AG250" s="11"/>
      <c r="AH250" s="11"/>
      <c r="AI250" s="11" t="s">
        <v>14</v>
      </c>
      <c r="AJ250" s="11">
        <v>2</v>
      </c>
      <c r="AK250" s="11" t="s">
        <v>14</v>
      </c>
      <c r="AL250" s="11">
        <v>2</v>
      </c>
      <c r="AM250" s="11" t="s">
        <v>14</v>
      </c>
      <c r="AN250" s="11">
        <v>2</v>
      </c>
      <c r="AO250" s="11" t="s">
        <v>14</v>
      </c>
      <c r="AP250" s="11">
        <v>2</v>
      </c>
      <c r="AQ250" s="11" t="s">
        <v>14</v>
      </c>
      <c r="AR250" s="11">
        <v>2</v>
      </c>
      <c r="AS250" s="11" t="s">
        <v>14</v>
      </c>
      <c r="AT250" s="11">
        <v>2</v>
      </c>
      <c r="AU250" s="11"/>
      <c r="AV250" s="11"/>
      <c r="AW250" s="11" t="s">
        <v>14</v>
      </c>
      <c r="AX250" s="11">
        <v>2</v>
      </c>
      <c r="AY250" s="11" t="s">
        <v>14</v>
      </c>
      <c r="AZ250" s="11">
        <v>2</v>
      </c>
      <c r="BA250" s="11" t="s">
        <v>14</v>
      </c>
      <c r="BB250" s="11">
        <v>2</v>
      </c>
      <c r="BC250" s="11" t="s">
        <v>14</v>
      </c>
      <c r="BD250" s="11">
        <v>2</v>
      </c>
      <c r="BE250" s="11" t="s">
        <v>14</v>
      </c>
      <c r="BF250" s="11">
        <v>2</v>
      </c>
      <c r="BG250" s="11" t="s">
        <v>14</v>
      </c>
      <c r="BH250" s="11">
        <v>2</v>
      </c>
      <c r="BI250" s="11"/>
      <c r="BJ250" s="11"/>
      <c r="BK250" s="11" t="s">
        <v>14</v>
      </c>
      <c r="BL250" s="11">
        <v>2</v>
      </c>
      <c r="BM250" s="11" t="s">
        <v>14</v>
      </c>
      <c r="BN250" s="34">
        <v>2</v>
      </c>
    </row>
    <row r="251" spans="1:66" ht="17.25" customHeight="1" x14ac:dyDescent="0.15">
      <c r="A251" s="85"/>
      <c r="B251" s="49"/>
      <c r="C251" s="49"/>
      <c r="D251" s="56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 t="s">
        <v>14</v>
      </c>
      <c r="V251" s="12">
        <v>2</v>
      </c>
      <c r="W251" s="12" t="s">
        <v>14</v>
      </c>
      <c r="X251" s="12">
        <v>2</v>
      </c>
      <c r="Y251" s="12" t="s">
        <v>14</v>
      </c>
      <c r="Z251" s="12">
        <v>2</v>
      </c>
      <c r="AA251" s="12" t="s">
        <v>18</v>
      </c>
      <c r="AB251" s="12">
        <v>2</v>
      </c>
      <c r="AC251" s="12" t="s">
        <v>14</v>
      </c>
      <c r="AD251" s="12">
        <v>2</v>
      </c>
      <c r="AE251" s="12" t="s">
        <v>14</v>
      </c>
      <c r="AF251" s="12">
        <v>2</v>
      </c>
      <c r="AG251" s="12"/>
      <c r="AH251" s="12"/>
      <c r="AI251" s="12" t="s">
        <v>14</v>
      </c>
      <c r="AJ251" s="12">
        <v>2</v>
      </c>
      <c r="AK251" s="12" t="s">
        <v>14</v>
      </c>
      <c r="AL251" s="12">
        <v>2</v>
      </c>
      <c r="AM251" s="12" t="s">
        <v>14</v>
      </c>
      <c r="AN251" s="12">
        <v>2</v>
      </c>
      <c r="AO251" s="12" t="s">
        <v>14</v>
      </c>
      <c r="AP251" s="12">
        <v>2</v>
      </c>
      <c r="AQ251" s="12" t="s">
        <v>14</v>
      </c>
      <c r="AR251" s="12">
        <v>2</v>
      </c>
      <c r="AS251" s="12" t="s">
        <v>14</v>
      </c>
      <c r="AT251" s="12">
        <v>2</v>
      </c>
      <c r="AU251" s="12" t="s">
        <v>16</v>
      </c>
      <c r="AV251" s="12">
        <v>2</v>
      </c>
      <c r="AW251" s="12" t="s">
        <v>14</v>
      </c>
      <c r="AX251" s="12">
        <v>2</v>
      </c>
      <c r="AY251" s="12" t="s">
        <v>14</v>
      </c>
      <c r="AZ251" s="12">
        <v>2</v>
      </c>
      <c r="BA251" s="12" t="s">
        <v>14</v>
      </c>
      <c r="BB251" s="12">
        <v>2</v>
      </c>
      <c r="BC251" s="12" t="s">
        <v>14</v>
      </c>
      <c r="BD251" s="12">
        <v>2</v>
      </c>
      <c r="BE251" s="12" t="s">
        <v>14</v>
      </c>
      <c r="BF251" s="12">
        <v>2</v>
      </c>
      <c r="BG251" s="12" t="s">
        <v>14</v>
      </c>
      <c r="BH251" s="12">
        <v>2</v>
      </c>
      <c r="BI251" s="12"/>
      <c r="BJ251" s="12"/>
      <c r="BK251" s="12" t="s">
        <v>14</v>
      </c>
      <c r="BL251" s="12">
        <v>2</v>
      </c>
      <c r="BM251" s="12" t="s">
        <v>14</v>
      </c>
      <c r="BN251" s="35">
        <v>2</v>
      </c>
    </row>
    <row r="252" spans="1:66" ht="17.25" customHeight="1" x14ac:dyDescent="0.15">
      <c r="A252" s="85"/>
      <c r="B252" s="49"/>
      <c r="C252" s="49"/>
      <c r="D252" s="57" t="s">
        <v>47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 t="s">
        <v>14</v>
      </c>
      <c r="V252" s="13">
        <v>2</v>
      </c>
      <c r="W252" s="13" t="s">
        <v>14</v>
      </c>
      <c r="X252" s="13">
        <v>2</v>
      </c>
      <c r="Y252" s="13" t="s">
        <v>14</v>
      </c>
      <c r="Z252" s="13">
        <v>2</v>
      </c>
      <c r="AA252" s="13" t="s">
        <v>14</v>
      </c>
      <c r="AB252" s="13">
        <v>2</v>
      </c>
      <c r="AC252" s="13" t="s">
        <v>14</v>
      </c>
      <c r="AD252" s="13">
        <v>2</v>
      </c>
      <c r="AE252" s="13" t="s">
        <v>14</v>
      </c>
      <c r="AF252" s="13">
        <v>2</v>
      </c>
      <c r="AG252" s="13"/>
      <c r="AH252" s="13"/>
      <c r="AI252" s="13" t="s">
        <v>14</v>
      </c>
      <c r="AJ252" s="13">
        <v>2</v>
      </c>
      <c r="AK252" s="13" t="s">
        <v>14</v>
      </c>
      <c r="AL252" s="13">
        <v>2</v>
      </c>
      <c r="AM252" s="13" t="s">
        <v>14</v>
      </c>
      <c r="AN252" s="13">
        <v>2</v>
      </c>
      <c r="AO252" s="13" t="s">
        <v>14</v>
      </c>
      <c r="AP252" s="13">
        <v>2</v>
      </c>
      <c r="AQ252" s="13" t="s">
        <v>14</v>
      </c>
      <c r="AR252" s="13">
        <v>2</v>
      </c>
      <c r="AS252" s="13" t="s">
        <v>14</v>
      </c>
      <c r="AT252" s="13">
        <v>2</v>
      </c>
      <c r="AU252" s="13" t="s">
        <v>16</v>
      </c>
      <c r="AV252" s="13">
        <v>2</v>
      </c>
      <c r="AW252" s="13" t="s">
        <v>14</v>
      </c>
      <c r="AX252" s="13">
        <v>2</v>
      </c>
      <c r="AY252" s="13" t="s">
        <v>14</v>
      </c>
      <c r="AZ252" s="13">
        <v>2</v>
      </c>
      <c r="BA252" s="13" t="s">
        <v>14</v>
      </c>
      <c r="BB252" s="13">
        <v>2</v>
      </c>
      <c r="BC252" s="13" t="s">
        <v>14</v>
      </c>
      <c r="BD252" s="13">
        <v>2</v>
      </c>
      <c r="BE252" s="13" t="s">
        <v>14</v>
      </c>
      <c r="BF252" s="13">
        <v>2</v>
      </c>
      <c r="BG252" s="13" t="s">
        <v>14</v>
      </c>
      <c r="BH252" s="13">
        <v>2</v>
      </c>
      <c r="BI252" s="13" t="s">
        <v>16</v>
      </c>
      <c r="BJ252" s="13">
        <v>2</v>
      </c>
      <c r="BK252" s="13" t="s">
        <v>14</v>
      </c>
      <c r="BL252" s="13">
        <v>2</v>
      </c>
      <c r="BM252" s="13" t="s">
        <v>14</v>
      </c>
      <c r="BN252" s="36">
        <v>2</v>
      </c>
    </row>
    <row r="253" spans="1:66" ht="17.25" customHeight="1" x14ac:dyDescent="0.15">
      <c r="A253" s="85"/>
      <c r="B253" s="49"/>
      <c r="C253" s="49"/>
      <c r="D253" s="56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 t="s">
        <v>14</v>
      </c>
      <c r="V253" s="12">
        <v>2</v>
      </c>
      <c r="W253" s="12" t="s">
        <v>14</v>
      </c>
      <c r="X253" s="12">
        <v>2</v>
      </c>
      <c r="Y253" s="12" t="s">
        <v>14</v>
      </c>
      <c r="Z253" s="12">
        <v>2</v>
      </c>
      <c r="AA253" s="12" t="s">
        <v>14</v>
      </c>
      <c r="AB253" s="12">
        <v>2</v>
      </c>
      <c r="AC253" s="12" t="s">
        <v>14</v>
      </c>
      <c r="AD253" s="12">
        <v>2</v>
      </c>
      <c r="AE253" s="12" t="s">
        <v>14</v>
      </c>
      <c r="AF253" s="12">
        <v>2</v>
      </c>
      <c r="AG253" s="12"/>
      <c r="AH253" s="12"/>
      <c r="AI253" s="12" t="s">
        <v>14</v>
      </c>
      <c r="AJ253" s="12">
        <v>2</v>
      </c>
      <c r="AK253" s="12" t="s">
        <v>14</v>
      </c>
      <c r="AL253" s="12">
        <v>2</v>
      </c>
      <c r="AM253" s="12" t="s">
        <v>14</v>
      </c>
      <c r="AN253" s="12">
        <v>2</v>
      </c>
      <c r="AO253" s="12" t="s">
        <v>14</v>
      </c>
      <c r="AP253" s="12">
        <v>2</v>
      </c>
      <c r="AQ253" s="12" t="s">
        <v>14</v>
      </c>
      <c r="AR253" s="12">
        <v>2</v>
      </c>
      <c r="AS253" s="12" t="s">
        <v>14</v>
      </c>
      <c r="AT253" s="12">
        <v>2</v>
      </c>
      <c r="AU253" s="12" t="s">
        <v>16</v>
      </c>
      <c r="AV253" s="12">
        <v>2</v>
      </c>
      <c r="AW253" s="12" t="s">
        <v>14</v>
      </c>
      <c r="AX253" s="12">
        <v>2</v>
      </c>
      <c r="AY253" s="12" t="s">
        <v>14</v>
      </c>
      <c r="AZ253" s="12">
        <v>2</v>
      </c>
      <c r="BA253" s="12" t="s">
        <v>14</v>
      </c>
      <c r="BB253" s="12">
        <v>2</v>
      </c>
      <c r="BC253" s="12" t="s">
        <v>14</v>
      </c>
      <c r="BD253" s="12">
        <v>2</v>
      </c>
      <c r="BE253" s="12" t="s">
        <v>14</v>
      </c>
      <c r="BF253" s="12">
        <v>2</v>
      </c>
      <c r="BG253" s="12" t="s">
        <v>14</v>
      </c>
      <c r="BH253" s="12">
        <v>2</v>
      </c>
      <c r="BI253" s="12" t="s">
        <v>16</v>
      </c>
      <c r="BJ253" s="12">
        <v>2</v>
      </c>
      <c r="BK253" s="12" t="s">
        <v>14</v>
      </c>
      <c r="BL253" s="12">
        <v>2</v>
      </c>
      <c r="BM253" s="12" t="s">
        <v>14</v>
      </c>
      <c r="BN253" s="35">
        <v>2</v>
      </c>
    </row>
    <row r="254" spans="1:66" ht="17.25" customHeight="1" x14ac:dyDescent="0.15">
      <c r="A254" s="85"/>
      <c r="B254" s="49"/>
      <c r="C254" s="49"/>
      <c r="D254" s="58" t="s">
        <v>49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 t="s">
        <v>15</v>
      </c>
      <c r="V254" s="14"/>
      <c r="W254" s="14" t="s">
        <v>15</v>
      </c>
      <c r="X254" s="14"/>
      <c r="Y254" s="14" t="s">
        <v>15</v>
      </c>
      <c r="Z254" s="14"/>
      <c r="AA254" s="14" t="s">
        <v>15</v>
      </c>
      <c r="AB254" s="14"/>
      <c r="AC254" s="14" t="s">
        <v>15</v>
      </c>
      <c r="AD254" s="14"/>
      <c r="AE254" s="14" t="s">
        <v>15</v>
      </c>
      <c r="AF254" s="14"/>
      <c r="AG254" s="14"/>
      <c r="AH254" s="14"/>
      <c r="AI254" s="14" t="s">
        <v>15</v>
      </c>
      <c r="AJ254" s="14">
        <v>1</v>
      </c>
      <c r="AK254" s="14" t="s">
        <v>15</v>
      </c>
      <c r="AL254" s="14">
        <v>3</v>
      </c>
      <c r="AM254" s="14" t="s">
        <v>15</v>
      </c>
      <c r="AN254" s="14"/>
      <c r="AO254" s="14" t="s">
        <v>15</v>
      </c>
      <c r="AP254" s="14">
        <v>1.5</v>
      </c>
      <c r="AQ254" s="14" t="s">
        <v>15</v>
      </c>
      <c r="AR254" s="14">
        <v>1.5</v>
      </c>
      <c r="AS254" s="14" t="s">
        <v>15</v>
      </c>
      <c r="AT254" s="14"/>
      <c r="AU254" s="14"/>
      <c r="AV254" s="14"/>
      <c r="AW254" s="14" t="s">
        <v>15</v>
      </c>
      <c r="AX254" s="14">
        <v>2.5</v>
      </c>
      <c r="AY254" s="14" t="s">
        <v>15</v>
      </c>
      <c r="AZ254" s="14">
        <v>2</v>
      </c>
      <c r="BA254" s="14" t="s">
        <v>15</v>
      </c>
      <c r="BB254" s="14"/>
      <c r="BC254" s="14" t="s">
        <v>15</v>
      </c>
      <c r="BD254" s="14">
        <v>2</v>
      </c>
      <c r="BE254" s="14" t="s">
        <v>15</v>
      </c>
      <c r="BF254" s="14"/>
      <c r="BG254" s="14" t="s">
        <v>15</v>
      </c>
      <c r="BH254" s="14"/>
      <c r="BI254" s="14"/>
      <c r="BJ254" s="14"/>
      <c r="BK254" s="14" t="s">
        <v>15</v>
      </c>
      <c r="BL254" s="14">
        <v>1.5</v>
      </c>
      <c r="BM254" s="14" t="s">
        <v>15</v>
      </c>
      <c r="BN254" s="37"/>
    </row>
    <row r="255" spans="1:66" ht="17.25" customHeight="1" thickBot="1" x14ac:dyDescent="0.2">
      <c r="A255" s="86"/>
      <c r="B255" s="50"/>
      <c r="C255" s="50"/>
      <c r="D255" s="59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38"/>
    </row>
    <row r="256" spans="1:66" ht="17.25" customHeight="1" x14ac:dyDescent="0.15">
      <c r="A256" s="84" t="s">
        <v>86</v>
      </c>
      <c r="B256" s="48" t="s">
        <v>107</v>
      </c>
      <c r="C256" s="48" t="s">
        <v>108</v>
      </c>
      <c r="D256" s="55" t="s">
        <v>45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14</v>
      </c>
      <c r="V256" s="11">
        <v>2</v>
      </c>
      <c r="W256" s="11" t="s">
        <v>14</v>
      </c>
      <c r="X256" s="11">
        <v>2</v>
      </c>
      <c r="Y256" s="11" t="s">
        <v>14</v>
      </c>
      <c r="Z256" s="11">
        <v>2</v>
      </c>
      <c r="AA256" s="11" t="s">
        <v>18</v>
      </c>
      <c r="AB256" s="11">
        <v>2</v>
      </c>
      <c r="AC256" s="11" t="s">
        <v>18</v>
      </c>
      <c r="AD256" s="11">
        <v>2</v>
      </c>
      <c r="AE256" s="11" t="s">
        <v>18</v>
      </c>
      <c r="AF256" s="11">
        <v>2</v>
      </c>
      <c r="AG256" s="11"/>
      <c r="AH256" s="11"/>
      <c r="AI256" s="11" t="s">
        <v>14</v>
      </c>
      <c r="AJ256" s="11">
        <v>2</v>
      </c>
      <c r="AK256" s="11" t="s">
        <v>14</v>
      </c>
      <c r="AL256" s="11">
        <v>2</v>
      </c>
      <c r="AM256" s="11" t="s">
        <v>14</v>
      </c>
      <c r="AN256" s="11">
        <v>2</v>
      </c>
      <c r="AO256" s="11" t="s">
        <v>14</v>
      </c>
      <c r="AP256" s="11">
        <v>2</v>
      </c>
      <c r="AQ256" s="11" t="s">
        <v>14</v>
      </c>
      <c r="AR256" s="11">
        <v>2</v>
      </c>
      <c r="AS256" s="11" t="s">
        <v>14</v>
      </c>
      <c r="AT256" s="11">
        <v>2</v>
      </c>
      <c r="AU256" s="11" t="s">
        <v>16</v>
      </c>
      <c r="AV256" s="11">
        <v>2</v>
      </c>
      <c r="AW256" s="11" t="s">
        <v>14</v>
      </c>
      <c r="AX256" s="11">
        <v>2</v>
      </c>
      <c r="AY256" s="11" t="s">
        <v>14</v>
      </c>
      <c r="AZ256" s="11">
        <v>2</v>
      </c>
      <c r="BA256" s="11" t="s">
        <v>14</v>
      </c>
      <c r="BB256" s="11">
        <v>2</v>
      </c>
      <c r="BC256" s="11" t="s">
        <v>14</v>
      </c>
      <c r="BD256" s="11">
        <v>2</v>
      </c>
      <c r="BE256" s="11" t="s">
        <v>14</v>
      </c>
      <c r="BF256" s="11">
        <v>2</v>
      </c>
      <c r="BG256" s="11" t="s">
        <v>14</v>
      </c>
      <c r="BH256" s="11">
        <v>2</v>
      </c>
      <c r="BI256" s="11" t="s">
        <v>16</v>
      </c>
      <c r="BJ256" s="11">
        <v>2</v>
      </c>
      <c r="BK256" s="11" t="s">
        <v>14</v>
      </c>
      <c r="BL256" s="11">
        <v>2</v>
      </c>
      <c r="BM256" s="11" t="s">
        <v>14</v>
      </c>
      <c r="BN256" s="34">
        <v>2</v>
      </c>
    </row>
    <row r="257" spans="1:66" ht="17.25" customHeight="1" x14ac:dyDescent="0.15">
      <c r="A257" s="85"/>
      <c r="B257" s="49"/>
      <c r="C257" s="49"/>
      <c r="D257" s="56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 t="s">
        <v>14</v>
      </c>
      <c r="V257" s="12">
        <v>2</v>
      </c>
      <c r="W257" s="12" t="s">
        <v>14</v>
      </c>
      <c r="X257" s="12">
        <v>2</v>
      </c>
      <c r="Y257" s="12" t="s">
        <v>14</v>
      </c>
      <c r="Z257" s="12">
        <v>2</v>
      </c>
      <c r="AA257" s="12" t="s">
        <v>18</v>
      </c>
      <c r="AB257" s="12">
        <v>2</v>
      </c>
      <c r="AC257" s="12" t="s">
        <v>18</v>
      </c>
      <c r="AD257" s="12">
        <v>2</v>
      </c>
      <c r="AE257" s="12" t="s">
        <v>18</v>
      </c>
      <c r="AF257" s="12">
        <v>2</v>
      </c>
      <c r="AG257" s="12"/>
      <c r="AH257" s="12"/>
      <c r="AI257" s="12" t="s">
        <v>14</v>
      </c>
      <c r="AJ257" s="12">
        <v>2</v>
      </c>
      <c r="AK257" s="12" t="s">
        <v>14</v>
      </c>
      <c r="AL257" s="12">
        <v>2</v>
      </c>
      <c r="AM257" s="12" t="s">
        <v>14</v>
      </c>
      <c r="AN257" s="12">
        <v>2</v>
      </c>
      <c r="AO257" s="12" t="s">
        <v>14</v>
      </c>
      <c r="AP257" s="12">
        <v>2</v>
      </c>
      <c r="AQ257" s="12" t="s">
        <v>14</v>
      </c>
      <c r="AR257" s="12">
        <v>2</v>
      </c>
      <c r="AS257" s="12" t="s">
        <v>14</v>
      </c>
      <c r="AT257" s="12">
        <v>2</v>
      </c>
      <c r="AU257" s="12" t="s">
        <v>16</v>
      </c>
      <c r="AV257" s="12">
        <v>2</v>
      </c>
      <c r="AW257" s="12" t="s">
        <v>14</v>
      </c>
      <c r="AX257" s="12">
        <v>2</v>
      </c>
      <c r="AY257" s="12" t="s">
        <v>14</v>
      </c>
      <c r="AZ257" s="12">
        <v>2</v>
      </c>
      <c r="BA257" s="12" t="s">
        <v>14</v>
      </c>
      <c r="BB257" s="12">
        <v>2</v>
      </c>
      <c r="BC257" s="12" t="s">
        <v>14</v>
      </c>
      <c r="BD257" s="12">
        <v>2</v>
      </c>
      <c r="BE257" s="12" t="s">
        <v>14</v>
      </c>
      <c r="BF257" s="12">
        <v>2</v>
      </c>
      <c r="BG257" s="12" t="s">
        <v>14</v>
      </c>
      <c r="BH257" s="12">
        <v>2</v>
      </c>
      <c r="BI257" s="12" t="s">
        <v>16</v>
      </c>
      <c r="BJ257" s="12">
        <v>2</v>
      </c>
      <c r="BK257" s="12" t="s">
        <v>14</v>
      </c>
      <c r="BL257" s="12">
        <v>2</v>
      </c>
      <c r="BM257" s="12" t="s">
        <v>14</v>
      </c>
      <c r="BN257" s="35">
        <v>2</v>
      </c>
    </row>
    <row r="258" spans="1:66" ht="17.25" customHeight="1" x14ac:dyDescent="0.15">
      <c r="A258" s="85"/>
      <c r="B258" s="49"/>
      <c r="C258" s="49"/>
      <c r="D258" s="57" t="s">
        <v>47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 t="s">
        <v>14</v>
      </c>
      <c r="V258" s="13">
        <v>2</v>
      </c>
      <c r="W258" s="13" t="s">
        <v>14</v>
      </c>
      <c r="X258" s="13">
        <v>2</v>
      </c>
      <c r="Y258" s="13" t="s">
        <v>14</v>
      </c>
      <c r="Z258" s="13">
        <v>2</v>
      </c>
      <c r="AA258" s="13" t="s">
        <v>18</v>
      </c>
      <c r="AB258" s="13">
        <v>2</v>
      </c>
      <c r="AC258" s="13" t="s">
        <v>18</v>
      </c>
      <c r="AD258" s="13">
        <v>2</v>
      </c>
      <c r="AE258" s="13" t="s">
        <v>18</v>
      </c>
      <c r="AF258" s="13">
        <v>2</v>
      </c>
      <c r="AG258" s="13"/>
      <c r="AH258" s="13"/>
      <c r="AI258" s="13" t="s">
        <v>14</v>
      </c>
      <c r="AJ258" s="13">
        <v>2</v>
      </c>
      <c r="AK258" s="13" t="s">
        <v>14</v>
      </c>
      <c r="AL258" s="13">
        <v>2</v>
      </c>
      <c r="AM258" s="13" t="s">
        <v>14</v>
      </c>
      <c r="AN258" s="13">
        <v>2</v>
      </c>
      <c r="AO258" s="13" t="s">
        <v>14</v>
      </c>
      <c r="AP258" s="13">
        <v>2</v>
      </c>
      <c r="AQ258" s="13" t="s">
        <v>14</v>
      </c>
      <c r="AR258" s="13">
        <v>2</v>
      </c>
      <c r="AS258" s="13" t="s">
        <v>14</v>
      </c>
      <c r="AT258" s="13">
        <v>2</v>
      </c>
      <c r="AU258" s="13" t="s">
        <v>16</v>
      </c>
      <c r="AV258" s="13">
        <v>2</v>
      </c>
      <c r="AW258" s="13" t="s">
        <v>14</v>
      </c>
      <c r="AX258" s="13">
        <v>2</v>
      </c>
      <c r="AY258" s="13" t="s">
        <v>14</v>
      </c>
      <c r="AZ258" s="13">
        <v>2</v>
      </c>
      <c r="BA258" s="13" t="s">
        <v>14</v>
      </c>
      <c r="BB258" s="13">
        <v>2</v>
      </c>
      <c r="BC258" s="13" t="s">
        <v>14</v>
      </c>
      <c r="BD258" s="13">
        <v>2</v>
      </c>
      <c r="BE258" s="13" t="s">
        <v>14</v>
      </c>
      <c r="BF258" s="13">
        <v>2</v>
      </c>
      <c r="BG258" s="13" t="s">
        <v>14</v>
      </c>
      <c r="BH258" s="13">
        <v>2</v>
      </c>
      <c r="BI258" s="13" t="s">
        <v>16</v>
      </c>
      <c r="BJ258" s="13">
        <v>2</v>
      </c>
      <c r="BK258" s="13" t="s">
        <v>14</v>
      </c>
      <c r="BL258" s="13">
        <v>2</v>
      </c>
      <c r="BM258" s="13" t="s">
        <v>14</v>
      </c>
      <c r="BN258" s="36">
        <v>2</v>
      </c>
    </row>
    <row r="259" spans="1:66" ht="17.25" customHeight="1" x14ac:dyDescent="0.15">
      <c r="A259" s="85"/>
      <c r="B259" s="49"/>
      <c r="C259" s="49"/>
      <c r="D259" s="56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 t="s">
        <v>14</v>
      </c>
      <c r="V259" s="12">
        <v>2</v>
      </c>
      <c r="W259" s="12" t="s">
        <v>14</v>
      </c>
      <c r="X259" s="12">
        <v>2</v>
      </c>
      <c r="Y259" s="12" t="s">
        <v>14</v>
      </c>
      <c r="Z259" s="12">
        <v>2</v>
      </c>
      <c r="AA259" s="12" t="s">
        <v>18</v>
      </c>
      <c r="AB259" s="12">
        <v>2</v>
      </c>
      <c r="AC259" s="12" t="s">
        <v>18</v>
      </c>
      <c r="AD259" s="12">
        <v>2</v>
      </c>
      <c r="AE259" s="12" t="s">
        <v>18</v>
      </c>
      <c r="AF259" s="12">
        <v>2</v>
      </c>
      <c r="AG259" s="12"/>
      <c r="AH259" s="12"/>
      <c r="AI259" s="12" t="s">
        <v>14</v>
      </c>
      <c r="AJ259" s="12">
        <v>2</v>
      </c>
      <c r="AK259" s="12" t="s">
        <v>14</v>
      </c>
      <c r="AL259" s="12">
        <v>2</v>
      </c>
      <c r="AM259" s="12" t="s">
        <v>14</v>
      </c>
      <c r="AN259" s="12">
        <v>2</v>
      </c>
      <c r="AO259" s="12" t="s">
        <v>14</v>
      </c>
      <c r="AP259" s="12">
        <v>2</v>
      </c>
      <c r="AQ259" s="12" t="s">
        <v>14</v>
      </c>
      <c r="AR259" s="12">
        <v>2</v>
      </c>
      <c r="AS259" s="12" t="s">
        <v>14</v>
      </c>
      <c r="AT259" s="12">
        <v>2</v>
      </c>
      <c r="AU259" s="12" t="s">
        <v>16</v>
      </c>
      <c r="AV259" s="12">
        <v>2</v>
      </c>
      <c r="AW259" s="12" t="s">
        <v>14</v>
      </c>
      <c r="AX259" s="12">
        <v>2</v>
      </c>
      <c r="AY259" s="12" t="s">
        <v>14</v>
      </c>
      <c r="AZ259" s="12">
        <v>2</v>
      </c>
      <c r="BA259" s="12" t="s">
        <v>14</v>
      </c>
      <c r="BB259" s="12">
        <v>2</v>
      </c>
      <c r="BC259" s="12" t="s">
        <v>14</v>
      </c>
      <c r="BD259" s="12">
        <v>2</v>
      </c>
      <c r="BE259" s="12" t="s">
        <v>14</v>
      </c>
      <c r="BF259" s="12">
        <v>2</v>
      </c>
      <c r="BG259" s="12" t="s">
        <v>14</v>
      </c>
      <c r="BH259" s="12">
        <v>2</v>
      </c>
      <c r="BI259" s="12" t="s">
        <v>16</v>
      </c>
      <c r="BJ259" s="12">
        <v>2</v>
      </c>
      <c r="BK259" s="12" t="s">
        <v>14</v>
      </c>
      <c r="BL259" s="12">
        <v>2</v>
      </c>
      <c r="BM259" s="12" t="s">
        <v>14</v>
      </c>
      <c r="BN259" s="35">
        <v>2</v>
      </c>
    </row>
    <row r="260" spans="1:66" ht="17.25" customHeight="1" x14ac:dyDescent="0.15">
      <c r="A260" s="85"/>
      <c r="B260" s="49"/>
      <c r="C260" s="49"/>
      <c r="D260" s="58" t="s">
        <v>49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 t="s">
        <v>15</v>
      </c>
      <c r="V260" s="14"/>
      <c r="W260" s="14" t="s">
        <v>15</v>
      </c>
      <c r="X260" s="14">
        <v>4</v>
      </c>
      <c r="Y260" s="14" t="s">
        <v>15</v>
      </c>
      <c r="Z260" s="14"/>
      <c r="AA260" s="14" t="s">
        <v>15</v>
      </c>
      <c r="AB260" s="14"/>
      <c r="AC260" s="14" t="s">
        <v>15</v>
      </c>
      <c r="AD260" s="14"/>
      <c r="AE260" s="14" t="s">
        <v>15</v>
      </c>
      <c r="AF260" s="14"/>
      <c r="AG260" s="14"/>
      <c r="AH260" s="14"/>
      <c r="AI260" s="14" t="s">
        <v>15</v>
      </c>
      <c r="AJ260" s="14"/>
      <c r="AK260" s="14" t="s">
        <v>15</v>
      </c>
      <c r="AL260" s="14"/>
      <c r="AM260" s="14" t="s">
        <v>15</v>
      </c>
      <c r="AN260" s="14">
        <v>4</v>
      </c>
      <c r="AO260" s="14" t="s">
        <v>15</v>
      </c>
      <c r="AP260" s="14">
        <v>3</v>
      </c>
      <c r="AQ260" s="14" t="s">
        <v>15</v>
      </c>
      <c r="AR260" s="14">
        <v>3</v>
      </c>
      <c r="AS260" s="14" t="s">
        <v>15</v>
      </c>
      <c r="AT260" s="14"/>
      <c r="AU260" s="14"/>
      <c r="AV260" s="14"/>
      <c r="AW260" s="14" t="s">
        <v>15</v>
      </c>
      <c r="AX260" s="14">
        <v>4</v>
      </c>
      <c r="AY260" s="14" t="s">
        <v>15</v>
      </c>
      <c r="AZ260" s="14">
        <v>4</v>
      </c>
      <c r="BA260" s="14" t="s">
        <v>15</v>
      </c>
      <c r="BB260" s="14"/>
      <c r="BC260" s="14" t="s">
        <v>15</v>
      </c>
      <c r="BD260" s="14">
        <v>4</v>
      </c>
      <c r="BE260" s="14" t="s">
        <v>15</v>
      </c>
      <c r="BF260" s="14">
        <v>4.5</v>
      </c>
      <c r="BG260" s="14" t="s">
        <v>15</v>
      </c>
      <c r="BH260" s="14">
        <v>5</v>
      </c>
      <c r="BI260" s="14"/>
      <c r="BJ260" s="14"/>
      <c r="BK260" s="14" t="s">
        <v>15</v>
      </c>
      <c r="BL260" s="14">
        <v>4</v>
      </c>
      <c r="BM260" s="14" t="s">
        <v>15</v>
      </c>
      <c r="BN260" s="37">
        <v>3</v>
      </c>
    </row>
    <row r="261" spans="1:66" ht="17.25" customHeight="1" thickBot="1" x14ac:dyDescent="0.2">
      <c r="A261" s="86"/>
      <c r="B261" s="50"/>
      <c r="C261" s="50"/>
      <c r="D261" s="59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38"/>
    </row>
    <row r="262" spans="1:66" ht="17.25" customHeight="1" x14ac:dyDescent="0.15">
      <c r="A262" s="84" t="s">
        <v>86</v>
      </c>
      <c r="B262" s="48" t="s">
        <v>107</v>
      </c>
      <c r="C262" s="48" t="s">
        <v>123</v>
      </c>
      <c r="D262" s="51" t="s">
        <v>45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14</v>
      </c>
      <c r="V262" s="11">
        <v>2</v>
      </c>
      <c r="W262" s="11" t="s">
        <v>14</v>
      </c>
      <c r="X262" s="11">
        <v>2</v>
      </c>
      <c r="Y262" s="11" t="s">
        <v>14</v>
      </c>
      <c r="Z262" s="11">
        <v>2</v>
      </c>
      <c r="AA262" s="11" t="s">
        <v>18</v>
      </c>
      <c r="AB262" s="11">
        <v>2</v>
      </c>
      <c r="AC262" s="11" t="s">
        <v>18</v>
      </c>
      <c r="AD262" s="11">
        <v>2</v>
      </c>
      <c r="AE262" s="11" t="s">
        <v>18</v>
      </c>
      <c r="AF262" s="11">
        <v>2</v>
      </c>
      <c r="AG262" s="11"/>
      <c r="AH262" s="11"/>
      <c r="AI262" s="11" t="s">
        <v>14</v>
      </c>
      <c r="AJ262" s="11">
        <v>2</v>
      </c>
      <c r="AK262" s="11" t="s">
        <v>14</v>
      </c>
      <c r="AL262" s="11">
        <v>2</v>
      </c>
      <c r="AM262" s="11" t="s">
        <v>14</v>
      </c>
      <c r="AN262" s="11">
        <v>2</v>
      </c>
      <c r="AO262" s="11" t="s">
        <v>14</v>
      </c>
      <c r="AP262" s="11">
        <v>2</v>
      </c>
      <c r="AQ262" s="11" t="s">
        <v>14</v>
      </c>
      <c r="AR262" s="11">
        <v>2</v>
      </c>
      <c r="AS262" s="11" t="s">
        <v>14</v>
      </c>
      <c r="AT262" s="11">
        <v>2</v>
      </c>
      <c r="AU262" s="11" t="s">
        <v>16</v>
      </c>
      <c r="AV262" s="11">
        <v>2</v>
      </c>
      <c r="AW262" s="11" t="s">
        <v>14</v>
      </c>
      <c r="AX262" s="11">
        <v>2</v>
      </c>
      <c r="AY262" s="11" t="s">
        <v>14</v>
      </c>
      <c r="AZ262" s="11">
        <v>2</v>
      </c>
      <c r="BA262" s="11" t="s">
        <v>14</v>
      </c>
      <c r="BB262" s="11">
        <v>2</v>
      </c>
      <c r="BC262" s="11" t="s">
        <v>14</v>
      </c>
      <c r="BD262" s="11">
        <v>2</v>
      </c>
      <c r="BE262" s="11" t="s">
        <v>14</v>
      </c>
      <c r="BF262" s="11">
        <v>2</v>
      </c>
      <c r="BG262" s="11" t="s">
        <v>14</v>
      </c>
      <c r="BH262" s="11">
        <v>2</v>
      </c>
      <c r="BI262" s="11" t="s">
        <v>16</v>
      </c>
      <c r="BJ262" s="11">
        <v>2</v>
      </c>
      <c r="BK262" s="11" t="s">
        <v>14</v>
      </c>
      <c r="BL262" s="11">
        <v>2</v>
      </c>
      <c r="BM262" s="11" t="s">
        <v>14</v>
      </c>
      <c r="BN262" s="34">
        <v>2</v>
      </c>
    </row>
    <row r="263" spans="1:66" ht="17.25" customHeight="1" x14ac:dyDescent="0.15">
      <c r="A263" s="85"/>
      <c r="B263" s="49"/>
      <c r="C263" s="49"/>
      <c r="D263" s="5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 t="s">
        <v>14</v>
      </c>
      <c r="V263" s="12">
        <v>2</v>
      </c>
      <c r="W263" s="12" t="s">
        <v>14</v>
      </c>
      <c r="X263" s="12">
        <v>2</v>
      </c>
      <c r="Y263" s="12" t="s">
        <v>14</v>
      </c>
      <c r="Z263" s="12">
        <v>2</v>
      </c>
      <c r="AA263" s="12" t="s">
        <v>18</v>
      </c>
      <c r="AB263" s="12">
        <v>2</v>
      </c>
      <c r="AC263" s="12" t="s">
        <v>18</v>
      </c>
      <c r="AD263" s="12">
        <v>2</v>
      </c>
      <c r="AE263" s="12" t="s">
        <v>18</v>
      </c>
      <c r="AF263" s="12">
        <v>2</v>
      </c>
      <c r="AG263" s="12"/>
      <c r="AH263" s="12"/>
      <c r="AI263" s="12" t="s">
        <v>14</v>
      </c>
      <c r="AJ263" s="12">
        <v>2</v>
      </c>
      <c r="AK263" s="12" t="s">
        <v>14</v>
      </c>
      <c r="AL263" s="12">
        <v>2</v>
      </c>
      <c r="AM263" s="12" t="s">
        <v>14</v>
      </c>
      <c r="AN263" s="12">
        <v>2</v>
      </c>
      <c r="AO263" s="12" t="s">
        <v>14</v>
      </c>
      <c r="AP263" s="12">
        <v>2</v>
      </c>
      <c r="AQ263" s="12" t="s">
        <v>14</v>
      </c>
      <c r="AR263" s="12">
        <v>2</v>
      </c>
      <c r="AS263" s="12" t="s">
        <v>14</v>
      </c>
      <c r="AT263" s="12">
        <v>2</v>
      </c>
      <c r="AU263" s="12" t="s">
        <v>16</v>
      </c>
      <c r="AV263" s="12">
        <v>2</v>
      </c>
      <c r="AW263" s="12" t="s">
        <v>14</v>
      </c>
      <c r="AX263" s="12">
        <v>2</v>
      </c>
      <c r="AY263" s="12" t="s">
        <v>14</v>
      </c>
      <c r="AZ263" s="12">
        <v>2</v>
      </c>
      <c r="BA263" s="12" t="s">
        <v>14</v>
      </c>
      <c r="BB263" s="12">
        <v>2</v>
      </c>
      <c r="BC263" s="12" t="s">
        <v>14</v>
      </c>
      <c r="BD263" s="12">
        <v>2</v>
      </c>
      <c r="BE263" s="12" t="s">
        <v>14</v>
      </c>
      <c r="BF263" s="12">
        <v>2</v>
      </c>
      <c r="BG263" s="12" t="s">
        <v>14</v>
      </c>
      <c r="BH263" s="12">
        <v>2</v>
      </c>
      <c r="BI263" s="12" t="s">
        <v>16</v>
      </c>
      <c r="BJ263" s="12">
        <v>2</v>
      </c>
      <c r="BK263" s="12" t="s">
        <v>14</v>
      </c>
      <c r="BL263" s="12">
        <v>2</v>
      </c>
      <c r="BM263" s="12" t="s">
        <v>14</v>
      </c>
      <c r="BN263" s="35">
        <v>2</v>
      </c>
    </row>
    <row r="264" spans="1:66" ht="17.25" customHeight="1" x14ac:dyDescent="0.15">
      <c r="A264" s="85"/>
      <c r="B264" s="49"/>
      <c r="C264" s="49"/>
      <c r="D264" s="53" t="s">
        <v>47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 t="s">
        <v>14</v>
      </c>
      <c r="V264" s="13">
        <v>2</v>
      </c>
      <c r="W264" s="13" t="s">
        <v>14</v>
      </c>
      <c r="X264" s="13">
        <v>2</v>
      </c>
      <c r="Y264" s="13" t="s">
        <v>14</v>
      </c>
      <c r="Z264" s="13">
        <v>2</v>
      </c>
      <c r="AA264" s="13" t="s">
        <v>18</v>
      </c>
      <c r="AB264" s="13">
        <v>2</v>
      </c>
      <c r="AC264" s="13" t="s">
        <v>18</v>
      </c>
      <c r="AD264" s="13">
        <v>2</v>
      </c>
      <c r="AE264" s="13" t="s">
        <v>18</v>
      </c>
      <c r="AF264" s="13">
        <v>2</v>
      </c>
      <c r="AG264" s="13"/>
      <c r="AH264" s="13"/>
      <c r="AI264" s="13" t="s">
        <v>14</v>
      </c>
      <c r="AJ264" s="13">
        <v>2</v>
      </c>
      <c r="AK264" s="13" t="s">
        <v>14</v>
      </c>
      <c r="AL264" s="13">
        <v>2</v>
      </c>
      <c r="AM264" s="13" t="s">
        <v>14</v>
      </c>
      <c r="AN264" s="13">
        <v>2</v>
      </c>
      <c r="AO264" s="13" t="s">
        <v>14</v>
      </c>
      <c r="AP264" s="13">
        <v>2</v>
      </c>
      <c r="AQ264" s="13" t="s">
        <v>14</v>
      </c>
      <c r="AR264" s="13">
        <v>2</v>
      </c>
      <c r="AS264" s="13" t="s">
        <v>14</v>
      </c>
      <c r="AT264" s="13">
        <v>2</v>
      </c>
      <c r="AU264" s="13" t="s">
        <v>16</v>
      </c>
      <c r="AV264" s="13">
        <v>2</v>
      </c>
      <c r="AW264" s="13" t="s">
        <v>14</v>
      </c>
      <c r="AX264" s="13">
        <v>2</v>
      </c>
      <c r="AY264" s="13" t="s">
        <v>14</v>
      </c>
      <c r="AZ264" s="13">
        <v>2</v>
      </c>
      <c r="BA264" s="13" t="s">
        <v>14</v>
      </c>
      <c r="BB264" s="13">
        <v>2</v>
      </c>
      <c r="BC264" s="13" t="s">
        <v>14</v>
      </c>
      <c r="BD264" s="13">
        <v>2</v>
      </c>
      <c r="BE264" s="13" t="s">
        <v>14</v>
      </c>
      <c r="BF264" s="13">
        <v>2</v>
      </c>
      <c r="BG264" s="13" t="s">
        <v>14</v>
      </c>
      <c r="BH264" s="13">
        <v>2</v>
      </c>
      <c r="BI264" s="13" t="s">
        <v>16</v>
      </c>
      <c r="BJ264" s="13">
        <v>2</v>
      </c>
      <c r="BK264" s="13" t="s">
        <v>14</v>
      </c>
      <c r="BL264" s="13">
        <v>2</v>
      </c>
      <c r="BM264" s="13" t="s">
        <v>14</v>
      </c>
      <c r="BN264" s="36">
        <v>2</v>
      </c>
    </row>
    <row r="265" spans="1:66" ht="17.25" customHeight="1" x14ac:dyDescent="0.15">
      <c r="A265" s="85"/>
      <c r="B265" s="49"/>
      <c r="C265" s="49"/>
      <c r="D265" s="5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 t="s">
        <v>14</v>
      </c>
      <c r="V265" s="12">
        <v>2</v>
      </c>
      <c r="W265" s="12" t="s">
        <v>14</v>
      </c>
      <c r="X265" s="12">
        <v>2</v>
      </c>
      <c r="Y265" s="12" t="s">
        <v>14</v>
      </c>
      <c r="Z265" s="12">
        <v>2</v>
      </c>
      <c r="AA265" s="12" t="s">
        <v>18</v>
      </c>
      <c r="AB265" s="12">
        <v>2</v>
      </c>
      <c r="AC265" s="12" t="s">
        <v>18</v>
      </c>
      <c r="AD265" s="12">
        <v>2</v>
      </c>
      <c r="AE265" s="12" t="s">
        <v>18</v>
      </c>
      <c r="AF265" s="12">
        <v>2</v>
      </c>
      <c r="AG265" s="12"/>
      <c r="AH265" s="12"/>
      <c r="AI265" s="12" t="s">
        <v>14</v>
      </c>
      <c r="AJ265" s="12">
        <v>2</v>
      </c>
      <c r="AK265" s="12" t="s">
        <v>14</v>
      </c>
      <c r="AL265" s="12">
        <v>2</v>
      </c>
      <c r="AM265" s="12" t="s">
        <v>14</v>
      </c>
      <c r="AN265" s="12">
        <v>2</v>
      </c>
      <c r="AO265" s="12" t="s">
        <v>14</v>
      </c>
      <c r="AP265" s="12">
        <v>2</v>
      </c>
      <c r="AQ265" s="12" t="s">
        <v>14</v>
      </c>
      <c r="AR265" s="12">
        <v>2</v>
      </c>
      <c r="AS265" s="12" t="s">
        <v>14</v>
      </c>
      <c r="AT265" s="12">
        <v>2</v>
      </c>
      <c r="AU265" s="12" t="s">
        <v>16</v>
      </c>
      <c r="AV265" s="12">
        <v>2</v>
      </c>
      <c r="AW265" s="12" t="s">
        <v>14</v>
      </c>
      <c r="AX265" s="12">
        <v>2</v>
      </c>
      <c r="AY265" s="12" t="s">
        <v>14</v>
      </c>
      <c r="AZ265" s="12">
        <v>2</v>
      </c>
      <c r="BA265" s="12" t="s">
        <v>14</v>
      </c>
      <c r="BB265" s="12">
        <v>2</v>
      </c>
      <c r="BC265" s="12" t="s">
        <v>14</v>
      </c>
      <c r="BD265" s="12">
        <v>2</v>
      </c>
      <c r="BE265" s="12" t="s">
        <v>14</v>
      </c>
      <c r="BF265" s="12">
        <v>2</v>
      </c>
      <c r="BG265" s="12" t="s">
        <v>14</v>
      </c>
      <c r="BH265" s="12">
        <v>2</v>
      </c>
      <c r="BI265" s="12" t="s">
        <v>16</v>
      </c>
      <c r="BJ265" s="12">
        <v>2</v>
      </c>
      <c r="BK265" s="12" t="s">
        <v>14</v>
      </c>
      <c r="BL265" s="12">
        <v>2</v>
      </c>
      <c r="BM265" s="12" t="s">
        <v>14</v>
      </c>
      <c r="BN265" s="35">
        <v>2</v>
      </c>
    </row>
    <row r="266" spans="1:66" ht="17.25" customHeight="1" x14ac:dyDescent="0.15">
      <c r="A266" s="85"/>
      <c r="B266" s="49"/>
      <c r="C266" s="49"/>
      <c r="D266" s="53" t="s">
        <v>49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 t="s">
        <v>15</v>
      </c>
      <c r="V266" s="14"/>
      <c r="W266" s="14" t="s">
        <v>15</v>
      </c>
      <c r="X266" s="14">
        <v>4</v>
      </c>
      <c r="Y266" s="14" t="s">
        <v>15</v>
      </c>
      <c r="Z266" s="14"/>
      <c r="AA266" s="14" t="s">
        <v>15</v>
      </c>
      <c r="AB266" s="14"/>
      <c r="AC266" s="14" t="s">
        <v>15</v>
      </c>
      <c r="AD266" s="14"/>
      <c r="AE266" s="14" t="s">
        <v>15</v>
      </c>
      <c r="AF266" s="14"/>
      <c r="AG266" s="14"/>
      <c r="AH266" s="14"/>
      <c r="AI266" s="14" t="s">
        <v>15</v>
      </c>
      <c r="AJ266" s="14">
        <v>3.5</v>
      </c>
      <c r="AK266" s="14" t="s">
        <v>15</v>
      </c>
      <c r="AL266" s="14"/>
      <c r="AM266" s="14" t="s">
        <v>15</v>
      </c>
      <c r="AN266" s="14">
        <v>4</v>
      </c>
      <c r="AO266" s="14" t="s">
        <v>15</v>
      </c>
      <c r="AP266" s="14">
        <v>3</v>
      </c>
      <c r="AQ266" s="14" t="s">
        <v>15</v>
      </c>
      <c r="AR266" s="14">
        <v>3</v>
      </c>
      <c r="AS266" s="14" t="s">
        <v>15</v>
      </c>
      <c r="AT266" s="14"/>
      <c r="AU266" s="14"/>
      <c r="AV266" s="14"/>
      <c r="AW266" s="14" t="s">
        <v>15</v>
      </c>
      <c r="AX266" s="14">
        <v>4</v>
      </c>
      <c r="AY266" s="14" t="s">
        <v>15</v>
      </c>
      <c r="AZ266" s="14">
        <v>4</v>
      </c>
      <c r="BA266" s="14" t="s">
        <v>15</v>
      </c>
      <c r="BB266" s="14">
        <v>5</v>
      </c>
      <c r="BC266" s="14" t="s">
        <v>15</v>
      </c>
      <c r="BD266" s="14">
        <v>4</v>
      </c>
      <c r="BE266" s="14" t="s">
        <v>15</v>
      </c>
      <c r="BF266" s="14">
        <v>4.5</v>
      </c>
      <c r="BG266" s="14" t="s">
        <v>15</v>
      </c>
      <c r="BH266" s="14">
        <v>5</v>
      </c>
      <c r="BI266" s="14"/>
      <c r="BJ266" s="14"/>
      <c r="BK266" s="14" t="s">
        <v>15</v>
      </c>
      <c r="BL266" s="14">
        <v>4</v>
      </c>
      <c r="BM266" s="14" t="s">
        <v>15</v>
      </c>
      <c r="BN266" s="37">
        <v>3</v>
      </c>
    </row>
    <row r="267" spans="1:66" ht="17.25" customHeight="1" thickBot="1" x14ac:dyDescent="0.2">
      <c r="A267" s="86"/>
      <c r="B267" s="50"/>
      <c r="C267" s="50"/>
      <c r="D267" s="54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38"/>
    </row>
    <row r="268" spans="1:66" ht="17.25" customHeight="1" x14ac:dyDescent="0.15">
      <c r="A268" s="84" t="s">
        <v>86</v>
      </c>
      <c r="B268" s="48" t="s">
        <v>107</v>
      </c>
      <c r="C268" s="48" t="s">
        <v>113</v>
      </c>
      <c r="D268" s="51" t="s">
        <v>45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14</v>
      </c>
      <c r="V268" s="11">
        <v>2</v>
      </c>
      <c r="W268" s="11" t="s">
        <v>14</v>
      </c>
      <c r="X268" s="11">
        <v>2</v>
      </c>
      <c r="Y268" s="11" t="s">
        <v>14</v>
      </c>
      <c r="Z268" s="11">
        <v>2</v>
      </c>
      <c r="AA268" s="11" t="s">
        <v>18</v>
      </c>
      <c r="AB268" s="11">
        <v>2</v>
      </c>
      <c r="AC268" s="11" t="s">
        <v>18</v>
      </c>
      <c r="AD268" s="11">
        <v>2</v>
      </c>
      <c r="AE268" s="11" t="s">
        <v>18</v>
      </c>
      <c r="AF268" s="11">
        <v>2</v>
      </c>
      <c r="AG268" s="11"/>
      <c r="AH268" s="11"/>
      <c r="AI268" s="11" t="s">
        <v>14</v>
      </c>
      <c r="AJ268" s="11">
        <v>2</v>
      </c>
      <c r="AK268" s="11" t="s">
        <v>14</v>
      </c>
      <c r="AL268" s="11">
        <v>2</v>
      </c>
      <c r="AM268" s="11" t="s">
        <v>14</v>
      </c>
      <c r="AN268" s="11">
        <v>2</v>
      </c>
      <c r="AO268" s="11" t="s">
        <v>14</v>
      </c>
      <c r="AP268" s="11">
        <v>2</v>
      </c>
      <c r="AQ268" s="11" t="s">
        <v>14</v>
      </c>
      <c r="AR268" s="11">
        <v>2</v>
      </c>
      <c r="AS268" s="11" t="s">
        <v>14</v>
      </c>
      <c r="AT268" s="11">
        <v>2</v>
      </c>
      <c r="AU268" s="11" t="s">
        <v>16</v>
      </c>
      <c r="AV268" s="11">
        <v>2</v>
      </c>
      <c r="AW268" s="11" t="s">
        <v>14</v>
      </c>
      <c r="AX268" s="11">
        <v>2</v>
      </c>
      <c r="AY268" s="11" t="s">
        <v>14</v>
      </c>
      <c r="AZ268" s="11">
        <v>2</v>
      </c>
      <c r="BA268" s="11" t="s">
        <v>14</v>
      </c>
      <c r="BB268" s="11">
        <v>2</v>
      </c>
      <c r="BC268" s="11" t="s">
        <v>14</v>
      </c>
      <c r="BD268" s="11">
        <v>2</v>
      </c>
      <c r="BE268" s="11" t="s">
        <v>14</v>
      </c>
      <c r="BF268" s="11">
        <v>2</v>
      </c>
      <c r="BG268" s="11" t="s">
        <v>14</v>
      </c>
      <c r="BH268" s="11">
        <v>2</v>
      </c>
      <c r="BI268" s="11" t="s">
        <v>16</v>
      </c>
      <c r="BJ268" s="11">
        <v>2</v>
      </c>
      <c r="BK268" s="11" t="s">
        <v>14</v>
      </c>
      <c r="BL268" s="11">
        <v>2</v>
      </c>
      <c r="BM268" s="11" t="s">
        <v>14</v>
      </c>
      <c r="BN268" s="34">
        <v>2</v>
      </c>
    </row>
    <row r="269" spans="1:66" ht="17.25" customHeight="1" x14ac:dyDescent="0.15">
      <c r="A269" s="85"/>
      <c r="B269" s="49"/>
      <c r="C269" s="49"/>
      <c r="D269" s="5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 t="s">
        <v>14</v>
      </c>
      <c r="V269" s="12">
        <v>2</v>
      </c>
      <c r="W269" s="12" t="s">
        <v>14</v>
      </c>
      <c r="X269" s="12">
        <v>2</v>
      </c>
      <c r="Y269" s="12" t="s">
        <v>14</v>
      </c>
      <c r="Z269" s="12">
        <v>2</v>
      </c>
      <c r="AA269" s="12" t="s">
        <v>18</v>
      </c>
      <c r="AB269" s="12">
        <v>2</v>
      </c>
      <c r="AC269" s="12" t="s">
        <v>18</v>
      </c>
      <c r="AD269" s="12">
        <v>2</v>
      </c>
      <c r="AE269" s="12" t="s">
        <v>18</v>
      </c>
      <c r="AF269" s="12">
        <v>2</v>
      </c>
      <c r="AG269" s="12"/>
      <c r="AH269" s="12"/>
      <c r="AI269" s="12" t="s">
        <v>14</v>
      </c>
      <c r="AJ269" s="12">
        <v>2</v>
      </c>
      <c r="AK269" s="12" t="s">
        <v>14</v>
      </c>
      <c r="AL269" s="12">
        <v>2</v>
      </c>
      <c r="AM269" s="12" t="s">
        <v>14</v>
      </c>
      <c r="AN269" s="12">
        <v>2</v>
      </c>
      <c r="AO269" s="12" t="s">
        <v>14</v>
      </c>
      <c r="AP269" s="12">
        <v>2</v>
      </c>
      <c r="AQ269" s="12" t="s">
        <v>14</v>
      </c>
      <c r="AR269" s="12">
        <v>2</v>
      </c>
      <c r="AS269" s="12" t="s">
        <v>14</v>
      </c>
      <c r="AT269" s="12">
        <v>2</v>
      </c>
      <c r="AU269" s="12" t="s">
        <v>16</v>
      </c>
      <c r="AV269" s="12">
        <v>2</v>
      </c>
      <c r="AW269" s="12" t="s">
        <v>14</v>
      </c>
      <c r="AX269" s="12">
        <v>2</v>
      </c>
      <c r="AY269" s="12" t="s">
        <v>14</v>
      </c>
      <c r="AZ269" s="12">
        <v>2</v>
      </c>
      <c r="BA269" s="12" t="s">
        <v>14</v>
      </c>
      <c r="BB269" s="12">
        <v>2</v>
      </c>
      <c r="BC269" s="12" t="s">
        <v>14</v>
      </c>
      <c r="BD269" s="12">
        <v>2</v>
      </c>
      <c r="BE269" s="12" t="s">
        <v>14</v>
      </c>
      <c r="BF269" s="12">
        <v>2</v>
      </c>
      <c r="BG269" s="12" t="s">
        <v>14</v>
      </c>
      <c r="BH269" s="12">
        <v>2</v>
      </c>
      <c r="BI269" s="12" t="s">
        <v>16</v>
      </c>
      <c r="BJ269" s="12">
        <v>2</v>
      </c>
      <c r="BK269" s="12" t="s">
        <v>14</v>
      </c>
      <c r="BL269" s="12">
        <v>2</v>
      </c>
      <c r="BM269" s="12" t="s">
        <v>14</v>
      </c>
      <c r="BN269" s="35">
        <v>2</v>
      </c>
    </row>
    <row r="270" spans="1:66" ht="17.25" customHeight="1" x14ac:dyDescent="0.15">
      <c r="A270" s="85"/>
      <c r="B270" s="49"/>
      <c r="C270" s="49"/>
      <c r="D270" s="53" t="s">
        <v>47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 t="s">
        <v>14</v>
      </c>
      <c r="V270" s="13">
        <v>2</v>
      </c>
      <c r="W270" s="13" t="s">
        <v>14</v>
      </c>
      <c r="X270" s="13">
        <v>2</v>
      </c>
      <c r="Y270" s="13" t="s">
        <v>14</v>
      </c>
      <c r="Z270" s="13">
        <v>2</v>
      </c>
      <c r="AA270" s="13" t="s">
        <v>18</v>
      </c>
      <c r="AB270" s="13">
        <v>2</v>
      </c>
      <c r="AC270" s="13" t="s">
        <v>18</v>
      </c>
      <c r="AD270" s="13">
        <v>2</v>
      </c>
      <c r="AE270" s="13" t="s">
        <v>18</v>
      </c>
      <c r="AF270" s="13">
        <v>2</v>
      </c>
      <c r="AG270" s="13"/>
      <c r="AH270" s="13"/>
      <c r="AI270" s="13" t="s">
        <v>14</v>
      </c>
      <c r="AJ270" s="13">
        <v>2</v>
      </c>
      <c r="AK270" s="13" t="s">
        <v>14</v>
      </c>
      <c r="AL270" s="13">
        <v>2</v>
      </c>
      <c r="AM270" s="13" t="s">
        <v>14</v>
      </c>
      <c r="AN270" s="13">
        <v>2</v>
      </c>
      <c r="AO270" s="13" t="s">
        <v>14</v>
      </c>
      <c r="AP270" s="13">
        <v>2</v>
      </c>
      <c r="AQ270" s="13" t="s">
        <v>14</v>
      </c>
      <c r="AR270" s="13">
        <v>2</v>
      </c>
      <c r="AS270" s="13" t="s">
        <v>14</v>
      </c>
      <c r="AT270" s="13">
        <v>2</v>
      </c>
      <c r="AU270" s="13" t="s">
        <v>16</v>
      </c>
      <c r="AV270" s="13">
        <v>2</v>
      </c>
      <c r="AW270" s="13" t="s">
        <v>14</v>
      </c>
      <c r="AX270" s="13">
        <v>2</v>
      </c>
      <c r="AY270" s="13" t="s">
        <v>14</v>
      </c>
      <c r="AZ270" s="13">
        <v>2</v>
      </c>
      <c r="BA270" s="13" t="s">
        <v>14</v>
      </c>
      <c r="BB270" s="13">
        <v>2</v>
      </c>
      <c r="BC270" s="13" t="s">
        <v>14</v>
      </c>
      <c r="BD270" s="13">
        <v>2</v>
      </c>
      <c r="BE270" s="13" t="s">
        <v>14</v>
      </c>
      <c r="BF270" s="13">
        <v>2</v>
      </c>
      <c r="BG270" s="13" t="s">
        <v>14</v>
      </c>
      <c r="BH270" s="13">
        <v>2</v>
      </c>
      <c r="BI270" s="13" t="s">
        <v>16</v>
      </c>
      <c r="BJ270" s="13">
        <v>2</v>
      </c>
      <c r="BK270" s="13" t="s">
        <v>14</v>
      </c>
      <c r="BL270" s="13">
        <v>2</v>
      </c>
      <c r="BM270" s="13" t="s">
        <v>14</v>
      </c>
      <c r="BN270" s="36">
        <v>2</v>
      </c>
    </row>
    <row r="271" spans="1:66" ht="17.25" customHeight="1" x14ac:dyDescent="0.15">
      <c r="A271" s="85"/>
      <c r="B271" s="49"/>
      <c r="C271" s="49"/>
      <c r="D271" s="5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 t="s">
        <v>14</v>
      </c>
      <c r="V271" s="12">
        <v>2</v>
      </c>
      <c r="W271" s="12" t="s">
        <v>14</v>
      </c>
      <c r="X271" s="12">
        <v>2</v>
      </c>
      <c r="Y271" s="12" t="s">
        <v>14</v>
      </c>
      <c r="Z271" s="12">
        <v>2</v>
      </c>
      <c r="AA271" s="12" t="s">
        <v>18</v>
      </c>
      <c r="AB271" s="12">
        <v>2</v>
      </c>
      <c r="AC271" s="12" t="s">
        <v>18</v>
      </c>
      <c r="AD271" s="12">
        <v>2</v>
      </c>
      <c r="AE271" s="12" t="s">
        <v>18</v>
      </c>
      <c r="AF271" s="12">
        <v>2</v>
      </c>
      <c r="AG271" s="12"/>
      <c r="AH271" s="12"/>
      <c r="AI271" s="12" t="s">
        <v>14</v>
      </c>
      <c r="AJ271" s="12">
        <v>2</v>
      </c>
      <c r="AK271" s="12" t="s">
        <v>14</v>
      </c>
      <c r="AL271" s="12">
        <v>2</v>
      </c>
      <c r="AM271" s="12" t="s">
        <v>14</v>
      </c>
      <c r="AN271" s="12">
        <v>2</v>
      </c>
      <c r="AO271" s="12" t="s">
        <v>14</v>
      </c>
      <c r="AP271" s="12">
        <v>2</v>
      </c>
      <c r="AQ271" s="12" t="s">
        <v>14</v>
      </c>
      <c r="AR271" s="12">
        <v>2</v>
      </c>
      <c r="AS271" s="12" t="s">
        <v>14</v>
      </c>
      <c r="AT271" s="12">
        <v>2</v>
      </c>
      <c r="AU271" s="12" t="s">
        <v>16</v>
      </c>
      <c r="AV271" s="12">
        <v>2</v>
      </c>
      <c r="AW271" s="12" t="s">
        <v>14</v>
      </c>
      <c r="AX271" s="12">
        <v>2</v>
      </c>
      <c r="AY271" s="12" t="s">
        <v>14</v>
      </c>
      <c r="AZ271" s="12">
        <v>2</v>
      </c>
      <c r="BA271" s="12" t="s">
        <v>14</v>
      </c>
      <c r="BB271" s="12">
        <v>2</v>
      </c>
      <c r="BC271" s="12" t="s">
        <v>14</v>
      </c>
      <c r="BD271" s="12">
        <v>2</v>
      </c>
      <c r="BE271" s="12" t="s">
        <v>14</v>
      </c>
      <c r="BF271" s="12">
        <v>2</v>
      </c>
      <c r="BG271" s="12" t="s">
        <v>14</v>
      </c>
      <c r="BH271" s="12">
        <v>2</v>
      </c>
      <c r="BI271" s="12" t="s">
        <v>16</v>
      </c>
      <c r="BJ271" s="12">
        <v>2</v>
      </c>
      <c r="BK271" s="12" t="s">
        <v>14</v>
      </c>
      <c r="BL271" s="12">
        <v>2</v>
      </c>
      <c r="BM271" s="12" t="s">
        <v>14</v>
      </c>
      <c r="BN271" s="35">
        <v>2</v>
      </c>
    </row>
    <row r="272" spans="1:66" ht="17.25" customHeight="1" x14ac:dyDescent="0.15">
      <c r="A272" s="85"/>
      <c r="B272" s="49"/>
      <c r="C272" s="49"/>
      <c r="D272" s="53" t="s">
        <v>49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 t="s">
        <v>15</v>
      </c>
      <c r="V272" s="14"/>
      <c r="W272" s="14" t="s">
        <v>15</v>
      </c>
      <c r="X272" s="14">
        <v>4</v>
      </c>
      <c r="Y272" s="14" t="s">
        <v>15</v>
      </c>
      <c r="Z272" s="14"/>
      <c r="AA272" s="14" t="s">
        <v>15</v>
      </c>
      <c r="AB272" s="14"/>
      <c r="AC272" s="14" t="s">
        <v>15</v>
      </c>
      <c r="AD272" s="14"/>
      <c r="AE272" s="14" t="s">
        <v>15</v>
      </c>
      <c r="AF272" s="14"/>
      <c r="AG272" s="14"/>
      <c r="AH272" s="14"/>
      <c r="AI272" s="14" t="s">
        <v>15</v>
      </c>
      <c r="AJ272" s="14"/>
      <c r="AK272" s="14" t="s">
        <v>15</v>
      </c>
      <c r="AL272" s="14"/>
      <c r="AM272" s="14" t="s">
        <v>15</v>
      </c>
      <c r="AN272" s="14">
        <v>4</v>
      </c>
      <c r="AO272" s="14" t="s">
        <v>15</v>
      </c>
      <c r="AP272" s="14">
        <v>3</v>
      </c>
      <c r="AQ272" s="14" t="s">
        <v>15</v>
      </c>
      <c r="AR272" s="14">
        <v>3</v>
      </c>
      <c r="AS272" s="14" t="s">
        <v>15</v>
      </c>
      <c r="AT272" s="14"/>
      <c r="AU272" s="14"/>
      <c r="AV272" s="14"/>
      <c r="AW272" s="14" t="s">
        <v>15</v>
      </c>
      <c r="AX272" s="14">
        <v>4</v>
      </c>
      <c r="AY272" s="14" t="s">
        <v>15</v>
      </c>
      <c r="AZ272" s="14">
        <v>4</v>
      </c>
      <c r="BA272" s="14" t="s">
        <v>15</v>
      </c>
      <c r="BB272" s="14">
        <v>5</v>
      </c>
      <c r="BC272" s="14" t="s">
        <v>15</v>
      </c>
      <c r="BD272" s="14">
        <v>4</v>
      </c>
      <c r="BE272" s="14" t="s">
        <v>15</v>
      </c>
      <c r="BF272" s="14">
        <v>4.5</v>
      </c>
      <c r="BG272" s="14" t="s">
        <v>15</v>
      </c>
      <c r="BH272" s="14">
        <v>5</v>
      </c>
      <c r="BI272" s="14"/>
      <c r="BJ272" s="14"/>
      <c r="BK272" s="14" t="s">
        <v>15</v>
      </c>
      <c r="BL272" s="14">
        <v>4</v>
      </c>
      <c r="BM272" s="14" t="s">
        <v>15</v>
      </c>
      <c r="BN272" s="37">
        <v>3</v>
      </c>
    </row>
    <row r="273" spans="1:66" ht="17.25" customHeight="1" thickBot="1" x14ac:dyDescent="0.2">
      <c r="A273" s="86"/>
      <c r="B273" s="50"/>
      <c r="C273" s="50"/>
      <c r="D273" s="54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38"/>
    </row>
    <row r="274" spans="1:66" ht="17.25" customHeight="1" x14ac:dyDescent="0.15">
      <c r="A274" s="84" t="s">
        <v>86</v>
      </c>
      <c r="B274" s="48" t="s">
        <v>107</v>
      </c>
      <c r="C274" s="48" t="s">
        <v>110</v>
      </c>
      <c r="D274" s="51" t="s">
        <v>45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17</v>
      </c>
      <c r="V274" s="11">
        <v>2</v>
      </c>
      <c r="W274" s="11" t="s">
        <v>17</v>
      </c>
      <c r="X274" s="11">
        <v>2</v>
      </c>
      <c r="Y274" s="11" t="s">
        <v>17</v>
      </c>
      <c r="Z274" s="11">
        <v>2</v>
      </c>
      <c r="AA274" s="11" t="s">
        <v>17</v>
      </c>
      <c r="AB274" s="11">
        <v>2</v>
      </c>
      <c r="AC274" s="11" t="s">
        <v>17</v>
      </c>
      <c r="AD274" s="11">
        <v>2</v>
      </c>
      <c r="AE274" s="11" t="s">
        <v>17</v>
      </c>
      <c r="AF274" s="11">
        <v>2</v>
      </c>
      <c r="AG274" s="11"/>
      <c r="AH274" s="11"/>
      <c r="AI274" s="11" t="s">
        <v>17</v>
      </c>
      <c r="AJ274" s="11">
        <v>2</v>
      </c>
      <c r="AK274" s="11" t="s">
        <v>17</v>
      </c>
      <c r="AL274" s="11">
        <v>2</v>
      </c>
      <c r="AM274" s="11" t="s">
        <v>17</v>
      </c>
      <c r="AN274" s="11">
        <v>2</v>
      </c>
      <c r="AO274" s="11" t="s">
        <v>17</v>
      </c>
      <c r="AP274" s="11">
        <v>2</v>
      </c>
      <c r="AQ274" s="11" t="s">
        <v>14</v>
      </c>
      <c r="AR274" s="11">
        <v>2</v>
      </c>
      <c r="AS274" s="11" t="s">
        <v>14</v>
      </c>
      <c r="AT274" s="11">
        <v>2</v>
      </c>
      <c r="AU274" s="11" t="s">
        <v>16</v>
      </c>
      <c r="AV274" s="11">
        <v>2</v>
      </c>
      <c r="AW274" s="11" t="s">
        <v>14</v>
      </c>
      <c r="AX274" s="11">
        <v>2</v>
      </c>
      <c r="AY274" s="11" t="s">
        <v>14</v>
      </c>
      <c r="AZ274" s="11">
        <v>2</v>
      </c>
      <c r="BA274" s="11" t="s">
        <v>14</v>
      </c>
      <c r="BB274" s="11">
        <v>2</v>
      </c>
      <c r="BC274" s="11" t="s">
        <v>14</v>
      </c>
      <c r="BD274" s="11">
        <v>2</v>
      </c>
      <c r="BE274" s="11" t="s">
        <v>14</v>
      </c>
      <c r="BF274" s="11">
        <v>2</v>
      </c>
      <c r="BG274" s="11" t="s">
        <v>14</v>
      </c>
      <c r="BH274" s="11">
        <v>2</v>
      </c>
      <c r="BI274" s="11" t="s">
        <v>16</v>
      </c>
      <c r="BJ274" s="11">
        <v>2</v>
      </c>
      <c r="BK274" s="11" t="s">
        <v>14</v>
      </c>
      <c r="BL274" s="11">
        <v>2</v>
      </c>
      <c r="BM274" s="11" t="s">
        <v>14</v>
      </c>
      <c r="BN274" s="34">
        <v>2</v>
      </c>
    </row>
    <row r="275" spans="1:66" ht="17.25" customHeight="1" x14ac:dyDescent="0.15">
      <c r="A275" s="85"/>
      <c r="B275" s="49"/>
      <c r="C275" s="49"/>
      <c r="D275" s="5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 t="s">
        <v>17</v>
      </c>
      <c r="V275" s="12">
        <v>2</v>
      </c>
      <c r="W275" s="12" t="s">
        <v>17</v>
      </c>
      <c r="X275" s="12">
        <v>2</v>
      </c>
      <c r="Y275" s="12" t="s">
        <v>17</v>
      </c>
      <c r="Z275" s="12">
        <v>2</v>
      </c>
      <c r="AA275" s="12" t="s">
        <v>17</v>
      </c>
      <c r="AB275" s="12">
        <v>2</v>
      </c>
      <c r="AC275" s="12" t="s">
        <v>17</v>
      </c>
      <c r="AD275" s="12">
        <v>2</v>
      </c>
      <c r="AE275" s="12" t="s">
        <v>17</v>
      </c>
      <c r="AF275" s="12">
        <v>2</v>
      </c>
      <c r="AG275" s="12"/>
      <c r="AH275" s="12"/>
      <c r="AI275" s="12" t="s">
        <v>17</v>
      </c>
      <c r="AJ275" s="12">
        <v>2</v>
      </c>
      <c r="AK275" s="12" t="s">
        <v>17</v>
      </c>
      <c r="AL275" s="12">
        <v>2</v>
      </c>
      <c r="AM275" s="12" t="s">
        <v>17</v>
      </c>
      <c r="AN275" s="12">
        <v>2</v>
      </c>
      <c r="AO275" s="12" t="s">
        <v>17</v>
      </c>
      <c r="AP275" s="12">
        <v>2</v>
      </c>
      <c r="AQ275" s="12" t="s">
        <v>14</v>
      </c>
      <c r="AR275" s="12">
        <v>2</v>
      </c>
      <c r="AS275" s="12" t="s">
        <v>14</v>
      </c>
      <c r="AT275" s="12">
        <v>2</v>
      </c>
      <c r="AU275" s="12" t="s">
        <v>16</v>
      </c>
      <c r="AV275" s="12">
        <v>2</v>
      </c>
      <c r="AW275" s="12" t="s">
        <v>14</v>
      </c>
      <c r="AX275" s="12">
        <v>2</v>
      </c>
      <c r="AY275" s="12" t="s">
        <v>14</v>
      </c>
      <c r="AZ275" s="12">
        <v>2</v>
      </c>
      <c r="BA275" s="12" t="s">
        <v>14</v>
      </c>
      <c r="BB275" s="12">
        <v>2</v>
      </c>
      <c r="BC275" s="12" t="s">
        <v>14</v>
      </c>
      <c r="BD275" s="12">
        <v>2</v>
      </c>
      <c r="BE275" s="12" t="s">
        <v>14</v>
      </c>
      <c r="BF275" s="12">
        <v>2</v>
      </c>
      <c r="BG275" s="12" t="s">
        <v>14</v>
      </c>
      <c r="BH275" s="12">
        <v>2</v>
      </c>
      <c r="BI275" s="12" t="s">
        <v>16</v>
      </c>
      <c r="BJ275" s="12">
        <v>2</v>
      </c>
      <c r="BK275" s="12" t="s">
        <v>14</v>
      </c>
      <c r="BL275" s="12">
        <v>2</v>
      </c>
      <c r="BM275" s="12" t="s">
        <v>14</v>
      </c>
      <c r="BN275" s="35">
        <v>2</v>
      </c>
    </row>
    <row r="276" spans="1:66" ht="17.25" customHeight="1" x14ac:dyDescent="0.15">
      <c r="A276" s="85"/>
      <c r="B276" s="49"/>
      <c r="C276" s="49"/>
      <c r="D276" s="53" t="s">
        <v>47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 t="s">
        <v>17</v>
      </c>
      <c r="V276" s="13">
        <v>2</v>
      </c>
      <c r="W276" s="13" t="s">
        <v>17</v>
      </c>
      <c r="X276" s="13">
        <v>2</v>
      </c>
      <c r="Y276" s="13" t="s">
        <v>17</v>
      </c>
      <c r="Z276" s="13">
        <v>2</v>
      </c>
      <c r="AA276" s="13" t="s">
        <v>17</v>
      </c>
      <c r="AB276" s="13">
        <v>2</v>
      </c>
      <c r="AC276" s="13" t="s">
        <v>17</v>
      </c>
      <c r="AD276" s="13">
        <v>2</v>
      </c>
      <c r="AE276" s="13" t="s">
        <v>17</v>
      </c>
      <c r="AF276" s="13">
        <v>2</v>
      </c>
      <c r="AG276" s="13"/>
      <c r="AH276" s="13"/>
      <c r="AI276" s="13" t="s">
        <v>17</v>
      </c>
      <c r="AJ276" s="13">
        <v>2</v>
      </c>
      <c r="AK276" s="13" t="s">
        <v>17</v>
      </c>
      <c r="AL276" s="13">
        <v>2</v>
      </c>
      <c r="AM276" s="13" t="s">
        <v>17</v>
      </c>
      <c r="AN276" s="13">
        <v>2</v>
      </c>
      <c r="AO276" s="13" t="s">
        <v>14</v>
      </c>
      <c r="AP276" s="13">
        <v>2</v>
      </c>
      <c r="AQ276" s="13" t="s">
        <v>14</v>
      </c>
      <c r="AR276" s="13">
        <v>2</v>
      </c>
      <c r="AS276" s="13" t="s">
        <v>14</v>
      </c>
      <c r="AT276" s="13">
        <v>2</v>
      </c>
      <c r="AU276" s="13" t="s">
        <v>16</v>
      </c>
      <c r="AV276" s="13">
        <v>2</v>
      </c>
      <c r="AW276" s="13" t="s">
        <v>14</v>
      </c>
      <c r="AX276" s="13">
        <v>2</v>
      </c>
      <c r="AY276" s="13" t="s">
        <v>14</v>
      </c>
      <c r="AZ276" s="13">
        <v>2</v>
      </c>
      <c r="BA276" s="13" t="s">
        <v>14</v>
      </c>
      <c r="BB276" s="13">
        <v>2</v>
      </c>
      <c r="BC276" s="13" t="s">
        <v>14</v>
      </c>
      <c r="BD276" s="13">
        <v>2</v>
      </c>
      <c r="BE276" s="13" t="s">
        <v>14</v>
      </c>
      <c r="BF276" s="13">
        <v>2</v>
      </c>
      <c r="BG276" s="13" t="s">
        <v>14</v>
      </c>
      <c r="BH276" s="13">
        <v>2</v>
      </c>
      <c r="BI276" s="13" t="s">
        <v>16</v>
      </c>
      <c r="BJ276" s="13">
        <v>2</v>
      </c>
      <c r="BK276" s="13" t="s">
        <v>14</v>
      </c>
      <c r="BL276" s="13">
        <v>2</v>
      </c>
      <c r="BM276" s="13" t="s">
        <v>14</v>
      </c>
      <c r="BN276" s="36">
        <v>2</v>
      </c>
    </row>
    <row r="277" spans="1:66" ht="17.25" customHeight="1" x14ac:dyDescent="0.15">
      <c r="A277" s="85"/>
      <c r="B277" s="49"/>
      <c r="C277" s="49"/>
      <c r="D277" s="5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 t="s">
        <v>17</v>
      </c>
      <c r="V277" s="12">
        <v>2</v>
      </c>
      <c r="W277" s="12" t="s">
        <v>17</v>
      </c>
      <c r="X277" s="12">
        <v>2</v>
      </c>
      <c r="Y277" s="12" t="s">
        <v>17</v>
      </c>
      <c r="Z277" s="12">
        <v>2</v>
      </c>
      <c r="AA277" s="12" t="s">
        <v>17</v>
      </c>
      <c r="AB277" s="12">
        <v>2</v>
      </c>
      <c r="AC277" s="12" t="s">
        <v>17</v>
      </c>
      <c r="AD277" s="12">
        <v>2</v>
      </c>
      <c r="AE277" s="12" t="s">
        <v>17</v>
      </c>
      <c r="AF277" s="12">
        <v>2</v>
      </c>
      <c r="AG277" s="12"/>
      <c r="AH277" s="12"/>
      <c r="AI277" s="12" t="s">
        <v>17</v>
      </c>
      <c r="AJ277" s="12">
        <v>2</v>
      </c>
      <c r="AK277" s="12" t="s">
        <v>17</v>
      </c>
      <c r="AL277" s="12">
        <v>2</v>
      </c>
      <c r="AM277" s="12" t="s">
        <v>17</v>
      </c>
      <c r="AN277" s="12">
        <v>2</v>
      </c>
      <c r="AO277" s="12" t="s">
        <v>14</v>
      </c>
      <c r="AP277" s="12">
        <v>2</v>
      </c>
      <c r="AQ277" s="12" t="s">
        <v>14</v>
      </c>
      <c r="AR277" s="12">
        <v>2</v>
      </c>
      <c r="AS277" s="12" t="s">
        <v>14</v>
      </c>
      <c r="AT277" s="12">
        <v>2</v>
      </c>
      <c r="AU277" s="12" t="s">
        <v>16</v>
      </c>
      <c r="AV277" s="12">
        <v>2</v>
      </c>
      <c r="AW277" s="12" t="s">
        <v>14</v>
      </c>
      <c r="AX277" s="12">
        <v>2</v>
      </c>
      <c r="AY277" s="12" t="s">
        <v>14</v>
      </c>
      <c r="AZ277" s="12">
        <v>2</v>
      </c>
      <c r="BA277" s="12" t="s">
        <v>14</v>
      </c>
      <c r="BB277" s="12">
        <v>2</v>
      </c>
      <c r="BC277" s="12" t="s">
        <v>14</v>
      </c>
      <c r="BD277" s="12">
        <v>2</v>
      </c>
      <c r="BE277" s="12" t="s">
        <v>14</v>
      </c>
      <c r="BF277" s="12">
        <v>2</v>
      </c>
      <c r="BG277" s="12" t="s">
        <v>14</v>
      </c>
      <c r="BH277" s="12">
        <v>2</v>
      </c>
      <c r="BI277" s="12" t="s">
        <v>16</v>
      </c>
      <c r="BJ277" s="12">
        <v>2</v>
      </c>
      <c r="BK277" s="12" t="s">
        <v>14</v>
      </c>
      <c r="BL277" s="12">
        <v>2</v>
      </c>
      <c r="BM277" s="12" t="s">
        <v>14</v>
      </c>
      <c r="BN277" s="35">
        <v>2</v>
      </c>
    </row>
    <row r="278" spans="1:66" ht="17.25" customHeight="1" x14ac:dyDescent="0.15">
      <c r="A278" s="85"/>
      <c r="B278" s="49"/>
      <c r="C278" s="49"/>
      <c r="D278" s="53" t="s">
        <v>49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 t="s">
        <v>15</v>
      </c>
      <c r="V278" s="14"/>
      <c r="W278" s="14" t="s">
        <v>15</v>
      </c>
      <c r="X278" s="14"/>
      <c r="Y278" s="14" t="s">
        <v>15</v>
      </c>
      <c r="Z278" s="14"/>
      <c r="AA278" s="14" t="s">
        <v>15</v>
      </c>
      <c r="AB278" s="14"/>
      <c r="AC278" s="14" t="s">
        <v>15</v>
      </c>
      <c r="AD278" s="14"/>
      <c r="AE278" s="14" t="s">
        <v>15</v>
      </c>
      <c r="AF278" s="14"/>
      <c r="AG278" s="14"/>
      <c r="AH278" s="14"/>
      <c r="AI278" s="14" t="s">
        <v>15</v>
      </c>
      <c r="AJ278" s="14"/>
      <c r="AK278" s="14" t="s">
        <v>15</v>
      </c>
      <c r="AL278" s="14"/>
      <c r="AM278" s="14" t="s">
        <v>15</v>
      </c>
      <c r="AN278" s="14"/>
      <c r="AO278" s="14" t="s">
        <v>15</v>
      </c>
      <c r="AP278" s="14">
        <v>2</v>
      </c>
      <c r="AQ278" s="14" t="s">
        <v>15</v>
      </c>
      <c r="AR278" s="14">
        <v>3</v>
      </c>
      <c r="AS278" s="14" t="s">
        <v>15</v>
      </c>
      <c r="AT278" s="14"/>
      <c r="AU278" s="14"/>
      <c r="AV278" s="14"/>
      <c r="AW278" s="14" t="s">
        <v>15</v>
      </c>
      <c r="AX278" s="14">
        <v>4</v>
      </c>
      <c r="AY278" s="14" t="s">
        <v>15</v>
      </c>
      <c r="AZ278" s="14">
        <v>4</v>
      </c>
      <c r="BA278" s="14" t="s">
        <v>15</v>
      </c>
      <c r="BB278" s="14">
        <v>4</v>
      </c>
      <c r="BC278" s="14" t="s">
        <v>15</v>
      </c>
      <c r="BD278" s="14">
        <v>4</v>
      </c>
      <c r="BE278" s="14" t="s">
        <v>15</v>
      </c>
      <c r="BF278" s="14">
        <v>4.5</v>
      </c>
      <c r="BG278" s="14" t="s">
        <v>15</v>
      </c>
      <c r="BH278" s="14">
        <v>5</v>
      </c>
      <c r="BI278" s="14"/>
      <c r="BJ278" s="14"/>
      <c r="BK278" s="14" t="s">
        <v>15</v>
      </c>
      <c r="BL278" s="14">
        <v>4</v>
      </c>
      <c r="BM278" s="14" t="s">
        <v>15</v>
      </c>
      <c r="BN278" s="37">
        <v>3</v>
      </c>
    </row>
    <row r="279" spans="1:66" ht="17.25" customHeight="1" thickBot="1" x14ac:dyDescent="0.2">
      <c r="A279" s="86"/>
      <c r="B279" s="50"/>
      <c r="C279" s="50"/>
      <c r="D279" s="54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38"/>
    </row>
    <row r="280" spans="1:66" ht="17.25" customHeight="1" x14ac:dyDescent="0.15">
      <c r="A280" s="84" t="s">
        <v>81</v>
      </c>
      <c r="B280" s="48" t="s">
        <v>43</v>
      </c>
      <c r="C280" s="48" t="s">
        <v>73</v>
      </c>
      <c r="D280" s="51" t="s">
        <v>45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14</v>
      </c>
      <c r="V280" s="11">
        <v>2</v>
      </c>
      <c r="W280" s="11" t="s">
        <v>14</v>
      </c>
      <c r="X280" s="11">
        <v>2</v>
      </c>
      <c r="Y280" s="11" t="s">
        <v>14</v>
      </c>
      <c r="Z280" s="11">
        <v>2</v>
      </c>
      <c r="AA280" s="11" t="s">
        <v>18</v>
      </c>
      <c r="AB280" s="11">
        <v>2</v>
      </c>
      <c r="AC280" s="11" t="s">
        <v>18</v>
      </c>
      <c r="AD280" s="11">
        <v>2</v>
      </c>
      <c r="AE280" s="11" t="s">
        <v>18</v>
      </c>
      <c r="AF280" s="11">
        <v>2</v>
      </c>
      <c r="AG280" s="11"/>
      <c r="AH280" s="11"/>
      <c r="AI280" s="11" t="s">
        <v>14</v>
      </c>
      <c r="AJ280" s="11">
        <v>2</v>
      </c>
      <c r="AK280" s="11" t="s">
        <v>14</v>
      </c>
      <c r="AL280" s="11">
        <v>2</v>
      </c>
      <c r="AM280" s="11" t="s">
        <v>14</v>
      </c>
      <c r="AN280" s="11">
        <v>2</v>
      </c>
      <c r="AO280" s="11" t="s">
        <v>14</v>
      </c>
      <c r="AP280" s="11">
        <v>2</v>
      </c>
      <c r="AQ280" s="11" t="s">
        <v>14</v>
      </c>
      <c r="AR280" s="11">
        <v>2</v>
      </c>
      <c r="AS280" s="11" t="s">
        <v>14</v>
      </c>
      <c r="AT280" s="11">
        <v>2</v>
      </c>
      <c r="AU280" s="11" t="s">
        <v>16</v>
      </c>
      <c r="AV280" s="11">
        <v>2</v>
      </c>
      <c r="AW280" s="11" t="s">
        <v>14</v>
      </c>
      <c r="AX280" s="11">
        <v>2</v>
      </c>
      <c r="AY280" s="11" t="s">
        <v>14</v>
      </c>
      <c r="AZ280" s="11">
        <v>2</v>
      </c>
      <c r="BA280" s="11" t="s">
        <v>14</v>
      </c>
      <c r="BB280" s="11">
        <v>2</v>
      </c>
      <c r="BC280" s="11" t="s">
        <v>14</v>
      </c>
      <c r="BD280" s="11">
        <v>2</v>
      </c>
      <c r="BE280" s="11" t="s">
        <v>14</v>
      </c>
      <c r="BF280" s="11">
        <v>2</v>
      </c>
      <c r="BG280" s="11" t="s">
        <v>14</v>
      </c>
      <c r="BH280" s="11">
        <v>2</v>
      </c>
      <c r="BI280" s="11" t="s">
        <v>16</v>
      </c>
      <c r="BJ280" s="11">
        <v>2</v>
      </c>
      <c r="BK280" s="11" t="s">
        <v>14</v>
      </c>
      <c r="BL280" s="11">
        <v>2</v>
      </c>
      <c r="BM280" s="11" t="s">
        <v>14</v>
      </c>
      <c r="BN280" s="34">
        <v>2</v>
      </c>
    </row>
    <row r="281" spans="1:66" ht="17.25" customHeight="1" x14ac:dyDescent="0.15">
      <c r="A281" s="85"/>
      <c r="B281" s="49"/>
      <c r="C281" s="49"/>
      <c r="D281" s="5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 t="s">
        <v>14</v>
      </c>
      <c r="V281" s="12">
        <v>2</v>
      </c>
      <c r="W281" s="12" t="s">
        <v>14</v>
      </c>
      <c r="X281" s="12">
        <v>2</v>
      </c>
      <c r="Y281" s="12" t="s">
        <v>14</v>
      </c>
      <c r="Z281" s="12">
        <v>2</v>
      </c>
      <c r="AA281" s="12" t="s">
        <v>18</v>
      </c>
      <c r="AB281" s="12">
        <v>2</v>
      </c>
      <c r="AC281" s="12" t="s">
        <v>18</v>
      </c>
      <c r="AD281" s="12">
        <v>2</v>
      </c>
      <c r="AE281" s="12" t="s">
        <v>18</v>
      </c>
      <c r="AF281" s="12">
        <v>2</v>
      </c>
      <c r="AG281" s="12"/>
      <c r="AH281" s="12"/>
      <c r="AI281" s="12" t="s">
        <v>14</v>
      </c>
      <c r="AJ281" s="12">
        <v>2</v>
      </c>
      <c r="AK281" s="12" t="s">
        <v>14</v>
      </c>
      <c r="AL281" s="12">
        <v>2</v>
      </c>
      <c r="AM281" s="12" t="s">
        <v>14</v>
      </c>
      <c r="AN281" s="12">
        <v>2</v>
      </c>
      <c r="AO281" s="12" t="s">
        <v>14</v>
      </c>
      <c r="AP281" s="12">
        <v>2</v>
      </c>
      <c r="AQ281" s="12" t="s">
        <v>14</v>
      </c>
      <c r="AR281" s="12">
        <v>2</v>
      </c>
      <c r="AS281" s="12" t="s">
        <v>14</v>
      </c>
      <c r="AT281" s="12">
        <v>2</v>
      </c>
      <c r="AU281" s="12" t="s">
        <v>16</v>
      </c>
      <c r="AV281" s="12">
        <v>2</v>
      </c>
      <c r="AW281" s="12" t="s">
        <v>14</v>
      </c>
      <c r="AX281" s="12">
        <v>2</v>
      </c>
      <c r="AY281" s="12" t="s">
        <v>14</v>
      </c>
      <c r="AZ281" s="12">
        <v>2</v>
      </c>
      <c r="BA281" s="12" t="s">
        <v>14</v>
      </c>
      <c r="BB281" s="12">
        <v>2</v>
      </c>
      <c r="BC281" s="12" t="s">
        <v>14</v>
      </c>
      <c r="BD281" s="12">
        <v>2</v>
      </c>
      <c r="BE281" s="12" t="s">
        <v>14</v>
      </c>
      <c r="BF281" s="12">
        <v>2</v>
      </c>
      <c r="BG281" s="12" t="s">
        <v>14</v>
      </c>
      <c r="BH281" s="12">
        <v>2</v>
      </c>
      <c r="BI281" s="12" t="s">
        <v>16</v>
      </c>
      <c r="BJ281" s="12">
        <v>2</v>
      </c>
      <c r="BK281" s="12" t="s">
        <v>14</v>
      </c>
      <c r="BL281" s="12">
        <v>2</v>
      </c>
      <c r="BM281" s="12" t="s">
        <v>14</v>
      </c>
      <c r="BN281" s="35">
        <v>2</v>
      </c>
    </row>
    <row r="282" spans="1:66" ht="17.25" customHeight="1" x14ac:dyDescent="0.15">
      <c r="A282" s="85"/>
      <c r="B282" s="49"/>
      <c r="C282" s="49"/>
      <c r="D282" s="53" t="s">
        <v>47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 t="s">
        <v>14</v>
      </c>
      <c r="V282" s="13">
        <v>2</v>
      </c>
      <c r="W282" s="13" t="s">
        <v>14</v>
      </c>
      <c r="X282" s="13">
        <v>2</v>
      </c>
      <c r="Y282" s="13" t="s">
        <v>14</v>
      </c>
      <c r="Z282" s="13">
        <v>2</v>
      </c>
      <c r="AA282" s="13" t="s">
        <v>18</v>
      </c>
      <c r="AB282" s="13">
        <v>2</v>
      </c>
      <c r="AC282" s="13" t="s">
        <v>18</v>
      </c>
      <c r="AD282" s="13">
        <v>2</v>
      </c>
      <c r="AE282" s="13" t="s">
        <v>18</v>
      </c>
      <c r="AF282" s="13">
        <v>2</v>
      </c>
      <c r="AG282" s="13"/>
      <c r="AH282" s="13"/>
      <c r="AI282" s="13" t="s">
        <v>14</v>
      </c>
      <c r="AJ282" s="13">
        <v>2</v>
      </c>
      <c r="AK282" s="13" t="s">
        <v>14</v>
      </c>
      <c r="AL282" s="13">
        <v>2</v>
      </c>
      <c r="AM282" s="13" t="s">
        <v>14</v>
      </c>
      <c r="AN282" s="13">
        <v>2</v>
      </c>
      <c r="AO282" s="13" t="s">
        <v>14</v>
      </c>
      <c r="AP282" s="13">
        <v>2</v>
      </c>
      <c r="AQ282" s="13" t="s">
        <v>14</v>
      </c>
      <c r="AR282" s="13">
        <v>2</v>
      </c>
      <c r="AS282" s="13" t="s">
        <v>14</v>
      </c>
      <c r="AT282" s="13">
        <v>2</v>
      </c>
      <c r="AU282" s="13" t="s">
        <v>16</v>
      </c>
      <c r="AV282" s="13">
        <v>2</v>
      </c>
      <c r="AW282" s="13" t="s">
        <v>14</v>
      </c>
      <c r="AX282" s="13">
        <v>2</v>
      </c>
      <c r="AY282" s="13" t="s">
        <v>14</v>
      </c>
      <c r="AZ282" s="13">
        <v>2</v>
      </c>
      <c r="BA282" s="13" t="s">
        <v>14</v>
      </c>
      <c r="BB282" s="13">
        <v>2</v>
      </c>
      <c r="BC282" s="13" t="s">
        <v>14</v>
      </c>
      <c r="BD282" s="13">
        <v>2</v>
      </c>
      <c r="BE282" s="13" t="s">
        <v>14</v>
      </c>
      <c r="BF282" s="13">
        <v>2</v>
      </c>
      <c r="BG282" s="13" t="s">
        <v>14</v>
      </c>
      <c r="BH282" s="13">
        <v>2</v>
      </c>
      <c r="BI282" s="13" t="s">
        <v>16</v>
      </c>
      <c r="BJ282" s="13">
        <v>2</v>
      </c>
      <c r="BK282" s="13" t="s">
        <v>14</v>
      </c>
      <c r="BL282" s="13">
        <v>2</v>
      </c>
      <c r="BM282" s="13" t="s">
        <v>14</v>
      </c>
      <c r="BN282" s="36">
        <v>2</v>
      </c>
    </row>
    <row r="283" spans="1:66" ht="17.25" customHeight="1" x14ac:dyDescent="0.15">
      <c r="A283" s="85"/>
      <c r="B283" s="49"/>
      <c r="C283" s="49"/>
      <c r="D283" s="5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 t="s">
        <v>14</v>
      </c>
      <c r="V283" s="12">
        <v>2</v>
      </c>
      <c r="W283" s="12" t="s">
        <v>14</v>
      </c>
      <c r="X283" s="12">
        <v>2</v>
      </c>
      <c r="Y283" s="12" t="s">
        <v>14</v>
      </c>
      <c r="Z283" s="12">
        <v>2</v>
      </c>
      <c r="AA283" s="12" t="s">
        <v>18</v>
      </c>
      <c r="AB283" s="12">
        <v>2</v>
      </c>
      <c r="AC283" s="12" t="s">
        <v>18</v>
      </c>
      <c r="AD283" s="12">
        <v>2</v>
      </c>
      <c r="AE283" s="12" t="s">
        <v>18</v>
      </c>
      <c r="AF283" s="12">
        <v>2</v>
      </c>
      <c r="AG283" s="12"/>
      <c r="AH283" s="12"/>
      <c r="AI283" s="12" t="s">
        <v>14</v>
      </c>
      <c r="AJ283" s="12">
        <v>2</v>
      </c>
      <c r="AK283" s="12" t="s">
        <v>14</v>
      </c>
      <c r="AL283" s="12">
        <v>2</v>
      </c>
      <c r="AM283" s="12" t="s">
        <v>14</v>
      </c>
      <c r="AN283" s="12">
        <v>2</v>
      </c>
      <c r="AO283" s="12" t="s">
        <v>14</v>
      </c>
      <c r="AP283" s="12">
        <v>2</v>
      </c>
      <c r="AQ283" s="12" t="s">
        <v>14</v>
      </c>
      <c r="AR283" s="12">
        <v>2</v>
      </c>
      <c r="AS283" s="12" t="s">
        <v>14</v>
      </c>
      <c r="AT283" s="12">
        <v>2</v>
      </c>
      <c r="AU283" s="12" t="s">
        <v>16</v>
      </c>
      <c r="AV283" s="12">
        <v>2</v>
      </c>
      <c r="AW283" s="12" t="s">
        <v>14</v>
      </c>
      <c r="AX283" s="12">
        <v>2</v>
      </c>
      <c r="AY283" s="12" t="s">
        <v>14</v>
      </c>
      <c r="AZ283" s="12">
        <v>2</v>
      </c>
      <c r="BA283" s="12" t="s">
        <v>14</v>
      </c>
      <c r="BB283" s="12">
        <v>2</v>
      </c>
      <c r="BC283" s="12" t="s">
        <v>14</v>
      </c>
      <c r="BD283" s="12">
        <v>2</v>
      </c>
      <c r="BE283" s="12" t="s">
        <v>14</v>
      </c>
      <c r="BF283" s="12">
        <v>2</v>
      </c>
      <c r="BG283" s="12" t="s">
        <v>14</v>
      </c>
      <c r="BH283" s="12">
        <v>2</v>
      </c>
      <c r="BI283" s="12" t="s">
        <v>16</v>
      </c>
      <c r="BJ283" s="12">
        <v>2</v>
      </c>
      <c r="BK283" s="12" t="s">
        <v>14</v>
      </c>
      <c r="BL283" s="12">
        <v>2</v>
      </c>
      <c r="BM283" s="12" t="s">
        <v>14</v>
      </c>
      <c r="BN283" s="35">
        <v>2</v>
      </c>
    </row>
    <row r="284" spans="1:66" ht="17.25" customHeight="1" x14ac:dyDescent="0.15">
      <c r="A284" s="85"/>
      <c r="B284" s="49"/>
      <c r="C284" s="49"/>
      <c r="D284" s="53" t="s">
        <v>49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 t="s">
        <v>15</v>
      </c>
      <c r="V284" s="14"/>
      <c r="W284" s="14" t="s">
        <v>15</v>
      </c>
      <c r="X284" s="14">
        <v>4</v>
      </c>
      <c r="Y284" s="14" t="s">
        <v>15</v>
      </c>
      <c r="Z284" s="14"/>
      <c r="AA284" s="14" t="s">
        <v>15</v>
      </c>
      <c r="AB284" s="14"/>
      <c r="AC284" s="14" t="s">
        <v>15</v>
      </c>
      <c r="AD284" s="14"/>
      <c r="AE284" s="14" t="s">
        <v>15</v>
      </c>
      <c r="AF284" s="14"/>
      <c r="AG284" s="14"/>
      <c r="AH284" s="14"/>
      <c r="AI284" s="14" t="s">
        <v>15</v>
      </c>
      <c r="AJ284" s="14"/>
      <c r="AK284" s="14" t="s">
        <v>15</v>
      </c>
      <c r="AL284" s="14"/>
      <c r="AM284" s="14" t="s">
        <v>15</v>
      </c>
      <c r="AN284" s="14">
        <v>4</v>
      </c>
      <c r="AO284" s="14" t="s">
        <v>15</v>
      </c>
      <c r="AP284" s="14">
        <v>3</v>
      </c>
      <c r="AQ284" s="14" t="s">
        <v>15</v>
      </c>
      <c r="AR284" s="14">
        <v>3</v>
      </c>
      <c r="AS284" s="14" t="s">
        <v>15</v>
      </c>
      <c r="AT284" s="14"/>
      <c r="AU284" s="14"/>
      <c r="AV284" s="14"/>
      <c r="AW284" s="14" t="s">
        <v>15</v>
      </c>
      <c r="AX284" s="14">
        <v>4</v>
      </c>
      <c r="AY284" s="14" t="s">
        <v>15</v>
      </c>
      <c r="AZ284" s="14">
        <v>4</v>
      </c>
      <c r="BA284" s="14" t="s">
        <v>15</v>
      </c>
      <c r="BB284" s="14">
        <v>5</v>
      </c>
      <c r="BC284" s="14" t="s">
        <v>15</v>
      </c>
      <c r="BD284" s="14">
        <v>4</v>
      </c>
      <c r="BE284" s="14" t="s">
        <v>15</v>
      </c>
      <c r="BF284" s="14">
        <v>4.5</v>
      </c>
      <c r="BG284" s="14" t="s">
        <v>15</v>
      </c>
      <c r="BH284" s="14">
        <v>5</v>
      </c>
      <c r="BI284" s="14"/>
      <c r="BJ284" s="14"/>
      <c r="BK284" s="14" t="s">
        <v>15</v>
      </c>
      <c r="BL284" s="14">
        <v>4</v>
      </c>
      <c r="BM284" s="14" t="s">
        <v>15</v>
      </c>
      <c r="BN284" s="37">
        <v>3</v>
      </c>
    </row>
    <row r="285" spans="1:66" ht="17.25" customHeight="1" thickBot="1" x14ac:dyDescent="0.2">
      <c r="A285" s="86"/>
      <c r="B285" s="50"/>
      <c r="C285" s="50"/>
      <c r="D285" s="54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38"/>
    </row>
    <row r="286" spans="1:66" ht="17.25" customHeight="1" x14ac:dyDescent="0.15">
      <c r="A286" s="84" t="s">
        <v>81</v>
      </c>
      <c r="B286" s="48" t="s">
        <v>43</v>
      </c>
      <c r="C286" s="48" t="s">
        <v>72</v>
      </c>
      <c r="D286" s="55" t="s">
        <v>45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14</v>
      </c>
      <c r="V286" s="11">
        <v>2</v>
      </c>
      <c r="W286" s="11" t="s">
        <v>14</v>
      </c>
      <c r="X286" s="11">
        <v>2</v>
      </c>
      <c r="Y286" s="11" t="s">
        <v>14</v>
      </c>
      <c r="Z286" s="11">
        <v>2</v>
      </c>
      <c r="AA286" s="11" t="s">
        <v>18</v>
      </c>
      <c r="AB286" s="11">
        <v>2</v>
      </c>
      <c r="AC286" s="11" t="s">
        <v>18</v>
      </c>
      <c r="AD286" s="11">
        <v>2</v>
      </c>
      <c r="AE286" s="11" t="s">
        <v>18</v>
      </c>
      <c r="AF286" s="11">
        <v>2</v>
      </c>
      <c r="AG286" s="11"/>
      <c r="AH286" s="11"/>
      <c r="AI286" s="11" t="s">
        <v>14</v>
      </c>
      <c r="AJ286" s="11">
        <v>2</v>
      </c>
      <c r="AK286" s="11" t="s">
        <v>14</v>
      </c>
      <c r="AL286" s="11">
        <v>2</v>
      </c>
      <c r="AM286" s="11" t="s">
        <v>14</v>
      </c>
      <c r="AN286" s="11">
        <v>2</v>
      </c>
      <c r="AO286" s="11" t="s">
        <v>14</v>
      </c>
      <c r="AP286" s="11">
        <v>2</v>
      </c>
      <c r="AQ286" s="11" t="s">
        <v>14</v>
      </c>
      <c r="AR286" s="11">
        <v>2</v>
      </c>
      <c r="AS286" s="11" t="s">
        <v>14</v>
      </c>
      <c r="AT286" s="11">
        <v>2</v>
      </c>
      <c r="AU286" s="11" t="s">
        <v>16</v>
      </c>
      <c r="AV286" s="11">
        <v>2</v>
      </c>
      <c r="AW286" s="11" t="s">
        <v>14</v>
      </c>
      <c r="AX286" s="11">
        <v>2</v>
      </c>
      <c r="AY286" s="11" t="s">
        <v>14</v>
      </c>
      <c r="AZ286" s="11">
        <v>2</v>
      </c>
      <c r="BA286" s="11" t="s">
        <v>14</v>
      </c>
      <c r="BB286" s="11">
        <v>2</v>
      </c>
      <c r="BC286" s="11" t="s">
        <v>14</v>
      </c>
      <c r="BD286" s="11">
        <v>2</v>
      </c>
      <c r="BE286" s="11" t="s">
        <v>14</v>
      </c>
      <c r="BF286" s="11">
        <v>2</v>
      </c>
      <c r="BG286" s="11" t="s">
        <v>14</v>
      </c>
      <c r="BH286" s="11">
        <v>2</v>
      </c>
      <c r="BI286" s="11" t="s">
        <v>16</v>
      </c>
      <c r="BJ286" s="11">
        <v>2</v>
      </c>
      <c r="BK286" s="11" t="s">
        <v>14</v>
      </c>
      <c r="BL286" s="11">
        <v>2</v>
      </c>
      <c r="BM286" s="11" t="s">
        <v>14</v>
      </c>
      <c r="BN286" s="34">
        <v>2</v>
      </c>
    </row>
    <row r="287" spans="1:66" ht="17.25" customHeight="1" x14ac:dyDescent="0.15">
      <c r="A287" s="85"/>
      <c r="B287" s="49"/>
      <c r="C287" s="49"/>
      <c r="D287" s="56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 t="s">
        <v>14</v>
      </c>
      <c r="V287" s="12">
        <v>2</v>
      </c>
      <c r="W287" s="12" t="s">
        <v>14</v>
      </c>
      <c r="X287" s="12">
        <v>2</v>
      </c>
      <c r="Y287" s="12" t="s">
        <v>14</v>
      </c>
      <c r="Z287" s="12">
        <v>2</v>
      </c>
      <c r="AA287" s="12" t="s">
        <v>18</v>
      </c>
      <c r="AB287" s="12">
        <v>2</v>
      </c>
      <c r="AC287" s="12" t="s">
        <v>18</v>
      </c>
      <c r="AD287" s="12">
        <v>2</v>
      </c>
      <c r="AE287" s="12" t="s">
        <v>18</v>
      </c>
      <c r="AF287" s="12">
        <v>2</v>
      </c>
      <c r="AG287" s="12"/>
      <c r="AH287" s="12"/>
      <c r="AI287" s="12" t="s">
        <v>14</v>
      </c>
      <c r="AJ287" s="12">
        <v>2</v>
      </c>
      <c r="AK287" s="12" t="s">
        <v>14</v>
      </c>
      <c r="AL287" s="12">
        <v>2</v>
      </c>
      <c r="AM287" s="12" t="s">
        <v>14</v>
      </c>
      <c r="AN287" s="12">
        <v>2</v>
      </c>
      <c r="AO287" s="12" t="s">
        <v>14</v>
      </c>
      <c r="AP287" s="12">
        <v>2</v>
      </c>
      <c r="AQ287" s="12" t="s">
        <v>14</v>
      </c>
      <c r="AR287" s="12">
        <v>2</v>
      </c>
      <c r="AS287" s="12" t="s">
        <v>14</v>
      </c>
      <c r="AT287" s="12">
        <v>2</v>
      </c>
      <c r="AU287" s="12" t="s">
        <v>16</v>
      </c>
      <c r="AV287" s="12">
        <v>2</v>
      </c>
      <c r="AW287" s="12" t="s">
        <v>14</v>
      </c>
      <c r="AX287" s="12">
        <v>2</v>
      </c>
      <c r="AY287" s="12" t="s">
        <v>14</v>
      </c>
      <c r="AZ287" s="12">
        <v>2</v>
      </c>
      <c r="BA287" s="12" t="s">
        <v>14</v>
      </c>
      <c r="BB287" s="12">
        <v>2</v>
      </c>
      <c r="BC287" s="12" t="s">
        <v>14</v>
      </c>
      <c r="BD287" s="12">
        <v>2</v>
      </c>
      <c r="BE287" s="12" t="s">
        <v>14</v>
      </c>
      <c r="BF287" s="12">
        <v>2</v>
      </c>
      <c r="BG287" s="12" t="s">
        <v>14</v>
      </c>
      <c r="BH287" s="12">
        <v>2</v>
      </c>
      <c r="BI287" s="12" t="s">
        <v>16</v>
      </c>
      <c r="BJ287" s="12">
        <v>2</v>
      </c>
      <c r="BK287" s="12" t="s">
        <v>14</v>
      </c>
      <c r="BL287" s="12">
        <v>2</v>
      </c>
      <c r="BM287" s="12" t="s">
        <v>14</v>
      </c>
      <c r="BN287" s="35">
        <v>2</v>
      </c>
    </row>
    <row r="288" spans="1:66" ht="17.25" customHeight="1" x14ac:dyDescent="0.15">
      <c r="A288" s="85"/>
      <c r="B288" s="49"/>
      <c r="C288" s="49"/>
      <c r="D288" s="57" t="s">
        <v>47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 t="s">
        <v>14</v>
      </c>
      <c r="V288" s="13">
        <v>2</v>
      </c>
      <c r="W288" s="13" t="s">
        <v>14</v>
      </c>
      <c r="X288" s="13">
        <v>2</v>
      </c>
      <c r="Y288" s="13" t="s">
        <v>14</v>
      </c>
      <c r="Z288" s="13">
        <v>2</v>
      </c>
      <c r="AA288" s="13" t="s">
        <v>18</v>
      </c>
      <c r="AB288" s="13">
        <v>2</v>
      </c>
      <c r="AC288" s="13" t="s">
        <v>18</v>
      </c>
      <c r="AD288" s="13">
        <v>2</v>
      </c>
      <c r="AE288" s="13" t="s">
        <v>18</v>
      </c>
      <c r="AF288" s="13">
        <v>2</v>
      </c>
      <c r="AG288" s="13"/>
      <c r="AH288" s="13"/>
      <c r="AI288" s="13" t="s">
        <v>14</v>
      </c>
      <c r="AJ288" s="13">
        <v>2</v>
      </c>
      <c r="AK288" s="13" t="s">
        <v>14</v>
      </c>
      <c r="AL288" s="13">
        <v>2</v>
      </c>
      <c r="AM288" s="13" t="s">
        <v>14</v>
      </c>
      <c r="AN288" s="13">
        <v>2</v>
      </c>
      <c r="AO288" s="13" t="s">
        <v>14</v>
      </c>
      <c r="AP288" s="13">
        <v>2</v>
      </c>
      <c r="AQ288" s="13" t="s">
        <v>14</v>
      </c>
      <c r="AR288" s="13">
        <v>2</v>
      </c>
      <c r="AS288" s="13" t="s">
        <v>14</v>
      </c>
      <c r="AT288" s="13">
        <v>2</v>
      </c>
      <c r="AU288" s="13" t="s">
        <v>16</v>
      </c>
      <c r="AV288" s="13">
        <v>2</v>
      </c>
      <c r="AW288" s="13" t="s">
        <v>14</v>
      </c>
      <c r="AX288" s="13">
        <v>2</v>
      </c>
      <c r="AY288" s="13" t="s">
        <v>14</v>
      </c>
      <c r="AZ288" s="13">
        <v>2</v>
      </c>
      <c r="BA288" s="13" t="s">
        <v>14</v>
      </c>
      <c r="BB288" s="13">
        <v>2</v>
      </c>
      <c r="BC288" s="13" t="s">
        <v>14</v>
      </c>
      <c r="BD288" s="13">
        <v>2</v>
      </c>
      <c r="BE288" s="13" t="s">
        <v>14</v>
      </c>
      <c r="BF288" s="13">
        <v>2</v>
      </c>
      <c r="BG288" s="13" t="s">
        <v>14</v>
      </c>
      <c r="BH288" s="13">
        <v>2</v>
      </c>
      <c r="BI288" s="13" t="s">
        <v>16</v>
      </c>
      <c r="BJ288" s="13">
        <v>2</v>
      </c>
      <c r="BK288" s="13" t="s">
        <v>14</v>
      </c>
      <c r="BL288" s="13">
        <v>2</v>
      </c>
      <c r="BM288" s="13" t="s">
        <v>14</v>
      </c>
      <c r="BN288" s="36">
        <v>2</v>
      </c>
    </row>
    <row r="289" spans="1:66" ht="17.25" customHeight="1" x14ac:dyDescent="0.15">
      <c r="A289" s="85"/>
      <c r="B289" s="49"/>
      <c r="C289" s="49"/>
      <c r="D289" s="56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 t="s">
        <v>14</v>
      </c>
      <c r="V289" s="12">
        <v>2</v>
      </c>
      <c r="W289" s="12" t="s">
        <v>14</v>
      </c>
      <c r="X289" s="12">
        <v>2</v>
      </c>
      <c r="Y289" s="12" t="s">
        <v>14</v>
      </c>
      <c r="Z289" s="12">
        <v>2</v>
      </c>
      <c r="AA289" s="12" t="s">
        <v>18</v>
      </c>
      <c r="AB289" s="12">
        <v>2</v>
      </c>
      <c r="AC289" s="12" t="s">
        <v>18</v>
      </c>
      <c r="AD289" s="12">
        <v>2</v>
      </c>
      <c r="AE289" s="12" t="s">
        <v>18</v>
      </c>
      <c r="AF289" s="12">
        <v>2</v>
      </c>
      <c r="AG289" s="12"/>
      <c r="AH289" s="12"/>
      <c r="AI289" s="12" t="s">
        <v>14</v>
      </c>
      <c r="AJ289" s="12">
        <v>2</v>
      </c>
      <c r="AK289" s="12" t="s">
        <v>14</v>
      </c>
      <c r="AL289" s="12">
        <v>2</v>
      </c>
      <c r="AM289" s="12" t="s">
        <v>14</v>
      </c>
      <c r="AN289" s="12">
        <v>2</v>
      </c>
      <c r="AO289" s="12" t="s">
        <v>14</v>
      </c>
      <c r="AP289" s="12">
        <v>2</v>
      </c>
      <c r="AQ289" s="12" t="s">
        <v>14</v>
      </c>
      <c r="AR289" s="12">
        <v>2</v>
      </c>
      <c r="AS289" s="12" t="s">
        <v>14</v>
      </c>
      <c r="AT289" s="12">
        <v>2</v>
      </c>
      <c r="AU289" s="12" t="s">
        <v>16</v>
      </c>
      <c r="AV289" s="12">
        <v>2</v>
      </c>
      <c r="AW289" s="12" t="s">
        <v>14</v>
      </c>
      <c r="AX289" s="12">
        <v>2</v>
      </c>
      <c r="AY289" s="12" t="s">
        <v>14</v>
      </c>
      <c r="AZ289" s="12">
        <v>2</v>
      </c>
      <c r="BA289" s="12" t="s">
        <v>14</v>
      </c>
      <c r="BB289" s="12">
        <v>2</v>
      </c>
      <c r="BC289" s="12" t="s">
        <v>14</v>
      </c>
      <c r="BD289" s="12">
        <v>2</v>
      </c>
      <c r="BE289" s="12" t="s">
        <v>14</v>
      </c>
      <c r="BF289" s="12">
        <v>2</v>
      </c>
      <c r="BG289" s="12" t="s">
        <v>14</v>
      </c>
      <c r="BH289" s="12">
        <v>2</v>
      </c>
      <c r="BI289" s="12" t="s">
        <v>16</v>
      </c>
      <c r="BJ289" s="12">
        <v>2</v>
      </c>
      <c r="BK289" s="12" t="s">
        <v>14</v>
      </c>
      <c r="BL289" s="12">
        <v>2</v>
      </c>
      <c r="BM289" s="12" t="s">
        <v>14</v>
      </c>
      <c r="BN289" s="35">
        <v>2</v>
      </c>
    </row>
    <row r="290" spans="1:66" ht="17.25" customHeight="1" x14ac:dyDescent="0.15">
      <c r="A290" s="85"/>
      <c r="B290" s="49"/>
      <c r="C290" s="49"/>
      <c r="D290" s="58" t="s">
        <v>49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 t="s">
        <v>15</v>
      </c>
      <c r="V290" s="14"/>
      <c r="W290" s="14" t="s">
        <v>15</v>
      </c>
      <c r="X290" s="14">
        <v>4</v>
      </c>
      <c r="Y290" s="14" t="s">
        <v>15</v>
      </c>
      <c r="Z290" s="14"/>
      <c r="AA290" s="14" t="s">
        <v>15</v>
      </c>
      <c r="AB290" s="14"/>
      <c r="AC290" s="14" t="s">
        <v>15</v>
      </c>
      <c r="AD290" s="14"/>
      <c r="AE290" s="14" t="s">
        <v>15</v>
      </c>
      <c r="AF290" s="14"/>
      <c r="AG290" s="14"/>
      <c r="AH290" s="14"/>
      <c r="AI290" s="14" t="s">
        <v>15</v>
      </c>
      <c r="AJ290" s="14">
        <v>3</v>
      </c>
      <c r="AK290" s="14" t="s">
        <v>15</v>
      </c>
      <c r="AL290" s="14"/>
      <c r="AM290" s="14" t="s">
        <v>15</v>
      </c>
      <c r="AN290" s="14">
        <v>4</v>
      </c>
      <c r="AO290" s="14" t="s">
        <v>15</v>
      </c>
      <c r="AP290" s="14">
        <v>3</v>
      </c>
      <c r="AQ290" s="14" t="s">
        <v>15</v>
      </c>
      <c r="AR290" s="14">
        <v>3</v>
      </c>
      <c r="AS290" s="14" t="s">
        <v>15</v>
      </c>
      <c r="AT290" s="14"/>
      <c r="AU290" s="14"/>
      <c r="AV290" s="14"/>
      <c r="AW290" s="14" t="s">
        <v>15</v>
      </c>
      <c r="AX290" s="14">
        <v>4</v>
      </c>
      <c r="AY290" s="14" t="s">
        <v>15</v>
      </c>
      <c r="AZ290" s="14">
        <v>4</v>
      </c>
      <c r="BA290" s="14" t="s">
        <v>15</v>
      </c>
      <c r="BB290" s="14">
        <v>5</v>
      </c>
      <c r="BC290" s="14" t="s">
        <v>15</v>
      </c>
      <c r="BD290" s="14">
        <v>4</v>
      </c>
      <c r="BE290" s="14" t="s">
        <v>15</v>
      </c>
      <c r="BF290" s="14">
        <v>4.5</v>
      </c>
      <c r="BG290" s="14" t="s">
        <v>15</v>
      </c>
      <c r="BH290" s="14">
        <v>5</v>
      </c>
      <c r="BI290" s="14"/>
      <c r="BJ290" s="14"/>
      <c r="BK290" s="14" t="s">
        <v>15</v>
      </c>
      <c r="BL290" s="14">
        <v>4</v>
      </c>
      <c r="BM290" s="14" t="s">
        <v>15</v>
      </c>
      <c r="BN290" s="37">
        <v>3</v>
      </c>
    </row>
    <row r="291" spans="1:66" ht="17.25" customHeight="1" thickBot="1" x14ac:dyDescent="0.2">
      <c r="A291" s="86"/>
      <c r="B291" s="50"/>
      <c r="C291" s="50"/>
      <c r="D291" s="59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38"/>
    </row>
    <row r="292" spans="1:66" ht="17.25" customHeight="1" x14ac:dyDescent="0.15">
      <c r="A292" s="84" t="s">
        <v>81</v>
      </c>
      <c r="B292" s="48" t="s">
        <v>43</v>
      </c>
      <c r="C292" s="68" t="s">
        <v>74</v>
      </c>
      <c r="D292" s="55" t="s">
        <v>45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34"/>
    </row>
    <row r="293" spans="1:66" ht="17.25" customHeight="1" x14ac:dyDescent="0.15">
      <c r="A293" s="85"/>
      <c r="B293" s="49"/>
      <c r="C293" s="69"/>
      <c r="D293" s="56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35"/>
    </row>
    <row r="294" spans="1:66" ht="17.25" customHeight="1" x14ac:dyDescent="0.15">
      <c r="A294" s="85"/>
      <c r="B294" s="49"/>
      <c r="C294" s="69"/>
      <c r="D294" s="57" t="s">
        <v>47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36"/>
    </row>
    <row r="295" spans="1:66" ht="17.25" customHeight="1" x14ac:dyDescent="0.15">
      <c r="A295" s="85"/>
      <c r="B295" s="49"/>
      <c r="C295" s="69"/>
      <c r="D295" s="56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35"/>
    </row>
    <row r="296" spans="1:66" ht="17.25" customHeight="1" x14ac:dyDescent="0.15">
      <c r="A296" s="85"/>
      <c r="B296" s="49"/>
      <c r="C296" s="69"/>
      <c r="D296" s="58" t="s">
        <v>49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37"/>
    </row>
    <row r="297" spans="1:66" ht="17.25" customHeight="1" thickBot="1" x14ac:dyDescent="0.2">
      <c r="A297" s="86"/>
      <c r="B297" s="50"/>
      <c r="C297" s="70"/>
      <c r="D297" s="59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38"/>
    </row>
    <row r="298" spans="1:66" ht="17.25" customHeight="1" x14ac:dyDescent="0.15">
      <c r="A298" s="84" t="s">
        <v>81</v>
      </c>
      <c r="B298" s="48" t="s">
        <v>43</v>
      </c>
      <c r="C298" s="68" t="s">
        <v>52</v>
      </c>
      <c r="D298" s="55" t="s">
        <v>45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34"/>
    </row>
    <row r="299" spans="1:66" ht="17.25" customHeight="1" x14ac:dyDescent="0.15">
      <c r="A299" s="85"/>
      <c r="B299" s="49"/>
      <c r="C299" s="69"/>
      <c r="D299" s="56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35"/>
    </row>
    <row r="300" spans="1:66" ht="17.25" customHeight="1" x14ac:dyDescent="0.15">
      <c r="A300" s="85"/>
      <c r="B300" s="49"/>
      <c r="C300" s="69"/>
      <c r="D300" s="57" t="s">
        <v>47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36"/>
    </row>
    <row r="301" spans="1:66" ht="17.25" customHeight="1" x14ac:dyDescent="0.15">
      <c r="A301" s="85"/>
      <c r="B301" s="49"/>
      <c r="C301" s="69"/>
      <c r="D301" s="56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35"/>
    </row>
    <row r="302" spans="1:66" ht="17.25" customHeight="1" x14ac:dyDescent="0.15">
      <c r="A302" s="85"/>
      <c r="B302" s="49"/>
      <c r="C302" s="69"/>
      <c r="D302" s="58" t="s">
        <v>49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37"/>
    </row>
    <row r="303" spans="1:66" ht="17.25" customHeight="1" thickBot="1" x14ac:dyDescent="0.2">
      <c r="A303" s="86"/>
      <c r="B303" s="50"/>
      <c r="C303" s="70"/>
      <c r="D303" s="59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38"/>
    </row>
    <row r="304" spans="1:66" ht="17.25" customHeight="1" x14ac:dyDescent="0.15">
      <c r="A304" s="84" t="s">
        <v>81</v>
      </c>
      <c r="B304" s="48" t="s">
        <v>43</v>
      </c>
      <c r="C304" s="48" t="s">
        <v>48</v>
      </c>
      <c r="D304" s="55" t="s">
        <v>45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17</v>
      </c>
      <c r="V304" s="11">
        <v>2</v>
      </c>
      <c r="W304" s="11" t="s">
        <v>17</v>
      </c>
      <c r="X304" s="11">
        <v>2</v>
      </c>
      <c r="Y304" s="11" t="s">
        <v>17</v>
      </c>
      <c r="Z304" s="11">
        <v>2</v>
      </c>
      <c r="AA304" s="11" t="s">
        <v>17</v>
      </c>
      <c r="AB304" s="11">
        <v>2</v>
      </c>
      <c r="AC304" s="11" t="s">
        <v>17</v>
      </c>
      <c r="AD304" s="11">
        <v>2</v>
      </c>
      <c r="AE304" s="11" t="s">
        <v>17</v>
      </c>
      <c r="AF304" s="11">
        <v>2</v>
      </c>
      <c r="AG304" s="11"/>
      <c r="AH304" s="11"/>
      <c r="AI304" s="11" t="s">
        <v>17</v>
      </c>
      <c r="AJ304" s="11">
        <v>2</v>
      </c>
      <c r="AK304" s="11" t="s">
        <v>14</v>
      </c>
      <c r="AL304" s="11">
        <v>2</v>
      </c>
      <c r="AM304" s="11" t="s">
        <v>14</v>
      </c>
      <c r="AN304" s="11">
        <v>2</v>
      </c>
      <c r="AO304" s="11" t="s">
        <v>14</v>
      </c>
      <c r="AP304" s="11">
        <v>2</v>
      </c>
      <c r="AQ304" s="11" t="s">
        <v>14</v>
      </c>
      <c r="AR304" s="11">
        <v>2</v>
      </c>
      <c r="AS304" s="11" t="s">
        <v>14</v>
      </c>
      <c r="AT304" s="11">
        <v>2</v>
      </c>
      <c r="AU304" s="11" t="s">
        <v>16</v>
      </c>
      <c r="AV304" s="11">
        <v>2</v>
      </c>
      <c r="AW304" s="11" t="s">
        <v>17</v>
      </c>
      <c r="AX304" s="11">
        <v>2</v>
      </c>
      <c r="AY304" s="11" t="s">
        <v>17</v>
      </c>
      <c r="AZ304" s="11">
        <v>2</v>
      </c>
      <c r="BA304" s="11" t="s">
        <v>17</v>
      </c>
      <c r="BB304" s="11">
        <v>2</v>
      </c>
      <c r="BC304" s="11" t="s">
        <v>17</v>
      </c>
      <c r="BD304" s="11">
        <v>2</v>
      </c>
      <c r="BE304" s="11" t="s">
        <v>17</v>
      </c>
      <c r="BF304" s="11">
        <v>2</v>
      </c>
      <c r="BG304" s="11" t="s">
        <v>17</v>
      </c>
      <c r="BH304" s="11">
        <v>2</v>
      </c>
      <c r="BI304" s="11"/>
      <c r="BJ304" s="11"/>
      <c r="BK304" s="11" t="s">
        <v>17</v>
      </c>
      <c r="BL304" s="11">
        <v>2</v>
      </c>
      <c r="BM304" s="11" t="s">
        <v>17</v>
      </c>
      <c r="BN304" s="34">
        <v>2</v>
      </c>
    </row>
    <row r="305" spans="1:66" ht="17.25" customHeight="1" x14ac:dyDescent="0.15">
      <c r="A305" s="85"/>
      <c r="B305" s="49"/>
      <c r="C305" s="49"/>
      <c r="D305" s="56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 t="s">
        <v>17</v>
      </c>
      <c r="V305" s="12">
        <v>2</v>
      </c>
      <c r="W305" s="12" t="s">
        <v>17</v>
      </c>
      <c r="X305" s="12">
        <v>2</v>
      </c>
      <c r="Y305" s="12" t="s">
        <v>17</v>
      </c>
      <c r="Z305" s="12">
        <v>2</v>
      </c>
      <c r="AA305" s="12" t="s">
        <v>17</v>
      </c>
      <c r="AB305" s="12">
        <v>2</v>
      </c>
      <c r="AC305" s="12" t="s">
        <v>17</v>
      </c>
      <c r="AD305" s="12">
        <v>2</v>
      </c>
      <c r="AE305" s="12" t="s">
        <v>17</v>
      </c>
      <c r="AF305" s="12">
        <v>2</v>
      </c>
      <c r="AG305" s="12"/>
      <c r="AH305" s="12"/>
      <c r="AI305" s="12" t="s">
        <v>17</v>
      </c>
      <c r="AJ305" s="12">
        <v>2</v>
      </c>
      <c r="AK305" s="12" t="s">
        <v>14</v>
      </c>
      <c r="AL305" s="12">
        <v>2</v>
      </c>
      <c r="AM305" s="12" t="s">
        <v>14</v>
      </c>
      <c r="AN305" s="12">
        <v>2</v>
      </c>
      <c r="AO305" s="12" t="s">
        <v>14</v>
      </c>
      <c r="AP305" s="12">
        <v>2</v>
      </c>
      <c r="AQ305" s="12" t="s">
        <v>14</v>
      </c>
      <c r="AR305" s="12">
        <v>2</v>
      </c>
      <c r="AS305" s="12" t="s">
        <v>14</v>
      </c>
      <c r="AT305" s="12">
        <v>2</v>
      </c>
      <c r="AU305" s="12" t="s">
        <v>16</v>
      </c>
      <c r="AV305" s="12">
        <v>2</v>
      </c>
      <c r="AW305" s="12" t="s">
        <v>17</v>
      </c>
      <c r="AX305" s="12">
        <v>2</v>
      </c>
      <c r="AY305" s="12" t="s">
        <v>17</v>
      </c>
      <c r="AZ305" s="12">
        <v>2</v>
      </c>
      <c r="BA305" s="12" t="s">
        <v>17</v>
      </c>
      <c r="BB305" s="12">
        <v>2</v>
      </c>
      <c r="BC305" s="12" t="s">
        <v>17</v>
      </c>
      <c r="BD305" s="12">
        <v>2</v>
      </c>
      <c r="BE305" s="12" t="s">
        <v>17</v>
      </c>
      <c r="BF305" s="12">
        <v>2</v>
      </c>
      <c r="BG305" s="12" t="s">
        <v>17</v>
      </c>
      <c r="BH305" s="12">
        <v>2</v>
      </c>
      <c r="BI305" s="12"/>
      <c r="BJ305" s="12"/>
      <c r="BK305" s="12" t="s">
        <v>17</v>
      </c>
      <c r="BL305" s="12">
        <v>2</v>
      </c>
      <c r="BM305" s="12" t="s">
        <v>17</v>
      </c>
      <c r="BN305" s="35">
        <v>2</v>
      </c>
    </row>
    <row r="306" spans="1:66" ht="17.25" customHeight="1" x14ac:dyDescent="0.15">
      <c r="A306" s="85"/>
      <c r="B306" s="49"/>
      <c r="C306" s="49"/>
      <c r="D306" s="57" t="s">
        <v>47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 t="s">
        <v>17</v>
      </c>
      <c r="V306" s="13">
        <v>2</v>
      </c>
      <c r="W306" s="13" t="s">
        <v>17</v>
      </c>
      <c r="X306" s="13">
        <v>2</v>
      </c>
      <c r="Y306" s="13" t="s">
        <v>17</v>
      </c>
      <c r="Z306" s="13">
        <v>2</v>
      </c>
      <c r="AA306" s="13" t="s">
        <v>17</v>
      </c>
      <c r="AB306" s="13">
        <v>2</v>
      </c>
      <c r="AC306" s="13" t="s">
        <v>17</v>
      </c>
      <c r="AD306" s="13">
        <v>2</v>
      </c>
      <c r="AE306" s="13" t="s">
        <v>17</v>
      </c>
      <c r="AF306" s="13">
        <v>2</v>
      </c>
      <c r="AG306" s="13"/>
      <c r="AH306" s="13"/>
      <c r="AI306" s="13" t="s">
        <v>17</v>
      </c>
      <c r="AJ306" s="13">
        <v>2</v>
      </c>
      <c r="AK306" s="13" t="s">
        <v>14</v>
      </c>
      <c r="AL306" s="13">
        <v>2</v>
      </c>
      <c r="AM306" s="13" t="s">
        <v>14</v>
      </c>
      <c r="AN306" s="13">
        <v>2</v>
      </c>
      <c r="AO306" s="13" t="s">
        <v>14</v>
      </c>
      <c r="AP306" s="13">
        <v>2</v>
      </c>
      <c r="AQ306" s="13" t="s">
        <v>14</v>
      </c>
      <c r="AR306" s="13">
        <v>2</v>
      </c>
      <c r="AS306" s="13" t="s">
        <v>14</v>
      </c>
      <c r="AT306" s="13">
        <v>2</v>
      </c>
      <c r="AU306" s="13"/>
      <c r="AV306" s="13"/>
      <c r="AW306" s="13" t="s">
        <v>17</v>
      </c>
      <c r="AX306" s="13">
        <v>2</v>
      </c>
      <c r="AY306" s="13" t="s">
        <v>17</v>
      </c>
      <c r="AZ306" s="13">
        <v>2</v>
      </c>
      <c r="BA306" s="13" t="s">
        <v>17</v>
      </c>
      <c r="BB306" s="13">
        <v>2</v>
      </c>
      <c r="BC306" s="13" t="s">
        <v>17</v>
      </c>
      <c r="BD306" s="13">
        <v>2</v>
      </c>
      <c r="BE306" s="13" t="s">
        <v>17</v>
      </c>
      <c r="BF306" s="13">
        <v>2</v>
      </c>
      <c r="BG306" s="13" t="s">
        <v>17</v>
      </c>
      <c r="BH306" s="13">
        <v>2</v>
      </c>
      <c r="BI306" s="13"/>
      <c r="BJ306" s="13"/>
      <c r="BK306" s="13" t="s">
        <v>17</v>
      </c>
      <c r="BL306" s="13">
        <v>2</v>
      </c>
      <c r="BM306" s="13" t="s">
        <v>17</v>
      </c>
      <c r="BN306" s="36">
        <v>2</v>
      </c>
    </row>
    <row r="307" spans="1:66" ht="17.25" customHeight="1" x14ac:dyDescent="0.15">
      <c r="A307" s="85"/>
      <c r="B307" s="49"/>
      <c r="C307" s="49"/>
      <c r="D307" s="56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 t="s">
        <v>17</v>
      </c>
      <c r="V307" s="12">
        <v>2</v>
      </c>
      <c r="W307" s="12" t="s">
        <v>17</v>
      </c>
      <c r="X307" s="12">
        <v>2</v>
      </c>
      <c r="Y307" s="12" t="s">
        <v>17</v>
      </c>
      <c r="Z307" s="12">
        <v>2</v>
      </c>
      <c r="AA307" s="12" t="s">
        <v>17</v>
      </c>
      <c r="AB307" s="12">
        <v>2</v>
      </c>
      <c r="AC307" s="12" t="s">
        <v>17</v>
      </c>
      <c r="AD307" s="12">
        <v>2</v>
      </c>
      <c r="AE307" s="12" t="s">
        <v>17</v>
      </c>
      <c r="AF307" s="12">
        <v>2</v>
      </c>
      <c r="AG307" s="12"/>
      <c r="AH307" s="12"/>
      <c r="AI307" s="12" t="s">
        <v>17</v>
      </c>
      <c r="AJ307" s="12">
        <v>2</v>
      </c>
      <c r="AK307" s="12" t="s">
        <v>14</v>
      </c>
      <c r="AL307" s="12">
        <v>2</v>
      </c>
      <c r="AM307" s="12" t="s">
        <v>14</v>
      </c>
      <c r="AN307" s="12">
        <v>2</v>
      </c>
      <c r="AO307" s="12" t="s">
        <v>14</v>
      </c>
      <c r="AP307" s="12">
        <v>2</v>
      </c>
      <c r="AQ307" s="12" t="s">
        <v>14</v>
      </c>
      <c r="AR307" s="12">
        <v>2</v>
      </c>
      <c r="AS307" s="12" t="s">
        <v>14</v>
      </c>
      <c r="AT307" s="12">
        <v>2</v>
      </c>
      <c r="AU307" s="12"/>
      <c r="AV307" s="12"/>
      <c r="AW307" s="12" t="s">
        <v>17</v>
      </c>
      <c r="AX307" s="12">
        <v>2</v>
      </c>
      <c r="AY307" s="12" t="s">
        <v>17</v>
      </c>
      <c r="AZ307" s="12">
        <v>2</v>
      </c>
      <c r="BA307" s="12" t="s">
        <v>17</v>
      </c>
      <c r="BB307" s="12">
        <v>2</v>
      </c>
      <c r="BC307" s="12" t="s">
        <v>17</v>
      </c>
      <c r="BD307" s="12">
        <v>2</v>
      </c>
      <c r="BE307" s="12" t="s">
        <v>17</v>
      </c>
      <c r="BF307" s="12">
        <v>2</v>
      </c>
      <c r="BG307" s="12" t="s">
        <v>17</v>
      </c>
      <c r="BH307" s="12">
        <v>2</v>
      </c>
      <c r="BI307" s="12"/>
      <c r="BJ307" s="12"/>
      <c r="BK307" s="12" t="s">
        <v>17</v>
      </c>
      <c r="BL307" s="12">
        <v>2</v>
      </c>
      <c r="BM307" s="12" t="s">
        <v>17</v>
      </c>
      <c r="BN307" s="35">
        <v>2</v>
      </c>
    </row>
    <row r="308" spans="1:66" ht="17.25" customHeight="1" x14ac:dyDescent="0.15">
      <c r="A308" s="85"/>
      <c r="B308" s="49"/>
      <c r="C308" s="49"/>
      <c r="D308" s="58" t="s">
        <v>49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 t="s">
        <v>15</v>
      </c>
      <c r="V308" s="14"/>
      <c r="W308" s="14" t="s">
        <v>15</v>
      </c>
      <c r="X308" s="14"/>
      <c r="Y308" s="14" t="s">
        <v>15</v>
      </c>
      <c r="Z308" s="14"/>
      <c r="AA308" s="14" t="s">
        <v>15</v>
      </c>
      <c r="AB308" s="14"/>
      <c r="AC308" s="14" t="s">
        <v>15</v>
      </c>
      <c r="AD308" s="14"/>
      <c r="AE308" s="14" t="s">
        <v>15</v>
      </c>
      <c r="AF308" s="14"/>
      <c r="AG308" s="14"/>
      <c r="AH308" s="14"/>
      <c r="AI308" s="14" t="s">
        <v>15</v>
      </c>
      <c r="AJ308" s="14"/>
      <c r="AK308" s="14" t="s">
        <v>15</v>
      </c>
      <c r="AL308" s="14"/>
      <c r="AM308" s="14" t="s">
        <v>15</v>
      </c>
      <c r="AN308" s="14">
        <v>4</v>
      </c>
      <c r="AO308" s="14" t="s">
        <v>15</v>
      </c>
      <c r="AP308" s="14">
        <v>3</v>
      </c>
      <c r="AQ308" s="14" t="s">
        <v>15</v>
      </c>
      <c r="AR308" s="14">
        <v>3</v>
      </c>
      <c r="AS308" s="14" t="s">
        <v>15</v>
      </c>
      <c r="AT308" s="14"/>
      <c r="AU308" s="14"/>
      <c r="AV308" s="14"/>
      <c r="AW308" s="14" t="s">
        <v>15</v>
      </c>
      <c r="AX308" s="14"/>
      <c r="AY308" s="14" t="s">
        <v>15</v>
      </c>
      <c r="AZ308" s="14"/>
      <c r="BA308" s="14" t="s">
        <v>15</v>
      </c>
      <c r="BB308" s="14"/>
      <c r="BC308" s="14" t="s">
        <v>15</v>
      </c>
      <c r="BD308" s="14"/>
      <c r="BE308" s="14" t="s">
        <v>15</v>
      </c>
      <c r="BF308" s="14"/>
      <c r="BG308" s="14" t="s">
        <v>15</v>
      </c>
      <c r="BH308" s="14"/>
      <c r="BI308" s="14"/>
      <c r="BJ308" s="14"/>
      <c r="BK308" s="14" t="s">
        <v>15</v>
      </c>
      <c r="BL308" s="14"/>
      <c r="BM308" s="14" t="s">
        <v>15</v>
      </c>
      <c r="BN308" s="37"/>
    </row>
    <row r="309" spans="1:66" ht="17.25" customHeight="1" thickBot="1" x14ac:dyDescent="0.2">
      <c r="A309" s="86"/>
      <c r="B309" s="50"/>
      <c r="C309" s="50"/>
      <c r="D309" s="59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38"/>
    </row>
    <row r="310" spans="1:66" ht="17.25" customHeight="1" x14ac:dyDescent="0.15">
      <c r="A310" s="84" t="s">
        <v>81</v>
      </c>
      <c r="B310" s="75" t="s">
        <v>82</v>
      </c>
      <c r="C310" s="65" t="s">
        <v>65</v>
      </c>
      <c r="D310" s="55" t="s">
        <v>45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14</v>
      </c>
      <c r="V310" s="11">
        <v>2</v>
      </c>
      <c r="W310" s="11" t="s">
        <v>14</v>
      </c>
      <c r="X310" s="11">
        <v>2</v>
      </c>
      <c r="Y310" s="11" t="s">
        <v>14</v>
      </c>
      <c r="Z310" s="11">
        <v>2</v>
      </c>
      <c r="AA310" s="11" t="s">
        <v>18</v>
      </c>
      <c r="AB310" s="11">
        <v>2</v>
      </c>
      <c r="AC310" s="11" t="s">
        <v>18</v>
      </c>
      <c r="AD310" s="11">
        <v>2</v>
      </c>
      <c r="AE310" s="11" t="s">
        <v>18</v>
      </c>
      <c r="AF310" s="11">
        <v>2</v>
      </c>
      <c r="AG310" s="11"/>
      <c r="AH310" s="11"/>
      <c r="AI310" s="11" t="s">
        <v>14</v>
      </c>
      <c r="AJ310" s="11">
        <v>2</v>
      </c>
      <c r="AK310" s="11" t="s">
        <v>14</v>
      </c>
      <c r="AL310" s="11">
        <v>2</v>
      </c>
      <c r="AM310" s="11" t="s">
        <v>14</v>
      </c>
      <c r="AN310" s="11">
        <v>2</v>
      </c>
      <c r="AO310" s="11" t="s">
        <v>14</v>
      </c>
      <c r="AP310" s="11">
        <v>2</v>
      </c>
      <c r="AQ310" s="11" t="s">
        <v>14</v>
      </c>
      <c r="AR310" s="11">
        <v>2</v>
      </c>
      <c r="AS310" s="11" t="s">
        <v>14</v>
      </c>
      <c r="AT310" s="11">
        <v>2</v>
      </c>
      <c r="AU310" s="11" t="s">
        <v>16</v>
      </c>
      <c r="AV310" s="11">
        <v>2</v>
      </c>
      <c r="AW310" s="11" t="s">
        <v>14</v>
      </c>
      <c r="AX310" s="11">
        <v>2</v>
      </c>
      <c r="AY310" s="11" t="s">
        <v>14</v>
      </c>
      <c r="AZ310" s="11">
        <v>2</v>
      </c>
      <c r="BA310" s="11" t="s">
        <v>14</v>
      </c>
      <c r="BB310" s="11">
        <v>2</v>
      </c>
      <c r="BC310" s="11" t="s">
        <v>14</v>
      </c>
      <c r="BD310" s="11">
        <v>2</v>
      </c>
      <c r="BE310" s="11" t="s">
        <v>14</v>
      </c>
      <c r="BF310" s="11">
        <v>2</v>
      </c>
      <c r="BG310" s="11" t="s">
        <v>14</v>
      </c>
      <c r="BH310" s="11">
        <v>2</v>
      </c>
      <c r="BI310" s="11" t="s">
        <v>16</v>
      </c>
      <c r="BJ310" s="11">
        <v>2</v>
      </c>
      <c r="BK310" s="11" t="s">
        <v>14</v>
      </c>
      <c r="BL310" s="11">
        <v>2</v>
      </c>
      <c r="BM310" s="11" t="s">
        <v>14</v>
      </c>
      <c r="BN310" s="34">
        <v>2</v>
      </c>
    </row>
    <row r="311" spans="1:66" ht="17.25" customHeight="1" x14ac:dyDescent="0.15">
      <c r="A311" s="85"/>
      <c r="B311" s="76"/>
      <c r="C311" s="66"/>
      <c r="D311" s="56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14</v>
      </c>
      <c r="V311" s="12">
        <v>2</v>
      </c>
      <c r="W311" s="12" t="s">
        <v>14</v>
      </c>
      <c r="X311" s="12">
        <v>2</v>
      </c>
      <c r="Y311" s="12" t="s">
        <v>14</v>
      </c>
      <c r="Z311" s="12">
        <v>2</v>
      </c>
      <c r="AA311" s="12" t="s">
        <v>18</v>
      </c>
      <c r="AB311" s="12">
        <v>2</v>
      </c>
      <c r="AC311" s="12" t="s">
        <v>18</v>
      </c>
      <c r="AD311" s="12">
        <v>2</v>
      </c>
      <c r="AE311" s="12" t="s">
        <v>18</v>
      </c>
      <c r="AF311" s="12">
        <v>2</v>
      </c>
      <c r="AG311" s="12"/>
      <c r="AH311" s="12"/>
      <c r="AI311" s="12" t="s">
        <v>14</v>
      </c>
      <c r="AJ311" s="12">
        <v>2</v>
      </c>
      <c r="AK311" s="12" t="s">
        <v>14</v>
      </c>
      <c r="AL311" s="12">
        <v>2</v>
      </c>
      <c r="AM311" s="12" t="s">
        <v>14</v>
      </c>
      <c r="AN311" s="12">
        <v>2</v>
      </c>
      <c r="AO311" s="12" t="s">
        <v>14</v>
      </c>
      <c r="AP311" s="12">
        <v>2</v>
      </c>
      <c r="AQ311" s="12" t="s">
        <v>14</v>
      </c>
      <c r="AR311" s="12">
        <v>2</v>
      </c>
      <c r="AS311" s="12" t="s">
        <v>14</v>
      </c>
      <c r="AT311" s="12">
        <v>2</v>
      </c>
      <c r="AU311" s="12" t="s">
        <v>16</v>
      </c>
      <c r="AV311" s="12">
        <v>2</v>
      </c>
      <c r="AW311" s="12" t="s">
        <v>14</v>
      </c>
      <c r="AX311" s="12">
        <v>2</v>
      </c>
      <c r="AY311" s="12" t="s">
        <v>14</v>
      </c>
      <c r="AZ311" s="12">
        <v>2</v>
      </c>
      <c r="BA311" s="12" t="s">
        <v>14</v>
      </c>
      <c r="BB311" s="12">
        <v>2</v>
      </c>
      <c r="BC311" s="12" t="s">
        <v>14</v>
      </c>
      <c r="BD311" s="12">
        <v>2</v>
      </c>
      <c r="BE311" s="12" t="s">
        <v>14</v>
      </c>
      <c r="BF311" s="12">
        <v>2</v>
      </c>
      <c r="BG311" s="12" t="s">
        <v>14</v>
      </c>
      <c r="BH311" s="12">
        <v>2</v>
      </c>
      <c r="BI311" s="12" t="s">
        <v>16</v>
      </c>
      <c r="BJ311" s="12">
        <v>2</v>
      </c>
      <c r="BK311" s="12" t="s">
        <v>14</v>
      </c>
      <c r="BL311" s="12">
        <v>2</v>
      </c>
      <c r="BM311" s="12" t="s">
        <v>14</v>
      </c>
      <c r="BN311" s="35">
        <v>2</v>
      </c>
    </row>
    <row r="312" spans="1:66" ht="17.25" customHeight="1" x14ac:dyDescent="0.15">
      <c r="A312" s="85"/>
      <c r="B312" s="76"/>
      <c r="C312" s="66"/>
      <c r="D312" s="57" t="s">
        <v>47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 t="s">
        <v>14</v>
      </c>
      <c r="V312" s="13">
        <v>2</v>
      </c>
      <c r="W312" s="13" t="s">
        <v>14</v>
      </c>
      <c r="X312" s="13">
        <v>2</v>
      </c>
      <c r="Y312" s="13" t="s">
        <v>14</v>
      </c>
      <c r="Z312" s="13">
        <v>2</v>
      </c>
      <c r="AA312" s="13" t="s">
        <v>18</v>
      </c>
      <c r="AB312" s="13">
        <v>2</v>
      </c>
      <c r="AC312" s="13" t="s">
        <v>18</v>
      </c>
      <c r="AD312" s="13">
        <v>2</v>
      </c>
      <c r="AE312" s="13" t="s">
        <v>18</v>
      </c>
      <c r="AF312" s="13">
        <v>2</v>
      </c>
      <c r="AG312" s="13"/>
      <c r="AH312" s="13"/>
      <c r="AI312" s="13" t="s">
        <v>14</v>
      </c>
      <c r="AJ312" s="13">
        <v>2</v>
      </c>
      <c r="AK312" s="13" t="s">
        <v>14</v>
      </c>
      <c r="AL312" s="13">
        <v>2</v>
      </c>
      <c r="AM312" s="13" t="s">
        <v>14</v>
      </c>
      <c r="AN312" s="13">
        <v>2</v>
      </c>
      <c r="AO312" s="13" t="s">
        <v>14</v>
      </c>
      <c r="AP312" s="13">
        <v>2</v>
      </c>
      <c r="AQ312" s="13" t="s">
        <v>14</v>
      </c>
      <c r="AR312" s="13">
        <v>2</v>
      </c>
      <c r="AS312" s="13" t="s">
        <v>14</v>
      </c>
      <c r="AT312" s="13">
        <v>2</v>
      </c>
      <c r="AU312" s="13" t="s">
        <v>16</v>
      </c>
      <c r="AV312" s="13">
        <v>2</v>
      </c>
      <c r="AW312" s="13" t="s">
        <v>14</v>
      </c>
      <c r="AX312" s="13">
        <v>2</v>
      </c>
      <c r="AY312" s="13" t="s">
        <v>14</v>
      </c>
      <c r="AZ312" s="13">
        <v>2</v>
      </c>
      <c r="BA312" s="13" t="s">
        <v>14</v>
      </c>
      <c r="BB312" s="13">
        <v>2</v>
      </c>
      <c r="BC312" s="13" t="s">
        <v>14</v>
      </c>
      <c r="BD312" s="13">
        <v>2</v>
      </c>
      <c r="BE312" s="13" t="s">
        <v>14</v>
      </c>
      <c r="BF312" s="13">
        <v>2</v>
      </c>
      <c r="BG312" s="13" t="s">
        <v>14</v>
      </c>
      <c r="BH312" s="13">
        <v>2</v>
      </c>
      <c r="BI312" s="13" t="s">
        <v>16</v>
      </c>
      <c r="BJ312" s="13">
        <v>2</v>
      </c>
      <c r="BK312" s="13" t="s">
        <v>14</v>
      </c>
      <c r="BL312" s="13">
        <v>2</v>
      </c>
      <c r="BM312" s="13" t="s">
        <v>14</v>
      </c>
      <c r="BN312" s="36">
        <v>2</v>
      </c>
    </row>
    <row r="313" spans="1:66" ht="17.25" customHeight="1" x14ac:dyDescent="0.15">
      <c r="A313" s="85"/>
      <c r="B313" s="76"/>
      <c r="C313" s="66"/>
      <c r="D313" s="56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14</v>
      </c>
      <c r="V313" s="12">
        <v>2</v>
      </c>
      <c r="W313" s="12" t="s">
        <v>14</v>
      </c>
      <c r="X313" s="12">
        <v>2</v>
      </c>
      <c r="Y313" s="12" t="s">
        <v>14</v>
      </c>
      <c r="Z313" s="12">
        <v>2</v>
      </c>
      <c r="AA313" s="12" t="s">
        <v>18</v>
      </c>
      <c r="AB313" s="12">
        <v>2</v>
      </c>
      <c r="AC313" s="12" t="s">
        <v>18</v>
      </c>
      <c r="AD313" s="12">
        <v>2</v>
      </c>
      <c r="AE313" s="12" t="s">
        <v>18</v>
      </c>
      <c r="AF313" s="12">
        <v>2</v>
      </c>
      <c r="AG313" s="12"/>
      <c r="AH313" s="12"/>
      <c r="AI313" s="12" t="s">
        <v>14</v>
      </c>
      <c r="AJ313" s="12">
        <v>2</v>
      </c>
      <c r="AK313" s="12" t="s">
        <v>14</v>
      </c>
      <c r="AL313" s="12">
        <v>2</v>
      </c>
      <c r="AM313" s="12" t="s">
        <v>14</v>
      </c>
      <c r="AN313" s="12">
        <v>2</v>
      </c>
      <c r="AO313" s="12" t="s">
        <v>14</v>
      </c>
      <c r="AP313" s="12">
        <v>2</v>
      </c>
      <c r="AQ313" s="12" t="s">
        <v>14</v>
      </c>
      <c r="AR313" s="12">
        <v>2</v>
      </c>
      <c r="AS313" s="12" t="s">
        <v>14</v>
      </c>
      <c r="AT313" s="12">
        <v>2</v>
      </c>
      <c r="AU313" s="12" t="s">
        <v>16</v>
      </c>
      <c r="AV313" s="12">
        <v>2</v>
      </c>
      <c r="AW313" s="12" t="s">
        <v>14</v>
      </c>
      <c r="AX313" s="12">
        <v>2</v>
      </c>
      <c r="AY313" s="12" t="s">
        <v>14</v>
      </c>
      <c r="AZ313" s="12">
        <v>2</v>
      </c>
      <c r="BA313" s="12" t="s">
        <v>14</v>
      </c>
      <c r="BB313" s="12">
        <v>2</v>
      </c>
      <c r="BC313" s="12" t="s">
        <v>14</v>
      </c>
      <c r="BD313" s="12">
        <v>2</v>
      </c>
      <c r="BE313" s="12" t="s">
        <v>14</v>
      </c>
      <c r="BF313" s="12">
        <v>2</v>
      </c>
      <c r="BG313" s="12" t="s">
        <v>14</v>
      </c>
      <c r="BH313" s="12">
        <v>2</v>
      </c>
      <c r="BI313" s="12" t="s">
        <v>16</v>
      </c>
      <c r="BJ313" s="12">
        <v>2</v>
      </c>
      <c r="BK313" s="12" t="s">
        <v>14</v>
      </c>
      <c r="BL313" s="12">
        <v>2</v>
      </c>
      <c r="BM313" s="12" t="s">
        <v>14</v>
      </c>
      <c r="BN313" s="35">
        <v>2</v>
      </c>
    </row>
    <row r="314" spans="1:66" ht="17.25" customHeight="1" x14ac:dyDescent="0.15">
      <c r="A314" s="85"/>
      <c r="B314" s="76"/>
      <c r="C314" s="66"/>
      <c r="D314" s="58" t="s">
        <v>49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 t="s">
        <v>15</v>
      </c>
      <c r="V314" s="14"/>
      <c r="W314" s="14" t="s">
        <v>15</v>
      </c>
      <c r="X314" s="14">
        <v>4</v>
      </c>
      <c r="Y314" s="14" t="s">
        <v>15</v>
      </c>
      <c r="Z314" s="14"/>
      <c r="AA314" s="14" t="s">
        <v>15</v>
      </c>
      <c r="AB314" s="14"/>
      <c r="AC314" s="14" t="s">
        <v>15</v>
      </c>
      <c r="AD314" s="14"/>
      <c r="AE314" s="14" t="s">
        <v>15</v>
      </c>
      <c r="AF314" s="14"/>
      <c r="AG314" s="14"/>
      <c r="AH314" s="14"/>
      <c r="AI314" s="14" t="s">
        <v>15</v>
      </c>
      <c r="AJ314" s="14"/>
      <c r="AK314" s="14" t="s">
        <v>15</v>
      </c>
      <c r="AL314" s="14"/>
      <c r="AM314" s="14" t="s">
        <v>15</v>
      </c>
      <c r="AN314" s="14">
        <v>4</v>
      </c>
      <c r="AO314" s="14" t="s">
        <v>15</v>
      </c>
      <c r="AP314" s="14">
        <v>3</v>
      </c>
      <c r="AQ314" s="14" t="s">
        <v>15</v>
      </c>
      <c r="AR314" s="14">
        <v>3</v>
      </c>
      <c r="AS314" s="14" t="s">
        <v>15</v>
      </c>
      <c r="AT314" s="14"/>
      <c r="AU314" s="14"/>
      <c r="AV314" s="14"/>
      <c r="AW314" s="14" t="s">
        <v>15</v>
      </c>
      <c r="AX314" s="14">
        <v>4</v>
      </c>
      <c r="AY314" s="14" t="s">
        <v>15</v>
      </c>
      <c r="AZ314" s="14">
        <v>4</v>
      </c>
      <c r="BA314" s="14" t="s">
        <v>15</v>
      </c>
      <c r="BB314" s="14">
        <v>5</v>
      </c>
      <c r="BC314" s="14" t="s">
        <v>15</v>
      </c>
      <c r="BD314" s="14">
        <v>4</v>
      </c>
      <c r="BE314" s="14" t="s">
        <v>15</v>
      </c>
      <c r="BF314" s="14">
        <v>4.5</v>
      </c>
      <c r="BG314" s="14" t="s">
        <v>15</v>
      </c>
      <c r="BH314" s="14">
        <v>5</v>
      </c>
      <c r="BI314" s="14"/>
      <c r="BJ314" s="14"/>
      <c r="BK314" s="14" t="s">
        <v>15</v>
      </c>
      <c r="BL314" s="14">
        <v>4</v>
      </c>
      <c r="BM314" s="14" t="s">
        <v>15</v>
      </c>
      <c r="BN314" s="37">
        <v>2.5</v>
      </c>
    </row>
    <row r="315" spans="1:66" ht="17.25" customHeight="1" thickBot="1" x14ac:dyDescent="0.2">
      <c r="A315" s="86"/>
      <c r="B315" s="77"/>
      <c r="C315" s="67"/>
      <c r="D315" s="59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38"/>
    </row>
    <row r="316" spans="1:66" ht="17.25" customHeight="1" x14ac:dyDescent="0.15">
      <c r="A316" s="84" t="s">
        <v>81</v>
      </c>
      <c r="B316" s="48" t="s">
        <v>107</v>
      </c>
      <c r="C316" s="48" t="s">
        <v>53</v>
      </c>
      <c r="D316" s="55" t="s">
        <v>45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17</v>
      </c>
      <c r="V316" s="11">
        <v>2</v>
      </c>
      <c r="W316" s="11" t="s">
        <v>14</v>
      </c>
      <c r="X316" s="11">
        <v>2</v>
      </c>
      <c r="Y316" s="11" t="s">
        <v>14</v>
      </c>
      <c r="Z316" s="11">
        <v>2</v>
      </c>
      <c r="AA316" s="11" t="s">
        <v>18</v>
      </c>
      <c r="AB316" s="11">
        <v>2</v>
      </c>
      <c r="AC316" s="11" t="s">
        <v>18</v>
      </c>
      <c r="AD316" s="11">
        <v>2</v>
      </c>
      <c r="AE316" s="11" t="s">
        <v>18</v>
      </c>
      <c r="AF316" s="11">
        <v>2</v>
      </c>
      <c r="AG316" s="11"/>
      <c r="AH316" s="11"/>
      <c r="AI316" s="11" t="s">
        <v>14</v>
      </c>
      <c r="AJ316" s="11">
        <v>2</v>
      </c>
      <c r="AK316" s="11" t="s">
        <v>14</v>
      </c>
      <c r="AL316" s="11">
        <v>2</v>
      </c>
      <c r="AM316" s="11" t="s">
        <v>14</v>
      </c>
      <c r="AN316" s="11">
        <v>2</v>
      </c>
      <c r="AO316" s="11" t="s">
        <v>14</v>
      </c>
      <c r="AP316" s="11">
        <v>2</v>
      </c>
      <c r="AQ316" s="11" t="s">
        <v>14</v>
      </c>
      <c r="AR316" s="11">
        <v>2</v>
      </c>
      <c r="AS316" s="11" t="s">
        <v>14</v>
      </c>
      <c r="AT316" s="11">
        <v>2</v>
      </c>
      <c r="AU316" s="11" t="s">
        <v>16</v>
      </c>
      <c r="AV316" s="11">
        <v>2</v>
      </c>
      <c r="AW316" s="11" t="s">
        <v>14</v>
      </c>
      <c r="AX316" s="11">
        <v>2</v>
      </c>
      <c r="AY316" s="11" t="s">
        <v>14</v>
      </c>
      <c r="AZ316" s="11">
        <v>2</v>
      </c>
      <c r="BA316" s="11" t="s">
        <v>14</v>
      </c>
      <c r="BB316" s="11">
        <v>2</v>
      </c>
      <c r="BC316" s="11" t="s">
        <v>14</v>
      </c>
      <c r="BD316" s="11">
        <v>2</v>
      </c>
      <c r="BE316" s="11" t="s">
        <v>14</v>
      </c>
      <c r="BF316" s="11">
        <v>2</v>
      </c>
      <c r="BG316" s="11" t="s">
        <v>14</v>
      </c>
      <c r="BH316" s="11">
        <v>2</v>
      </c>
      <c r="BI316" s="11" t="s">
        <v>16</v>
      </c>
      <c r="BJ316" s="11">
        <v>2</v>
      </c>
      <c r="BK316" s="11" t="s">
        <v>14</v>
      </c>
      <c r="BL316" s="11">
        <v>2</v>
      </c>
      <c r="BM316" s="11" t="s">
        <v>14</v>
      </c>
      <c r="BN316" s="34">
        <v>2</v>
      </c>
    </row>
    <row r="317" spans="1:66" ht="17.25" customHeight="1" x14ac:dyDescent="0.15">
      <c r="A317" s="85"/>
      <c r="B317" s="49"/>
      <c r="C317" s="49"/>
      <c r="D317" s="56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17</v>
      </c>
      <c r="V317" s="12">
        <v>2</v>
      </c>
      <c r="W317" s="12" t="s">
        <v>14</v>
      </c>
      <c r="X317" s="12">
        <v>2</v>
      </c>
      <c r="Y317" s="12" t="s">
        <v>14</v>
      </c>
      <c r="Z317" s="12">
        <v>2</v>
      </c>
      <c r="AA317" s="12" t="s">
        <v>18</v>
      </c>
      <c r="AB317" s="12">
        <v>2</v>
      </c>
      <c r="AC317" s="12" t="s">
        <v>18</v>
      </c>
      <c r="AD317" s="12">
        <v>2</v>
      </c>
      <c r="AE317" s="12" t="s">
        <v>18</v>
      </c>
      <c r="AF317" s="12">
        <v>2</v>
      </c>
      <c r="AG317" s="12"/>
      <c r="AH317" s="12"/>
      <c r="AI317" s="12" t="s">
        <v>14</v>
      </c>
      <c r="AJ317" s="12">
        <v>2</v>
      </c>
      <c r="AK317" s="12" t="s">
        <v>14</v>
      </c>
      <c r="AL317" s="12">
        <v>2</v>
      </c>
      <c r="AM317" s="12" t="s">
        <v>14</v>
      </c>
      <c r="AN317" s="12">
        <v>2</v>
      </c>
      <c r="AO317" s="12" t="s">
        <v>14</v>
      </c>
      <c r="AP317" s="12">
        <v>2</v>
      </c>
      <c r="AQ317" s="12" t="s">
        <v>14</v>
      </c>
      <c r="AR317" s="12">
        <v>2</v>
      </c>
      <c r="AS317" s="12" t="s">
        <v>14</v>
      </c>
      <c r="AT317" s="12">
        <v>2</v>
      </c>
      <c r="AU317" s="12" t="s">
        <v>16</v>
      </c>
      <c r="AV317" s="12">
        <v>2</v>
      </c>
      <c r="AW317" s="12" t="s">
        <v>14</v>
      </c>
      <c r="AX317" s="12">
        <v>2</v>
      </c>
      <c r="AY317" s="12" t="s">
        <v>14</v>
      </c>
      <c r="AZ317" s="12">
        <v>2</v>
      </c>
      <c r="BA317" s="12" t="s">
        <v>14</v>
      </c>
      <c r="BB317" s="12">
        <v>2</v>
      </c>
      <c r="BC317" s="12" t="s">
        <v>14</v>
      </c>
      <c r="BD317" s="12">
        <v>2</v>
      </c>
      <c r="BE317" s="12" t="s">
        <v>14</v>
      </c>
      <c r="BF317" s="12">
        <v>2</v>
      </c>
      <c r="BG317" s="12" t="s">
        <v>14</v>
      </c>
      <c r="BH317" s="12">
        <v>2</v>
      </c>
      <c r="BI317" s="12" t="s">
        <v>16</v>
      </c>
      <c r="BJ317" s="12">
        <v>2</v>
      </c>
      <c r="BK317" s="12" t="s">
        <v>14</v>
      </c>
      <c r="BL317" s="12">
        <v>2</v>
      </c>
      <c r="BM317" s="12" t="s">
        <v>14</v>
      </c>
      <c r="BN317" s="35">
        <v>2</v>
      </c>
    </row>
    <row r="318" spans="1:66" ht="17.25" customHeight="1" x14ac:dyDescent="0.15">
      <c r="A318" s="85"/>
      <c r="B318" s="49"/>
      <c r="C318" s="49"/>
      <c r="D318" s="57" t="s">
        <v>47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 t="s">
        <v>17</v>
      </c>
      <c r="V318" s="13">
        <v>2</v>
      </c>
      <c r="W318" s="13" t="s">
        <v>14</v>
      </c>
      <c r="X318" s="13">
        <v>2</v>
      </c>
      <c r="Y318" s="13" t="s">
        <v>14</v>
      </c>
      <c r="Z318" s="13">
        <v>2</v>
      </c>
      <c r="AA318" s="13" t="s">
        <v>18</v>
      </c>
      <c r="AB318" s="13">
        <v>2</v>
      </c>
      <c r="AC318" s="13" t="s">
        <v>18</v>
      </c>
      <c r="AD318" s="13">
        <v>2</v>
      </c>
      <c r="AE318" s="13" t="s">
        <v>18</v>
      </c>
      <c r="AF318" s="13">
        <v>2</v>
      </c>
      <c r="AG318" s="13"/>
      <c r="AH318" s="13"/>
      <c r="AI318" s="13" t="s">
        <v>14</v>
      </c>
      <c r="AJ318" s="13">
        <v>2</v>
      </c>
      <c r="AK318" s="13" t="s">
        <v>14</v>
      </c>
      <c r="AL318" s="13">
        <v>2</v>
      </c>
      <c r="AM318" s="13" t="s">
        <v>14</v>
      </c>
      <c r="AN318" s="13">
        <v>2</v>
      </c>
      <c r="AO318" s="13" t="s">
        <v>14</v>
      </c>
      <c r="AP318" s="13">
        <v>2</v>
      </c>
      <c r="AQ318" s="13" t="s">
        <v>14</v>
      </c>
      <c r="AR318" s="13">
        <v>2</v>
      </c>
      <c r="AS318" s="13" t="s">
        <v>14</v>
      </c>
      <c r="AT318" s="13">
        <v>2</v>
      </c>
      <c r="AU318" s="13" t="s">
        <v>16</v>
      </c>
      <c r="AV318" s="13">
        <v>2</v>
      </c>
      <c r="AW318" s="13" t="s">
        <v>14</v>
      </c>
      <c r="AX318" s="13">
        <v>2</v>
      </c>
      <c r="AY318" s="13" t="s">
        <v>14</v>
      </c>
      <c r="AZ318" s="13">
        <v>2</v>
      </c>
      <c r="BA318" s="13" t="s">
        <v>14</v>
      </c>
      <c r="BB318" s="13">
        <v>2</v>
      </c>
      <c r="BC318" s="13" t="s">
        <v>14</v>
      </c>
      <c r="BD318" s="13">
        <v>2</v>
      </c>
      <c r="BE318" s="13" t="s">
        <v>14</v>
      </c>
      <c r="BF318" s="13">
        <v>2</v>
      </c>
      <c r="BG318" s="13" t="s">
        <v>14</v>
      </c>
      <c r="BH318" s="13">
        <v>2</v>
      </c>
      <c r="BI318" s="13" t="s">
        <v>16</v>
      </c>
      <c r="BJ318" s="13">
        <v>2</v>
      </c>
      <c r="BK318" s="13" t="s">
        <v>14</v>
      </c>
      <c r="BL318" s="13">
        <v>2</v>
      </c>
      <c r="BM318" s="13" t="s">
        <v>14</v>
      </c>
      <c r="BN318" s="36">
        <v>2</v>
      </c>
    </row>
    <row r="319" spans="1:66" ht="17.25" customHeight="1" x14ac:dyDescent="0.15">
      <c r="A319" s="85"/>
      <c r="B319" s="49"/>
      <c r="C319" s="49"/>
      <c r="D319" s="56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17</v>
      </c>
      <c r="V319" s="12">
        <v>2</v>
      </c>
      <c r="W319" s="12" t="s">
        <v>14</v>
      </c>
      <c r="X319" s="12">
        <v>2</v>
      </c>
      <c r="Y319" s="12" t="s">
        <v>14</v>
      </c>
      <c r="Z319" s="12">
        <v>2</v>
      </c>
      <c r="AA319" s="12" t="s">
        <v>18</v>
      </c>
      <c r="AB319" s="12">
        <v>2</v>
      </c>
      <c r="AC319" s="12" t="s">
        <v>18</v>
      </c>
      <c r="AD319" s="12">
        <v>2</v>
      </c>
      <c r="AE319" s="12" t="s">
        <v>18</v>
      </c>
      <c r="AF319" s="12">
        <v>2</v>
      </c>
      <c r="AG319" s="12"/>
      <c r="AH319" s="12"/>
      <c r="AI319" s="12" t="s">
        <v>14</v>
      </c>
      <c r="AJ319" s="12">
        <v>2</v>
      </c>
      <c r="AK319" s="12" t="s">
        <v>14</v>
      </c>
      <c r="AL319" s="12">
        <v>2</v>
      </c>
      <c r="AM319" s="12" t="s">
        <v>14</v>
      </c>
      <c r="AN319" s="12">
        <v>2</v>
      </c>
      <c r="AO319" s="12" t="s">
        <v>14</v>
      </c>
      <c r="AP319" s="12">
        <v>2</v>
      </c>
      <c r="AQ319" s="12" t="s">
        <v>14</v>
      </c>
      <c r="AR319" s="12">
        <v>2</v>
      </c>
      <c r="AS319" s="12" t="s">
        <v>14</v>
      </c>
      <c r="AT319" s="12">
        <v>2</v>
      </c>
      <c r="AU319" s="12" t="s">
        <v>16</v>
      </c>
      <c r="AV319" s="12">
        <v>2</v>
      </c>
      <c r="AW319" s="12" t="s">
        <v>14</v>
      </c>
      <c r="AX319" s="12">
        <v>2</v>
      </c>
      <c r="AY319" s="12" t="s">
        <v>14</v>
      </c>
      <c r="AZ319" s="12">
        <v>2</v>
      </c>
      <c r="BA319" s="12" t="s">
        <v>14</v>
      </c>
      <c r="BB319" s="12">
        <v>2</v>
      </c>
      <c r="BC319" s="12" t="s">
        <v>14</v>
      </c>
      <c r="BD319" s="12">
        <v>2</v>
      </c>
      <c r="BE319" s="12" t="s">
        <v>14</v>
      </c>
      <c r="BF319" s="12">
        <v>2</v>
      </c>
      <c r="BG319" s="12" t="s">
        <v>14</v>
      </c>
      <c r="BH319" s="12">
        <v>2</v>
      </c>
      <c r="BI319" s="12" t="s">
        <v>16</v>
      </c>
      <c r="BJ319" s="12">
        <v>2</v>
      </c>
      <c r="BK319" s="12" t="s">
        <v>14</v>
      </c>
      <c r="BL319" s="12">
        <v>2</v>
      </c>
      <c r="BM319" s="12" t="s">
        <v>14</v>
      </c>
      <c r="BN319" s="35">
        <v>2</v>
      </c>
    </row>
    <row r="320" spans="1:66" ht="17.25" customHeight="1" x14ac:dyDescent="0.15">
      <c r="A320" s="85"/>
      <c r="B320" s="49"/>
      <c r="C320" s="49"/>
      <c r="D320" s="58" t="s">
        <v>49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 t="s">
        <v>15</v>
      </c>
      <c r="V320" s="14"/>
      <c r="W320" s="14" t="s">
        <v>15</v>
      </c>
      <c r="X320" s="14">
        <v>4</v>
      </c>
      <c r="Y320" s="14" t="s">
        <v>15</v>
      </c>
      <c r="Z320" s="14"/>
      <c r="AA320" s="14" t="s">
        <v>15</v>
      </c>
      <c r="AB320" s="14"/>
      <c r="AC320" s="14" t="s">
        <v>15</v>
      </c>
      <c r="AD320" s="14"/>
      <c r="AE320" s="14" t="s">
        <v>15</v>
      </c>
      <c r="AF320" s="14"/>
      <c r="AG320" s="14"/>
      <c r="AH320" s="14"/>
      <c r="AI320" s="14" t="s">
        <v>15</v>
      </c>
      <c r="AJ320" s="14"/>
      <c r="AK320" s="14" t="s">
        <v>15</v>
      </c>
      <c r="AL320" s="14"/>
      <c r="AM320" s="14" t="s">
        <v>15</v>
      </c>
      <c r="AN320" s="14">
        <v>4</v>
      </c>
      <c r="AO320" s="14" t="s">
        <v>15</v>
      </c>
      <c r="AP320" s="14">
        <v>3</v>
      </c>
      <c r="AQ320" s="14" t="s">
        <v>15</v>
      </c>
      <c r="AR320" s="14">
        <v>3</v>
      </c>
      <c r="AS320" s="14" t="s">
        <v>15</v>
      </c>
      <c r="AT320" s="14"/>
      <c r="AU320" s="14"/>
      <c r="AV320" s="14"/>
      <c r="AW320" s="14" t="s">
        <v>15</v>
      </c>
      <c r="AX320" s="14">
        <v>4</v>
      </c>
      <c r="AY320" s="14" t="s">
        <v>15</v>
      </c>
      <c r="AZ320" s="14">
        <v>4</v>
      </c>
      <c r="BA320" s="14" t="s">
        <v>15</v>
      </c>
      <c r="BB320" s="14">
        <v>5</v>
      </c>
      <c r="BC320" s="14" t="s">
        <v>15</v>
      </c>
      <c r="BD320" s="14">
        <v>4</v>
      </c>
      <c r="BE320" s="14" t="s">
        <v>15</v>
      </c>
      <c r="BF320" s="14">
        <v>4.5</v>
      </c>
      <c r="BG320" s="14" t="s">
        <v>15</v>
      </c>
      <c r="BH320" s="14">
        <v>5</v>
      </c>
      <c r="BI320" s="14"/>
      <c r="BJ320" s="14"/>
      <c r="BK320" s="14" t="s">
        <v>15</v>
      </c>
      <c r="BL320" s="14">
        <v>4</v>
      </c>
      <c r="BM320" s="14" t="s">
        <v>15</v>
      </c>
      <c r="BN320" s="37">
        <v>3</v>
      </c>
    </row>
    <row r="321" spans="1:66" ht="17.25" customHeight="1" thickBot="1" x14ac:dyDescent="0.2">
      <c r="A321" s="86"/>
      <c r="B321" s="50"/>
      <c r="C321" s="50"/>
      <c r="D321" s="59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38"/>
    </row>
    <row r="322" spans="1:66" ht="17.25" customHeight="1" x14ac:dyDescent="0.15">
      <c r="A322" s="84" t="s">
        <v>81</v>
      </c>
      <c r="B322" s="48" t="s">
        <v>43</v>
      </c>
      <c r="C322" s="48" t="s">
        <v>80</v>
      </c>
      <c r="D322" s="55" t="s">
        <v>45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14</v>
      </c>
      <c r="V322" s="11">
        <v>2</v>
      </c>
      <c r="W322" s="11" t="s">
        <v>14</v>
      </c>
      <c r="X322" s="11">
        <v>2</v>
      </c>
      <c r="Y322" s="11" t="s">
        <v>14</v>
      </c>
      <c r="Z322" s="11">
        <v>2</v>
      </c>
      <c r="AA322" s="11" t="s">
        <v>18</v>
      </c>
      <c r="AB322" s="11">
        <v>2</v>
      </c>
      <c r="AC322" s="11" t="s">
        <v>18</v>
      </c>
      <c r="AD322" s="11">
        <v>2</v>
      </c>
      <c r="AE322" s="11" t="s">
        <v>18</v>
      </c>
      <c r="AF322" s="11">
        <v>2</v>
      </c>
      <c r="AG322" s="11"/>
      <c r="AH322" s="11"/>
      <c r="AI322" s="11" t="s">
        <v>14</v>
      </c>
      <c r="AJ322" s="11">
        <v>2</v>
      </c>
      <c r="AK322" s="11" t="s">
        <v>14</v>
      </c>
      <c r="AL322" s="11">
        <v>2</v>
      </c>
      <c r="AM322" s="11" t="s">
        <v>14</v>
      </c>
      <c r="AN322" s="11">
        <v>2</v>
      </c>
      <c r="AO322" s="11" t="s">
        <v>14</v>
      </c>
      <c r="AP322" s="11">
        <v>2</v>
      </c>
      <c r="AQ322" s="11" t="s">
        <v>14</v>
      </c>
      <c r="AR322" s="11">
        <v>2</v>
      </c>
      <c r="AS322" s="11" t="s">
        <v>14</v>
      </c>
      <c r="AT322" s="11">
        <v>2</v>
      </c>
      <c r="AU322" s="11" t="s">
        <v>16</v>
      </c>
      <c r="AV322" s="11">
        <v>2</v>
      </c>
      <c r="AW322" s="11" t="s">
        <v>14</v>
      </c>
      <c r="AX322" s="11">
        <v>2</v>
      </c>
      <c r="AY322" s="11" t="s">
        <v>14</v>
      </c>
      <c r="AZ322" s="11">
        <v>2</v>
      </c>
      <c r="BA322" s="11" t="s">
        <v>14</v>
      </c>
      <c r="BB322" s="11">
        <v>2</v>
      </c>
      <c r="BC322" s="11" t="s">
        <v>14</v>
      </c>
      <c r="BD322" s="11">
        <v>2</v>
      </c>
      <c r="BE322" s="11" t="s">
        <v>14</v>
      </c>
      <c r="BF322" s="11">
        <v>2</v>
      </c>
      <c r="BG322" s="11" t="s">
        <v>14</v>
      </c>
      <c r="BH322" s="11">
        <v>2</v>
      </c>
      <c r="BI322" s="11" t="s">
        <v>16</v>
      </c>
      <c r="BJ322" s="11">
        <v>2</v>
      </c>
      <c r="BK322" s="11" t="s">
        <v>14</v>
      </c>
      <c r="BL322" s="11">
        <v>2</v>
      </c>
      <c r="BM322" s="11" t="s">
        <v>14</v>
      </c>
      <c r="BN322" s="34">
        <v>2</v>
      </c>
    </row>
    <row r="323" spans="1:66" ht="17.25" customHeight="1" x14ac:dyDescent="0.15">
      <c r="A323" s="85"/>
      <c r="B323" s="49"/>
      <c r="C323" s="49"/>
      <c r="D323" s="56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14</v>
      </c>
      <c r="V323" s="12">
        <v>2</v>
      </c>
      <c r="W323" s="12" t="s">
        <v>14</v>
      </c>
      <c r="X323" s="12">
        <v>2</v>
      </c>
      <c r="Y323" s="12" t="s">
        <v>14</v>
      </c>
      <c r="Z323" s="12">
        <v>2</v>
      </c>
      <c r="AA323" s="12" t="s">
        <v>18</v>
      </c>
      <c r="AB323" s="12">
        <v>2</v>
      </c>
      <c r="AC323" s="12" t="s">
        <v>18</v>
      </c>
      <c r="AD323" s="12">
        <v>2</v>
      </c>
      <c r="AE323" s="12" t="s">
        <v>18</v>
      </c>
      <c r="AF323" s="12">
        <v>2</v>
      </c>
      <c r="AG323" s="12"/>
      <c r="AH323" s="12"/>
      <c r="AI323" s="12" t="s">
        <v>14</v>
      </c>
      <c r="AJ323" s="12">
        <v>2</v>
      </c>
      <c r="AK323" s="12" t="s">
        <v>14</v>
      </c>
      <c r="AL323" s="12">
        <v>2</v>
      </c>
      <c r="AM323" s="12" t="s">
        <v>14</v>
      </c>
      <c r="AN323" s="12">
        <v>2</v>
      </c>
      <c r="AO323" s="12" t="s">
        <v>14</v>
      </c>
      <c r="AP323" s="12">
        <v>2</v>
      </c>
      <c r="AQ323" s="12" t="s">
        <v>14</v>
      </c>
      <c r="AR323" s="12">
        <v>2</v>
      </c>
      <c r="AS323" s="12" t="s">
        <v>14</v>
      </c>
      <c r="AT323" s="12">
        <v>2</v>
      </c>
      <c r="AU323" s="12" t="s">
        <v>16</v>
      </c>
      <c r="AV323" s="12">
        <v>2</v>
      </c>
      <c r="AW323" s="12" t="s">
        <v>14</v>
      </c>
      <c r="AX323" s="12">
        <v>2</v>
      </c>
      <c r="AY323" s="12" t="s">
        <v>14</v>
      </c>
      <c r="AZ323" s="12">
        <v>2</v>
      </c>
      <c r="BA323" s="12" t="s">
        <v>14</v>
      </c>
      <c r="BB323" s="12">
        <v>2</v>
      </c>
      <c r="BC323" s="12" t="s">
        <v>14</v>
      </c>
      <c r="BD323" s="12">
        <v>2</v>
      </c>
      <c r="BE323" s="12" t="s">
        <v>14</v>
      </c>
      <c r="BF323" s="12">
        <v>2</v>
      </c>
      <c r="BG323" s="12" t="s">
        <v>14</v>
      </c>
      <c r="BH323" s="12">
        <v>2</v>
      </c>
      <c r="BI323" s="12" t="s">
        <v>16</v>
      </c>
      <c r="BJ323" s="12">
        <v>2</v>
      </c>
      <c r="BK323" s="12" t="s">
        <v>14</v>
      </c>
      <c r="BL323" s="12">
        <v>2</v>
      </c>
      <c r="BM323" s="12" t="s">
        <v>14</v>
      </c>
      <c r="BN323" s="35">
        <v>2</v>
      </c>
    </row>
    <row r="324" spans="1:66" ht="17.25" customHeight="1" x14ac:dyDescent="0.15">
      <c r="A324" s="85"/>
      <c r="B324" s="49"/>
      <c r="C324" s="49"/>
      <c r="D324" s="57" t="s">
        <v>47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 t="s">
        <v>14</v>
      </c>
      <c r="V324" s="13">
        <v>2</v>
      </c>
      <c r="W324" s="13" t="s">
        <v>14</v>
      </c>
      <c r="X324" s="13">
        <v>2</v>
      </c>
      <c r="Y324" s="13" t="s">
        <v>14</v>
      </c>
      <c r="Z324" s="13">
        <v>2</v>
      </c>
      <c r="AA324" s="13" t="s">
        <v>18</v>
      </c>
      <c r="AB324" s="13">
        <v>2</v>
      </c>
      <c r="AC324" s="13" t="s">
        <v>18</v>
      </c>
      <c r="AD324" s="13">
        <v>2</v>
      </c>
      <c r="AE324" s="13" t="s">
        <v>18</v>
      </c>
      <c r="AF324" s="13">
        <v>2</v>
      </c>
      <c r="AG324" s="13"/>
      <c r="AH324" s="13"/>
      <c r="AI324" s="13" t="s">
        <v>14</v>
      </c>
      <c r="AJ324" s="13">
        <v>2</v>
      </c>
      <c r="AK324" s="13" t="s">
        <v>14</v>
      </c>
      <c r="AL324" s="13">
        <v>2</v>
      </c>
      <c r="AM324" s="13" t="s">
        <v>14</v>
      </c>
      <c r="AN324" s="13">
        <v>2</v>
      </c>
      <c r="AO324" s="13" t="s">
        <v>14</v>
      </c>
      <c r="AP324" s="13">
        <v>2</v>
      </c>
      <c r="AQ324" s="13" t="s">
        <v>14</v>
      </c>
      <c r="AR324" s="13">
        <v>2</v>
      </c>
      <c r="AS324" s="13" t="s">
        <v>14</v>
      </c>
      <c r="AT324" s="13">
        <v>2</v>
      </c>
      <c r="AU324" s="13" t="s">
        <v>16</v>
      </c>
      <c r="AV324" s="13">
        <v>2</v>
      </c>
      <c r="AW324" s="13" t="s">
        <v>14</v>
      </c>
      <c r="AX324" s="13">
        <v>2</v>
      </c>
      <c r="AY324" s="13" t="s">
        <v>14</v>
      </c>
      <c r="AZ324" s="13">
        <v>2</v>
      </c>
      <c r="BA324" s="13" t="s">
        <v>14</v>
      </c>
      <c r="BB324" s="13">
        <v>2</v>
      </c>
      <c r="BC324" s="13" t="s">
        <v>14</v>
      </c>
      <c r="BD324" s="13">
        <v>2</v>
      </c>
      <c r="BE324" s="13" t="s">
        <v>14</v>
      </c>
      <c r="BF324" s="13">
        <v>2</v>
      </c>
      <c r="BG324" s="13" t="s">
        <v>14</v>
      </c>
      <c r="BH324" s="13">
        <v>2</v>
      </c>
      <c r="BI324" s="13" t="s">
        <v>16</v>
      </c>
      <c r="BJ324" s="13">
        <v>2</v>
      </c>
      <c r="BK324" s="13" t="s">
        <v>14</v>
      </c>
      <c r="BL324" s="13">
        <v>2</v>
      </c>
      <c r="BM324" s="13" t="s">
        <v>14</v>
      </c>
      <c r="BN324" s="36">
        <v>2</v>
      </c>
    </row>
    <row r="325" spans="1:66" ht="17.25" customHeight="1" x14ac:dyDescent="0.15">
      <c r="A325" s="85"/>
      <c r="B325" s="49"/>
      <c r="C325" s="49"/>
      <c r="D325" s="56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14</v>
      </c>
      <c r="V325" s="12">
        <v>2</v>
      </c>
      <c r="W325" s="12" t="s">
        <v>14</v>
      </c>
      <c r="X325" s="12">
        <v>2</v>
      </c>
      <c r="Y325" s="12" t="s">
        <v>14</v>
      </c>
      <c r="Z325" s="12">
        <v>2</v>
      </c>
      <c r="AA325" s="12" t="s">
        <v>18</v>
      </c>
      <c r="AB325" s="12">
        <v>2</v>
      </c>
      <c r="AC325" s="12" t="s">
        <v>18</v>
      </c>
      <c r="AD325" s="12">
        <v>2</v>
      </c>
      <c r="AE325" s="12" t="s">
        <v>18</v>
      </c>
      <c r="AF325" s="12">
        <v>2</v>
      </c>
      <c r="AG325" s="12"/>
      <c r="AH325" s="12"/>
      <c r="AI325" s="12" t="s">
        <v>14</v>
      </c>
      <c r="AJ325" s="12">
        <v>2</v>
      </c>
      <c r="AK325" s="12" t="s">
        <v>14</v>
      </c>
      <c r="AL325" s="12">
        <v>2</v>
      </c>
      <c r="AM325" s="12" t="s">
        <v>14</v>
      </c>
      <c r="AN325" s="12">
        <v>2</v>
      </c>
      <c r="AO325" s="12" t="s">
        <v>14</v>
      </c>
      <c r="AP325" s="12">
        <v>2</v>
      </c>
      <c r="AQ325" s="12" t="s">
        <v>14</v>
      </c>
      <c r="AR325" s="12">
        <v>2</v>
      </c>
      <c r="AS325" s="12" t="s">
        <v>14</v>
      </c>
      <c r="AT325" s="12">
        <v>2</v>
      </c>
      <c r="AU325" s="12" t="s">
        <v>16</v>
      </c>
      <c r="AV325" s="12">
        <v>2</v>
      </c>
      <c r="AW325" s="12" t="s">
        <v>14</v>
      </c>
      <c r="AX325" s="12">
        <v>2</v>
      </c>
      <c r="AY325" s="12" t="s">
        <v>14</v>
      </c>
      <c r="AZ325" s="12">
        <v>2</v>
      </c>
      <c r="BA325" s="12" t="s">
        <v>14</v>
      </c>
      <c r="BB325" s="12">
        <v>2</v>
      </c>
      <c r="BC325" s="12" t="s">
        <v>14</v>
      </c>
      <c r="BD325" s="12">
        <v>2</v>
      </c>
      <c r="BE325" s="12" t="s">
        <v>14</v>
      </c>
      <c r="BF325" s="12">
        <v>2</v>
      </c>
      <c r="BG325" s="12" t="s">
        <v>14</v>
      </c>
      <c r="BH325" s="12">
        <v>2</v>
      </c>
      <c r="BI325" s="12" t="s">
        <v>16</v>
      </c>
      <c r="BJ325" s="12">
        <v>2</v>
      </c>
      <c r="BK325" s="12" t="s">
        <v>14</v>
      </c>
      <c r="BL325" s="12">
        <v>2</v>
      </c>
      <c r="BM325" s="12" t="s">
        <v>14</v>
      </c>
      <c r="BN325" s="35">
        <v>2</v>
      </c>
    </row>
    <row r="326" spans="1:66" ht="17.25" customHeight="1" x14ac:dyDescent="0.15">
      <c r="A326" s="85"/>
      <c r="B326" s="49"/>
      <c r="C326" s="49"/>
      <c r="D326" s="58" t="s">
        <v>49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 t="s">
        <v>15</v>
      </c>
      <c r="V326" s="14"/>
      <c r="W326" s="14" t="s">
        <v>15</v>
      </c>
      <c r="X326" s="14">
        <v>4</v>
      </c>
      <c r="Y326" s="14" t="s">
        <v>15</v>
      </c>
      <c r="Z326" s="14"/>
      <c r="AA326" s="14" t="s">
        <v>15</v>
      </c>
      <c r="AB326" s="14"/>
      <c r="AC326" s="14" t="s">
        <v>15</v>
      </c>
      <c r="AD326" s="14"/>
      <c r="AE326" s="14" t="s">
        <v>15</v>
      </c>
      <c r="AF326" s="14"/>
      <c r="AG326" s="14"/>
      <c r="AH326" s="14"/>
      <c r="AI326" s="14" t="s">
        <v>15</v>
      </c>
      <c r="AJ326" s="14">
        <v>3</v>
      </c>
      <c r="AK326" s="14" t="s">
        <v>15</v>
      </c>
      <c r="AL326" s="14"/>
      <c r="AM326" s="14" t="s">
        <v>15</v>
      </c>
      <c r="AN326" s="14">
        <v>4</v>
      </c>
      <c r="AO326" s="14" t="s">
        <v>15</v>
      </c>
      <c r="AP326" s="14">
        <v>3</v>
      </c>
      <c r="AQ326" s="14" t="s">
        <v>15</v>
      </c>
      <c r="AR326" s="14">
        <v>3</v>
      </c>
      <c r="AS326" s="14" t="s">
        <v>15</v>
      </c>
      <c r="AT326" s="14"/>
      <c r="AU326" s="14"/>
      <c r="AV326" s="14"/>
      <c r="AW326" s="14" t="s">
        <v>15</v>
      </c>
      <c r="AX326" s="14">
        <v>4</v>
      </c>
      <c r="AY326" s="14" t="s">
        <v>15</v>
      </c>
      <c r="AZ326" s="14">
        <v>4</v>
      </c>
      <c r="BA326" s="14" t="s">
        <v>15</v>
      </c>
      <c r="BB326" s="14">
        <v>5</v>
      </c>
      <c r="BC326" s="14" t="s">
        <v>15</v>
      </c>
      <c r="BD326" s="14">
        <v>4</v>
      </c>
      <c r="BE326" s="14" t="s">
        <v>15</v>
      </c>
      <c r="BF326" s="14">
        <v>4.5</v>
      </c>
      <c r="BG326" s="14" t="s">
        <v>15</v>
      </c>
      <c r="BH326" s="14">
        <v>5</v>
      </c>
      <c r="BI326" s="14"/>
      <c r="BJ326" s="14"/>
      <c r="BK326" s="14" t="s">
        <v>15</v>
      </c>
      <c r="BL326" s="14">
        <v>4</v>
      </c>
      <c r="BM326" s="14" t="s">
        <v>15</v>
      </c>
      <c r="BN326" s="37">
        <v>3</v>
      </c>
    </row>
    <row r="327" spans="1:66" ht="17.25" customHeight="1" thickBot="1" x14ac:dyDescent="0.2">
      <c r="A327" s="86"/>
      <c r="B327" s="50"/>
      <c r="C327" s="50"/>
      <c r="D327" s="59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38"/>
    </row>
    <row r="328" spans="1:66" ht="17.25" customHeight="1" x14ac:dyDescent="0.15">
      <c r="A328" s="84" t="s">
        <v>81</v>
      </c>
      <c r="B328" s="48" t="s">
        <v>43</v>
      </c>
      <c r="C328" s="68" t="s">
        <v>146</v>
      </c>
      <c r="D328" s="55" t="s">
        <v>45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34"/>
    </row>
    <row r="329" spans="1:66" ht="17.25" customHeight="1" x14ac:dyDescent="0.15">
      <c r="A329" s="85"/>
      <c r="B329" s="49"/>
      <c r="C329" s="69"/>
      <c r="D329" s="56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35"/>
    </row>
    <row r="330" spans="1:66" ht="17.25" customHeight="1" x14ac:dyDescent="0.15">
      <c r="A330" s="85"/>
      <c r="B330" s="49"/>
      <c r="C330" s="69"/>
      <c r="D330" s="57" t="s">
        <v>47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36"/>
    </row>
    <row r="331" spans="1:66" ht="17.25" customHeight="1" x14ac:dyDescent="0.15">
      <c r="A331" s="85"/>
      <c r="B331" s="49"/>
      <c r="C331" s="69"/>
      <c r="D331" s="56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35"/>
    </row>
    <row r="332" spans="1:66" ht="17.25" customHeight="1" x14ac:dyDescent="0.15">
      <c r="A332" s="85"/>
      <c r="B332" s="49"/>
      <c r="C332" s="69"/>
      <c r="D332" s="58" t="s">
        <v>49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37"/>
    </row>
    <row r="333" spans="1:66" ht="17.25" customHeight="1" thickBot="1" x14ac:dyDescent="0.2">
      <c r="A333" s="86"/>
      <c r="B333" s="50"/>
      <c r="C333" s="70"/>
      <c r="D333" s="59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38"/>
    </row>
    <row r="334" spans="1:66" ht="17.25" customHeight="1" x14ac:dyDescent="0.15">
      <c r="A334" s="84" t="s">
        <v>81</v>
      </c>
      <c r="B334" s="48" t="s">
        <v>43</v>
      </c>
      <c r="C334" s="68" t="s">
        <v>92</v>
      </c>
      <c r="D334" s="55" t="s">
        <v>45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34"/>
    </row>
    <row r="335" spans="1:66" ht="17.25" customHeight="1" x14ac:dyDescent="0.15">
      <c r="A335" s="85"/>
      <c r="B335" s="49"/>
      <c r="C335" s="69"/>
      <c r="D335" s="56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35"/>
    </row>
    <row r="336" spans="1:66" ht="17.25" customHeight="1" x14ac:dyDescent="0.15">
      <c r="A336" s="85"/>
      <c r="B336" s="49"/>
      <c r="C336" s="69"/>
      <c r="D336" s="57" t="s">
        <v>47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36"/>
    </row>
    <row r="337" spans="1:66" ht="17.25" customHeight="1" x14ac:dyDescent="0.15">
      <c r="A337" s="85"/>
      <c r="B337" s="49"/>
      <c r="C337" s="69"/>
      <c r="D337" s="56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35"/>
    </row>
    <row r="338" spans="1:66" ht="17.25" customHeight="1" x14ac:dyDescent="0.15">
      <c r="A338" s="85"/>
      <c r="B338" s="49"/>
      <c r="C338" s="69"/>
      <c r="D338" s="58" t="s">
        <v>49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37"/>
    </row>
    <row r="339" spans="1:66" ht="17.25" customHeight="1" thickBot="1" x14ac:dyDescent="0.2">
      <c r="A339" s="86"/>
      <c r="B339" s="50"/>
      <c r="C339" s="70"/>
      <c r="D339" s="59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38"/>
    </row>
    <row r="340" spans="1:66" ht="17.25" customHeight="1" x14ac:dyDescent="0.15">
      <c r="A340" s="84" t="s">
        <v>81</v>
      </c>
      <c r="B340" s="48" t="s">
        <v>43</v>
      </c>
      <c r="C340" s="48" t="s">
        <v>124</v>
      </c>
      <c r="D340" s="55" t="s">
        <v>45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17</v>
      </c>
      <c r="V340" s="11">
        <v>2</v>
      </c>
      <c r="W340" s="11" t="s">
        <v>17</v>
      </c>
      <c r="X340" s="11">
        <v>2</v>
      </c>
      <c r="Y340" s="11" t="s">
        <v>17</v>
      </c>
      <c r="Z340" s="11">
        <v>2</v>
      </c>
      <c r="AA340" s="11" t="s">
        <v>17</v>
      </c>
      <c r="AB340" s="11">
        <v>2</v>
      </c>
      <c r="AC340" s="11" t="s">
        <v>17</v>
      </c>
      <c r="AD340" s="11">
        <v>2</v>
      </c>
      <c r="AE340" s="11" t="s">
        <v>17</v>
      </c>
      <c r="AF340" s="11">
        <v>2</v>
      </c>
      <c r="AG340" s="11"/>
      <c r="AH340" s="11"/>
      <c r="AI340" s="11" t="s">
        <v>17</v>
      </c>
      <c r="AJ340" s="11">
        <v>2</v>
      </c>
      <c r="AK340" s="11" t="s">
        <v>17</v>
      </c>
      <c r="AL340" s="11">
        <v>2</v>
      </c>
      <c r="AM340" s="11" t="s">
        <v>17</v>
      </c>
      <c r="AN340" s="11">
        <v>2</v>
      </c>
      <c r="AO340" s="11" t="s">
        <v>17</v>
      </c>
      <c r="AP340" s="11">
        <v>2</v>
      </c>
      <c r="AQ340" s="11" t="s">
        <v>17</v>
      </c>
      <c r="AR340" s="11">
        <v>2</v>
      </c>
      <c r="AS340" s="11" t="s">
        <v>17</v>
      </c>
      <c r="AT340" s="11">
        <v>2</v>
      </c>
      <c r="AU340" s="11"/>
      <c r="AV340" s="11"/>
      <c r="AW340" s="11" t="s">
        <v>17</v>
      </c>
      <c r="AX340" s="11">
        <v>2</v>
      </c>
      <c r="AY340" s="11" t="s">
        <v>17</v>
      </c>
      <c r="AZ340" s="11">
        <v>2</v>
      </c>
      <c r="BA340" s="11" t="s">
        <v>17</v>
      </c>
      <c r="BB340" s="11">
        <v>2</v>
      </c>
      <c r="BC340" s="11" t="s">
        <v>17</v>
      </c>
      <c r="BD340" s="11">
        <v>2</v>
      </c>
      <c r="BE340" s="11" t="s">
        <v>14</v>
      </c>
      <c r="BF340" s="11">
        <v>2</v>
      </c>
      <c r="BG340" s="11" t="s">
        <v>14</v>
      </c>
      <c r="BH340" s="11">
        <v>2</v>
      </c>
      <c r="BI340" s="11" t="s">
        <v>16</v>
      </c>
      <c r="BJ340" s="11">
        <v>2</v>
      </c>
      <c r="BK340" s="11" t="s">
        <v>14</v>
      </c>
      <c r="BL340" s="11">
        <v>2</v>
      </c>
      <c r="BM340" s="11" t="s">
        <v>14</v>
      </c>
      <c r="BN340" s="34">
        <v>2</v>
      </c>
    </row>
    <row r="341" spans="1:66" ht="17.25" customHeight="1" x14ac:dyDescent="0.15">
      <c r="A341" s="85"/>
      <c r="B341" s="49"/>
      <c r="C341" s="49"/>
      <c r="D341" s="56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 t="s">
        <v>17</v>
      </c>
      <c r="V341" s="12">
        <v>2</v>
      </c>
      <c r="W341" s="12" t="s">
        <v>17</v>
      </c>
      <c r="X341" s="12">
        <v>2</v>
      </c>
      <c r="Y341" s="12" t="s">
        <v>17</v>
      </c>
      <c r="Z341" s="12">
        <v>2</v>
      </c>
      <c r="AA341" s="12" t="s">
        <v>17</v>
      </c>
      <c r="AB341" s="12">
        <v>2</v>
      </c>
      <c r="AC341" s="12" t="s">
        <v>17</v>
      </c>
      <c r="AD341" s="12">
        <v>2</v>
      </c>
      <c r="AE341" s="12" t="s">
        <v>17</v>
      </c>
      <c r="AF341" s="12">
        <v>2</v>
      </c>
      <c r="AG341" s="12"/>
      <c r="AH341" s="12"/>
      <c r="AI341" s="12" t="s">
        <v>17</v>
      </c>
      <c r="AJ341" s="12">
        <v>2</v>
      </c>
      <c r="AK341" s="12" t="s">
        <v>17</v>
      </c>
      <c r="AL341" s="12">
        <v>2</v>
      </c>
      <c r="AM341" s="12" t="s">
        <v>17</v>
      </c>
      <c r="AN341" s="12">
        <v>2</v>
      </c>
      <c r="AO341" s="12" t="s">
        <v>17</v>
      </c>
      <c r="AP341" s="12">
        <v>2</v>
      </c>
      <c r="AQ341" s="12" t="s">
        <v>17</v>
      </c>
      <c r="AR341" s="12">
        <v>2</v>
      </c>
      <c r="AS341" s="12" t="s">
        <v>17</v>
      </c>
      <c r="AT341" s="12">
        <v>2</v>
      </c>
      <c r="AU341" s="12"/>
      <c r="AV341" s="12"/>
      <c r="AW341" s="12" t="s">
        <v>17</v>
      </c>
      <c r="AX341" s="12">
        <v>2</v>
      </c>
      <c r="AY341" s="12" t="s">
        <v>17</v>
      </c>
      <c r="AZ341" s="12">
        <v>2</v>
      </c>
      <c r="BA341" s="12" t="s">
        <v>17</v>
      </c>
      <c r="BB341" s="12">
        <v>2</v>
      </c>
      <c r="BC341" s="12" t="s">
        <v>17</v>
      </c>
      <c r="BD341" s="12">
        <v>2</v>
      </c>
      <c r="BE341" s="12" t="s">
        <v>14</v>
      </c>
      <c r="BF341" s="12">
        <v>2</v>
      </c>
      <c r="BG341" s="12" t="s">
        <v>14</v>
      </c>
      <c r="BH341" s="12">
        <v>2</v>
      </c>
      <c r="BI341" s="12" t="s">
        <v>16</v>
      </c>
      <c r="BJ341" s="12">
        <v>2</v>
      </c>
      <c r="BK341" s="12" t="s">
        <v>14</v>
      </c>
      <c r="BL341" s="12">
        <v>2</v>
      </c>
      <c r="BM341" s="12" t="s">
        <v>14</v>
      </c>
      <c r="BN341" s="35">
        <v>2</v>
      </c>
    </row>
    <row r="342" spans="1:66" ht="17.25" customHeight="1" x14ac:dyDescent="0.15">
      <c r="A342" s="85"/>
      <c r="B342" s="49"/>
      <c r="C342" s="49"/>
      <c r="D342" s="57" t="s">
        <v>47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 t="s">
        <v>17</v>
      </c>
      <c r="V342" s="13">
        <v>2</v>
      </c>
      <c r="W342" s="13" t="s">
        <v>17</v>
      </c>
      <c r="X342" s="13">
        <v>2</v>
      </c>
      <c r="Y342" s="13" t="s">
        <v>17</v>
      </c>
      <c r="Z342" s="13">
        <v>2</v>
      </c>
      <c r="AA342" s="13" t="s">
        <v>17</v>
      </c>
      <c r="AB342" s="13">
        <v>2</v>
      </c>
      <c r="AC342" s="13" t="s">
        <v>17</v>
      </c>
      <c r="AD342" s="13">
        <v>2</v>
      </c>
      <c r="AE342" s="13" t="s">
        <v>17</v>
      </c>
      <c r="AF342" s="13">
        <v>2</v>
      </c>
      <c r="AG342" s="13"/>
      <c r="AH342" s="13"/>
      <c r="AI342" s="13" t="s">
        <v>17</v>
      </c>
      <c r="AJ342" s="13">
        <v>2</v>
      </c>
      <c r="AK342" s="13" t="s">
        <v>17</v>
      </c>
      <c r="AL342" s="13">
        <v>2</v>
      </c>
      <c r="AM342" s="13" t="s">
        <v>17</v>
      </c>
      <c r="AN342" s="13">
        <v>2</v>
      </c>
      <c r="AO342" s="13" t="s">
        <v>17</v>
      </c>
      <c r="AP342" s="13">
        <v>2</v>
      </c>
      <c r="AQ342" s="13" t="s">
        <v>17</v>
      </c>
      <c r="AR342" s="13">
        <v>2</v>
      </c>
      <c r="AS342" s="13" t="s">
        <v>17</v>
      </c>
      <c r="AT342" s="13">
        <v>2</v>
      </c>
      <c r="AU342" s="13"/>
      <c r="AV342" s="13"/>
      <c r="AW342" s="13" t="s">
        <v>17</v>
      </c>
      <c r="AX342" s="13">
        <v>2</v>
      </c>
      <c r="AY342" s="13" t="s">
        <v>17</v>
      </c>
      <c r="AZ342" s="13">
        <v>2</v>
      </c>
      <c r="BA342" s="13" t="s">
        <v>17</v>
      </c>
      <c r="BB342" s="13">
        <v>2</v>
      </c>
      <c r="BC342" s="13" t="s">
        <v>17</v>
      </c>
      <c r="BD342" s="13">
        <v>2</v>
      </c>
      <c r="BE342" s="13" t="s">
        <v>14</v>
      </c>
      <c r="BF342" s="13">
        <v>2</v>
      </c>
      <c r="BG342" s="13" t="s">
        <v>14</v>
      </c>
      <c r="BH342" s="13">
        <v>2</v>
      </c>
      <c r="BI342" s="13" t="s">
        <v>16</v>
      </c>
      <c r="BJ342" s="13">
        <v>2</v>
      </c>
      <c r="BK342" s="13" t="s">
        <v>14</v>
      </c>
      <c r="BL342" s="13">
        <v>2</v>
      </c>
      <c r="BM342" s="13" t="s">
        <v>14</v>
      </c>
      <c r="BN342" s="36">
        <v>2</v>
      </c>
    </row>
    <row r="343" spans="1:66" ht="17.25" customHeight="1" x14ac:dyDescent="0.15">
      <c r="A343" s="85"/>
      <c r="B343" s="49"/>
      <c r="C343" s="49"/>
      <c r="D343" s="56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 t="s">
        <v>17</v>
      </c>
      <c r="V343" s="12">
        <v>2</v>
      </c>
      <c r="W343" s="12" t="s">
        <v>17</v>
      </c>
      <c r="X343" s="12">
        <v>2</v>
      </c>
      <c r="Y343" s="12" t="s">
        <v>17</v>
      </c>
      <c r="Z343" s="12">
        <v>2</v>
      </c>
      <c r="AA343" s="12" t="s">
        <v>17</v>
      </c>
      <c r="AB343" s="12">
        <v>2</v>
      </c>
      <c r="AC343" s="12" t="s">
        <v>17</v>
      </c>
      <c r="AD343" s="12">
        <v>2</v>
      </c>
      <c r="AE343" s="12" t="s">
        <v>17</v>
      </c>
      <c r="AF343" s="12">
        <v>2</v>
      </c>
      <c r="AG343" s="12"/>
      <c r="AH343" s="12"/>
      <c r="AI343" s="12" t="s">
        <v>17</v>
      </c>
      <c r="AJ343" s="12">
        <v>2</v>
      </c>
      <c r="AK343" s="12" t="s">
        <v>17</v>
      </c>
      <c r="AL343" s="12">
        <v>2</v>
      </c>
      <c r="AM343" s="12" t="s">
        <v>17</v>
      </c>
      <c r="AN343" s="12">
        <v>2</v>
      </c>
      <c r="AO343" s="12" t="s">
        <v>17</v>
      </c>
      <c r="AP343" s="12">
        <v>2</v>
      </c>
      <c r="AQ343" s="12" t="s">
        <v>17</v>
      </c>
      <c r="AR343" s="12">
        <v>2</v>
      </c>
      <c r="AS343" s="12" t="s">
        <v>17</v>
      </c>
      <c r="AT343" s="12">
        <v>2</v>
      </c>
      <c r="AU343" s="12"/>
      <c r="AV343" s="12"/>
      <c r="AW343" s="12" t="s">
        <v>17</v>
      </c>
      <c r="AX343" s="12">
        <v>2</v>
      </c>
      <c r="AY343" s="12" t="s">
        <v>17</v>
      </c>
      <c r="AZ343" s="12">
        <v>2</v>
      </c>
      <c r="BA343" s="12" t="s">
        <v>17</v>
      </c>
      <c r="BB343" s="12">
        <v>2</v>
      </c>
      <c r="BC343" s="12" t="s">
        <v>17</v>
      </c>
      <c r="BD343" s="12">
        <v>2</v>
      </c>
      <c r="BE343" s="12" t="s">
        <v>14</v>
      </c>
      <c r="BF343" s="12">
        <v>2</v>
      </c>
      <c r="BG343" s="12" t="s">
        <v>14</v>
      </c>
      <c r="BH343" s="12">
        <v>2</v>
      </c>
      <c r="BI343" s="12" t="s">
        <v>16</v>
      </c>
      <c r="BJ343" s="12">
        <v>2</v>
      </c>
      <c r="BK343" s="12" t="s">
        <v>14</v>
      </c>
      <c r="BL343" s="12">
        <v>2</v>
      </c>
      <c r="BM343" s="12" t="s">
        <v>14</v>
      </c>
      <c r="BN343" s="35">
        <v>2</v>
      </c>
    </row>
    <row r="344" spans="1:66" ht="17.25" customHeight="1" x14ac:dyDescent="0.15">
      <c r="A344" s="85"/>
      <c r="B344" s="49"/>
      <c r="C344" s="49"/>
      <c r="D344" s="58" t="s">
        <v>49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 t="s">
        <v>15</v>
      </c>
      <c r="V344" s="14"/>
      <c r="W344" s="14" t="s">
        <v>15</v>
      </c>
      <c r="X344" s="14"/>
      <c r="Y344" s="14" t="s">
        <v>15</v>
      </c>
      <c r="Z344" s="14"/>
      <c r="AA344" s="14" t="s">
        <v>15</v>
      </c>
      <c r="AB344" s="14"/>
      <c r="AC344" s="14" t="s">
        <v>15</v>
      </c>
      <c r="AD344" s="14"/>
      <c r="AE344" s="14" t="s">
        <v>15</v>
      </c>
      <c r="AF344" s="14"/>
      <c r="AG344" s="14"/>
      <c r="AH344" s="14"/>
      <c r="AI344" s="14" t="s">
        <v>15</v>
      </c>
      <c r="AJ344" s="14"/>
      <c r="AK344" s="14" t="s">
        <v>15</v>
      </c>
      <c r="AL344" s="14"/>
      <c r="AM344" s="14" t="s">
        <v>15</v>
      </c>
      <c r="AN344" s="14"/>
      <c r="AO344" s="14" t="s">
        <v>15</v>
      </c>
      <c r="AP344" s="14"/>
      <c r="AQ344" s="14" t="s">
        <v>15</v>
      </c>
      <c r="AR344" s="14"/>
      <c r="AS344" s="14" t="s">
        <v>15</v>
      </c>
      <c r="AT344" s="14"/>
      <c r="AU344" s="14"/>
      <c r="AV344" s="14"/>
      <c r="AW344" s="14" t="s">
        <v>15</v>
      </c>
      <c r="AX344" s="14"/>
      <c r="AY344" s="14" t="s">
        <v>15</v>
      </c>
      <c r="AZ344" s="14"/>
      <c r="BA344" s="14" t="s">
        <v>15</v>
      </c>
      <c r="BB344" s="14"/>
      <c r="BC344" s="14" t="s">
        <v>15</v>
      </c>
      <c r="BD344" s="14"/>
      <c r="BE344" s="14" t="s">
        <v>15</v>
      </c>
      <c r="BF344" s="14">
        <v>4.5</v>
      </c>
      <c r="BG344" s="14" t="s">
        <v>15</v>
      </c>
      <c r="BH344" s="14">
        <v>5</v>
      </c>
      <c r="BI344" s="14"/>
      <c r="BJ344" s="14"/>
      <c r="BK344" s="14" t="s">
        <v>15</v>
      </c>
      <c r="BL344" s="14">
        <v>4</v>
      </c>
      <c r="BM344" s="14" t="s">
        <v>15</v>
      </c>
      <c r="BN344" s="37">
        <v>3</v>
      </c>
    </row>
    <row r="345" spans="1:66" ht="17.25" customHeight="1" thickBot="1" x14ac:dyDescent="0.2">
      <c r="A345" s="86"/>
      <c r="B345" s="50"/>
      <c r="C345" s="50"/>
      <c r="D345" s="59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38"/>
    </row>
    <row r="346" spans="1:66" ht="17.25" customHeight="1" x14ac:dyDescent="0.15">
      <c r="A346" s="84" t="s">
        <v>81</v>
      </c>
      <c r="B346" s="48" t="s">
        <v>43</v>
      </c>
      <c r="C346" s="48" t="s">
        <v>125</v>
      </c>
      <c r="D346" s="55" t="s">
        <v>45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17</v>
      </c>
      <c r="V346" s="11">
        <v>2</v>
      </c>
      <c r="W346" s="11" t="s">
        <v>17</v>
      </c>
      <c r="X346" s="11">
        <v>2</v>
      </c>
      <c r="Y346" s="11" t="s">
        <v>17</v>
      </c>
      <c r="Z346" s="11">
        <v>2</v>
      </c>
      <c r="AA346" s="11" t="s">
        <v>17</v>
      </c>
      <c r="AB346" s="11">
        <v>2</v>
      </c>
      <c r="AC346" s="11" t="s">
        <v>17</v>
      </c>
      <c r="AD346" s="11">
        <v>2</v>
      </c>
      <c r="AE346" s="11" t="s">
        <v>17</v>
      </c>
      <c r="AF346" s="11">
        <v>2</v>
      </c>
      <c r="AG346" s="11"/>
      <c r="AH346" s="11"/>
      <c r="AI346" s="11" t="s">
        <v>17</v>
      </c>
      <c r="AJ346" s="11">
        <v>2</v>
      </c>
      <c r="AK346" s="11" t="s">
        <v>17</v>
      </c>
      <c r="AL346" s="11">
        <v>2</v>
      </c>
      <c r="AM346" s="11" t="s">
        <v>17</v>
      </c>
      <c r="AN346" s="11">
        <v>2</v>
      </c>
      <c r="AO346" s="11" t="s">
        <v>17</v>
      </c>
      <c r="AP346" s="11">
        <v>2</v>
      </c>
      <c r="AQ346" s="11" t="s">
        <v>17</v>
      </c>
      <c r="AR346" s="11">
        <v>2</v>
      </c>
      <c r="AS346" s="11" t="s">
        <v>14</v>
      </c>
      <c r="AT346" s="11">
        <v>2</v>
      </c>
      <c r="AU346" s="11" t="s">
        <v>16</v>
      </c>
      <c r="AV346" s="11">
        <v>2</v>
      </c>
      <c r="AW346" s="11" t="s">
        <v>14</v>
      </c>
      <c r="AX346" s="11">
        <v>2</v>
      </c>
      <c r="AY346" s="11" t="s">
        <v>14</v>
      </c>
      <c r="AZ346" s="11">
        <v>2</v>
      </c>
      <c r="BA346" s="11" t="s">
        <v>14</v>
      </c>
      <c r="BB346" s="11">
        <v>2</v>
      </c>
      <c r="BC346" s="11" t="s">
        <v>14</v>
      </c>
      <c r="BD346" s="11">
        <v>2</v>
      </c>
      <c r="BE346" s="11" t="s">
        <v>14</v>
      </c>
      <c r="BF346" s="11">
        <v>2</v>
      </c>
      <c r="BG346" s="11" t="s">
        <v>14</v>
      </c>
      <c r="BH346" s="11">
        <v>2</v>
      </c>
      <c r="BI346" s="11" t="s">
        <v>16</v>
      </c>
      <c r="BJ346" s="11">
        <v>2</v>
      </c>
      <c r="BK346" s="11" t="s">
        <v>14</v>
      </c>
      <c r="BL346" s="11">
        <v>2</v>
      </c>
      <c r="BM346" s="11" t="s">
        <v>14</v>
      </c>
      <c r="BN346" s="34">
        <v>2</v>
      </c>
    </row>
    <row r="347" spans="1:66" ht="17.25" customHeight="1" x14ac:dyDescent="0.15">
      <c r="A347" s="85"/>
      <c r="B347" s="49"/>
      <c r="C347" s="49"/>
      <c r="D347" s="56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 t="s">
        <v>17</v>
      </c>
      <c r="V347" s="12">
        <v>2</v>
      </c>
      <c r="W347" s="12" t="s">
        <v>17</v>
      </c>
      <c r="X347" s="12">
        <v>2</v>
      </c>
      <c r="Y347" s="12" t="s">
        <v>17</v>
      </c>
      <c r="Z347" s="12">
        <v>2</v>
      </c>
      <c r="AA347" s="12" t="s">
        <v>17</v>
      </c>
      <c r="AB347" s="12">
        <v>2</v>
      </c>
      <c r="AC347" s="12" t="s">
        <v>17</v>
      </c>
      <c r="AD347" s="12">
        <v>2</v>
      </c>
      <c r="AE347" s="12" t="s">
        <v>17</v>
      </c>
      <c r="AF347" s="12">
        <v>2</v>
      </c>
      <c r="AG347" s="12"/>
      <c r="AH347" s="12"/>
      <c r="AI347" s="12" t="s">
        <v>17</v>
      </c>
      <c r="AJ347" s="12">
        <v>2</v>
      </c>
      <c r="AK347" s="12" t="s">
        <v>17</v>
      </c>
      <c r="AL347" s="12">
        <v>2</v>
      </c>
      <c r="AM347" s="12" t="s">
        <v>17</v>
      </c>
      <c r="AN347" s="12">
        <v>2</v>
      </c>
      <c r="AO347" s="12" t="s">
        <v>17</v>
      </c>
      <c r="AP347" s="12">
        <v>2</v>
      </c>
      <c r="AQ347" s="12" t="s">
        <v>17</v>
      </c>
      <c r="AR347" s="12">
        <v>2</v>
      </c>
      <c r="AS347" s="12" t="s">
        <v>14</v>
      </c>
      <c r="AT347" s="12">
        <v>2</v>
      </c>
      <c r="AU347" s="12" t="s">
        <v>16</v>
      </c>
      <c r="AV347" s="12">
        <v>2</v>
      </c>
      <c r="AW347" s="12" t="s">
        <v>14</v>
      </c>
      <c r="AX347" s="12">
        <v>2</v>
      </c>
      <c r="AY347" s="12" t="s">
        <v>14</v>
      </c>
      <c r="AZ347" s="12">
        <v>2</v>
      </c>
      <c r="BA347" s="12" t="s">
        <v>14</v>
      </c>
      <c r="BB347" s="12">
        <v>2</v>
      </c>
      <c r="BC347" s="12" t="s">
        <v>14</v>
      </c>
      <c r="BD347" s="12">
        <v>2</v>
      </c>
      <c r="BE347" s="12" t="s">
        <v>14</v>
      </c>
      <c r="BF347" s="12">
        <v>2</v>
      </c>
      <c r="BG347" s="12" t="s">
        <v>14</v>
      </c>
      <c r="BH347" s="12">
        <v>2</v>
      </c>
      <c r="BI347" s="12" t="s">
        <v>16</v>
      </c>
      <c r="BJ347" s="12">
        <v>2</v>
      </c>
      <c r="BK347" s="12" t="s">
        <v>14</v>
      </c>
      <c r="BL347" s="12">
        <v>2</v>
      </c>
      <c r="BM347" s="12" t="s">
        <v>14</v>
      </c>
      <c r="BN347" s="35">
        <v>2</v>
      </c>
    </row>
    <row r="348" spans="1:66" ht="17.25" customHeight="1" x14ac:dyDescent="0.15">
      <c r="A348" s="85"/>
      <c r="B348" s="49"/>
      <c r="C348" s="49"/>
      <c r="D348" s="57" t="s">
        <v>47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 t="s">
        <v>17</v>
      </c>
      <c r="V348" s="13">
        <v>2</v>
      </c>
      <c r="W348" s="13" t="s">
        <v>17</v>
      </c>
      <c r="X348" s="13">
        <v>2</v>
      </c>
      <c r="Y348" s="13" t="s">
        <v>17</v>
      </c>
      <c r="Z348" s="13">
        <v>2</v>
      </c>
      <c r="AA348" s="13" t="s">
        <v>17</v>
      </c>
      <c r="AB348" s="13">
        <v>2</v>
      </c>
      <c r="AC348" s="13" t="s">
        <v>17</v>
      </c>
      <c r="AD348" s="13">
        <v>2</v>
      </c>
      <c r="AE348" s="13" t="s">
        <v>17</v>
      </c>
      <c r="AF348" s="13">
        <v>2</v>
      </c>
      <c r="AG348" s="13"/>
      <c r="AH348" s="13"/>
      <c r="AI348" s="13" t="s">
        <v>17</v>
      </c>
      <c r="AJ348" s="13">
        <v>2</v>
      </c>
      <c r="AK348" s="13" t="s">
        <v>17</v>
      </c>
      <c r="AL348" s="13">
        <v>2</v>
      </c>
      <c r="AM348" s="13" t="s">
        <v>17</v>
      </c>
      <c r="AN348" s="13">
        <v>2</v>
      </c>
      <c r="AO348" s="13" t="s">
        <v>17</v>
      </c>
      <c r="AP348" s="13">
        <v>2</v>
      </c>
      <c r="AQ348" s="13" t="s">
        <v>17</v>
      </c>
      <c r="AR348" s="13">
        <v>2</v>
      </c>
      <c r="AS348" s="13" t="s">
        <v>14</v>
      </c>
      <c r="AT348" s="13">
        <v>2</v>
      </c>
      <c r="AU348" s="13" t="s">
        <v>16</v>
      </c>
      <c r="AV348" s="13">
        <v>2</v>
      </c>
      <c r="AW348" s="13" t="s">
        <v>14</v>
      </c>
      <c r="AX348" s="13">
        <v>2</v>
      </c>
      <c r="AY348" s="13" t="s">
        <v>14</v>
      </c>
      <c r="AZ348" s="13">
        <v>2</v>
      </c>
      <c r="BA348" s="13" t="s">
        <v>14</v>
      </c>
      <c r="BB348" s="13">
        <v>2</v>
      </c>
      <c r="BC348" s="13" t="s">
        <v>14</v>
      </c>
      <c r="BD348" s="13">
        <v>2</v>
      </c>
      <c r="BE348" s="13" t="s">
        <v>14</v>
      </c>
      <c r="BF348" s="13">
        <v>2</v>
      </c>
      <c r="BG348" s="13" t="s">
        <v>14</v>
      </c>
      <c r="BH348" s="13">
        <v>2</v>
      </c>
      <c r="BI348" s="13" t="s">
        <v>16</v>
      </c>
      <c r="BJ348" s="13">
        <v>2</v>
      </c>
      <c r="BK348" s="13" t="s">
        <v>14</v>
      </c>
      <c r="BL348" s="13">
        <v>2</v>
      </c>
      <c r="BM348" s="13" t="s">
        <v>14</v>
      </c>
      <c r="BN348" s="36">
        <v>2</v>
      </c>
    </row>
    <row r="349" spans="1:66" ht="17.25" customHeight="1" x14ac:dyDescent="0.15">
      <c r="A349" s="85"/>
      <c r="B349" s="49"/>
      <c r="C349" s="49"/>
      <c r="D349" s="56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 t="s">
        <v>17</v>
      </c>
      <c r="V349" s="12">
        <v>2</v>
      </c>
      <c r="W349" s="12" t="s">
        <v>17</v>
      </c>
      <c r="X349" s="12">
        <v>2</v>
      </c>
      <c r="Y349" s="12" t="s">
        <v>17</v>
      </c>
      <c r="Z349" s="12">
        <v>2</v>
      </c>
      <c r="AA349" s="12" t="s">
        <v>17</v>
      </c>
      <c r="AB349" s="12">
        <v>2</v>
      </c>
      <c r="AC349" s="12" t="s">
        <v>17</v>
      </c>
      <c r="AD349" s="12">
        <v>2</v>
      </c>
      <c r="AE349" s="12" t="s">
        <v>17</v>
      </c>
      <c r="AF349" s="12">
        <v>2</v>
      </c>
      <c r="AG349" s="12"/>
      <c r="AH349" s="12"/>
      <c r="AI349" s="12" t="s">
        <v>17</v>
      </c>
      <c r="AJ349" s="12">
        <v>2</v>
      </c>
      <c r="AK349" s="12" t="s">
        <v>17</v>
      </c>
      <c r="AL349" s="12">
        <v>2</v>
      </c>
      <c r="AM349" s="12" t="s">
        <v>17</v>
      </c>
      <c r="AN349" s="12">
        <v>2</v>
      </c>
      <c r="AO349" s="12" t="s">
        <v>17</v>
      </c>
      <c r="AP349" s="12">
        <v>2</v>
      </c>
      <c r="AQ349" s="12" t="s">
        <v>17</v>
      </c>
      <c r="AR349" s="12">
        <v>2</v>
      </c>
      <c r="AS349" s="12" t="s">
        <v>14</v>
      </c>
      <c r="AT349" s="12">
        <v>2</v>
      </c>
      <c r="AU349" s="12" t="s">
        <v>16</v>
      </c>
      <c r="AV349" s="12">
        <v>2</v>
      </c>
      <c r="AW349" s="12" t="s">
        <v>14</v>
      </c>
      <c r="AX349" s="12">
        <v>2</v>
      </c>
      <c r="AY349" s="12" t="s">
        <v>14</v>
      </c>
      <c r="AZ349" s="12">
        <v>2</v>
      </c>
      <c r="BA349" s="12" t="s">
        <v>14</v>
      </c>
      <c r="BB349" s="12">
        <v>2</v>
      </c>
      <c r="BC349" s="12" t="s">
        <v>14</v>
      </c>
      <c r="BD349" s="12">
        <v>2</v>
      </c>
      <c r="BE349" s="12" t="s">
        <v>14</v>
      </c>
      <c r="BF349" s="12">
        <v>2</v>
      </c>
      <c r="BG349" s="12" t="s">
        <v>14</v>
      </c>
      <c r="BH349" s="12">
        <v>2</v>
      </c>
      <c r="BI349" s="12" t="s">
        <v>16</v>
      </c>
      <c r="BJ349" s="12">
        <v>2</v>
      </c>
      <c r="BK349" s="12" t="s">
        <v>14</v>
      </c>
      <c r="BL349" s="12">
        <v>2</v>
      </c>
      <c r="BM349" s="12" t="s">
        <v>14</v>
      </c>
      <c r="BN349" s="35">
        <v>2</v>
      </c>
    </row>
    <row r="350" spans="1:66" ht="17.25" customHeight="1" x14ac:dyDescent="0.15">
      <c r="A350" s="85"/>
      <c r="B350" s="49"/>
      <c r="C350" s="49"/>
      <c r="D350" s="58" t="s">
        <v>49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 t="s">
        <v>15</v>
      </c>
      <c r="V350" s="14"/>
      <c r="W350" s="14" t="s">
        <v>15</v>
      </c>
      <c r="X350" s="14"/>
      <c r="Y350" s="14" t="s">
        <v>15</v>
      </c>
      <c r="Z350" s="14"/>
      <c r="AA350" s="14" t="s">
        <v>15</v>
      </c>
      <c r="AB350" s="14"/>
      <c r="AC350" s="14" t="s">
        <v>15</v>
      </c>
      <c r="AD350" s="14"/>
      <c r="AE350" s="14" t="s">
        <v>15</v>
      </c>
      <c r="AF350" s="14"/>
      <c r="AG350" s="14"/>
      <c r="AH350" s="14"/>
      <c r="AI350" s="14" t="s">
        <v>15</v>
      </c>
      <c r="AJ350" s="14"/>
      <c r="AK350" s="14" t="s">
        <v>15</v>
      </c>
      <c r="AL350" s="14"/>
      <c r="AM350" s="14" t="s">
        <v>15</v>
      </c>
      <c r="AN350" s="14"/>
      <c r="AO350" s="14" t="s">
        <v>15</v>
      </c>
      <c r="AP350" s="14"/>
      <c r="AQ350" s="14" t="s">
        <v>15</v>
      </c>
      <c r="AR350" s="14"/>
      <c r="AS350" s="14" t="s">
        <v>15</v>
      </c>
      <c r="AT350" s="14"/>
      <c r="AU350" s="14"/>
      <c r="AV350" s="14"/>
      <c r="AW350" s="14" t="s">
        <v>15</v>
      </c>
      <c r="AX350" s="14">
        <v>4</v>
      </c>
      <c r="AY350" s="14" t="s">
        <v>15</v>
      </c>
      <c r="AZ350" s="14">
        <v>4</v>
      </c>
      <c r="BA350" s="14" t="s">
        <v>15</v>
      </c>
      <c r="BB350" s="14">
        <v>5</v>
      </c>
      <c r="BC350" s="14" t="s">
        <v>15</v>
      </c>
      <c r="BD350" s="14">
        <v>4</v>
      </c>
      <c r="BE350" s="14" t="s">
        <v>15</v>
      </c>
      <c r="BF350" s="14">
        <v>4.5</v>
      </c>
      <c r="BG350" s="14" t="s">
        <v>15</v>
      </c>
      <c r="BH350" s="14">
        <v>5</v>
      </c>
      <c r="BI350" s="14"/>
      <c r="BJ350" s="14"/>
      <c r="BK350" s="14" t="s">
        <v>15</v>
      </c>
      <c r="BL350" s="14">
        <v>4</v>
      </c>
      <c r="BM350" s="14" t="s">
        <v>15</v>
      </c>
      <c r="BN350" s="37">
        <v>3</v>
      </c>
    </row>
    <row r="351" spans="1:66" ht="17.25" customHeight="1" thickBot="1" x14ac:dyDescent="0.2">
      <c r="A351" s="86"/>
      <c r="B351" s="50"/>
      <c r="C351" s="50"/>
      <c r="D351" s="59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38"/>
    </row>
    <row r="352" spans="1:66" ht="17.25" customHeight="1" x14ac:dyDescent="0.15">
      <c r="A352" s="84" t="s">
        <v>81</v>
      </c>
      <c r="B352" s="48" t="s">
        <v>43</v>
      </c>
      <c r="C352" s="48" t="s">
        <v>126</v>
      </c>
      <c r="D352" s="55" t="s">
        <v>45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14</v>
      </c>
      <c r="V352" s="11">
        <v>2</v>
      </c>
      <c r="W352" s="11" t="s">
        <v>14</v>
      </c>
      <c r="X352" s="11">
        <v>2</v>
      </c>
      <c r="Y352" s="11" t="s">
        <v>14</v>
      </c>
      <c r="Z352" s="11">
        <v>2</v>
      </c>
      <c r="AA352" s="11" t="s">
        <v>18</v>
      </c>
      <c r="AB352" s="11">
        <v>2</v>
      </c>
      <c r="AC352" s="11" t="s">
        <v>18</v>
      </c>
      <c r="AD352" s="11">
        <v>2</v>
      </c>
      <c r="AE352" s="11" t="s">
        <v>18</v>
      </c>
      <c r="AF352" s="11">
        <v>2</v>
      </c>
      <c r="AG352" s="11"/>
      <c r="AH352" s="11"/>
      <c r="AI352" s="11" t="s">
        <v>14</v>
      </c>
      <c r="AJ352" s="11">
        <v>2</v>
      </c>
      <c r="AK352" s="11" t="s">
        <v>14</v>
      </c>
      <c r="AL352" s="11">
        <v>2</v>
      </c>
      <c r="AM352" s="11" t="s">
        <v>14</v>
      </c>
      <c r="AN352" s="11">
        <v>2</v>
      </c>
      <c r="AO352" s="11" t="s">
        <v>14</v>
      </c>
      <c r="AP352" s="11">
        <v>2</v>
      </c>
      <c r="AQ352" s="11" t="s">
        <v>14</v>
      </c>
      <c r="AR352" s="11">
        <v>2</v>
      </c>
      <c r="AS352" s="11" t="s">
        <v>14</v>
      </c>
      <c r="AT352" s="11">
        <v>2</v>
      </c>
      <c r="AU352" s="11" t="s">
        <v>16</v>
      </c>
      <c r="AV352" s="11">
        <v>2</v>
      </c>
      <c r="AW352" s="11" t="s">
        <v>14</v>
      </c>
      <c r="AX352" s="11">
        <v>2</v>
      </c>
      <c r="AY352" s="11" t="s">
        <v>14</v>
      </c>
      <c r="AZ352" s="11">
        <v>2</v>
      </c>
      <c r="BA352" s="11" t="s">
        <v>14</v>
      </c>
      <c r="BB352" s="11">
        <v>2</v>
      </c>
      <c r="BC352" s="11" t="s">
        <v>14</v>
      </c>
      <c r="BD352" s="11">
        <v>2</v>
      </c>
      <c r="BE352" s="11" t="s">
        <v>14</v>
      </c>
      <c r="BF352" s="11">
        <v>2</v>
      </c>
      <c r="BG352" s="11" t="s">
        <v>14</v>
      </c>
      <c r="BH352" s="11">
        <v>2</v>
      </c>
      <c r="BI352" s="11" t="s">
        <v>16</v>
      </c>
      <c r="BJ352" s="11">
        <v>2</v>
      </c>
      <c r="BK352" s="11" t="s">
        <v>14</v>
      </c>
      <c r="BL352" s="11">
        <v>2</v>
      </c>
      <c r="BM352" s="11" t="s">
        <v>14</v>
      </c>
      <c r="BN352" s="34">
        <v>2</v>
      </c>
    </row>
    <row r="353" spans="1:66" ht="17.25" customHeight="1" x14ac:dyDescent="0.15">
      <c r="A353" s="85"/>
      <c r="B353" s="49"/>
      <c r="C353" s="49"/>
      <c r="D353" s="56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14</v>
      </c>
      <c r="V353" s="12">
        <v>2</v>
      </c>
      <c r="W353" s="12" t="s">
        <v>14</v>
      </c>
      <c r="X353" s="12">
        <v>2</v>
      </c>
      <c r="Y353" s="12" t="s">
        <v>14</v>
      </c>
      <c r="Z353" s="12">
        <v>2</v>
      </c>
      <c r="AA353" s="12" t="s">
        <v>18</v>
      </c>
      <c r="AB353" s="12">
        <v>2</v>
      </c>
      <c r="AC353" s="12" t="s">
        <v>18</v>
      </c>
      <c r="AD353" s="12">
        <v>2</v>
      </c>
      <c r="AE353" s="12" t="s">
        <v>18</v>
      </c>
      <c r="AF353" s="12">
        <v>2</v>
      </c>
      <c r="AG353" s="12"/>
      <c r="AH353" s="12"/>
      <c r="AI353" s="12" t="s">
        <v>14</v>
      </c>
      <c r="AJ353" s="12">
        <v>2</v>
      </c>
      <c r="AK353" s="12" t="s">
        <v>14</v>
      </c>
      <c r="AL353" s="12">
        <v>2</v>
      </c>
      <c r="AM353" s="12" t="s">
        <v>14</v>
      </c>
      <c r="AN353" s="12">
        <v>2</v>
      </c>
      <c r="AO353" s="12" t="s">
        <v>14</v>
      </c>
      <c r="AP353" s="12">
        <v>2</v>
      </c>
      <c r="AQ353" s="12" t="s">
        <v>14</v>
      </c>
      <c r="AR353" s="12">
        <v>2</v>
      </c>
      <c r="AS353" s="12" t="s">
        <v>14</v>
      </c>
      <c r="AT353" s="12">
        <v>2</v>
      </c>
      <c r="AU353" s="12" t="s">
        <v>16</v>
      </c>
      <c r="AV353" s="12">
        <v>2</v>
      </c>
      <c r="AW353" s="12" t="s">
        <v>14</v>
      </c>
      <c r="AX353" s="12">
        <v>2</v>
      </c>
      <c r="AY353" s="12" t="s">
        <v>14</v>
      </c>
      <c r="AZ353" s="12">
        <v>2</v>
      </c>
      <c r="BA353" s="12" t="s">
        <v>14</v>
      </c>
      <c r="BB353" s="12">
        <v>2</v>
      </c>
      <c r="BC353" s="12" t="s">
        <v>14</v>
      </c>
      <c r="BD353" s="12">
        <v>2</v>
      </c>
      <c r="BE353" s="12" t="s">
        <v>14</v>
      </c>
      <c r="BF353" s="12">
        <v>2</v>
      </c>
      <c r="BG353" s="12" t="s">
        <v>14</v>
      </c>
      <c r="BH353" s="12">
        <v>2</v>
      </c>
      <c r="BI353" s="12" t="s">
        <v>16</v>
      </c>
      <c r="BJ353" s="12">
        <v>2</v>
      </c>
      <c r="BK353" s="12" t="s">
        <v>14</v>
      </c>
      <c r="BL353" s="12">
        <v>2</v>
      </c>
      <c r="BM353" s="12" t="s">
        <v>14</v>
      </c>
      <c r="BN353" s="35">
        <v>2</v>
      </c>
    </row>
    <row r="354" spans="1:66" ht="17.25" customHeight="1" x14ac:dyDescent="0.15">
      <c r="A354" s="85"/>
      <c r="B354" s="49"/>
      <c r="C354" s="49"/>
      <c r="D354" s="57" t="s">
        <v>47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 t="s">
        <v>14</v>
      </c>
      <c r="V354" s="13">
        <v>2</v>
      </c>
      <c r="W354" s="13" t="s">
        <v>14</v>
      </c>
      <c r="X354" s="13">
        <v>2</v>
      </c>
      <c r="Y354" s="13" t="s">
        <v>14</v>
      </c>
      <c r="Z354" s="13">
        <v>2</v>
      </c>
      <c r="AA354" s="13" t="s">
        <v>18</v>
      </c>
      <c r="AB354" s="13">
        <v>2</v>
      </c>
      <c r="AC354" s="13" t="s">
        <v>18</v>
      </c>
      <c r="AD354" s="13">
        <v>2</v>
      </c>
      <c r="AE354" s="13" t="s">
        <v>18</v>
      </c>
      <c r="AF354" s="13">
        <v>2</v>
      </c>
      <c r="AG354" s="13"/>
      <c r="AH354" s="13"/>
      <c r="AI354" s="13" t="s">
        <v>14</v>
      </c>
      <c r="AJ354" s="13">
        <v>2</v>
      </c>
      <c r="AK354" s="13" t="s">
        <v>14</v>
      </c>
      <c r="AL354" s="13">
        <v>2</v>
      </c>
      <c r="AM354" s="13" t="s">
        <v>14</v>
      </c>
      <c r="AN354" s="13">
        <v>2</v>
      </c>
      <c r="AO354" s="13" t="s">
        <v>14</v>
      </c>
      <c r="AP354" s="13">
        <v>2</v>
      </c>
      <c r="AQ354" s="13" t="s">
        <v>14</v>
      </c>
      <c r="AR354" s="13">
        <v>2</v>
      </c>
      <c r="AS354" s="13" t="s">
        <v>14</v>
      </c>
      <c r="AT354" s="13">
        <v>2</v>
      </c>
      <c r="AU354" s="13" t="s">
        <v>16</v>
      </c>
      <c r="AV354" s="13">
        <v>2</v>
      </c>
      <c r="AW354" s="13" t="s">
        <v>14</v>
      </c>
      <c r="AX354" s="13">
        <v>2</v>
      </c>
      <c r="AY354" s="13" t="s">
        <v>14</v>
      </c>
      <c r="AZ354" s="13">
        <v>2</v>
      </c>
      <c r="BA354" s="13" t="s">
        <v>14</v>
      </c>
      <c r="BB354" s="13">
        <v>2</v>
      </c>
      <c r="BC354" s="13" t="s">
        <v>14</v>
      </c>
      <c r="BD354" s="13">
        <v>2</v>
      </c>
      <c r="BE354" s="13" t="s">
        <v>14</v>
      </c>
      <c r="BF354" s="13">
        <v>2</v>
      </c>
      <c r="BG354" s="13" t="s">
        <v>14</v>
      </c>
      <c r="BH354" s="13">
        <v>2</v>
      </c>
      <c r="BI354" s="13" t="s">
        <v>16</v>
      </c>
      <c r="BJ354" s="13">
        <v>2</v>
      </c>
      <c r="BK354" s="13" t="s">
        <v>14</v>
      </c>
      <c r="BL354" s="13">
        <v>2</v>
      </c>
      <c r="BM354" s="13" t="s">
        <v>14</v>
      </c>
      <c r="BN354" s="36">
        <v>2</v>
      </c>
    </row>
    <row r="355" spans="1:66" ht="17.25" customHeight="1" x14ac:dyDescent="0.15">
      <c r="A355" s="85"/>
      <c r="B355" s="49"/>
      <c r="C355" s="49"/>
      <c r="D355" s="56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14</v>
      </c>
      <c r="V355" s="12">
        <v>2</v>
      </c>
      <c r="W355" s="12" t="s">
        <v>14</v>
      </c>
      <c r="X355" s="12">
        <v>2</v>
      </c>
      <c r="Y355" s="12" t="s">
        <v>14</v>
      </c>
      <c r="Z355" s="12">
        <v>2</v>
      </c>
      <c r="AA355" s="12" t="s">
        <v>18</v>
      </c>
      <c r="AB355" s="12">
        <v>2</v>
      </c>
      <c r="AC355" s="12" t="s">
        <v>18</v>
      </c>
      <c r="AD355" s="12">
        <v>2</v>
      </c>
      <c r="AE355" s="12" t="s">
        <v>18</v>
      </c>
      <c r="AF355" s="12">
        <v>2</v>
      </c>
      <c r="AG355" s="12"/>
      <c r="AH355" s="12"/>
      <c r="AI355" s="12" t="s">
        <v>14</v>
      </c>
      <c r="AJ355" s="12">
        <v>2</v>
      </c>
      <c r="AK355" s="12" t="s">
        <v>14</v>
      </c>
      <c r="AL355" s="12">
        <v>2</v>
      </c>
      <c r="AM355" s="12" t="s">
        <v>14</v>
      </c>
      <c r="AN355" s="12">
        <v>2</v>
      </c>
      <c r="AO355" s="12" t="s">
        <v>14</v>
      </c>
      <c r="AP355" s="12">
        <v>2</v>
      </c>
      <c r="AQ355" s="12" t="s">
        <v>14</v>
      </c>
      <c r="AR355" s="12">
        <v>2</v>
      </c>
      <c r="AS355" s="12" t="s">
        <v>14</v>
      </c>
      <c r="AT355" s="12">
        <v>2</v>
      </c>
      <c r="AU355" s="12" t="s">
        <v>16</v>
      </c>
      <c r="AV355" s="12">
        <v>2</v>
      </c>
      <c r="AW355" s="12" t="s">
        <v>14</v>
      </c>
      <c r="AX355" s="12">
        <v>2</v>
      </c>
      <c r="AY355" s="12" t="s">
        <v>14</v>
      </c>
      <c r="AZ355" s="12">
        <v>2</v>
      </c>
      <c r="BA355" s="12" t="s">
        <v>14</v>
      </c>
      <c r="BB355" s="12">
        <v>2</v>
      </c>
      <c r="BC355" s="12" t="s">
        <v>14</v>
      </c>
      <c r="BD355" s="12">
        <v>2</v>
      </c>
      <c r="BE355" s="12" t="s">
        <v>14</v>
      </c>
      <c r="BF355" s="12">
        <v>2</v>
      </c>
      <c r="BG355" s="12" t="s">
        <v>14</v>
      </c>
      <c r="BH355" s="12">
        <v>2</v>
      </c>
      <c r="BI355" s="12" t="s">
        <v>16</v>
      </c>
      <c r="BJ355" s="12">
        <v>2</v>
      </c>
      <c r="BK355" s="12" t="s">
        <v>14</v>
      </c>
      <c r="BL355" s="12">
        <v>2</v>
      </c>
      <c r="BM355" s="12" t="s">
        <v>14</v>
      </c>
      <c r="BN355" s="35">
        <v>2</v>
      </c>
    </row>
    <row r="356" spans="1:66" ht="17.25" customHeight="1" x14ac:dyDescent="0.15">
      <c r="A356" s="85"/>
      <c r="B356" s="49"/>
      <c r="C356" s="49"/>
      <c r="D356" s="58" t="s">
        <v>49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 t="s">
        <v>15</v>
      </c>
      <c r="V356" s="14"/>
      <c r="W356" s="14" t="s">
        <v>15</v>
      </c>
      <c r="X356" s="14">
        <v>4</v>
      </c>
      <c r="Y356" s="14" t="s">
        <v>15</v>
      </c>
      <c r="Z356" s="14"/>
      <c r="AA356" s="14" t="s">
        <v>15</v>
      </c>
      <c r="AB356" s="14"/>
      <c r="AC356" s="14" t="s">
        <v>15</v>
      </c>
      <c r="AD356" s="14"/>
      <c r="AE356" s="14" t="s">
        <v>15</v>
      </c>
      <c r="AF356" s="14"/>
      <c r="AG356" s="14"/>
      <c r="AH356" s="14"/>
      <c r="AI356" s="14" t="s">
        <v>15</v>
      </c>
      <c r="AJ356" s="14"/>
      <c r="AK356" s="14" t="s">
        <v>15</v>
      </c>
      <c r="AL356" s="14"/>
      <c r="AM356" s="14" t="s">
        <v>15</v>
      </c>
      <c r="AN356" s="14">
        <v>4</v>
      </c>
      <c r="AO356" s="14" t="s">
        <v>15</v>
      </c>
      <c r="AP356" s="14">
        <v>3</v>
      </c>
      <c r="AQ356" s="14" t="s">
        <v>15</v>
      </c>
      <c r="AR356" s="14">
        <v>3</v>
      </c>
      <c r="AS356" s="14" t="s">
        <v>15</v>
      </c>
      <c r="AT356" s="14"/>
      <c r="AU356" s="14"/>
      <c r="AV356" s="14"/>
      <c r="AW356" s="14" t="s">
        <v>15</v>
      </c>
      <c r="AX356" s="14">
        <v>4</v>
      </c>
      <c r="AY356" s="14" t="s">
        <v>15</v>
      </c>
      <c r="AZ356" s="14">
        <v>4</v>
      </c>
      <c r="BA356" s="14" t="s">
        <v>15</v>
      </c>
      <c r="BB356" s="14">
        <v>5</v>
      </c>
      <c r="BC356" s="14" t="s">
        <v>15</v>
      </c>
      <c r="BD356" s="14">
        <v>4</v>
      </c>
      <c r="BE356" s="14" t="s">
        <v>15</v>
      </c>
      <c r="BF356" s="14">
        <v>4.5</v>
      </c>
      <c r="BG356" s="14" t="s">
        <v>15</v>
      </c>
      <c r="BH356" s="14">
        <v>5</v>
      </c>
      <c r="BI356" s="14"/>
      <c r="BJ356" s="14"/>
      <c r="BK356" s="14" t="s">
        <v>15</v>
      </c>
      <c r="BL356" s="14">
        <v>4</v>
      </c>
      <c r="BM356" s="14" t="s">
        <v>15</v>
      </c>
      <c r="BN356" s="37">
        <v>3</v>
      </c>
    </row>
    <row r="357" spans="1:66" ht="17.25" customHeight="1" thickBot="1" x14ac:dyDescent="0.2">
      <c r="A357" s="86"/>
      <c r="B357" s="50"/>
      <c r="C357" s="50"/>
      <c r="D357" s="59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38"/>
    </row>
    <row r="358" spans="1:66" ht="17.25" customHeight="1" x14ac:dyDescent="0.15">
      <c r="A358" s="84" t="s">
        <v>81</v>
      </c>
      <c r="B358" s="48" t="s">
        <v>43</v>
      </c>
      <c r="C358" s="48" t="s">
        <v>127</v>
      </c>
      <c r="D358" s="55" t="s">
        <v>45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14</v>
      </c>
      <c r="V358" s="11">
        <v>2</v>
      </c>
      <c r="W358" s="11" t="s">
        <v>14</v>
      </c>
      <c r="X358" s="11">
        <v>2</v>
      </c>
      <c r="Y358" s="11" t="s">
        <v>14</v>
      </c>
      <c r="Z358" s="11">
        <v>2</v>
      </c>
      <c r="AA358" s="11" t="s">
        <v>18</v>
      </c>
      <c r="AB358" s="11">
        <v>2</v>
      </c>
      <c r="AC358" s="11" t="s">
        <v>18</v>
      </c>
      <c r="AD358" s="11">
        <v>2</v>
      </c>
      <c r="AE358" s="11" t="s">
        <v>18</v>
      </c>
      <c r="AF358" s="11">
        <v>2</v>
      </c>
      <c r="AG358" s="11"/>
      <c r="AH358" s="11"/>
      <c r="AI358" s="11" t="s">
        <v>14</v>
      </c>
      <c r="AJ358" s="11">
        <v>2</v>
      </c>
      <c r="AK358" s="11" t="s">
        <v>14</v>
      </c>
      <c r="AL358" s="11">
        <v>2</v>
      </c>
      <c r="AM358" s="11" t="s">
        <v>14</v>
      </c>
      <c r="AN358" s="11">
        <v>2</v>
      </c>
      <c r="AO358" s="11" t="s">
        <v>14</v>
      </c>
      <c r="AP358" s="11">
        <v>2</v>
      </c>
      <c r="AQ358" s="11" t="s">
        <v>14</v>
      </c>
      <c r="AR358" s="11">
        <v>2</v>
      </c>
      <c r="AS358" s="11" t="s">
        <v>14</v>
      </c>
      <c r="AT358" s="11">
        <v>2</v>
      </c>
      <c r="AU358" s="11" t="s">
        <v>16</v>
      </c>
      <c r="AV358" s="11">
        <v>2</v>
      </c>
      <c r="AW358" s="11" t="s">
        <v>14</v>
      </c>
      <c r="AX358" s="11">
        <v>2</v>
      </c>
      <c r="AY358" s="11" t="s">
        <v>14</v>
      </c>
      <c r="AZ358" s="11">
        <v>2</v>
      </c>
      <c r="BA358" s="11" t="s">
        <v>14</v>
      </c>
      <c r="BB358" s="11">
        <v>2</v>
      </c>
      <c r="BC358" s="11" t="s">
        <v>14</v>
      </c>
      <c r="BD358" s="11">
        <v>2</v>
      </c>
      <c r="BE358" s="11" t="s">
        <v>14</v>
      </c>
      <c r="BF358" s="11">
        <v>2</v>
      </c>
      <c r="BG358" s="11" t="s">
        <v>14</v>
      </c>
      <c r="BH358" s="11">
        <v>2</v>
      </c>
      <c r="BI358" s="11" t="s">
        <v>16</v>
      </c>
      <c r="BJ358" s="11">
        <v>2</v>
      </c>
      <c r="BK358" s="11" t="s">
        <v>14</v>
      </c>
      <c r="BL358" s="11">
        <v>2</v>
      </c>
      <c r="BM358" s="11" t="s">
        <v>14</v>
      </c>
      <c r="BN358" s="34">
        <v>2</v>
      </c>
    </row>
    <row r="359" spans="1:66" ht="17.25" customHeight="1" x14ac:dyDescent="0.15">
      <c r="A359" s="85"/>
      <c r="B359" s="49"/>
      <c r="C359" s="49"/>
      <c r="D359" s="56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14</v>
      </c>
      <c r="V359" s="12">
        <v>2</v>
      </c>
      <c r="W359" s="12" t="s">
        <v>14</v>
      </c>
      <c r="X359" s="12">
        <v>2</v>
      </c>
      <c r="Y359" s="12" t="s">
        <v>14</v>
      </c>
      <c r="Z359" s="12">
        <v>2</v>
      </c>
      <c r="AA359" s="12" t="s">
        <v>18</v>
      </c>
      <c r="AB359" s="12">
        <v>2</v>
      </c>
      <c r="AC359" s="12" t="s">
        <v>18</v>
      </c>
      <c r="AD359" s="12">
        <v>2</v>
      </c>
      <c r="AE359" s="12" t="s">
        <v>18</v>
      </c>
      <c r="AF359" s="12">
        <v>2</v>
      </c>
      <c r="AG359" s="12"/>
      <c r="AH359" s="12"/>
      <c r="AI359" s="12" t="s">
        <v>14</v>
      </c>
      <c r="AJ359" s="12">
        <v>2</v>
      </c>
      <c r="AK359" s="12" t="s">
        <v>14</v>
      </c>
      <c r="AL359" s="12">
        <v>2</v>
      </c>
      <c r="AM359" s="12" t="s">
        <v>14</v>
      </c>
      <c r="AN359" s="12">
        <v>2</v>
      </c>
      <c r="AO359" s="12" t="s">
        <v>14</v>
      </c>
      <c r="AP359" s="12">
        <v>2</v>
      </c>
      <c r="AQ359" s="12" t="s">
        <v>14</v>
      </c>
      <c r="AR359" s="12">
        <v>2</v>
      </c>
      <c r="AS359" s="12" t="s">
        <v>14</v>
      </c>
      <c r="AT359" s="12">
        <v>2</v>
      </c>
      <c r="AU359" s="12" t="s">
        <v>16</v>
      </c>
      <c r="AV359" s="12">
        <v>2</v>
      </c>
      <c r="AW359" s="12" t="s">
        <v>14</v>
      </c>
      <c r="AX359" s="12">
        <v>2</v>
      </c>
      <c r="AY359" s="12" t="s">
        <v>14</v>
      </c>
      <c r="AZ359" s="12">
        <v>2</v>
      </c>
      <c r="BA359" s="12" t="s">
        <v>14</v>
      </c>
      <c r="BB359" s="12">
        <v>2</v>
      </c>
      <c r="BC359" s="12" t="s">
        <v>14</v>
      </c>
      <c r="BD359" s="12">
        <v>2</v>
      </c>
      <c r="BE359" s="12" t="s">
        <v>14</v>
      </c>
      <c r="BF359" s="12">
        <v>2</v>
      </c>
      <c r="BG359" s="12" t="s">
        <v>14</v>
      </c>
      <c r="BH359" s="12">
        <v>2</v>
      </c>
      <c r="BI359" s="12" t="s">
        <v>16</v>
      </c>
      <c r="BJ359" s="12">
        <v>2</v>
      </c>
      <c r="BK359" s="12" t="s">
        <v>14</v>
      </c>
      <c r="BL359" s="12">
        <v>2</v>
      </c>
      <c r="BM359" s="12" t="s">
        <v>14</v>
      </c>
      <c r="BN359" s="35">
        <v>2</v>
      </c>
    </row>
    <row r="360" spans="1:66" ht="17.25" customHeight="1" x14ac:dyDescent="0.15">
      <c r="A360" s="85"/>
      <c r="B360" s="49"/>
      <c r="C360" s="49"/>
      <c r="D360" s="57" t="s">
        <v>47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 t="s">
        <v>14</v>
      </c>
      <c r="V360" s="13">
        <v>2</v>
      </c>
      <c r="W360" s="13" t="s">
        <v>14</v>
      </c>
      <c r="X360" s="13">
        <v>2</v>
      </c>
      <c r="Y360" s="13" t="s">
        <v>14</v>
      </c>
      <c r="Z360" s="13">
        <v>2</v>
      </c>
      <c r="AA360" s="13" t="s">
        <v>18</v>
      </c>
      <c r="AB360" s="13">
        <v>2</v>
      </c>
      <c r="AC360" s="13" t="s">
        <v>18</v>
      </c>
      <c r="AD360" s="13">
        <v>2</v>
      </c>
      <c r="AE360" s="13" t="s">
        <v>18</v>
      </c>
      <c r="AF360" s="13">
        <v>2</v>
      </c>
      <c r="AG360" s="13"/>
      <c r="AH360" s="13"/>
      <c r="AI360" s="13" t="s">
        <v>14</v>
      </c>
      <c r="AJ360" s="13">
        <v>2</v>
      </c>
      <c r="AK360" s="13" t="s">
        <v>14</v>
      </c>
      <c r="AL360" s="13">
        <v>2</v>
      </c>
      <c r="AM360" s="13" t="s">
        <v>14</v>
      </c>
      <c r="AN360" s="13">
        <v>2</v>
      </c>
      <c r="AO360" s="13" t="s">
        <v>14</v>
      </c>
      <c r="AP360" s="13">
        <v>2</v>
      </c>
      <c r="AQ360" s="13" t="s">
        <v>14</v>
      </c>
      <c r="AR360" s="13">
        <v>2</v>
      </c>
      <c r="AS360" s="13" t="s">
        <v>14</v>
      </c>
      <c r="AT360" s="13">
        <v>2</v>
      </c>
      <c r="AU360" s="13" t="s">
        <v>16</v>
      </c>
      <c r="AV360" s="13">
        <v>2</v>
      </c>
      <c r="AW360" s="13" t="s">
        <v>14</v>
      </c>
      <c r="AX360" s="13">
        <v>2</v>
      </c>
      <c r="AY360" s="13" t="s">
        <v>14</v>
      </c>
      <c r="AZ360" s="13">
        <v>2</v>
      </c>
      <c r="BA360" s="13" t="s">
        <v>14</v>
      </c>
      <c r="BB360" s="13">
        <v>2</v>
      </c>
      <c r="BC360" s="13" t="s">
        <v>14</v>
      </c>
      <c r="BD360" s="13">
        <v>2</v>
      </c>
      <c r="BE360" s="13" t="s">
        <v>14</v>
      </c>
      <c r="BF360" s="13">
        <v>2</v>
      </c>
      <c r="BG360" s="13" t="s">
        <v>14</v>
      </c>
      <c r="BH360" s="13">
        <v>2</v>
      </c>
      <c r="BI360" s="13" t="s">
        <v>16</v>
      </c>
      <c r="BJ360" s="13">
        <v>2</v>
      </c>
      <c r="BK360" s="13" t="s">
        <v>14</v>
      </c>
      <c r="BL360" s="13">
        <v>2</v>
      </c>
      <c r="BM360" s="13" t="s">
        <v>14</v>
      </c>
      <c r="BN360" s="36">
        <v>2</v>
      </c>
    </row>
    <row r="361" spans="1:66" ht="17.25" customHeight="1" x14ac:dyDescent="0.15">
      <c r="A361" s="85"/>
      <c r="B361" s="49"/>
      <c r="C361" s="49"/>
      <c r="D361" s="56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14</v>
      </c>
      <c r="V361" s="12">
        <v>2</v>
      </c>
      <c r="W361" s="12" t="s">
        <v>14</v>
      </c>
      <c r="X361" s="12">
        <v>2</v>
      </c>
      <c r="Y361" s="12" t="s">
        <v>14</v>
      </c>
      <c r="Z361" s="12">
        <v>2</v>
      </c>
      <c r="AA361" s="12" t="s">
        <v>18</v>
      </c>
      <c r="AB361" s="12">
        <v>2</v>
      </c>
      <c r="AC361" s="12" t="s">
        <v>18</v>
      </c>
      <c r="AD361" s="12">
        <v>2</v>
      </c>
      <c r="AE361" s="12" t="s">
        <v>18</v>
      </c>
      <c r="AF361" s="12">
        <v>2</v>
      </c>
      <c r="AG361" s="12"/>
      <c r="AH361" s="12"/>
      <c r="AI361" s="12" t="s">
        <v>14</v>
      </c>
      <c r="AJ361" s="12">
        <v>2</v>
      </c>
      <c r="AK361" s="12" t="s">
        <v>14</v>
      </c>
      <c r="AL361" s="12">
        <v>2</v>
      </c>
      <c r="AM361" s="12" t="s">
        <v>14</v>
      </c>
      <c r="AN361" s="12">
        <v>2</v>
      </c>
      <c r="AO361" s="12" t="s">
        <v>14</v>
      </c>
      <c r="AP361" s="12">
        <v>2</v>
      </c>
      <c r="AQ361" s="12" t="s">
        <v>14</v>
      </c>
      <c r="AR361" s="12">
        <v>2</v>
      </c>
      <c r="AS361" s="12" t="s">
        <v>14</v>
      </c>
      <c r="AT361" s="12">
        <v>2</v>
      </c>
      <c r="AU361" s="12" t="s">
        <v>16</v>
      </c>
      <c r="AV361" s="12">
        <v>2</v>
      </c>
      <c r="AW361" s="12" t="s">
        <v>14</v>
      </c>
      <c r="AX361" s="12">
        <v>2</v>
      </c>
      <c r="AY361" s="12" t="s">
        <v>14</v>
      </c>
      <c r="AZ361" s="12">
        <v>2</v>
      </c>
      <c r="BA361" s="12" t="s">
        <v>14</v>
      </c>
      <c r="BB361" s="12">
        <v>2</v>
      </c>
      <c r="BC361" s="12" t="s">
        <v>14</v>
      </c>
      <c r="BD361" s="12">
        <v>2</v>
      </c>
      <c r="BE361" s="12" t="s">
        <v>14</v>
      </c>
      <c r="BF361" s="12">
        <v>2</v>
      </c>
      <c r="BG361" s="12" t="s">
        <v>14</v>
      </c>
      <c r="BH361" s="12">
        <v>2</v>
      </c>
      <c r="BI361" s="12" t="s">
        <v>16</v>
      </c>
      <c r="BJ361" s="12">
        <v>2</v>
      </c>
      <c r="BK361" s="12" t="s">
        <v>14</v>
      </c>
      <c r="BL361" s="12">
        <v>2</v>
      </c>
      <c r="BM361" s="12" t="s">
        <v>14</v>
      </c>
      <c r="BN361" s="35">
        <v>2</v>
      </c>
    </row>
    <row r="362" spans="1:66" ht="17.25" customHeight="1" x14ac:dyDescent="0.15">
      <c r="A362" s="85"/>
      <c r="B362" s="49"/>
      <c r="C362" s="49"/>
      <c r="D362" s="58" t="s">
        <v>49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 t="s">
        <v>15</v>
      </c>
      <c r="V362" s="14"/>
      <c r="W362" s="14" t="s">
        <v>15</v>
      </c>
      <c r="X362" s="14">
        <v>4</v>
      </c>
      <c r="Y362" s="14" t="s">
        <v>15</v>
      </c>
      <c r="Z362" s="14"/>
      <c r="AA362" s="14" t="s">
        <v>15</v>
      </c>
      <c r="AB362" s="14"/>
      <c r="AC362" s="14" t="s">
        <v>15</v>
      </c>
      <c r="AD362" s="14"/>
      <c r="AE362" s="14" t="s">
        <v>15</v>
      </c>
      <c r="AF362" s="14"/>
      <c r="AG362" s="14"/>
      <c r="AH362" s="14"/>
      <c r="AI362" s="14" t="s">
        <v>15</v>
      </c>
      <c r="AJ362" s="14"/>
      <c r="AK362" s="14" t="s">
        <v>15</v>
      </c>
      <c r="AL362" s="14"/>
      <c r="AM362" s="14" t="s">
        <v>15</v>
      </c>
      <c r="AN362" s="14">
        <v>4</v>
      </c>
      <c r="AO362" s="14" t="s">
        <v>15</v>
      </c>
      <c r="AP362" s="14">
        <v>3</v>
      </c>
      <c r="AQ362" s="14" t="s">
        <v>15</v>
      </c>
      <c r="AR362" s="14">
        <v>3</v>
      </c>
      <c r="AS362" s="14" t="s">
        <v>15</v>
      </c>
      <c r="AT362" s="14"/>
      <c r="AU362" s="14"/>
      <c r="AV362" s="14"/>
      <c r="AW362" s="14" t="s">
        <v>15</v>
      </c>
      <c r="AX362" s="14">
        <v>4</v>
      </c>
      <c r="AY362" s="14" t="s">
        <v>15</v>
      </c>
      <c r="AZ362" s="14">
        <v>4</v>
      </c>
      <c r="BA362" s="14" t="s">
        <v>15</v>
      </c>
      <c r="BB362" s="14">
        <v>5</v>
      </c>
      <c r="BC362" s="14" t="s">
        <v>15</v>
      </c>
      <c r="BD362" s="14">
        <v>4</v>
      </c>
      <c r="BE362" s="14" t="s">
        <v>15</v>
      </c>
      <c r="BF362" s="14">
        <v>4.5</v>
      </c>
      <c r="BG362" s="14" t="s">
        <v>15</v>
      </c>
      <c r="BH362" s="14">
        <v>5</v>
      </c>
      <c r="BI362" s="14"/>
      <c r="BJ362" s="14"/>
      <c r="BK362" s="14" t="s">
        <v>15</v>
      </c>
      <c r="BL362" s="14">
        <v>4</v>
      </c>
      <c r="BM362" s="14" t="s">
        <v>15</v>
      </c>
      <c r="BN362" s="37">
        <v>3</v>
      </c>
    </row>
    <row r="363" spans="1:66" ht="17.25" customHeight="1" thickBot="1" x14ac:dyDescent="0.2">
      <c r="A363" s="86"/>
      <c r="B363" s="50"/>
      <c r="C363" s="50"/>
      <c r="D363" s="59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38"/>
    </row>
    <row r="364" spans="1:66" ht="17.25" customHeight="1" x14ac:dyDescent="0.15">
      <c r="A364" s="84" t="s">
        <v>81</v>
      </c>
      <c r="B364" s="48" t="s">
        <v>43</v>
      </c>
      <c r="C364" s="48" t="s">
        <v>128</v>
      </c>
      <c r="D364" s="55" t="s">
        <v>45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14</v>
      </c>
      <c r="V364" s="11">
        <v>2</v>
      </c>
      <c r="W364" s="11" t="s">
        <v>14</v>
      </c>
      <c r="X364" s="11">
        <v>2</v>
      </c>
      <c r="Y364" s="11" t="s">
        <v>14</v>
      </c>
      <c r="Z364" s="11">
        <v>2</v>
      </c>
      <c r="AA364" s="11" t="s">
        <v>18</v>
      </c>
      <c r="AB364" s="11">
        <v>2</v>
      </c>
      <c r="AC364" s="11" t="s">
        <v>18</v>
      </c>
      <c r="AD364" s="11">
        <v>2</v>
      </c>
      <c r="AE364" s="11" t="s">
        <v>18</v>
      </c>
      <c r="AF364" s="11">
        <v>2</v>
      </c>
      <c r="AG364" s="11"/>
      <c r="AH364" s="11"/>
      <c r="AI364" s="11" t="s">
        <v>14</v>
      </c>
      <c r="AJ364" s="11">
        <v>2</v>
      </c>
      <c r="AK364" s="11" t="s">
        <v>14</v>
      </c>
      <c r="AL364" s="11">
        <v>2</v>
      </c>
      <c r="AM364" s="11" t="s">
        <v>14</v>
      </c>
      <c r="AN364" s="11">
        <v>2</v>
      </c>
      <c r="AO364" s="11" t="s">
        <v>14</v>
      </c>
      <c r="AP364" s="11">
        <v>2</v>
      </c>
      <c r="AQ364" s="11" t="s">
        <v>14</v>
      </c>
      <c r="AR364" s="11">
        <v>2</v>
      </c>
      <c r="AS364" s="11" t="s">
        <v>14</v>
      </c>
      <c r="AT364" s="11">
        <v>2</v>
      </c>
      <c r="AU364" s="11" t="s">
        <v>16</v>
      </c>
      <c r="AV364" s="11">
        <v>2</v>
      </c>
      <c r="AW364" s="11" t="s">
        <v>14</v>
      </c>
      <c r="AX364" s="11">
        <v>2</v>
      </c>
      <c r="AY364" s="11" t="s">
        <v>14</v>
      </c>
      <c r="AZ364" s="11">
        <v>2</v>
      </c>
      <c r="BA364" s="11" t="s">
        <v>14</v>
      </c>
      <c r="BB364" s="11">
        <v>2</v>
      </c>
      <c r="BC364" s="11" t="s">
        <v>14</v>
      </c>
      <c r="BD364" s="11">
        <v>2</v>
      </c>
      <c r="BE364" s="11" t="s">
        <v>14</v>
      </c>
      <c r="BF364" s="11">
        <v>2</v>
      </c>
      <c r="BG364" s="11" t="s">
        <v>14</v>
      </c>
      <c r="BH364" s="11">
        <v>2</v>
      </c>
      <c r="BI364" s="11" t="s">
        <v>16</v>
      </c>
      <c r="BJ364" s="11">
        <v>2</v>
      </c>
      <c r="BK364" s="11" t="s">
        <v>14</v>
      </c>
      <c r="BL364" s="11">
        <v>2</v>
      </c>
      <c r="BM364" s="11" t="s">
        <v>14</v>
      </c>
      <c r="BN364" s="34">
        <v>2</v>
      </c>
    </row>
    <row r="365" spans="1:66" ht="17.25" customHeight="1" x14ac:dyDescent="0.15">
      <c r="A365" s="85"/>
      <c r="B365" s="49"/>
      <c r="C365" s="49"/>
      <c r="D365" s="56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14</v>
      </c>
      <c r="V365" s="12">
        <v>2</v>
      </c>
      <c r="W365" s="12" t="s">
        <v>14</v>
      </c>
      <c r="X365" s="12">
        <v>2</v>
      </c>
      <c r="Y365" s="12" t="s">
        <v>14</v>
      </c>
      <c r="Z365" s="12">
        <v>2</v>
      </c>
      <c r="AA365" s="12" t="s">
        <v>18</v>
      </c>
      <c r="AB365" s="12">
        <v>2</v>
      </c>
      <c r="AC365" s="12" t="s">
        <v>18</v>
      </c>
      <c r="AD365" s="12">
        <v>2</v>
      </c>
      <c r="AE365" s="12" t="s">
        <v>18</v>
      </c>
      <c r="AF365" s="12">
        <v>2</v>
      </c>
      <c r="AG365" s="12"/>
      <c r="AH365" s="12"/>
      <c r="AI365" s="12" t="s">
        <v>14</v>
      </c>
      <c r="AJ365" s="12">
        <v>2</v>
      </c>
      <c r="AK365" s="12" t="s">
        <v>14</v>
      </c>
      <c r="AL365" s="12">
        <v>2</v>
      </c>
      <c r="AM365" s="12" t="s">
        <v>14</v>
      </c>
      <c r="AN365" s="12">
        <v>2</v>
      </c>
      <c r="AO365" s="12" t="s">
        <v>14</v>
      </c>
      <c r="AP365" s="12">
        <v>2</v>
      </c>
      <c r="AQ365" s="12" t="s">
        <v>14</v>
      </c>
      <c r="AR365" s="12">
        <v>2</v>
      </c>
      <c r="AS365" s="12" t="s">
        <v>14</v>
      </c>
      <c r="AT365" s="12">
        <v>2</v>
      </c>
      <c r="AU365" s="12" t="s">
        <v>16</v>
      </c>
      <c r="AV365" s="12">
        <v>2</v>
      </c>
      <c r="AW365" s="12" t="s">
        <v>14</v>
      </c>
      <c r="AX365" s="12">
        <v>2</v>
      </c>
      <c r="AY365" s="12" t="s">
        <v>14</v>
      </c>
      <c r="AZ365" s="12">
        <v>2</v>
      </c>
      <c r="BA365" s="12" t="s">
        <v>14</v>
      </c>
      <c r="BB365" s="12">
        <v>2</v>
      </c>
      <c r="BC365" s="12" t="s">
        <v>14</v>
      </c>
      <c r="BD365" s="12">
        <v>2</v>
      </c>
      <c r="BE365" s="12" t="s">
        <v>14</v>
      </c>
      <c r="BF365" s="12">
        <v>2</v>
      </c>
      <c r="BG365" s="12" t="s">
        <v>14</v>
      </c>
      <c r="BH365" s="12">
        <v>2</v>
      </c>
      <c r="BI365" s="12" t="s">
        <v>16</v>
      </c>
      <c r="BJ365" s="12">
        <v>2</v>
      </c>
      <c r="BK365" s="12" t="s">
        <v>14</v>
      </c>
      <c r="BL365" s="12">
        <v>2</v>
      </c>
      <c r="BM365" s="12" t="s">
        <v>14</v>
      </c>
      <c r="BN365" s="35">
        <v>2</v>
      </c>
    </row>
    <row r="366" spans="1:66" ht="17.25" customHeight="1" x14ac:dyDescent="0.15">
      <c r="A366" s="85"/>
      <c r="B366" s="49"/>
      <c r="C366" s="49"/>
      <c r="D366" s="57" t="s">
        <v>47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 t="s">
        <v>14</v>
      </c>
      <c r="V366" s="13">
        <v>2</v>
      </c>
      <c r="W366" s="13" t="s">
        <v>14</v>
      </c>
      <c r="X366" s="13">
        <v>2</v>
      </c>
      <c r="Y366" s="13" t="s">
        <v>14</v>
      </c>
      <c r="Z366" s="13">
        <v>2</v>
      </c>
      <c r="AA366" s="13" t="s">
        <v>18</v>
      </c>
      <c r="AB366" s="13">
        <v>2</v>
      </c>
      <c r="AC366" s="13" t="s">
        <v>18</v>
      </c>
      <c r="AD366" s="13">
        <v>2</v>
      </c>
      <c r="AE366" s="13" t="s">
        <v>18</v>
      </c>
      <c r="AF366" s="13">
        <v>2</v>
      </c>
      <c r="AG366" s="13"/>
      <c r="AH366" s="13"/>
      <c r="AI366" s="13" t="s">
        <v>14</v>
      </c>
      <c r="AJ366" s="13">
        <v>2</v>
      </c>
      <c r="AK366" s="13" t="s">
        <v>14</v>
      </c>
      <c r="AL366" s="13">
        <v>2</v>
      </c>
      <c r="AM366" s="13" t="s">
        <v>14</v>
      </c>
      <c r="AN366" s="13">
        <v>2</v>
      </c>
      <c r="AO366" s="13" t="s">
        <v>14</v>
      </c>
      <c r="AP366" s="13">
        <v>2</v>
      </c>
      <c r="AQ366" s="13" t="s">
        <v>14</v>
      </c>
      <c r="AR366" s="13">
        <v>2</v>
      </c>
      <c r="AS366" s="13" t="s">
        <v>14</v>
      </c>
      <c r="AT366" s="13">
        <v>2</v>
      </c>
      <c r="AU366" s="13" t="s">
        <v>16</v>
      </c>
      <c r="AV366" s="13">
        <v>2</v>
      </c>
      <c r="AW366" s="13" t="s">
        <v>14</v>
      </c>
      <c r="AX366" s="13">
        <v>2</v>
      </c>
      <c r="AY366" s="13" t="s">
        <v>14</v>
      </c>
      <c r="AZ366" s="13">
        <v>2</v>
      </c>
      <c r="BA366" s="13" t="s">
        <v>14</v>
      </c>
      <c r="BB366" s="13">
        <v>2</v>
      </c>
      <c r="BC366" s="13" t="s">
        <v>14</v>
      </c>
      <c r="BD366" s="13">
        <v>2</v>
      </c>
      <c r="BE366" s="13" t="s">
        <v>14</v>
      </c>
      <c r="BF366" s="13">
        <v>2</v>
      </c>
      <c r="BG366" s="13" t="s">
        <v>14</v>
      </c>
      <c r="BH366" s="13">
        <v>2</v>
      </c>
      <c r="BI366" s="13" t="s">
        <v>16</v>
      </c>
      <c r="BJ366" s="13">
        <v>2</v>
      </c>
      <c r="BK366" s="13" t="s">
        <v>14</v>
      </c>
      <c r="BL366" s="13">
        <v>2</v>
      </c>
      <c r="BM366" s="13" t="s">
        <v>14</v>
      </c>
      <c r="BN366" s="36">
        <v>2</v>
      </c>
    </row>
    <row r="367" spans="1:66" ht="17.25" customHeight="1" x14ac:dyDescent="0.15">
      <c r="A367" s="85"/>
      <c r="B367" s="49"/>
      <c r="C367" s="49"/>
      <c r="D367" s="56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14</v>
      </c>
      <c r="V367" s="12">
        <v>2</v>
      </c>
      <c r="W367" s="12" t="s">
        <v>14</v>
      </c>
      <c r="X367" s="12">
        <v>2</v>
      </c>
      <c r="Y367" s="12" t="s">
        <v>14</v>
      </c>
      <c r="Z367" s="12">
        <v>2</v>
      </c>
      <c r="AA367" s="12" t="s">
        <v>18</v>
      </c>
      <c r="AB367" s="12">
        <v>2</v>
      </c>
      <c r="AC367" s="12" t="s">
        <v>18</v>
      </c>
      <c r="AD367" s="12">
        <v>2</v>
      </c>
      <c r="AE367" s="12" t="s">
        <v>18</v>
      </c>
      <c r="AF367" s="12">
        <v>2</v>
      </c>
      <c r="AG367" s="12"/>
      <c r="AH367" s="12"/>
      <c r="AI367" s="12" t="s">
        <v>14</v>
      </c>
      <c r="AJ367" s="12">
        <v>2</v>
      </c>
      <c r="AK367" s="12" t="s">
        <v>14</v>
      </c>
      <c r="AL367" s="12">
        <v>2</v>
      </c>
      <c r="AM367" s="12" t="s">
        <v>14</v>
      </c>
      <c r="AN367" s="12">
        <v>2</v>
      </c>
      <c r="AO367" s="12" t="s">
        <v>14</v>
      </c>
      <c r="AP367" s="12">
        <v>2</v>
      </c>
      <c r="AQ367" s="12" t="s">
        <v>14</v>
      </c>
      <c r="AR367" s="12">
        <v>2</v>
      </c>
      <c r="AS367" s="12" t="s">
        <v>14</v>
      </c>
      <c r="AT367" s="12">
        <v>2</v>
      </c>
      <c r="AU367" s="12" t="s">
        <v>16</v>
      </c>
      <c r="AV367" s="12">
        <v>2</v>
      </c>
      <c r="AW367" s="12" t="s">
        <v>14</v>
      </c>
      <c r="AX367" s="12">
        <v>2</v>
      </c>
      <c r="AY367" s="12" t="s">
        <v>14</v>
      </c>
      <c r="AZ367" s="12">
        <v>2</v>
      </c>
      <c r="BA367" s="12" t="s">
        <v>14</v>
      </c>
      <c r="BB367" s="12">
        <v>2</v>
      </c>
      <c r="BC367" s="12" t="s">
        <v>14</v>
      </c>
      <c r="BD367" s="12">
        <v>2</v>
      </c>
      <c r="BE367" s="12" t="s">
        <v>14</v>
      </c>
      <c r="BF367" s="12">
        <v>2</v>
      </c>
      <c r="BG367" s="12" t="s">
        <v>14</v>
      </c>
      <c r="BH367" s="12">
        <v>2</v>
      </c>
      <c r="BI367" s="12" t="s">
        <v>16</v>
      </c>
      <c r="BJ367" s="12">
        <v>2</v>
      </c>
      <c r="BK367" s="12" t="s">
        <v>14</v>
      </c>
      <c r="BL367" s="12">
        <v>2</v>
      </c>
      <c r="BM367" s="12" t="s">
        <v>14</v>
      </c>
      <c r="BN367" s="35">
        <v>2</v>
      </c>
    </row>
    <row r="368" spans="1:66" ht="17.25" customHeight="1" x14ac:dyDescent="0.15">
      <c r="A368" s="85"/>
      <c r="B368" s="49"/>
      <c r="C368" s="49"/>
      <c r="D368" s="58" t="s">
        <v>49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 t="s">
        <v>15</v>
      </c>
      <c r="V368" s="14"/>
      <c r="W368" s="14" t="s">
        <v>15</v>
      </c>
      <c r="X368" s="14">
        <v>4</v>
      </c>
      <c r="Y368" s="14" t="s">
        <v>15</v>
      </c>
      <c r="Z368" s="14"/>
      <c r="AA368" s="14" t="s">
        <v>15</v>
      </c>
      <c r="AB368" s="14"/>
      <c r="AC368" s="14" t="s">
        <v>15</v>
      </c>
      <c r="AD368" s="14"/>
      <c r="AE368" s="14" t="s">
        <v>15</v>
      </c>
      <c r="AF368" s="14"/>
      <c r="AG368" s="14"/>
      <c r="AH368" s="14"/>
      <c r="AI368" s="14" t="s">
        <v>15</v>
      </c>
      <c r="AJ368" s="14"/>
      <c r="AK368" s="14" t="s">
        <v>15</v>
      </c>
      <c r="AL368" s="14"/>
      <c r="AM368" s="14" t="s">
        <v>15</v>
      </c>
      <c r="AN368" s="14">
        <v>4</v>
      </c>
      <c r="AO368" s="14" t="s">
        <v>15</v>
      </c>
      <c r="AP368" s="14">
        <v>3</v>
      </c>
      <c r="AQ368" s="14" t="s">
        <v>15</v>
      </c>
      <c r="AR368" s="14">
        <v>3</v>
      </c>
      <c r="AS368" s="14" t="s">
        <v>15</v>
      </c>
      <c r="AT368" s="14"/>
      <c r="AU368" s="14"/>
      <c r="AV368" s="14"/>
      <c r="AW368" s="14" t="s">
        <v>15</v>
      </c>
      <c r="AX368" s="14">
        <v>4</v>
      </c>
      <c r="AY368" s="14" t="s">
        <v>15</v>
      </c>
      <c r="AZ368" s="14">
        <v>4</v>
      </c>
      <c r="BA368" s="14" t="s">
        <v>15</v>
      </c>
      <c r="BB368" s="14">
        <v>5</v>
      </c>
      <c r="BC368" s="14" t="s">
        <v>15</v>
      </c>
      <c r="BD368" s="14">
        <v>4</v>
      </c>
      <c r="BE368" s="14" t="s">
        <v>15</v>
      </c>
      <c r="BF368" s="14">
        <v>4.5</v>
      </c>
      <c r="BG368" s="14" t="s">
        <v>15</v>
      </c>
      <c r="BH368" s="14">
        <v>5</v>
      </c>
      <c r="BI368" s="14"/>
      <c r="BJ368" s="14"/>
      <c r="BK368" s="14" t="s">
        <v>15</v>
      </c>
      <c r="BL368" s="14">
        <v>4</v>
      </c>
      <c r="BM368" s="14" t="s">
        <v>15</v>
      </c>
      <c r="BN368" s="37">
        <v>3</v>
      </c>
    </row>
    <row r="369" spans="1:66" ht="17.25" customHeight="1" thickBot="1" x14ac:dyDescent="0.2">
      <c r="A369" s="86"/>
      <c r="B369" s="50"/>
      <c r="C369" s="50"/>
      <c r="D369" s="59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38"/>
    </row>
    <row r="370" spans="1:66" ht="17.25" customHeight="1" x14ac:dyDescent="0.15">
      <c r="A370" s="84" t="s">
        <v>81</v>
      </c>
      <c r="B370" s="48" t="s">
        <v>43</v>
      </c>
      <c r="C370" s="48" t="s">
        <v>129</v>
      </c>
      <c r="D370" s="55" t="s">
        <v>45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14</v>
      </c>
      <c r="V370" s="11">
        <v>2</v>
      </c>
      <c r="W370" s="11" t="s">
        <v>14</v>
      </c>
      <c r="X370" s="11">
        <v>2</v>
      </c>
      <c r="Y370" s="11" t="s">
        <v>14</v>
      </c>
      <c r="Z370" s="11">
        <v>2</v>
      </c>
      <c r="AA370" s="11" t="s">
        <v>18</v>
      </c>
      <c r="AB370" s="11">
        <v>2</v>
      </c>
      <c r="AC370" s="11" t="s">
        <v>18</v>
      </c>
      <c r="AD370" s="11">
        <v>2</v>
      </c>
      <c r="AE370" s="11" t="s">
        <v>18</v>
      </c>
      <c r="AF370" s="11">
        <v>2</v>
      </c>
      <c r="AG370" s="11"/>
      <c r="AH370" s="11"/>
      <c r="AI370" s="11" t="s">
        <v>14</v>
      </c>
      <c r="AJ370" s="11">
        <v>2</v>
      </c>
      <c r="AK370" s="11" t="s">
        <v>14</v>
      </c>
      <c r="AL370" s="11">
        <v>2</v>
      </c>
      <c r="AM370" s="11" t="s">
        <v>14</v>
      </c>
      <c r="AN370" s="11">
        <v>2</v>
      </c>
      <c r="AO370" s="11" t="s">
        <v>14</v>
      </c>
      <c r="AP370" s="11">
        <v>2</v>
      </c>
      <c r="AQ370" s="11" t="s">
        <v>14</v>
      </c>
      <c r="AR370" s="11">
        <v>2</v>
      </c>
      <c r="AS370" s="11" t="s">
        <v>14</v>
      </c>
      <c r="AT370" s="11">
        <v>2</v>
      </c>
      <c r="AU370" s="11" t="s">
        <v>16</v>
      </c>
      <c r="AV370" s="11">
        <v>2</v>
      </c>
      <c r="AW370" s="11" t="s">
        <v>14</v>
      </c>
      <c r="AX370" s="11">
        <v>2</v>
      </c>
      <c r="AY370" s="11" t="s">
        <v>14</v>
      </c>
      <c r="AZ370" s="11">
        <v>2</v>
      </c>
      <c r="BA370" s="11" t="s">
        <v>14</v>
      </c>
      <c r="BB370" s="11">
        <v>2</v>
      </c>
      <c r="BC370" s="11" t="s">
        <v>14</v>
      </c>
      <c r="BD370" s="11">
        <v>2</v>
      </c>
      <c r="BE370" s="11" t="s">
        <v>14</v>
      </c>
      <c r="BF370" s="11">
        <v>2</v>
      </c>
      <c r="BG370" s="11" t="s">
        <v>14</v>
      </c>
      <c r="BH370" s="11">
        <v>2</v>
      </c>
      <c r="BI370" s="11" t="s">
        <v>16</v>
      </c>
      <c r="BJ370" s="11">
        <v>2</v>
      </c>
      <c r="BK370" s="11" t="s">
        <v>14</v>
      </c>
      <c r="BL370" s="11">
        <v>2</v>
      </c>
      <c r="BM370" s="11" t="s">
        <v>14</v>
      </c>
      <c r="BN370" s="34">
        <v>2</v>
      </c>
    </row>
    <row r="371" spans="1:66" ht="17.25" customHeight="1" x14ac:dyDescent="0.15">
      <c r="A371" s="85"/>
      <c r="B371" s="49"/>
      <c r="C371" s="49"/>
      <c r="D371" s="56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14</v>
      </c>
      <c r="V371" s="12">
        <v>2</v>
      </c>
      <c r="W371" s="12" t="s">
        <v>14</v>
      </c>
      <c r="X371" s="12">
        <v>2</v>
      </c>
      <c r="Y371" s="12" t="s">
        <v>14</v>
      </c>
      <c r="Z371" s="12">
        <v>2</v>
      </c>
      <c r="AA371" s="12" t="s">
        <v>18</v>
      </c>
      <c r="AB371" s="12">
        <v>2</v>
      </c>
      <c r="AC371" s="12" t="s">
        <v>18</v>
      </c>
      <c r="AD371" s="12">
        <v>2</v>
      </c>
      <c r="AE371" s="12" t="s">
        <v>18</v>
      </c>
      <c r="AF371" s="12">
        <v>2</v>
      </c>
      <c r="AG371" s="12"/>
      <c r="AH371" s="12"/>
      <c r="AI371" s="12" t="s">
        <v>14</v>
      </c>
      <c r="AJ371" s="12">
        <v>2</v>
      </c>
      <c r="AK371" s="12" t="s">
        <v>14</v>
      </c>
      <c r="AL371" s="12">
        <v>2</v>
      </c>
      <c r="AM371" s="12" t="s">
        <v>14</v>
      </c>
      <c r="AN371" s="12">
        <v>2</v>
      </c>
      <c r="AO371" s="12" t="s">
        <v>14</v>
      </c>
      <c r="AP371" s="12">
        <v>2</v>
      </c>
      <c r="AQ371" s="12" t="s">
        <v>14</v>
      </c>
      <c r="AR371" s="12">
        <v>2</v>
      </c>
      <c r="AS371" s="12" t="s">
        <v>14</v>
      </c>
      <c r="AT371" s="12">
        <v>2</v>
      </c>
      <c r="AU371" s="12" t="s">
        <v>16</v>
      </c>
      <c r="AV371" s="12">
        <v>2</v>
      </c>
      <c r="AW371" s="12" t="s">
        <v>14</v>
      </c>
      <c r="AX371" s="12">
        <v>2</v>
      </c>
      <c r="AY371" s="12" t="s">
        <v>14</v>
      </c>
      <c r="AZ371" s="12">
        <v>2</v>
      </c>
      <c r="BA371" s="12" t="s">
        <v>14</v>
      </c>
      <c r="BB371" s="12">
        <v>2</v>
      </c>
      <c r="BC371" s="12" t="s">
        <v>14</v>
      </c>
      <c r="BD371" s="12">
        <v>2</v>
      </c>
      <c r="BE371" s="12" t="s">
        <v>14</v>
      </c>
      <c r="BF371" s="12">
        <v>2</v>
      </c>
      <c r="BG371" s="12" t="s">
        <v>14</v>
      </c>
      <c r="BH371" s="12">
        <v>2</v>
      </c>
      <c r="BI371" s="12" t="s">
        <v>16</v>
      </c>
      <c r="BJ371" s="12">
        <v>2</v>
      </c>
      <c r="BK371" s="12" t="s">
        <v>14</v>
      </c>
      <c r="BL371" s="12">
        <v>2</v>
      </c>
      <c r="BM371" s="12" t="s">
        <v>14</v>
      </c>
      <c r="BN371" s="35">
        <v>2</v>
      </c>
    </row>
    <row r="372" spans="1:66" ht="17.25" customHeight="1" x14ac:dyDescent="0.15">
      <c r="A372" s="85"/>
      <c r="B372" s="49"/>
      <c r="C372" s="49"/>
      <c r="D372" s="57" t="s">
        <v>47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 t="s">
        <v>14</v>
      </c>
      <c r="V372" s="13">
        <v>2</v>
      </c>
      <c r="W372" s="13" t="s">
        <v>14</v>
      </c>
      <c r="X372" s="13">
        <v>2</v>
      </c>
      <c r="Y372" s="13" t="s">
        <v>14</v>
      </c>
      <c r="Z372" s="13">
        <v>2</v>
      </c>
      <c r="AA372" s="13" t="s">
        <v>18</v>
      </c>
      <c r="AB372" s="13">
        <v>2</v>
      </c>
      <c r="AC372" s="13" t="s">
        <v>18</v>
      </c>
      <c r="AD372" s="13">
        <v>2</v>
      </c>
      <c r="AE372" s="13" t="s">
        <v>18</v>
      </c>
      <c r="AF372" s="13">
        <v>2</v>
      </c>
      <c r="AG372" s="13"/>
      <c r="AH372" s="13"/>
      <c r="AI372" s="13" t="s">
        <v>14</v>
      </c>
      <c r="AJ372" s="13">
        <v>2</v>
      </c>
      <c r="AK372" s="13" t="s">
        <v>14</v>
      </c>
      <c r="AL372" s="13">
        <v>2</v>
      </c>
      <c r="AM372" s="13" t="s">
        <v>14</v>
      </c>
      <c r="AN372" s="13">
        <v>2</v>
      </c>
      <c r="AO372" s="13" t="s">
        <v>14</v>
      </c>
      <c r="AP372" s="13">
        <v>2</v>
      </c>
      <c r="AQ372" s="13" t="s">
        <v>14</v>
      </c>
      <c r="AR372" s="13">
        <v>2</v>
      </c>
      <c r="AS372" s="13" t="s">
        <v>14</v>
      </c>
      <c r="AT372" s="13">
        <v>2</v>
      </c>
      <c r="AU372" s="13" t="s">
        <v>16</v>
      </c>
      <c r="AV372" s="13">
        <v>2</v>
      </c>
      <c r="AW372" s="13" t="s">
        <v>14</v>
      </c>
      <c r="AX372" s="13">
        <v>2</v>
      </c>
      <c r="AY372" s="13" t="s">
        <v>14</v>
      </c>
      <c r="AZ372" s="13">
        <v>2</v>
      </c>
      <c r="BA372" s="13" t="s">
        <v>14</v>
      </c>
      <c r="BB372" s="13">
        <v>2</v>
      </c>
      <c r="BC372" s="13" t="s">
        <v>14</v>
      </c>
      <c r="BD372" s="13">
        <v>2</v>
      </c>
      <c r="BE372" s="13" t="s">
        <v>14</v>
      </c>
      <c r="BF372" s="13">
        <v>2</v>
      </c>
      <c r="BG372" s="13" t="s">
        <v>14</v>
      </c>
      <c r="BH372" s="13">
        <v>2</v>
      </c>
      <c r="BI372" s="13" t="s">
        <v>16</v>
      </c>
      <c r="BJ372" s="13">
        <v>2</v>
      </c>
      <c r="BK372" s="13" t="s">
        <v>14</v>
      </c>
      <c r="BL372" s="13">
        <v>2</v>
      </c>
      <c r="BM372" s="13" t="s">
        <v>14</v>
      </c>
      <c r="BN372" s="36">
        <v>2</v>
      </c>
    </row>
    <row r="373" spans="1:66" ht="17.25" customHeight="1" x14ac:dyDescent="0.15">
      <c r="A373" s="85"/>
      <c r="B373" s="49"/>
      <c r="C373" s="49"/>
      <c r="D373" s="56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14</v>
      </c>
      <c r="V373" s="12">
        <v>2</v>
      </c>
      <c r="W373" s="12" t="s">
        <v>14</v>
      </c>
      <c r="X373" s="12">
        <v>2</v>
      </c>
      <c r="Y373" s="12" t="s">
        <v>14</v>
      </c>
      <c r="Z373" s="12">
        <v>2</v>
      </c>
      <c r="AA373" s="12" t="s">
        <v>18</v>
      </c>
      <c r="AB373" s="12">
        <v>2</v>
      </c>
      <c r="AC373" s="12" t="s">
        <v>18</v>
      </c>
      <c r="AD373" s="12">
        <v>2</v>
      </c>
      <c r="AE373" s="12" t="s">
        <v>18</v>
      </c>
      <c r="AF373" s="12">
        <v>2</v>
      </c>
      <c r="AG373" s="12"/>
      <c r="AH373" s="12"/>
      <c r="AI373" s="12" t="s">
        <v>14</v>
      </c>
      <c r="AJ373" s="12">
        <v>2</v>
      </c>
      <c r="AK373" s="12" t="s">
        <v>14</v>
      </c>
      <c r="AL373" s="12">
        <v>2</v>
      </c>
      <c r="AM373" s="12" t="s">
        <v>14</v>
      </c>
      <c r="AN373" s="12">
        <v>2</v>
      </c>
      <c r="AO373" s="12" t="s">
        <v>14</v>
      </c>
      <c r="AP373" s="12">
        <v>2</v>
      </c>
      <c r="AQ373" s="12" t="s">
        <v>14</v>
      </c>
      <c r="AR373" s="12">
        <v>2</v>
      </c>
      <c r="AS373" s="12" t="s">
        <v>14</v>
      </c>
      <c r="AT373" s="12">
        <v>2</v>
      </c>
      <c r="AU373" s="12" t="s">
        <v>16</v>
      </c>
      <c r="AV373" s="12">
        <v>2</v>
      </c>
      <c r="AW373" s="12" t="s">
        <v>14</v>
      </c>
      <c r="AX373" s="12">
        <v>2</v>
      </c>
      <c r="AY373" s="12" t="s">
        <v>14</v>
      </c>
      <c r="AZ373" s="12">
        <v>2</v>
      </c>
      <c r="BA373" s="12" t="s">
        <v>14</v>
      </c>
      <c r="BB373" s="12">
        <v>2</v>
      </c>
      <c r="BC373" s="12" t="s">
        <v>14</v>
      </c>
      <c r="BD373" s="12">
        <v>2</v>
      </c>
      <c r="BE373" s="12" t="s">
        <v>14</v>
      </c>
      <c r="BF373" s="12">
        <v>2</v>
      </c>
      <c r="BG373" s="12" t="s">
        <v>14</v>
      </c>
      <c r="BH373" s="12">
        <v>2</v>
      </c>
      <c r="BI373" s="12" t="s">
        <v>16</v>
      </c>
      <c r="BJ373" s="12">
        <v>2</v>
      </c>
      <c r="BK373" s="12" t="s">
        <v>14</v>
      </c>
      <c r="BL373" s="12">
        <v>2</v>
      </c>
      <c r="BM373" s="12" t="s">
        <v>14</v>
      </c>
      <c r="BN373" s="35">
        <v>2</v>
      </c>
    </row>
    <row r="374" spans="1:66" ht="17.25" customHeight="1" x14ac:dyDescent="0.15">
      <c r="A374" s="85"/>
      <c r="B374" s="49"/>
      <c r="C374" s="49"/>
      <c r="D374" s="58" t="s">
        <v>49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 t="s">
        <v>15</v>
      </c>
      <c r="V374" s="14"/>
      <c r="W374" s="14" t="s">
        <v>15</v>
      </c>
      <c r="X374" s="14"/>
      <c r="Y374" s="14" t="s">
        <v>15</v>
      </c>
      <c r="Z374" s="14"/>
      <c r="AA374" s="14" t="s">
        <v>15</v>
      </c>
      <c r="AB374" s="14"/>
      <c r="AC374" s="14" t="s">
        <v>15</v>
      </c>
      <c r="AD374" s="14"/>
      <c r="AE374" s="14" t="s">
        <v>15</v>
      </c>
      <c r="AF374" s="14"/>
      <c r="AG374" s="14"/>
      <c r="AH374" s="14"/>
      <c r="AI374" s="14" t="s">
        <v>15</v>
      </c>
      <c r="AJ374" s="14"/>
      <c r="AK374" s="14" t="s">
        <v>15</v>
      </c>
      <c r="AL374" s="14"/>
      <c r="AM374" s="14" t="s">
        <v>15</v>
      </c>
      <c r="AN374" s="14">
        <v>4</v>
      </c>
      <c r="AO374" s="14" t="s">
        <v>15</v>
      </c>
      <c r="AP374" s="14">
        <v>3</v>
      </c>
      <c r="AQ374" s="14" t="s">
        <v>15</v>
      </c>
      <c r="AR374" s="14">
        <v>3</v>
      </c>
      <c r="AS374" s="14" t="s">
        <v>15</v>
      </c>
      <c r="AT374" s="14"/>
      <c r="AU374" s="14"/>
      <c r="AV374" s="14"/>
      <c r="AW374" s="14" t="s">
        <v>15</v>
      </c>
      <c r="AX374" s="14">
        <v>4</v>
      </c>
      <c r="AY374" s="14" t="s">
        <v>15</v>
      </c>
      <c r="AZ374" s="14">
        <v>4</v>
      </c>
      <c r="BA374" s="14" t="s">
        <v>15</v>
      </c>
      <c r="BB374" s="14">
        <v>5</v>
      </c>
      <c r="BC374" s="14" t="s">
        <v>15</v>
      </c>
      <c r="BD374" s="14">
        <v>4</v>
      </c>
      <c r="BE374" s="14" t="s">
        <v>15</v>
      </c>
      <c r="BF374" s="14">
        <v>4.5</v>
      </c>
      <c r="BG374" s="14" t="s">
        <v>15</v>
      </c>
      <c r="BH374" s="14">
        <v>5</v>
      </c>
      <c r="BI374" s="14"/>
      <c r="BJ374" s="14"/>
      <c r="BK374" s="14" t="s">
        <v>15</v>
      </c>
      <c r="BL374" s="14">
        <v>4</v>
      </c>
      <c r="BM374" s="14" t="s">
        <v>15</v>
      </c>
      <c r="BN374" s="37">
        <v>3</v>
      </c>
    </row>
    <row r="375" spans="1:66" ht="17.25" customHeight="1" thickBot="1" x14ac:dyDescent="0.2">
      <c r="A375" s="86"/>
      <c r="B375" s="50"/>
      <c r="C375" s="50"/>
      <c r="D375" s="59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38"/>
    </row>
    <row r="376" spans="1:66" ht="17.25" customHeight="1" x14ac:dyDescent="0.15">
      <c r="A376" s="84" t="s">
        <v>81</v>
      </c>
      <c r="B376" s="48" t="s">
        <v>43</v>
      </c>
      <c r="C376" s="48" t="s">
        <v>130</v>
      </c>
      <c r="D376" s="51" t="s">
        <v>45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17</v>
      </c>
      <c r="V376" s="11">
        <v>2</v>
      </c>
      <c r="W376" s="11" t="s">
        <v>17</v>
      </c>
      <c r="X376" s="11">
        <v>2</v>
      </c>
      <c r="Y376" s="11" t="s">
        <v>17</v>
      </c>
      <c r="Z376" s="11">
        <v>2</v>
      </c>
      <c r="AA376" s="11" t="s">
        <v>17</v>
      </c>
      <c r="AB376" s="11">
        <v>2</v>
      </c>
      <c r="AC376" s="11" t="s">
        <v>17</v>
      </c>
      <c r="AD376" s="11">
        <v>2</v>
      </c>
      <c r="AE376" s="11" t="s">
        <v>17</v>
      </c>
      <c r="AF376" s="11">
        <v>2</v>
      </c>
      <c r="AG376" s="11"/>
      <c r="AH376" s="11"/>
      <c r="AI376" s="11" t="s">
        <v>17</v>
      </c>
      <c r="AJ376" s="11">
        <v>2</v>
      </c>
      <c r="AK376" s="11" t="s">
        <v>17</v>
      </c>
      <c r="AL376" s="11">
        <v>2</v>
      </c>
      <c r="AM376" s="11" t="s">
        <v>14</v>
      </c>
      <c r="AN376" s="11">
        <v>2</v>
      </c>
      <c r="AO376" s="11" t="s">
        <v>14</v>
      </c>
      <c r="AP376" s="11">
        <v>2</v>
      </c>
      <c r="AQ376" s="11" t="s">
        <v>14</v>
      </c>
      <c r="AR376" s="11">
        <v>2</v>
      </c>
      <c r="AS376" s="11" t="s">
        <v>14</v>
      </c>
      <c r="AT376" s="11">
        <v>2</v>
      </c>
      <c r="AU376" s="11" t="s">
        <v>16</v>
      </c>
      <c r="AV376" s="11">
        <v>2</v>
      </c>
      <c r="AW376" s="11" t="s">
        <v>14</v>
      </c>
      <c r="AX376" s="11">
        <v>2</v>
      </c>
      <c r="AY376" s="11" t="s">
        <v>14</v>
      </c>
      <c r="AZ376" s="11">
        <v>2</v>
      </c>
      <c r="BA376" s="11" t="s">
        <v>14</v>
      </c>
      <c r="BB376" s="11">
        <v>2</v>
      </c>
      <c r="BC376" s="11" t="s">
        <v>14</v>
      </c>
      <c r="BD376" s="11">
        <v>2</v>
      </c>
      <c r="BE376" s="11" t="s">
        <v>14</v>
      </c>
      <c r="BF376" s="11">
        <v>2</v>
      </c>
      <c r="BG376" s="11" t="s">
        <v>14</v>
      </c>
      <c r="BH376" s="11">
        <v>2</v>
      </c>
      <c r="BI376" s="11" t="s">
        <v>16</v>
      </c>
      <c r="BJ376" s="11">
        <v>2</v>
      </c>
      <c r="BK376" s="11" t="s">
        <v>14</v>
      </c>
      <c r="BL376" s="11">
        <v>2</v>
      </c>
      <c r="BM376" s="11" t="s">
        <v>14</v>
      </c>
      <c r="BN376" s="34">
        <v>2</v>
      </c>
    </row>
    <row r="377" spans="1:66" ht="17.25" customHeight="1" x14ac:dyDescent="0.15">
      <c r="A377" s="85"/>
      <c r="B377" s="49"/>
      <c r="C377" s="49"/>
      <c r="D377" s="5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17</v>
      </c>
      <c r="V377" s="12">
        <v>2</v>
      </c>
      <c r="W377" s="12" t="s">
        <v>17</v>
      </c>
      <c r="X377" s="12">
        <v>2</v>
      </c>
      <c r="Y377" s="12" t="s">
        <v>17</v>
      </c>
      <c r="Z377" s="12">
        <v>2</v>
      </c>
      <c r="AA377" s="12" t="s">
        <v>17</v>
      </c>
      <c r="AB377" s="12">
        <v>2</v>
      </c>
      <c r="AC377" s="12" t="s">
        <v>17</v>
      </c>
      <c r="AD377" s="12">
        <v>2</v>
      </c>
      <c r="AE377" s="12" t="s">
        <v>17</v>
      </c>
      <c r="AF377" s="12">
        <v>2</v>
      </c>
      <c r="AG377" s="12"/>
      <c r="AH377" s="12"/>
      <c r="AI377" s="12" t="s">
        <v>17</v>
      </c>
      <c r="AJ377" s="12">
        <v>2</v>
      </c>
      <c r="AK377" s="12" t="s">
        <v>17</v>
      </c>
      <c r="AL377" s="12">
        <v>2</v>
      </c>
      <c r="AM377" s="12" t="s">
        <v>14</v>
      </c>
      <c r="AN377" s="12">
        <v>2</v>
      </c>
      <c r="AO377" s="12" t="s">
        <v>14</v>
      </c>
      <c r="AP377" s="12">
        <v>2</v>
      </c>
      <c r="AQ377" s="12" t="s">
        <v>14</v>
      </c>
      <c r="AR377" s="12">
        <v>2</v>
      </c>
      <c r="AS377" s="12" t="s">
        <v>14</v>
      </c>
      <c r="AT377" s="12">
        <v>2</v>
      </c>
      <c r="AU377" s="12" t="s">
        <v>16</v>
      </c>
      <c r="AV377" s="12">
        <v>2</v>
      </c>
      <c r="AW377" s="12" t="s">
        <v>14</v>
      </c>
      <c r="AX377" s="12">
        <v>2</v>
      </c>
      <c r="AY377" s="12" t="s">
        <v>14</v>
      </c>
      <c r="AZ377" s="12">
        <v>2</v>
      </c>
      <c r="BA377" s="12" t="s">
        <v>14</v>
      </c>
      <c r="BB377" s="12">
        <v>2</v>
      </c>
      <c r="BC377" s="12" t="s">
        <v>14</v>
      </c>
      <c r="BD377" s="12">
        <v>2</v>
      </c>
      <c r="BE377" s="12" t="s">
        <v>14</v>
      </c>
      <c r="BF377" s="12">
        <v>2</v>
      </c>
      <c r="BG377" s="12" t="s">
        <v>14</v>
      </c>
      <c r="BH377" s="12">
        <v>2</v>
      </c>
      <c r="BI377" s="12" t="s">
        <v>16</v>
      </c>
      <c r="BJ377" s="12">
        <v>2</v>
      </c>
      <c r="BK377" s="12" t="s">
        <v>14</v>
      </c>
      <c r="BL377" s="12">
        <v>2</v>
      </c>
      <c r="BM377" s="12" t="s">
        <v>14</v>
      </c>
      <c r="BN377" s="35">
        <v>2</v>
      </c>
    </row>
    <row r="378" spans="1:66" ht="17.25" customHeight="1" x14ac:dyDescent="0.15">
      <c r="A378" s="85"/>
      <c r="B378" s="49"/>
      <c r="C378" s="49"/>
      <c r="D378" s="53" t="s">
        <v>47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 t="s">
        <v>17</v>
      </c>
      <c r="V378" s="13">
        <v>2</v>
      </c>
      <c r="W378" s="13" t="s">
        <v>17</v>
      </c>
      <c r="X378" s="13">
        <v>2</v>
      </c>
      <c r="Y378" s="13" t="s">
        <v>17</v>
      </c>
      <c r="Z378" s="13">
        <v>2</v>
      </c>
      <c r="AA378" s="13" t="s">
        <v>17</v>
      </c>
      <c r="AB378" s="13">
        <v>2</v>
      </c>
      <c r="AC378" s="13" t="s">
        <v>17</v>
      </c>
      <c r="AD378" s="13">
        <v>2</v>
      </c>
      <c r="AE378" s="13" t="s">
        <v>17</v>
      </c>
      <c r="AF378" s="13">
        <v>2</v>
      </c>
      <c r="AG378" s="13"/>
      <c r="AH378" s="13"/>
      <c r="AI378" s="13" t="s">
        <v>17</v>
      </c>
      <c r="AJ378" s="13">
        <v>2</v>
      </c>
      <c r="AK378" s="13" t="s">
        <v>17</v>
      </c>
      <c r="AL378" s="13">
        <v>2</v>
      </c>
      <c r="AM378" s="13" t="s">
        <v>14</v>
      </c>
      <c r="AN378" s="13">
        <v>2</v>
      </c>
      <c r="AO378" s="13" t="s">
        <v>14</v>
      </c>
      <c r="AP378" s="13">
        <v>2</v>
      </c>
      <c r="AQ378" s="13" t="s">
        <v>14</v>
      </c>
      <c r="AR378" s="13">
        <v>2</v>
      </c>
      <c r="AS378" s="13" t="s">
        <v>14</v>
      </c>
      <c r="AT378" s="13">
        <v>2</v>
      </c>
      <c r="AU378" s="13" t="s">
        <v>16</v>
      </c>
      <c r="AV378" s="13">
        <v>2</v>
      </c>
      <c r="AW378" s="13" t="s">
        <v>14</v>
      </c>
      <c r="AX378" s="13">
        <v>2</v>
      </c>
      <c r="AY378" s="13" t="s">
        <v>14</v>
      </c>
      <c r="AZ378" s="13">
        <v>2</v>
      </c>
      <c r="BA378" s="13" t="s">
        <v>14</v>
      </c>
      <c r="BB378" s="13">
        <v>2</v>
      </c>
      <c r="BC378" s="13" t="s">
        <v>14</v>
      </c>
      <c r="BD378" s="13">
        <v>2</v>
      </c>
      <c r="BE378" s="13" t="s">
        <v>14</v>
      </c>
      <c r="BF378" s="13">
        <v>2</v>
      </c>
      <c r="BG378" s="13" t="s">
        <v>14</v>
      </c>
      <c r="BH378" s="13">
        <v>2</v>
      </c>
      <c r="BI378" s="13" t="s">
        <v>16</v>
      </c>
      <c r="BJ378" s="13">
        <v>2</v>
      </c>
      <c r="BK378" s="13" t="s">
        <v>14</v>
      </c>
      <c r="BL378" s="13">
        <v>2</v>
      </c>
      <c r="BM378" s="13" t="s">
        <v>14</v>
      </c>
      <c r="BN378" s="36">
        <v>2</v>
      </c>
    </row>
    <row r="379" spans="1:66" ht="17.25" customHeight="1" x14ac:dyDescent="0.15">
      <c r="A379" s="85"/>
      <c r="B379" s="49"/>
      <c r="C379" s="49"/>
      <c r="D379" s="5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17</v>
      </c>
      <c r="V379" s="12">
        <v>2</v>
      </c>
      <c r="W379" s="12" t="s">
        <v>17</v>
      </c>
      <c r="X379" s="12">
        <v>2</v>
      </c>
      <c r="Y379" s="12" t="s">
        <v>17</v>
      </c>
      <c r="Z379" s="12">
        <v>2</v>
      </c>
      <c r="AA379" s="12" t="s">
        <v>17</v>
      </c>
      <c r="AB379" s="12">
        <v>2</v>
      </c>
      <c r="AC379" s="12" t="s">
        <v>17</v>
      </c>
      <c r="AD379" s="12">
        <v>2</v>
      </c>
      <c r="AE379" s="12" t="s">
        <v>17</v>
      </c>
      <c r="AF379" s="12">
        <v>2</v>
      </c>
      <c r="AG379" s="12"/>
      <c r="AH379" s="12"/>
      <c r="AI379" s="12" t="s">
        <v>17</v>
      </c>
      <c r="AJ379" s="12">
        <v>2</v>
      </c>
      <c r="AK379" s="12" t="s">
        <v>17</v>
      </c>
      <c r="AL379" s="12">
        <v>2</v>
      </c>
      <c r="AM379" s="12" t="s">
        <v>14</v>
      </c>
      <c r="AN379" s="12">
        <v>2</v>
      </c>
      <c r="AO379" s="12" t="s">
        <v>14</v>
      </c>
      <c r="AP379" s="12">
        <v>2</v>
      </c>
      <c r="AQ379" s="12" t="s">
        <v>14</v>
      </c>
      <c r="AR379" s="12">
        <v>2</v>
      </c>
      <c r="AS379" s="12" t="s">
        <v>14</v>
      </c>
      <c r="AT379" s="12">
        <v>2</v>
      </c>
      <c r="AU379" s="12" t="s">
        <v>16</v>
      </c>
      <c r="AV379" s="12">
        <v>2</v>
      </c>
      <c r="AW379" s="12" t="s">
        <v>14</v>
      </c>
      <c r="AX379" s="12">
        <v>2</v>
      </c>
      <c r="AY379" s="12" t="s">
        <v>14</v>
      </c>
      <c r="AZ379" s="12">
        <v>2</v>
      </c>
      <c r="BA379" s="12" t="s">
        <v>14</v>
      </c>
      <c r="BB379" s="12">
        <v>2</v>
      </c>
      <c r="BC379" s="12" t="s">
        <v>14</v>
      </c>
      <c r="BD379" s="12">
        <v>2</v>
      </c>
      <c r="BE379" s="12" t="s">
        <v>14</v>
      </c>
      <c r="BF379" s="12">
        <v>2</v>
      </c>
      <c r="BG379" s="12" t="s">
        <v>14</v>
      </c>
      <c r="BH379" s="12">
        <v>2</v>
      </c>
      <c r="BI379" s="12" t="s">
        <v>16</v>
      </c>
      <c r="BJ379" s="12">
        <v>2</v>
      </c>
      <c r="BK379" s="12" t="s">
        <v>14</v>
      </c>
      <c r="BL379" s="12">
        <v>2</v>
      </c>
      <c r="BM379" s="12" t="s">
        <v>14</v>
      </c>
      <c r="BN379" s="35">
        <v>2</v>
      </c>
    </row>
    <row r="380" spans="1:66" ht="17.25" customHeight="1" x14ac:dyDescent="0.15">
      <c r="A380" s="85"/>
      <c r="B380" s="49"/>
      <c r="C380" s="49"/>
      <c r="D380" s="53" t="s">
        <v>49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 t="s">
        <v>15</v>
      </c>
      <c r="V380" s="14"/>
      <c r="W380" s="14" t="s">
        <v>15</v>
      </c>
      <c r="X380" s="14"/>
      <c r="Y380" s="14" t="s">
        <v>15</v>
      </c>
      <c r="Z380" s="14"/>
      <c r="AA380" s="14" t="s">
        <v>15</v>
      </c>
      <c r="AB380" s="14"/>
      <c r="AC380" s="14" t="s">
        <v>15</v>
      </c>
      <c r="AD380" s="14"/>
      <c r="AE380" s="14" t="s">
        <v>15</v>
      </c>
      <c r="AF380" s="14"/>
      <c r="AG380" s="14"/>
      <c r="AH380" s="14"/>
      <c r="AI380" s="14" t="s">
        <v>15</v>
      </c>
      <c r="AJ380" s="14"/>
      <c r="AK380" s="14" t="s">
        <v>15</v>
      </c>
      <c r="AL380" s="14"/>
      <c r="AM380" s="14" t="s">
        <v>15</v>
      </c>
      <c r="AN380" s="14">
        <v>4</v>
      </c>
      <c r="AO380" s="14" t="s">
        <v>15</v>
      </c>
      <c r="AP380" s="14">
        <v>3</v>
      </c>
      <c r="AQ380" s="14" t="s">
        <v>15</v>
      </c>
      <c r="AR380" s="14">
        <v>3</v>
      </c>
      <c r="AS380" s="14" t="s">
        <v>15</v>
      </c>
      <c r="AT380" s="14"/>
      <c r="AU380" s="14"/>
      <c r="AV380" s="14"/>
      <c r="AW380" s="14" t="s">
        <v>15</v>
      </c>
      <c r="AX380" s="14">
        <v>4</v>
      </c>
      <c r="AY380" s="14" t="s">
        <v>15</v>
      </c>
      <c r="AZ380" s="14">
        <v>4</v>
      </c>
      <c r="BA380" s="14" t="s">
        <v>15</v>
      </c>
      <c r="BB380" s="14">
        <v>5</v>
      </c>
      <c r="BC380" s="14" t="s">
        <v>15</v>
      </c>
      <c r="BD380" s="14">
        <v>4</v>
      </c>
      <c r="BE380" s="14" t="s">
        <v>15</v>
      </c>
      <c r="BF380" s="14">
        <v>4.5</v>
      </c>
      <c r="BG380" s="14" t="s">
        <v>15</v>
      </c>
      <c r="BH380" s="14">
        <v>5</v>
      </c>
      <c r="BI380" s="14"/>
      <c r="BJ380" s="14"/>
      <c r="BK380" s="14" t="s">
        <v>15</v>
      </c>
      <c r="BL380" s="14">
        <v>4</v>
      </c>
      <c r="BM380" s="14" t="s">
        <v>15</v>
      </c>
      <c r="BN380" s="37">
        <v>3</v>
      </c>
    </row>
    <row r="381" spans="1:66" ht="17.25" customHeight="1" thickBot="1" x14ac:dyDescent="0.2">
      <c r="A381" s="86"/>
      <c r="B381" s="50"/>
      <c r="C381" s="50"/>
      <c r="D381" s="54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38"/>
    </row>
    <row r="382" spans="1:66" ht="17.25" customHeight="1" x14ac:dyDescent="0.15">
      <c r="A382" s="84" t="s">
        <v>81</v>
      </c>
      <c r="B382" s="48" t="s">
        <v>43</v>
      </c>
      <c r="C382" s="48" t="s">
        <v>131</v>
      </c>
      <c r="D382" s="51" t="s">
        <v>45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14</v>
      </c>
      <c r="V382" s="11">
        <v>2</v>
      </c>
      <c r="W382" s="11" t="s">
        <v>14</v>
      </c>
      <c r="X382" s="11">
        <v>2</v>
      </c>
      <c r="Y382" s="11" t="s">
        <v>14</v>
      </c>
      <c r="Z382" s="11">
        <v>2</v>
      </c>
      <c r="AA382" s="11" t="s">
        <v>18</v>
      </c>
      <c r="AB382" s="11">
        <v>2</v>
      </c>
      <c r="AC382" s="11" t="s">
        <v>18</v>
      </c>
      <c r="AD382" s="11">
        <v>2</v>
      </c>
      <c r="AE382" s="11" t="s">
        <v>18</v>
      </c>
      <c r="AF382" s="11">
        <v>2</v>
      </c>
      <c r="AG382" s="11"/>
      <c r="AH382" s="11"/>
      <c r="AI382" s="11" t="s">
        <v>14</v>
      </c>
      <c r="AJ382" s="11">
        <v>2</v>
      </c>
      <c r="AK382" s="11" t="s">
        <v>14</v>
      </c>
      <c r="AL382" s="11">
        <v>2</v>
      </c>
      <c r="AM382" s="11" t="s">
        <v>14</v>
      </c>
      <c r="AN382" s="11">
        <v>2</v>
      </c>
      <c r="AO382" s="11" t="s">
        <v>14</v>
      </c>
      <c r="AP382" s="11">
        <v>2</v>
      </c>
      <c r="AQ382" s="11" t="s">
        <v>14</v>
      </c>
      <c r="AR382" s="11">
        <v>2</v>
      </c>
      <c r="AS382" s="11" t="s">
        <v>14</v>
      </c>
      <c r="AT382" s="11">
        <v>2</v>
      </c>
      <c r="AU382" s="11" t="s">
        <v>16</v>
      </c>
      <c r="AV382" s="11">
        <v>2</v>
      </c>
      <c r="AW382" s="11" t="s">
        <v>14</v>
      </c>
      <c r="AX382" s="11">
        <v>2</v>
      </c>
      <c r="AY382" s="11" t="s">
        <v>14</v>
      </c>
      <c r="AZ382" s="11">
        <v>2</v>
      </c>
      <c r="BA382" s="11" t="s">
        <v>14</v>
      </c>
      <c r="BB382" s="11">
        <v>2</v>
      </c>
      <c r="BC382" s="11" t="s">
        <v>14</v>
      </c>
      <c r="BD382" s="11">
        <v>2</v>
      </c>
      <c r="BE382" s="11" t="s">
        <v>14</v>
      </c>
      <c r="BF382" s="11">
        <v>2</v>
      </c>
      <c r="BG382" s="11" t="s">
        <v>14</v>
      </c>
      <c r="BH382" s="11">
        <v>2</v>
      </c>
      <c r="BI382" s="11" t="s">
        <v>16</v>
      </c>
      <c r="BJ382" s="11">
        <v>2</v>
      </c>
      <c r="BK382" s="11" t="s">
        <v>14</v>
      </c>
      <c r="BL382" s="11">
        <v>2</v>
      </c>
      <c r="BM382" s="11" t="s">
        <v>14</v>
      </c>
      <c r="BN382" s="34">
        <v>2</v>
      </c>
    </row>
    <row r="383" spans="1:66" ht="17.25" customHeight="1" x14ac:dyDescent="0.15">
      <c r="A383" s="85"/>
      <c r="B383" s="49"/>
      <c r="C383" s="49"/>
      <c r="D383" s="5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14</v>
      </c>
      <c r="V383" s="12">
        <v>2</v>
      </c>
      <c r="W383" s="12" t="s">
        <v>14</v>
      </c>
      <c r="X383" s="12">
        <v>2</v>
      </c>
      <c r="Y383" s="12" t="s">
        <v>14</v>
      </c>
      <c r="Z383" s="12">
        <v>2</v>
      </c>
      <c r="AA383" s="12" t="s">
        <v>18</v>
      </c>
      <c r="AB383" s="12">
        <v>2</v>
      </c>
      <c r="AC383" s="12" t="s">
        <v>18</v>
      </c>
      <c r="AD383" s="12">
        <v>2</v>
      </c>
      <c r="AE383" s="12" t="s">
        <v>18</v>
      </c>
      <c r="AF383" s="12">
        <v>2</v>
      </c>
      <c r="AG383" s="12"/>
      <c r="AH383" s="12"/>
      <c r="AI383" s="12" t="s">
        <v>14</v>
      </c>
      <c r="AJ383" s="12">
        <v>2</v>
      </c>
      <c r="AK383" s="12" t="s">
        <v>14</v>
      </c>
      <c r="AL383" s="12">
        <v>2</v>
      </c>
      <c r="AM383" s="12" t="s">
        <v>14</v>
      </c>
      <c r="AN383" s="12">
        <v>2</v>
      </c>
      <c r="AO383" s="12" t="s">
        <v>14</v>
      </c>
      <c r="AP383" s="12">
        <v>2</v>
      </c>
      <c r="AQ383" s="12" t="s">
        <v>14</v>
      </c>
      <c r="AR383" s="12">
        <v>2</v>
      </c>
      <c r="AS383" s="12" t="s">
        <v>14</v>
      </c>
      <c r="AT383" s="12">
        <v>2</v>
      </c>
      <c r="AU383" s="12" t="s">
        <v>16</v>
      </c>
      <c r="AV383" s="12">
        <v>2</v>
      </c>
      <c r="AW383" s="12" t="s">
        <v>14</v>
      </c>
      <c r="AX383" s="12">
        <v>2</v>
      </c>
      <c r="AY383" s="12" t="s">
        <v>14</v>
      </c>
      <c r="AZ383" s="12">
        <v>2</v>
      </c>
      <c r="BA383" s="12" t="s">
        <v>14</v>
      </c>
      <c r="BB383" s="12">
        <v>2</v>
      </c>
      <c r="BC383" s="12" t="s">
        <v>14</v>
      </c>
      <c r="BD383" s="12">
        <v>2</v>
      </c>
      <c r="BE383" s="12" t="s">
        <v>14</v>
      </c>
      <c r="BF383" s="12">
        <v>2</v>
      </c>
      <c r="BG383" s="12" t="s">
        <v>14</v>
      </c>
      <c r="BH383" s="12">
        <v>2</v>
      </c>
      <c r="BI383" s="12" t="s">
        <v>16</v>
      </c>
      <c r="BJ383" s="12">
        <v>2</v>
      </c>
      <c r="BK383" s="12" t="s">
        <v>14</v>
      </c>
      <c r="BL383" s="12">
        <v>2</v>
      </c>
      <c r="BM383" s="12" t="s">
        <v>14</v>
      </c>
      <c r="BN383" s="35">
        <v>2</v>
      </c>
    </row>
    <row r="384" spans="1:66" ht="17.25" customHeight="1" x14ac:dyDescent="0.15">
      <c r="A384" s="85"/>
      <c r="B384" s="49"/>
      <c r="C384" s="49"/>
      <c r="D384" s="53" t="s">
        <v>47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 t="s">
        <v>14</v>
      </c>
      <c r="V384" s="13">
        <v>2</v>
      </c>
      <c r="W384" s="13" t="s">
        <v>14</v>
      </c>
      <c r="X384" s="13">
        <v>2</v>
      </c>
      <c r="Y384" s="13" t="s">
        <v>14</v>
      </c>
      <c r="Z384" s="13">
        <v>2</v>
      </c>
      <c r="AA384" s="13" t="s">
        <v>18</v>
      </c>
      <c r="AB384" s="13">
        <v>2</v>
      </c>
      <c r="AC384" s="13" t="s">
        <v>18</v>
      </c>
      <c r="AD384" s="13">
        <v>2</v>
      </c>
      <c r="AE384" s="13" t="s">
        <v>18</v>
      </c>
      <c r="AF384" s="13">
        <v>2</v>
      </c>
      <c r="AG384" s="13"/>
      <c r="AH384" s="13"/>
      <c r="AI384" s="13" t="s">
        <v>14</v>
      </c>
      <c r="AJ384" s="13">
        <v>2</v>
      </c>
      <c r="AK384" s="13" t="s">
        <v>14</v>
      </c>
      <c r="AL384" s="13">
        <v>2</v>
      </c>
      <c r="AM384" s="13" t="s">
        <v>14</v>
      </c>
      <c r="AN384" s="13">
        <v>2</v>
      </c>
      <c r="AO384" s="13" t="s">
        <v>14</v>
      </c>
      <c r="AP384" s="13">
        <v>2</v>
      </c>
      <c r="AQ384" s="13" t="s">
        <v>14</v>
      </c>
      <c r="AR384" s="13">
        <v>2</v>
      </c>
      <c r="AS384" s="13" t="s">
        <v>14</v>
      </c>
      <c r="AT384" s="13">
        <v>2</v>
      </c>
      <c r="AU384" s="13" t="s">
        <v>16</v>
      </c>
      <c r="AV384" s="13">
        <v>2</v>
      </c>
      <c r="AW384" s="13" t="s">
        <v>14</v>
      </c>
      <c r="AX384" s="13">
        <v>2</v>
      </c>
      <c r="AY384" s="13" t="s">
        <v>14</v>
      </c>
      <c r="AZ384" s="13">
        <v>2</v>
      </c>
      <c r="BA384" s="13" t="s">
        <v>14</v>
      </c>
      <c r="BB384" s="13">
        <v>2</v>
      </c>
      <c r="BC384" s="13" t="s">
        <v>14</v>
      </c>
      <c r="BD384" s="13">
        <v>2</v>
      </c>
      <c r="BE384" s="13" t="s">
        <v>14</v>
      </c>
      <c r="BF384" s="13">
        <v>2</v>
      </c>
      <c r="BG384" s="13" t="s">
        <v>14</v>
      </c>
      <c r="BH384" s="13">
        <v>2</v>
      </c>
      <c r="BI384" s="13" t="s">
        <v>16</v>
      </c>
      <c r="BJ384" s="13">
        <v>2</v>
      </c>
      <c r="BK384" s="13" t="s">
        <v>14</v>
      </c>
      <c r="BL384" s="13">
        <v>2</v>
      </c>
      <c r="BM384" s="13" t="s">
        <v>14</v>
      </c>
      <c r="BN384" s="36">
        <v>2</v>
      </c>
    </row>
    <row r="385" spans="1:66" ht="17.25" customHeight="1" x14ac:dyDescent="0.15">
      <c r="A385" s="85"/>
      <c r="B385" s="49"/>
      <c r="C385" s="49"/>
      <c r="D385" s="5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14</v>
      </c>
      <c r="V385" s="12">
        <v>2</v>
      </c>
      <c r="W385" s="12" t="s">
        <v>14</v>
      </c>
      <c r="X385" s="12">
        <v>2</v>
      </c>
      <c r="Y385" s="12" t="s">
        <v>14</v>
      </c>
      <c r="Z385" s="12">
        <v>2</v>
      </c>
      <c r="AA385" s="12" t="s">
        <v>18</v>
      </c>
      <c r="AB385" s="12">
        <v>2</v>
      </c>
      <c r="AC385" s="12" t="s">
        <v>18</v>
      </c>
      <c r="AD385" s="12">
        <v>2</v>
      </c>
      <c r="AE385" s="12" t="s">
        <v>18</v>
      </c>
      <c r="AF385" s="12">
        <v>2</v>
      </c>
      <c r="AG385" s="12"/>
      <c r="AH385" s="12"/>
      <c r="AI385" s="12" t="s">
        <v>14</v>
      </c>
      <c r="AJ385" s="12">
        <v>2</v>
      </c>
      <c r="AK385" s="12" t="s">
        <v>14</v>
      </c>
      <c r="AL385" s="12">
        <v>2</v>
      </c>
      <c r="AM385" s="12" t="s">
        <v>14</v>
      </c>
      <c r="AN385" s="12">
        <v>2</v>
      </c>
      <c r="AO385" s="12" t="s">
        <v>14</v>
      </c>
      <c r="AP385" s="12">
        <v>2</v>
      </c>
      <c r="AQ385" s="12" t="s">
        <v>14</v>
      </c>
      <c r="AR385" s="12">
        <v>2</v>
      </c>
      <c r="AS385" s="12" t="s">
        <v>14</v>
      </c>
      <c r="AT385" s="12">
        <v>2</v>
      </c>
      <c r="AU385" s="12" t="s">
        <v>16</v>
      </c>
      <c r="AV385" s="12">
        <v>2</v>
      </c>
      <c r="AW385" s="12" t="s">
        <v>14</v>
      </c>
      <c r="AX385" s="12">
        <v>2</v>
      </c>
      <c r="AY385" s="12" t="s">
        <v>14</v>
      </c>
      <c r="AZ385" s="12">
        <v>2</v>
      </c>
      <c r="BA385" s="12" t="s">
        <v>14</v>
      </c>
      <c r="BB385" s="12">
        <v>2</v>
      </c>
      <c r="BC385" s="12" t="s">
        <v>14</v>
      </c>
      <c r="BD385" s="12">
        <v>2</v>
      </c>
      <c r="BE385" s="12" t="s">
        <v>14</v>
      </c>
      <c r="BF385" s="12">
        <v>2</v>
      </c>
      <c r="BG385" s="12" t="s">
        <v>14</v>
      </c>
      <c r="BH385" s="12">
        <v>2</v>
      </c>
      <c r="BI385" s="12" t="s">
        <v>16</v>
      </c>
      <c r="BJ385" s="12">
        <v>2</v>
      </c>
      <c r="BK385" s="12" t="s">
        <v>14</v>
      </c>
      <c r="BL385" s="12">
        <v>2</v>
      </c>
      <c r="BM385" s="12" t="s">
        <v>14</v>
      </c>
      <c r="BN385" s="35">
        <v>2</v>
      </c>
    </row>
    <row r="386" spans="1:66" ht="17.25" customHeight="1" x14ac:dyDescent="0.15">
      <c r="A386" s="85"/>
      <c r="B386" s="49"/>
      <c r="C386" s="49"/>
      <c r="D386" s="53" t="s">
        <v>49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 t="s">
        <v>15</v>
      </c>
      <c r="V386" s="14"/>
      <c r="W386" s="14" t="s">
        <v>15</v>
      </c>
      <c r="X386" s="14">
        <v>4</v>
      </c>
      <c r="Y386" s="14" t="s">
        <v>15</v>
      </c>
      <c r="Z386" s="14"/>
      <c r="AA386" s="14" t="s">
        <v>15</v>
      </c>
      <c r="AB386" s="14"/>
      <c r="AC386" s="14" t="s">
        <v>15</v>
      </c>
      <c r="AD386" s="14"/>
      <c r="AE386" s="14" t="s">
        <v>15</v>
      </c>
      <c r="AF386" s="14"/>
      <c r="AG386" s="14"/>
      <c r="AH386" s="14"/>
      <c r="AI386" s="14" t="s">
        <v>15</v>
      </c>
      <c r="AJ386" s="14">
        <v>3</v>
      </c>
      <c r="AK386" s="14" t="s">
        <v>15</v>
      </c>
      <c r="AL386" s="14"/>
      <c r="AM386" s="14" t="s">
        <v>15</v>
      </c>
      <c r="AN386" s="14">
        <v>4</v>
      </c>
      <c r="AO386" s="14" t="s">
        <v>15</v>
      </c>
      <c r="AP386" s="14">
        <v>3</v>
      </c>
      <c r="AQ386" s="14" t="s">
        <v>15</v>
      </c>
      <c r="AR386" s="14">
        <v>3</v>
      </c>
      <c r="AS386" s="14" t="s">
        <v>15</v>
      </c>
      <c r="AT386" s="14"/>
      <c r="AU386" s="14"/>
      <c r="AV386" s="14"/>
      <c r="AW386" s="14" t="s">
        <v>15</v>
      </c>
      <c r="AX386" s="14">
        <v>4</v>
      </c>
      <c r="AY386" s="14" t="s">
        <v>15</v>
      </c>
      <c r="AZ386" s="14">
        <v>4</v>
      </c>
      <c r="BA386" s="14" t="s">
        <v>15</v>
      </c>
      <c r="BB386" s="14">
        <v>5</v>
      </c>
      <c r="BC386" s="14" t="s">
        <v>15</v>
      </c>
      <c r="BD386" s="14">
        <v>4</v>
      </c>
      <c r="BE386" s="14" t="s">
        <v>15</v>
      </c>
      <c r="BF386" s="14">
        <v>4.5</v>
      </c>
      <c r="BG386" s="14" t="s">
        <v>15</v>
      </c>
      <c r="BH386" s="14">
        <v>5</v>
      </c>
      <c r="BI386" s="14"/>
      <c r="BJ386" s="14"/>
      <c r="BK386" s="14" t="s">
        <v>15</v>
      </c>
      <c r="BL386" s="14">
        <v>4</v>
      </c>
      <c r="BM386" s="14" t="s">
        <v>15</v>
      </c>
      <c r="BN386" s="37">
        <v>3</v>
      </c>
    </row>
    <row r="387" spans="1:66" ht="17.25" customHeight="1" thickBot="1" x14ac:dyDescent="0.2">
      <c r="A387" s="86"/>
      <c r="B387" s="50"/>
      <c r="C387" s="50"/>
      <c r="D387" s="54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38"/>
    </row>
    <row r="388" spans="1:66" ht="17.25" customHeight="1" x14ac:dyDescent="0.15">
      <c r="A388" s="84" t="s">
        <v>81</v>
      </c>
      <c r="B388" s="48" t="s">
        <v>43</v>
      </c>
      <c r="C388" s="48" t="s">
        <v>132</v>
      </c>
      <c r="D388" s="51" t="s">
        <v>45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14</v>
      </c>
      <c r="V388" s="11">
        <v>2</v>
      </c>
      <c r="W388" s="11" t="s">
        <v>14</v>
      </c>
      <c r="X388" s="11">
        <v>2</v>
      </c>
      <c r="Y388" s="11" t="s">
        <v>14</v>
      </c>
      <c r="Z388" s="11">
        <v>2</v>
      </c>
      <c r="AA388" s="11" t="s">
        <v>18</v>
      </c>
      <c r="AB388" s="11">
        <v>2</v>
      </c>
      <c r="AC388" s="11" t="s">
        <v>18</v>
      </c>
      <c r="AD388" s="11">
        <v>2</v>
      </c>
      <c r="AE388" s="11" t="s">
        <v>18</v>
      </c>
      <c r="AF388" s="11">
        <v>2</v>
      </c>
      <c r="AG388" s="11"/>
      <c r="AH388" s="11"/>
      <c r="AI388" s="11" t="s">
        <v>14</v>
      </c>
      <c r="AJ388" s="11">
        <v>2</v>
      </c>
      <c r="AK388" s="11" t="s">
        <v>14</v>
      </c>
      <c r="AL388" s="11">
        <v>2</v>
      </c>
      <c r="AM388" s="11" t="s">
        <v>14</v>
      </c>
      <c r="AN388" s="11">
        <v>2</v>
      </c>
      <c r="AO388" s="11" t="s">
        <v>14</v>
      </c>
      <c r="AP388" s="11">
        <v>2</v>
      </c>
      <c r="AQ388" s="11" t="s">
        <v>14</v>
      </c>
      <c r="AR388" s="11">
        <v>2</v>
      </c>
      <c r="AS388" s="11" t="s">
        <v>14</v>
      </c>
      <c r="AT388" s="11">
        <v>2</v>
      </c>
      <c r="AU388" s="11" t="s">
        <v>16</v>
      </c>
      <c r="AV388" s="11">
        <v>2</v>
      </c>
      <c r="AW388" s="11" t="s">
        <v>14</v>
      </c>
      <c r="AX388" s="11">
        <v>2</v>
      </c>
      <c r="AY388" s="11" t="s">
        <v>14</v>
      </c>
      <c r="AZ388" s="11">
        <v>2</v>
      </c>
      <c r="BA388" s="11" t="s">
        <v>14</v>
      </c>
      <c r="BB388" s="11">
        <v>2</v>
      </c>
      <c r="BC388" s="11" t="s">
        <v>14</v>
      </c>
      <c r="BD388" s="11">
        <v>2</v>
      </c>
      <c r="BE388" s="11" t="s">
        <v>14</v>
      </c>
      <c r="BF388" s="11">
        <v>2</v>
      </c>
      <c r="BG388" s="11" t="s">
        <v>14</v>
      </c>
      <c r="BH388" s="11">
        <v>2</v>
      </c>
      <c r="BI388" s="11" t="s">
        <v>16</v>
      </c>
      <c r="BJ388" s="11">
        <v>2</v>
      </c>
      <c r="BK388" s="11" t="s">
        <v>14</v>
      </c>
      <c r="BL388" s="11">
        <v>2</v>
      </c>
      <c r="BM388" s="11" t="s">
        <v>14</v>
      </c>
      <c r="BN388" s="34">
        <v>2</v>
      </c>
    </row>
    <row r="389" spans="1:66" ht="17.25" customHeight="1" x14ac:dyDescent="0.15">
      <c r="A389" s="85"/>
      <c r="B389" s="49"/>
      <c r="C389" s="49"/>
      <c r="D389" s="5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14</v>
      </c>
      <c r="V389" s="12">
        <v>2</v>
      </c>
      <c r="W389" s="12" t="s">
        <v>14</v>
      </c>
      <c r="X389" s="12">
        <v>2</v>
      </c>
      <c r="Y389" s="12" t="s">
        <v>14</v>
      </c>
      <c r="Z389" s="12">
        <v>2</v>
      </c>
      <c r="AA389" s="12" t="s">
        <v>18</v>
      </c>
      <c r="AB389" s="12">
        <v>2</v>
      </c>
      <c r="AC389" s="12" t="s">
        <v>18</v>
      </c>
      <c r="AD389" s="12">
        <v>2</v>
      </c>
      <c r="AE389" s="12" t="s">
        <v>18</v>
      </c>
      <c r="AF389" s="12">
        <v>2</v>
      </c>
      <c r="AG389" s="12"/>
      <c r="AH389" s="12"/>
      <c r="AI389" s="12" t="s">
        <v>14</v>
      </c>
      <c r="AJ389" s="12">
        <v>2</v>
      </c>
      <c r="AK389" s="12" t="s">
        <v>14</v>
      </c>
      <c r="AL389" s="12">
        <v>2</v>
      </c>
      <c r="AM389" s="12" t="s">
        <v>14</v>
      </c>
      <c r="AN389" s="12">
        <v>2</v>
      </c>
      <c r="AO389" s="12" t="s">
        <v>14</v>
      </c>
      <c r="AP389" s="12">
        <v>2</v>
      </c>
      <c r="AQ389" s="12" t="s">
        <v>14</v>
      </c>
      <c r="AR389" s="12">
        <v>2</v>
      </c>
      <c r="AS389" s="12" t="s">
        <v>14</v>
      </c>
      <c r="AT389" s="12">
        <v>2</v>
      </c>
      <c r="AU389" s="12" t="s">
        <v>16</v>
      </c>
      <c r="AV389" s="12">
        <v>2</v>
      </c>
      <c r="AW389" s="12" t="s">
        <v>14</v>
      </c>
      <c r="AX389" s="12">
        <v>2</v>
      </c>
      <c r="AY389" s="12" t="s">
        <v>14</v>
      </c>
      <c r="AZ389" s="12">
        <v>2</v>
      </c>
      <c r="BA389" s="12" t="s">
        <v>14</v>
      </c>
      <c r="BB389" s="12">
        <v>2</v>
      </c>
      <c r="BC389" s="12" t="s">
        <v>14</v>
      </c>
      <c r="BD389" s="12">
        <v>2</v>
      </c>
      <c r="BE389" s="12" t="s">
        <v>14</v>
      </c>
      <c r="BF389" s="12">
        <v>2</v>
      </c>
      <c r="BG389" s="12" t="s">
        <v>14</v>
      </c>
      <c r="BH389" s="12">
        <v>2</v>
      </c>
      <c r="BI389" s="12" t="s">
        <v>16</v>
      </c>
      <c r="BJ389" s="12">
        <v>2</v>
      </c>
      <c r="BK389" s="12" t="s">
        <v>14</v>
      </c>
      <c r="BL389" s="12">
        <v>2</v>
      </c>
      <c r="BM389" s="12" t="s">
        <v>14</v>
      </c>
      <c r="BN389" s="35">
        <v>2</v>
      </c>
    </row>
    <row r="390" spans="1:66" ht="17.25" customHeight="1" x14ac:dyDescent="0.15">
      <c r="A390" s="85"/>
      <c r="B390" s="49"/>
      <c r="C390" s="49"/>
      <c r="D390" s="53" t="s">
        <v>47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 t="s">
        <v>14</v>
      </c>
      <c r="V390" s="13">
        <v>2</v>
      </c>
      <c r="W390" s="13" t="s">
        <v>14</v>
      </c>
      <c r="X390" s="13">
        <v>2</v>
      </c>
      <c r="Y390" s="13" t="s">
        <v>14</v>
      </c>
      <c r="Z390" s="13">
        <v>2</v>
      </c>
      <c r="AA390" s="13" t="s">
        <v>18</v>
      </c>
      <c r="AB390" s="13">
        <v>2</v>
      </c>
      <c r="AC390" s="13" t="s">
        <v>18</v>
      </c>
      <c r="AD390" s="13">
        <v>2</v>
      </c>
      <c r="AE390" s="13" t="s">
        <v>18</v>
      </c>
      <c r="AF390" s="13">
        <v>2</v>
      </c>
      <c r="AG390" s="13"/>
      <c r="AH390" s="13"/>
      <c r="AI390" s="13" t="s">
        <v>14</v>
      </c>
      <c r="AJ390" s="13">
        <v>2</v>
      </c>
      <c r="AK390" s="13" t="s">
        <v>14</v>
      </c>
      <c r="AL390" s="13">
        <v>2</v>
      </c>
      <c r="AM390" s="13" t="s">
        <v>14</v>
      </c>
      <c r="AN390" s="13">
        <v>2</v>
      </c>
      <c r="AO390" s="13" t="s">
        <v>14</v>
      </c>
      <c r="AP390" s="13">
        <v>2</v>
      </c>
      <c r="AQ390" s="13" t="s">
        <v>14</v>
      </c>
      <c r="AR390" s="13">
        <v>2</v>
      </c>
      <c r="AS390" s="13" t="s">
        <v>14</v>
      </c>
      <c r="AT390" s="13">
        <v>2</v>
      </c>
      <c r="AU390" s="13" t="s">
        <v>16</v>
      </c>
      <c r="AV390" s="13">
        <v>2</v>
      </c>
      <c r="AW390" s="13" t="s">
        <v>14</v>
      </c>
      <c r="AX390" s="13">
        <v>2</v>
      </c>
      <c r="AY390" s="13" t="s">
        <v>14</v>
      </c>
      <c r="AZ390" s="13">
        <v>2</v>
      </c>
      <c r="BA390" s="13" t="s">
        <v>14</v>
      </c>
      <c r="BB390" s="13">
        <v>2</v>
      </c>
      <c r="BC390" s="13" t="s">
        <v>14</v>
      </c>
      <c r="BD390" s="13">
        <v>2</v>
      </c>
      <c r="BE390" s="13" t="s">
        <v>14</v>
      </c>
      <c r="BF390" s="13">
        <v>2</v>
      </c>
      <c r="BG390" s="13" t="s">
        <v>14</v>
      </c>
      <c r="BH390" s="13">
        <v>2</v>
      </c>
      <c r="BI390" s="13" t="s">
        <v>16</v>
      </c>
      <c r="BJ390" s="13">
        <v>2</v>
      </c>
      <c r="BK390" s="13" t="s">
        <v>14</v>
      </c>
      <c r="BL390" s="13">
        <v>2</v>
      </c>
      <c r="BM390" s="13" t="s">
        <v>14</v>
      </c>
      <c r="BN390" s="36">
        <v>2</v>
      </c>
    </row>
    <row r="391" spans="1:66" ht="17.25" customHeight="1" x14ac:dyDescent="0.15">
      <c r="A391" s="85"/>
      <c r="B391" s="49"/>
      <c r="C391" s="49"/>
      <c r="D391" s="5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14</v>
      </c>
      <c r="V391" s="12">
        <v>2</v>
      </c>
      <c r="W391" s="12" t="s">
        <v>14</v>
      </c>
      <c r="X391" s="12">
        <v>2</v>
      </c>
      <c r="Y391" s="12" t="s">
        <v>14</v>
      </c>
      <c r="Z391" s="12">
        <v>2</v>
      </c>
      <c r="AA391" s="12" t="s">
        <v>18</v>
      </c>
      <c r="AB391" s="12">
        <v>2</v>
      </c>
      <c r="AC391" s="12" t="s">
        <v>18</v>
      </c>
      <c r="AD391" s="12">
        <v>2</v>
      </c>
      <c r="AE391" s="12" t="s">
        <v>18</v>
      </c>
      <c r="AF391" s="12">
        <v>2</v>
      </c>
      <c r="AG391" s="12"/>
      <c r="AH391" s="12"/>
      <c r="AI391" s="12" t="s">
        <v>14</v>
      </c>
      <c r="AJ391" s="12">
        <v>2</v>
      </c>
      <c r="AK391" s="12" t="s">
        <v>14</v>
      </c>
      <c r="AL391" s="12">
        <v>2</v>
      </c>
      <c r="AM391" s="12" t="s">
        <v>14</v>
      </c>
      <c r="AN391" s="12">
        <v>2</v>
      </c>
      <c r="AO391" s="12" t="s">
        <v>14</v>
      </c>
      <c r="AP391" s="12">
        <v>2</v>
      </c>
      <c r="AQ391" s="12" t="s">
        <v>14</v>
      </c>
      <c r="AR391" s="12">
        <v>2</v>
      </c>
      <c r="AS391" s="12" t="s">
        <v>14</v>
      </c>
      <c r="AT391" s="12">
        <v>2</v>
      </c>
      <c r="AU391" s="12" t="s">
        <v>16</v>
      </c>
      <c r="AV391" s="12">
        <v>2</v>
      </c>
      <c r="AW391" s="12" t="s">
        <v>14</v>
      </c>
      <c r="AX391" s="12">
        <v>2</v>
      </c>
      <c r="AY391" s="12" t="s">
        <v>14</v>
      </c>
      <c r="AZ391" s="12">
        <v>2</v>
      </c>
      <c r="BA391" s="12" t="s">
        <v>14</v>
      </c>
      <c r="BB391" s="12">
        <v>2</v>
      </c>
      <c r="BC391" s="12" t="s">
        <v>14</v>
      </c>
      <c r="BD391" s="12">
        <v>2</v>
      </c>
      <c r="BE391" s="12" t="s">
        <v>14</v>
      </c>
      <c r="BF391" s="12">
        <v>2</v>
      </c>
      <c r="BG391" s="12" t="s">
        <v>14</v>
      </c>
      <c r="BH391" s="12">
        <v>2</v>
      </c>
      <c r="BI391" s="12" t="s">
        <v>16</v>
      </c>
      <c r="BJ391" s="12">
        <v>2</v>
      </c>
      <c r="BK391" s="12" t="s">
        <v>14</v>
      </c>
      <c r="BL391" s="12">
        <v>2</v>
      </c>
      <c r="BM391" s="12" t="s">
        <v>14</v>
      </c>
      <c r="BN391" s="35">
        <v>2</v>
      </c>
    </row>
    <row r="392" spans="1:66" ht="17.25" customHeight="1" x14ac:dyDescent="0.15">
      <c r="A392" s="85"/>
      <c r="B392" s="49"/>
      <c r="C392" s="49"/>
      <c r="D392" s="53" t="s">
        <v>49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 t="s">
        <v>15</v>
      </c>
      <c r="V392" s="14"/>
      <c r="W392" s="14" t="s">
        <v>15</v>
      </c>
      <c r="X392" s="14">
        <v>4</v>
      </c>
      <c r="Y392" s="14" t="s">
        <v>15</v>
      </c>
      <c r="Z392" s="14"/>
      <c r="AA392" s="14" t="s">
        <v>15</v>
      </c>
      <c r="AB392" s="14"/>
      <c r="AC392" s="14" t="s">
        <v>15</v>
      </c>
      <c r="AD392" s="14"/>
      <c r="AE392" s="14" t="s">
        <v>15</v>
      </c>
      <c r="AF392" s="14"/>
      <c r="AG392" s="14"/>
      <c r="AH392" s="14"/>
      <c r="AI392" s="14" t="s">
        <v>15</v>
      </c>
      <c r="AJ392" s="14">
        <v>3</v>
      </c>
      <c r="AK392" s="14" t="s">
        <v>15</v>
      </c>
      <c r="AL392" s="14"/>
      <c r="AM392" s="14" t="s">
        <v>15</v>
      </c>
      <c r="AN392" s="14">
        <v>4</v>
      </c>
      <c r="AO392" s="14" t="s">
        <v>15</v>
      </c>
      <c r="AP392" s="14">
        <v>3</v>
      </c>
      <c r="AQ392" s="14" t="s">
        <v>15</v>
      </c>
      <c r="AR392" s="14">
        <v>3</v>
      </c>
      <c r="AS392" s="14" t="s">
        <v>15</v>
      </c>
      <c r="AT392" s="14"/>
      <c r="AU392" s="14"/>
      <c r="AV392" s="14"/>
      <c r="AW392" s="14" t="s">
        <v>15</v>
      </c>
      <c r="AX392" s="14">
        <v>4</v>
      </c>
      <c r="AY392" s="14" t="s">
        <v>15</v>
      </c>
      <c r="AZ392" s="14">
        <v>4</v>
      </c>
      <c r="BA392" s="14" t="s">
        <v>15</v>
      </c>
      <c r="BB392" s="14">
        <v>5</v>
      </c>
      <c r="BC392" s="14" t="s">
        <v>15</v>
      </c>
      <c r="BD392" s="14">
        <v>4</v>
      </c>
      <c r="BE392" s="14" t="s">
        <v>15</v>
      </c>
      <c r="BF392" s="14">
        <v>4.5</v>
      </c>
      <c r="BG392" s="14" t="s">
        <v>15</v>
      </c>
      <c r="BH392" s="14">
        <v>5</v>
      </c>
      <c r="BI392" s="14"/>
      <c r="BJ392" s="14"/>
      <c r="BK392" s="14" t="s">
        <v>15</v>
      </c>
      <c r="BL392" s="14">
        <v>4</v>
      </c>
      <c r="BM392" s="14" t="s">
        <v>15</v>
      </c>
      <c r="BN392" s="37">
        <v>3</v>
      </c>
    </row>
    <row r="393" spans="1:66" ht="17.25" customHeight="1" thickBot="1" x14ac:dyDescent="0.2">
      <c r="A393" s="86"/>
      <c r="B393" s="50"/>
      <c r="C393" s="50"/>
      <c r="D393" s="54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38"/>
    </row>
    <row r="394" spans="1:66" ht="17.25" customHeight="1" x14ac:dyDescent="0.15">
      <c r="A394" s="84" t="s">
        <v>86</v>
      </c>
      <c r="B394" s="75" t="s">
        <v>82</v>
      </c>
      <c r="C394" s="65" t="s">
        <v>111</v>
      </c>
      <c r="D394" s="55" t="s">
        <v>45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14</v>
      </c>
      <c r="V394" s="11">
        <v>2</v>
      </c>
      <c r="W394" s="11" t="s">
        <v>14</v>
      </c>
      <c r="X394" s="11">
        <v>2</v>
      </c>
      <c r="Y394" s="11" t="s">
        <v>14</v>
      </c>
      <c r="Z394" s="11">
        <v>2</v>
      </c>
      <c r="AA394" s="11" t="s">
        <v>18</v>
      </c>
      <c r="AB394" s="11">
        <v>2</v>
      </c>
      <c r="AC394" s="11" t="s">
        <v>18</v>
      </c>
      <c r="AD394" s="11">
        <v>2</v>
      </c>
      <c r="AE394" s="11" t="s">
        <v>18</v>
      </c>
      <c r="AF394" s="11">
        <v>2</v>
      </c>
      <c r="AG394" s="11"/>
      <c r="AH394" s="11"/>
      <c r="AI394" s="11" t="s">
        <v>14</v>
      </c>
      <c r="AJ394" s="11">
        <v>2</v>
      </c>
      <c r="AK394" s="11" t="s">
        <v>14</v>
      </c>
      <c r="AL394" s="11">
        <v>2</v>
      </c>
      <c r="AM394" s="11" t="s">
        <v>14</v>
      </c>
      <c r="AN394" s="11">
        <v>2</v>
      </c>
      <c r="AO394" s="11" t="s">
        <v>14</v>
      </c>
      <c r="AP394" s="11">
        <v>2</v>
      </c>
      <c r="AQ394" s="11" t="s">
        <v>14</v>
      </c>
      <c r="AR394" s="11">
        <v>2</v>
      </c>
      <c r="AS394" s="11" t="s">
        <v>14</v>
      </c>
      <c r="AT394" s="11">
        <v>2</v>
      </c>
      <c r="AU394" s="11" t="s">
        <v>16</v>
      </c>
      <c r="AV394" s="11">
        <v>2</v>
      </c>
      <c r="AW394" s="11" t="s">
        <v>14</v>
      </c>
      <c r="AX394" s="11">
        <v>2</v>
      </c>
      <c r="AY394" s="11" t="s">
        <v>14</v>
      </c>
      <c r="AZ394" s="11">
        <v>2</v>
      </c>
      <c r="BA394" s="11" t="s">
        <v>14</v>
      </c>
      <c r="BB394" s="11">
        <v>2</v>
      </c>
      <c r="BC394" s="11" t="s">
        <v>14</v>
      </c>
      <c r="BD394" s="11">
        <v>2</v>
      </c>
      <c r="BE394" s="11" t="s">
        <v>14</v>
      </c>
      <c r="BF394" s="11">
        <v>2</v>
      </c>
      <c r="BG394" s="11" t="s">
        <v>14</v>
      </c>
      <c r="BH394" s="11">
        <v>2</v>
      </c>
      <c r="BI394" s="11" t="s">
        <v>16</v>
      </c>
      <c r="BJ394" s="11">
        <v>2</v>
      </c>
      <c r="BK394" s="11" t="s">
        <v>14</v>
      </c>
      <c r="BL394" s="11">
        <v>2</v>
      </c>
      <c r="BM394" s="11" t="s">
        <v>14</v>
      </c>
      <c r="BN394" s="34">
        <v>2</v>
      </c>
    </row>
    <row r="395" spans="1:66" ht="17.25" customHeight="1" x14ac:dyDescent="0.15">
      <c r="A395" s="85"/>
      <c r="B395" s="76"/>
      <c r="C395" s="66"/>
      <c r="D395" s="56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14</v>
      </c>
      <c r="V395" s="12">
        <v>2</v>
      </c>
      <c r="W395" s="12" t="s">
        <v>14</v>
      </c>
      <c r="X395" s="12">
        <v>2</v>
      </c>
      <c r="Y395" s="12" t="s">
        <v>14</v>
      </c>
      <c r="Z395" s="12">
        <v>2</v>
      </c>
      <c r="AA395" s="12" t="s">
        <v>18</v>
      </c>
      <c r="AB395" s="12">
        <v>2</v>
      </c>
      <c r="AC395" s="12" t="s">
        <v>18</v>
      </c>
      <c r="AD395" s="12">
        <v>2</v>
      </c>
      <c r="AE395" s="12" t="s">
        <v>18</v>
      </c>
      <c r="AF395" s="12">
        <v>2</v>
      </c>
      <c r="AG395" s="12"/>
      <c r="AH395" s="12"/>
      <c r="AI395" s="12" t="s">
        <v>14</v>
      </c>
      <c r="AJ395" s="12">
        <v>2</v>
      </c>
      <c r="AK395" s="12" t="s">
        <v>14</v>
      </c>
      <c r="AL395" s="12">
        <v>2</v>
      </c>
      <c r="AM395" s="12" t="s">
        <v>14</v>
      </c>
      <c r="AN395" s="12">
        <v>2</v>
      </c>
      <c r="AO395" s="12" t="s">
        <v>14</v>
      </c>
      <c r="AP395" s="12">
        <v>2</v>
      </c>
      <c r="AQ395" s="12" t="s">
        <v>14</v>
      </c>
      <c r="AR395" s="12">
        <v>2</v>
      </c>
      <c r="AS395" s="12" t="s">
        <v>14</v>
      </c>
      <c r="AT395" s="12">
        <v>2</v>
      </c>
      <c r="AU395" s="12" t="s">
        <v>16</v>
      </c>
      <c r="AV395" s="12">
        <v>2</v>
      </c>
      <c r="AW395" s="12" t="s">
        <v>14</v>
      </c>
      <c r="AX395" s="12">
        <v>2</v>
      </c>
      <c r="AY395" s="12" t="s">
        <v>14</v>
      </c>
      <c r="AZ395" s="12">
        <v>2</v>
      </c>
      <c r="BA395" s="12" t="s">
        <v>14</v>
      </c>
      <c r="BB395" s="12">
        <v>2</v>
      </c>
      <c r="BC395" s="12" t="s">
        <v>14</v>
      </c>
      <c r="BD395" s="12">
        <v>2</v>
      </c>
      <c r="BE395" s="12" t="s">
        <v>14</v>
      </c>
      <c r="BF395" s="12">
        <v>2</v>
      </c>
      <c r="BG395" s="12" t="s">
        <v>14</v>
      </c>
      <c r="BH395" s="12">
        <v>2</v>
      </c>
      <c r="BI395" s="12" t="s">
        <v>16</v>
      </c>
      <c r="BJ395" s="12">
        <v>2</v>
      </c>
      <c r="BK395" s="12" t="s">
        <v>14</v>
      </c>
      <c r="BL395" s="12">
        <v>2</v>
      </c>
      <c r="BM395" s="12" t="s">
        <v>14</v>
      </c>
      <c r="BN395" s="35">
        <v>2</v>
      </c>
    </row>
    <row r="396" spans="1:66" ht="17.25" customHeight="1" x14ac:dyDescent="0.15">
      <c r="A396" s="85"/>
      <c r="B396" s="76"/>
      <c r="C396" s="66"/>
      <c r="D396" s="57" t="s">
        <v>47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 t="s">
        <v>14</v>
      </c>
      <c r="V396" s="13">
        <v>2</v>
      </c>
      <c r="W396" s="13" t="s">
        <v>14</v>
      </c>
      <c r="X396" s="13">
        <v>2</v>
      </c>
      <c r="Y396" s="13" t="s">
        <v>14</v>
      </c>
      <c r="Z396" s="13">
        <v>2</v>
      </c>
      <c r="AA396" s="13" t="s">
        <v>18</v>
      </c>
      <c r="AB396" s="13">
        <v>2</v>
      </c>
      <c r="AC396" s="13" t="s">
        <v>18</v>
      </c>
      <c r="AD396" s="13">
        <v>2</v>
      </c>
      <c r="AE396" s="13" t="s">
        <v>18</v>
      </c>
      <c r="AF396" s="13">
        <v>2</v>
      </c>
      <c r="AG396" s="13"/>
      <c r="AH396" s="13"/>
      <c r="AI396" s="13" t="s">
        <v>14</v>
      </c>
      <c r="AJ396" s="13">
        <v>2</v>
      </c>
      <c r="AK396" s="13" t="s">
        <v>14</v>
      </c>
      <c r="AL396" s="13">
        <v>2</v>
      </c>
      <c r="AM396" s="13" t="s">
        <v>14</v>
      </c>
      <c r="AN396" s="13">
        <v>2</v>
      </c>
      <c r="AO396" s="13" t="s">
        <v>14</v>
      </c>
      <c r="AP396" s="13">
        <v>2</v>
      </c>
      <c r="AQ396" s="13" t="s">
        <v>14</v>
      </c>
      <c r="AR396" s="13">
        <v>2</v>
      </c>
      <c r="AS396" s="13" t="s">
        <v>14</v>
      </c>
      <c r="AT396" s="13">
        <v>2</v>
      </c>
      <c r="AU396" s="13" t="s">
        <v>16</v>
      </c>
      <c r="AV396" s="13">
        <v>2</v>
      </c>
      <c r="AW396" s="13" t="s">
        <v>14</v>
      </c>
      <c r="AX396" s="13">
        <v>2</v>
      </c>
      <c r="AY396" s="13" t="s">
        <v>14</v>
      </c>
      <c r="AZ396" s="13">
        <v>2</v>
      </c>
      <c r="BA396" s="13" t="s">
        <v>14</v>
      </c>
      <c r="BB396" s="13">
        <v>2</v>
      </c>
      <c r="BC396" s="13" t="s">
        <v>14</v>
      </c>
      <c r="BD396" s="13">
        <v>2</v>
      </c>
      <c r="BE396" s="13" t="s">
        <v>14</v>
      </c>
      <c r="BF396" s="13">
        <v>2</v>
      </c>
      <c r="BG396" s="13" t="s">
        <v>14</v>
      </c>
      <c r="BH396" s="13">
        <v>2</v>
      </c>
      <c r="BI396" s="13" t="s">
        <v>16</v>
      </c>
      <c r="BJ396" s="13">
        <v>2</v>
      </c>
      <c r="BK396" s="13" t="s">
        <v>14</v>
      </c>
      <c r="BL396" s="13">
        <v>2</v>
      </c>
      <c r="BM396" s="13" t="s">
        <v>14</v>
      </c>
      <c r="BN396" s="36">
        <v>2</v>
      </c>
    </row>
    <row r="397" spans="1:66" ht="17.25" customHeight="1" x14ac:dyDescent="0.15">
      <c r="A397" s="85"/>
      <c r="B397" s="76"/>
      <c r="C397" s="66"/>
      <c r="D397" s="56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14</v>
      </c>
      <c r="V397" s="12">
        <v>2</v>
      </c>
      <c r="W397" s="12" t="s">
        <v>14</v>
      </c>
      <c r="X397" s="12">
        <v>2</v>
      </c>
      <c r="Y397" s="12" t="s">
        <v>14</v>
      </c>
      <c r="Z397" s="12">
        <v>2</v>
      </c>
      <c r="AA397" s="12" t="s">
        <v>18</v>
      </c>
      <c r="AB397" s="12">
        <v>2</v>
      </c>
      <c r="AC397" s="12" t="s">
        <v>18</v>
      </c>
      <c r="AD397" s="12">
        <v>2</v>
      </c>
      <c r="AE397" s="12" t="s">
        <v>18</v>
      </c>
      <c r="AF397" s="12">
        <v>2</v>
      </c>
      <c r="AG397" s="12"/>
      <c r="AH397" s="12"/>
      <c r="AI397" s="12" t="s">
        <v>14</v>
      </c>
      <c r="AJ397" s="12">
        <v>2</v>
      </c>
      <c r="AK397" s="12" t="s">
        <v>14</v>
      </c>
      <c r="AL397" s="12">
        <v>2</v>
      </c>
      <c r="AM397" s="12" t="s">
        <v>14</v>
      </c>
      <c r="AN397" s="12">
        <v>2</v>
      </c>
      <c r="AO397" s="12" t="s">
        <v>14</v>
      </c>
      <c r="AP397" s="12">
        <v>2</v>
      </c>
      <c r="AQ397" s="12" t="s">
        <v>14</v>
      </c>
      <c r="AR397" s="12">
        <v>2</v>
      </c>
      <c r="AS397" s="12" t="s">
        <v>14</v>
      </c>
      <c r="AT397" s="12">
        <v>2</v>
      </c>
      <c r="AU397" s="12" t="s">
        <v>16</v>
      </c>
      <c r="AV397" s="12">
        <v>2</v>
      </c>
      <c r="AW397" s="12" t="s">
        <v>14</v>
      </c>
      <c r="AX397" s="12">
        <v>2</v>
      </c>
      <c r="AY397" s="12" t="s">
        <v>14</v>
      </c>
      <c r="AZ397" s="12">
        <v>2</v>
      </c>
      <c r="BA397" s="12" t="s">
        <v>14</v>
      </c>
      <c r="BB397" s="12">
        <v>2</v>
      </c>
      <c r="BC397" s="12" t="s">
        <v>14</v>
      </c>
      <c r="BD397" s="12">
        <v>2</v>
      </c>
      <c r="BE397" s="12" t="s">
        <v>14</v>
      </c>
      <c r="BF397" s="12">
        <v>2</v>
      </c>
      <c r="BG397" s="12" t="s">
        <v>14</v>
      </c>
      <c r="BH397" s="12">
        <v>2</v>
      </c>
      <c r="BI397" s="12" t="s">
        <v>16</v>
      </c>
      <c r="BJ397" s="12">
        <v>2</v>
      </c>
      <c r="BK397" s="12" t="s">
        <v>14</v>
      </c>
      <c r="BL397" s="12">
        <v>2</v>
      </c>
      <c r="BM397" s="12" t="s">
        <v>14</v>
      </c>
      <c r="BN397" s="35">
        <v>2</v>
      </c>
    </row>
    <row r="398" spans="1:66" ht="17.25" customHeight="1" x14ac:dyDescent="0.15">
      <c r="A398" s="85"/>
      <c r="B398" s="76"/>
      <c r="C398" s="66"/>
      <c r="D398" s="58" t="s">
        <v>49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 t="s">
        <v>15</v>
      </c>
      <c r="V398" s="14"/>
      <c r="W398" s="14" t="s">
        <v>15</v>
      </c>
      <c r="X398" s="14">
        <v>4</v>
      </c>
      <c r="Y398" s="14" t="s">
        <v>15</v>
      </c>
      <c r="Z398" s="14"/>
      <c r="AA398" s="14" t="s">
        <v>15</v>
      </c>
      <c r="AB398" s="14"/>
      <c r="AC398" s="14" t="s">
        <v>15</v>
      </c>
      <c r="AD398" s="14"/>
      <c r="AE398" s="14" t="s">
        <v>15</v>
      </c>
      <c r="AF398" s="14"/>
      <c r="AG398" s="14"/>
      <c r="AH398" s="14"/>
      <c r="AI398" s="14" t="s">
        <v>15</v>
      </c>
      <c r="AJ398" s="14"/>
      <c r="AK398" s="14" t="s">
        <v>15</v>
      </c>
      <c r="AL398" s="14"/>
      <c r="AM398" s="14" t="s">
        <v>15</v>
      </c>
      <c r="AN398" s="14">
        <v>4</v>
      </c>
      <c r="AO398" s="14" t="s">
        <v>15</v>
      </c>
      <c r="AP398" s="14">
        <v>3</v>
      </c>
      <c r="AQ398" s="14" t="s">
        <v>15</v>
      </c>
      <c r="AR398" s="14">
        <v>3</v>
      </c>
      <c r="AS398" s="14" t="s">
        <v>15</v>
      </c>
      <c r="AT398" s="14"/>
      <c r="AU398" s="14"/>
      <c r="AV398" s="14"/>
      <c r="AW398" s="14" t="s">
        <v>15</v>
      </c>
      <c r="AX398" s="14">
        <v>4</v>
      </c>
      <c r="AY398" s="14" t="s">
        <v>15</v>
      </c>
      <c r="AZ398" s="14">
        <v>4</v>
      </c>
      <c r="BA398" s="14" t="s">
        <v>15</v>
      </c>
      <c r="BB398" s="14">
        <v>5</v>
      </c>
      <c r="BC398" s="14" t="s">
        <v>15</v>
      </c>
      <c r="BD398" s="14">
        <v>4</v>
      </c>
      <c r="BE398" s="14" t="s">
        <v>15</v>
      </c>
      <c r="BF398" s="14">
        <v>4.5</v>
      </c>
      <c r="BG398" s="14" t="s">
        <v>15</v>
      </c>
      <c r="BH398" s="14">
        <v>5</v>
      </c>
      <c r="BI398" s="14"/>
      <c r="BJ398" s="14"/>
      <c r="BK398" s="14" t="s">
        <v>15</v>
      </c>
      <c r="BL398" s="14">
        <v>4</v>
      </c>
      <c r="BM398" s="14" t="s">
        <v>15</v>
      </c>
      <c r="BN398" s="37">
        <v>3</v>
      </c>
    </row>
    <row r="399" spans="1:66" ht="17.25" customHeight="1" thickBot="1" x14ac:dyDescent="0.2">
      <c r="A399" s="86"/>
      <c r="B399" s="77"/>
      <c r="C399" s="67"/>
      <c r="D399" s="59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38"/>
    </row>
    <row r="400" spans="1:66" ht="17.25" customHeight="1" x14ac:dyDescent="0.15">
      <c r="A400" s="84" t="s">
        <v>86</v>
      </c>
      <c r="B400" s="75" t="s">
        <v>82</v>
      </c>
      <c r="C400" s="65" t="s">
        <v>112</v>
      </c>
      <c r="D400" s="55" t="s">
        <v>45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14</v>
      </c>
      <c r="V400" s="11">
        <v>2</v>
      </c>
      <c r="W400" s="11" t="s">
        <v>14</v>
      </c>
      <c r="X400" s="11">
        <v>2</v>
      </c>
      <c r="Y400" s="11" t="s">
        <v>14</v>
      </c>
      <c r="Z400" s="11">
        <v>2</v>
      </c>
      <c r="AA400" s="11" t="s">
        <v>18</v>
      </c>
      <c r="AB400" s="11">
        <v>2</v>
      </c>
      <c r="AC400" s="11" t="s">
        <v>18</v>
      </c>
      <c r="AD400" s="11">
        <v>2</v>
      </c>
      <c r="AE400" s="11" t="s">
        <v>18</v>
      </c>
      <c r="AF400" s="11">
        <v>2</v>
      </c>
      <c r="AG400" s="11"/>
      <c r="AH400" s="11"/>
      <c r="AI400" s="11" t="s">
        <v>14</v>
      </c>
      <c r="AJ400" s="11">
        <v>2</v>
      </c>
      <c r="AK400" s="11" t="s">
        <v>14</v>
      </c>
      <c r="AL400" s="11">
        <v>2</v>
      </c>
      <c r="AM400" s="11" t="s">
        <v>14</v>
      </c>
      <c r="AN400" s="11">
        <v>2</v>
      </c>
      <c r="AO400" s="11" t="s">
        <v>14</v>
      </c>
      <c r="AP400" s="11">
        <v>2</v>
      </c>
      <c r="AQ400" s="11" t="s">
        <v>14</v>
      </c>
      <c r="AR400" s="11">
        <v>2</v>
      </c>
      <c r="AS400" s="11" t="s">
        <v>14</v>
      </c>
      <c r="AT400" s="11">
        <v>2</v>
      </c>
      <c r="AU400" s="11" t="s">
        <v>16</v>
      </c>
      <c r="AV400" s="11">
        <v>2</v>
      </c>
      <c r="AW400" s="11" t="s">
        <v>14</v>
      </c>
      <c r="AX400" s="11">
        <v>2</v>
      </c>
      <c r="AY400" s="11" t="s">
        <v>14</v>
      </c>
      <c r="AZ400" s="11">
        <v>2</v>
      </c>
      <c r="BA400" s="11" t="s">
        <v>14</v>
      </c>
      <c r="BB400" s="11">
        <v>2</v>
      </c>
      <c r="BC400" s="11" t="s">
        <v>14</v>
      </c>
      <c r="BD400" s="11">
        <v>2</v>
      </c>
      <c r="BE400" s="11" t="s">
        <v>14</v>
      </c>
      <c r="BF400" s="11">
        <v>2</v>
      </c>
      <c r="BG400" s="11" t="s">
        <v>14</v>
      </c>
      <c r="BH400" s="11">
        <v>2</v>
      </c>
      <c r="BI400" s="11" t="s">
        <v>16</v>
      </c>
      <c r="BJ400" s="11">
        <v>2</v>
      </c>
      <c r="BK400" s="11" t="s">
        <v>14</v>
      </c>
      <c r="BL400" s="11">
        <v>2</v>
      </c>
      <c r="BM400" s="11" t="s">
        <v>14</v>
      </c>
      <c r="BN400" s="34">
        <v>2</v>
      </c>
    </row>
    <row r="401" spans="1:66" ht="17.25" customHeight="1" x14ac:dyDescent="0.15">
      <c r="A401" s="85"/>
      <c r="B401" s="76"/>
      <c r="C401" s="66"/>
      <c r="D401" s="56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14</v>
      </c>
      <c r="V401" s="12">
        <v>2</v>
      </c>
      <c r="W401" s="12" t="s">
        <v>14</v>
      </c>
      <c r="X401" s="12">
        <v>2</v>
      </c>
      <c r="Y401" s="12" t="s">
        <v>14</v>
      </c>
      <c r="Z401" s="12">
        <v>2</v>
      </c>
      <c r="AA401" s="12" t="s">
        <v>18</v>
      </c>
      <c r="AB401" s="12">
        <v>2</v>
      </c>
      <c r="AC401" s="12" t="s">
        <v>18</v>
      </c>
      <c r="AD401" s="12">
        <v>2</v>
      </c>
      <c r="AE401" s="12" t="s">
        <v>18</v>
      </c>
      <c r="AF401" s="12">
        <v>2</v>
      </c>
      <c r="AG401" s="12"/>
      <c r="AH401" s="12"/>
      <c r="AI401" s="12" t="s">
        <v>14</v>
      </c>
      <c r="AJ401" s="12">
        <v>2</v>
      </c>
      <c r="AK401" s="12" t="s">
        <v>14</v>
      </c>
      <c r="AL401" s="12">
        <v>2</v>
      </c>
      <c r="AM401" s="12" t="s">
        <v>14</v>
      </c>
      <c r="AN401" s="12">
        <v>2</v>
      </c>
      <c r="AO401" s="12" t="s">
        <v>14</v>
      </c>
      <c r="AP401" s="12">
        <v>2</v>
      </c>
      <c r="AQ401" s="12" t="s">
        <v>14</v>
      </c>
      <c r="AR401" s="12">
        <v>2</v>
      </c>
      <c r="AS401" s="12" t="s">
        <v>14</v>
      </c>
      <c r="AT401" s="12">
        <v>2</v>
      </c>
      <c r="AU401" s="12" t="s">
        <v>16</v>
      </c>
      <c r="AV401" s="12">
        <v>2</v>
      </c>
      <c r="AW401" s="12" t="s">
        <v>14</v>
      </c>
      <c r="AX401" s="12">
        <v>2</v>
      </c>
      <c r="AY401" s="12" t="s">
        <v>14</v>
      </c>
      <c r="AZ401" s="12">
        <v>2</v>
      </c>
      <c r="BA401" s="12" t="s">
        <v>14</v>
      </c>
      <c r="BB401" s="12">
        <v>2</v>
      </c>
      <c r="BC401" s="12" t="s">
        <v>14</v>
      </c>
      <c r="BD401" s="12">
        <v>2</v>
      </c>
      <c r="BE401" s="12" t="s">
        <v>14</v>
      </c>
      <c r="BF401" s="12">
        <v>2</v>
      </c>
      <c r="BG401" s="12" t="s">
        <v>14</v>
      </c>
      <c r="BH401" s="12">
        <v>2</v>
      </c>
      <c r="BI401" s="12" t="s">
        <v>16</v>
      </c>
      <c r="BJ401" s="12">
        <v>2</v>
      </c>
      <c r="BK401" s="12" t="s">
        <v>14</v>
      </c>
      <c r="BL401" s="12">
        <v>2</v>
      </c>
      <c r="BM401" s="12" t="s">
        <v>14</v>
      </c>
      <c r="BN401" s="35">
        <v>2</v>
      </c>
    </row>
    <row r="402" spans="1:66" ht="17.25" customHeight="1" x14ac:dyDescent="0.15">
      <c r="A402" s="85"/>
      <c r="B402" s="76"/>
      <c r="C402" s="66"/>
      <c r="D402" s="57" t="s">
        <v>47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 t="s">
        <v>14</v>
      </c>
      <c r="V402" s="13">
        <v>2</v>
      </c>
      <c r="W402" s="13" t="s">
        <v>14</v>
      </c>
      <c r="X402" s="13">
        <v>2</v>
      </c>
      <c r="Y402" s="13" t="s">
        <v>14</v>
      </c>
      <c r="Z402" s="13">
        <v>2</v>
      </c>
      <c r="AA402" s="13" t="s">
        <v>18</v>
      </c>
      <c r="AB402" s="13">
        <v>2</v>
      </c>
      <c r="AC402" s="13" t="s">
        <v>18</v>
      </c>
      <c r="AD402" s="13">
        <v>2</v>
      </c>
      <c r="AE402" s="13" t="s">
        <v>18</v>
      </c>
      <c r="AF402" s="13">
        <v>2</v>
      </c>
      <c r="AG402" s="13"/>
      <c r="AH402" s="13"/>
      <c r="AI402" s="13" t="s">
        <v>14</v>
      </c>
      <c r="AJ402" s="13">
        <v>2</v>
      </c>
      <c r="AK402" s="13" t="s">
        <v>14</v>
      </c>
      <c r="AL402" s="13">
        <v>2</v>
      </c>
      <c r="AM402" s="13" t="s">
        <v>14</v>
      </c>
      <c r="AN402" s="13">
        <v>2</v>
      </c>
      <c r="AO402" s="13" t="s">
        <v>14</v>
      </c>
      <c r="AP402" s="13">
        <v>2</v>
      </c>
      <c r="AQ402" s="13" t="s">
        <v>14</v>
      </c>
      <c r="AR402" s="13">
        <v>2</v>
      </c>
      <c r="AS402" s="13" t="s">
        <v>14</v>
      </c>
      <c r="AT402" s="13">
        <v>2</v>
      </c>
      <c r="AU402" s="13" t="s">
        <v>16</v>
      </c>
      <c r="AV402" s="13">
        <v>2</v>
      </c>
      <c r="AW402" s="13" t="s">
        <v>14</v>
      </c>
      <c r="AX402" s="13">
        <v>2</v>
      </c>
      <c r="AY402" s="13" t="s">
        <v>14</v>
      </c>
      <c r="AZ402" s="13">
        <v>2</v>
      </c>
      <c r="BA402" s="13" t="s">
        <v>14</v>
      </c>
      <c r="BB402" s="13">
        <v>2</v>
      </c>
      <c r="BC402" s="13" t="s">
        <v>14</v>
      </c>
      <c r="BD402" s="13">
        <v>2</v>
      </c>
      <c r="BE402" s="13" t="s">
        <v>14</v>
      </c>
      <c r="BF402" s="13">
        <v>2</v>
      </c>
      <c r="BG402" s="13" t="s">
        <v>14</v>
      </c>
      <c r="BH402" s="13">
        <v>2</v>
      </c>
      <c r="BI402" s="13" t="s">
        <v>16</v>
      </c>
      <c r="BJ402" s="13">
        <v>2</v>
      </c>
      <c r="BK402" s="13" t="s">
        <v>14</v>
      </c>
      <c r="BL402" s="13">
        <v>2</v>
      </c>
      <c r="BM402" s="13" t="s">
        <v>14</v>
      </c>
      <c r="BN402" s="36">
        <v>2</v>
      </c>
    </row>
    <row r="403" spans="1:66" ht="17.25" customHeight="1" x14ac:dyDescent="0.15">
      <c r="A403" s="85"/>
      <c r="B403" s="76"/>
      <c r="C403" s="66"/>
      <c r="D403" s="56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14</v>
      </c>
      <c r="V403" s="12">
        <v>2</v>
      </c>
      <c r="W403" s="12" t="s">
        <v>14</v>
      </c>
      <c r="X403" s="12">
        <v>2</v>
      </c>
      <c r="Y403" s="12" t="s">
        <v>14</v>
      </c>
      <c r="Z403" s="12">
        <v>2</v>
      </c>
      <c r="AA403" s="12" t="s">
        <v>18</v>
      </c>
      <c r="AB403" s="12">
        <v>2</v>
      </c>
      <c r="AC403" s="12" t="s">
        <v>18</v>
      </c>
      <c r="AD403" s="12">
        <v>2</v>
      </c>
      <c r="AE403" s="12" t="s">
        <v>18</v>
      </c>
      <c r="AF403" s="12">
        <v>2</v>
      </c>
      <c r="AG403" s="12"/>
      <c r="AH403" s="12"/>
      <c r="AI403" s="12" t="s">
        <v>14</v>
      </c>
      <c r="AJ403" s="12">
        <v>2</v>
      </c>
      <c r="AK403" s="12" t="s">
        <v>14</v>
      </c>
      <c r="AL403" s="12">
        <v>2</v>
      </c>
      <c r="AM403" s="12" t="s">
        <v>14</v>
      </c>
      <c r="AN403" s="12">
        <v>2</v>
      </c>
      <c r="AO403" s="12" t="s">
        <v>14</v>
      </c>
      <c r="AP403" s="12">
        <v>2</v>
      </c>
      <c r="AQ403" s="12" t="s">
        <v>14</v>
      </c>
      <c r="AR403" s="12">
        <v>2</v>
      </c>
      <c r="AS403" s="12" t="s">
        <v>14</v>
      </c>
      <c r="AT403" s="12">
        <v>2</v>
      </c>
      <c r="AU403" s="12" t="s">
        <v>16</v>
      </c>
      <c r="AV403" s="12">
        <v>2</v>
      </c>
      <c r="AW403" s="12" t="s">
        <v>14</v>
      </c>
      <c r="AX403" s="12">
        <v>2</v>
      </c>
      <c r="AY403" s="12" t="s">
        <v>14</v>
      </c>
      <c r="AZ403" s="12">
        <v>2</v>
      </c>
      <c r="BA403" s="12" t="s">
        <v>14</v>
      </c>
      <c r="BB403" s="12">
        <v>2</v>
      </c>
      <c r="BC403" s="12" t="s">
        <v>14</v>
      </c>
      <c r="BD403" s="12">
        <v>2</v>
      </c>
      <c r="BE403" s="12" t="s">
        <v>14</v>
      </c>
      <c r="BF403" s="12">
        <v>2</v>
      </c>
      <c r="BG403" s="12" t="s">
        <v>14</v>
      </c>
      <c r="BH403" s="12">
        <v>2</v>
      </c>
      <c r="BI403" s="12" t="s">
        <v>16</v>
      </c>
      <c r="BJ403" s="12">
        <v>2</v>
      </c>
      <c r="BK403" s="12" t="s">
        <v>14</v>
      </c>
      <c r="BL403" s="12">
        <v>2</v>
      </c>
      <c r="BM403" s="12" t="s">
        <v>14</v>
      </c>
      <c r="BN403" s="35">
        <v>2</v>
      </c>
    </row>
    <row r="404" spans="1:66" ht="17.25" customHeight="1" x14ac:dyDescent="0.15">
      <c r="A404" s="85"/>
      <c r="B404" s="76"/>
      <c r="C404" s="66"/>
      <c r="D404" s="58" t="s">
        <v>49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 t="s">
        <v>15</v>
      </c>
      <c r="V404" s="14"/>
      <c r="W404" s="14" t="s">
        <v>15</v>
      </c>
      <c r="X404" s="14">
        <v>4</v>
      </c>
      <c r="Y404" s="14" t="s">
        <v>15</v>
      </c>
      <c r="Z404" s="14"/>
      <c r="AA404" s="14" t="s">
        <v>15</v>
      </c>
      <c r="AB404" s="14"/>
      <c r="AC404" s="14" t="s">
        <v>15</v>
      </c>
      <c r="AD404" s="14"/>
      <c r="AE404" s="14" t="s">
        <v>15</v>
      </c>
      <c r="AF404" s="14"/>
      <c r="AG404" s="14"/>
      <c r="AH404" s="14"/>
      <c r="AI404" s="14" t="s">
        <v>15</v>
      </c>
      <c r="AJ404" s="14"/>
      <c r="AK404" s="14" t="s">
        <v>15</v>
      </c>
      <c r="AL404" s="14"/>
      <c r="AM404" s="14" t="s">
        <v>15</v>
      </c>
      <c r="AN404" s="14">
        <v>4</v>
      </c>
      <c r="AO404" s="14" t="s">
        <v>15</v>
      </c>
      <c r="AP404" s="14">
        <v>3</v>
      </c>
      <c r="AQ404" s="14" t="s">
        <v>15</v>
      </c>
      <c r="AR404" s="14">
        <v>3</v>
      </c>
      <c r="AS404" s="14" t="s">
        <v>15</v>
      </c>
      <c r="AT404" s="14"/>
      <c r="AU404" s="14"/>
      <c r="AV404" s="14"/>
      <c r="AW404" s="14" t="s">
        <v>15</v>
      </c>
      <c r="AX404" s="14">
        <v>4</v>
      </c>
      <c r="AY404" s="14" t="s">
        <v>15</v>
      </c>
      <c r="AZ404" s="14">
        <v>4</v>
      </c>
      <c r="BA404" s="14" t="s">
        <v>15</v>
      </c>
      <c r="BB404" s="14">
        <v>5</v>
      </c>
      <c r="BC404" s="14" t="s">
        <v>15</v>
      </c>
      <c r="BD404" s="14">
        <v>4</v>
      </c>
      <c r="BE404" s="14" t="s">
        <v>15</v>
      </c>
      <c r="BF404" s="14">
        <v>4.5</v>
      </c>
      <c r="BG404" s="14" t="s">
        <v>15</v>
      </c>
      <c r="BH404" s="14">
        <v>5</v>
      </c>
      <c r="BI404" s="14"/>
      <c r="BJ404" s="14"/>
      <c r="BK404" s="14" t="s">
        <v>15</v>
      </c>
      <c r="BL404" s="14">
        <v>4</v>
      </c>
      <c r="BM404" s="14" t="s">
        <v>15</v>
      </c>
      <c r="BN404" s="37">
        <v>3</v>
      </c>
    </row>
    <row r="405" spans="1:66" ht="17.25" customHeight="1" thickBot="1" x14ac:dyDescent="0.2">
      <c r="A405" s="86"/>
      <c r="B405" s="77"/>
      <c r="C405" s="67"/>
      <c r="D405" s="59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38"/>
    </row>
    <row r="406" spans="1:66" ht="17.25" customHeight="1" x14ac:dyDescent="0.15">
      <c r="A406" s="84" t="s">
        <v>86</v>
      </c>
      <c r="B406" s="75" t="s">
        <v>82</v>
      </c>
      <c r="C406" s="65" t="s">
        <v>109</v>
      </c>
      <c r="D406" s="55" t="s">
        <v>45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17</v>
      </c>
      <c r="V406" s="11">
        <v>2</v>
      </c>
      <c r="W406" s="11" t="s">
        <v>17</v>
      </c>
      <c r="X406" s="11">
        <v>2</v>
      </c>
      <c r="Y406" s="11" t="s">
        <v>17</v>
      </c>
      <c r="Z406" s="11">
        <v>2</v>
      </c>
      <c r="AA406" s="11" t="s">
        <v>17</v>
      </c>
      <c r="AB406" s="11">
        <v>2</v>
      </c>
      <c r="AC406" s="11" t="s">
        <v>17</v>
      </c>
      <c r="AD406" s="11">
        <v>2</v>
      </c>
      <c r="AE406" s="11" t="s">
        <v>17</v>
      </c>
      <c r="AF406" s="11">
        <v>2</v>
      </c>
      <c r="AG406" s="11"/>
      <c r="AH406" s="11"/>
      <c r="AI406" s="11" t="s">
        <v>14</v>
      </c>
      <c r="AJ406" s="11">
        <v>2</v>
      </c>
      <c r="AK406" s="11" t="s">
        <v>14</v>
      </c>
      <c r="AL406" s="11">
        <v>2</v>
      </c>
      <c r="AM406" s="11" t="s">
        <v>14</v>
      </c>
      <c r="AN406" s="11">
        <v>2</v>
      </c>
      <c r="AO406" s="11" t="s">
        <v>14</v>
      </c>
      <c r="AP406" s="11">
        <v>2</v>
      </c>
      <c r="AQ406" s="11" t="s">
        <v>14</v>
      </c>
      <c r="AR406" s="11">
        <v>2</v>
      </c>
      <c r="AS406" s="11" t="s">
        <v>14</v>
      </c>
      <c r="AT406" s="11">
        <v>2</v>
      </c>
      <c r="AU406" s="11" t="s">
        <v>16</v>
      </c>
      <c r="AV406" s="11">
        <v>2</v>
      </c>
      <c r="AW406" s="11" t="s">
        <v>14</v>
      </c>
      <c r="AX406" s="11">
        <v>2</v>
      </c>
      <c r="AY406" s="11" t="s">
        <v>14</v>
      </c>
      <c r="AZ406" s="11">
        <v>2</v>
      </c>
      <c r="BA406" s="11" t="s">
        <v>14</v>
      </c>
      <c r="BB406" s="11">
        <v>2</v>
      </c>
      <c r="BC406" s="11" t="s">
        <v>14</v>
      </c>
      <c r="BD406" s="11">
        <v>2</v>
      </c>
      <c r="BE406" s="11" t="s">
        <v>14</v>
      </c>
      <c r="BF406" s="11">
        <v>2</v>
      </c>
      <c r="BG406" s="11" t="s">
        <v>14</v>
      </c>
      <c r="BH406" s="11">
        <v>2</v>
      </c>
      <c r="BI406" s="11" t="s">
        <v>16</v>
      </c>
      <c r="BJ406" s="11">
        <v>2</v>
      </c>
      <c r="BK406" s="11" t="s">
        <v>14</v>
      </c>
      <c r="BL406" s="11">
        <v>2</v>
      </c>
      <c r="BM406" s="11" t="s">
        <v>14</v>
      </c>
      <c r="BN406" s="34">
        <v>2</v>
      </c>
    </row>
    <row r="407" spans="1:66" ht="17.25" customHeight="1" x14ac:dyDescent="0.15">
      <c r="A407" s="85"/>
      <c r="B407" s="76"/>
      <c r="C407" s="66"/>
      <c r="D407" s="56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17</v>
      </c>
      <c r="V407" s="12">
        <v>2</v>
      </c>
      <c r="W407" s="12" t="s">
        <v>17</v>
      </c>
      <c r="X407" s="12">
        <v>2</v>
      </c>
      <c r="Y407" s="12" t="s">
        <v>17</v>
      </c>
      <c r="Z407" s="12">
        <v>2</v>
      </c>
      <c r="AA407" s="12" t="s">
        <v>17</v>
      </c>
      <c r="AB407" s="12">
        <v>2</v>
      </c>
      <c r="AC407" s="12" t="s">
        <v>17</v>
      </c>
      <c r="AD407" s="12">
        <v>2</v>
      </c>
      <c r="AE407" s="12" t="s">
        <v>17</v>
      </c>
      <c r="AF407" s="12">
        <v>2</v>
      </c>
      <c r="AG407" s="12"/>
      <c r="AH407" s="12"/>
      <c r="AI407" s="12" t="s">
        <v>14</v>
      </c>
      <c r="AJ407" s="12">
        <v>2</v>
      </c>
      <c r="AK407" s="12" t="s">
        <v>14</v>
      </c>
      <c r="AL407" s="12">
        <v>2</v>
      </c>
      <c r="AM407" s="12" t="s">
        <v>14</v>
      </c>
      <c r="AN407" s="12">
        <v>2</v>
      </c>
      <c r="AO407" s="12" t="s">
        <v>14</v>
      </c>
      <c r="AP407" s="12">
        <v>2</v>
      </c>
      <c r="AQ407" s="12" t="s">
        <v>14</v>
      </c>
      <c r="AR407" s="12">
        <v>2</v>
      </c>
      <c r="AS407" s="12" t="s">
        <v>14</v>
      </c>
      <c r="AT407" s="12">
        <v>2</v>
      </c>
      <c r="AU407" s="12" t="s">
        <v>16</v>
      </c>
      <c r="AV407" s="12">
        <v>2</v>
      </c>
      <c r="AW407" s="12" t="s">
        <v>14</v>
      </c>
      <c r="AX407" s="12">
        <v>2</v>
      </c>
      <c r="AY407" s="12" t="s">
        <v>14</v>
      </c>
      <c r="AZ407" s="12">
        <v>2</v>
      </c>
      <c r="BA407" s="12" t="s">
        <v>14</v>
      </c>
      <c r="BB407" s="12">
        <v>2</v>
      </c>
      <c r="BC407" s="12" t="s">
        <v>14</v>
      </c>
      <c r="BD407" s="12">
        <v>2</v>
      </c>
      <c r="BE407" s="12" t="s">
        <v>14</v>
      </c>
      <c r="BF407" s="12">
        <v>2</v>
      </c>
      <c r="BG407" s="12" t="s">
        <v>14</v>
      </c>
      <c r="BH407" s="12">
        <v>2</v>
      </c>
      <c r="BI407" s="12" t="s">
        <v>16</v>
      </c>
      <c r="BJ407" s="12">
        <v>2</v>
      </c>
      <c r="BK407" s="12" t="s">
        <v>14</v>
      </c>
      <c r="BL407" s="12">
        <v>2</v>
      </c>
      <c r="BM407" s="12" t="s">
        <v>14</v>
      </c>
      <c r="BN407" s="35">
        <v>2</v>
      </c>
    </row>
    <row r="408" spans="1:66" ht="17.25" customHeight="1" x14ac:dyDescent="0.15">
      <c r="A408" s="85"/>
      <c r="B408" s="76"/>
      <c r="C408" s="66"/>
      <c r="D408" s="57" t="s">
        <v>47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 t="s">
        <v>17</v>
      </c>
      <c r="V408" s="13">
        <v>2</v>
      </c>
      <c r="W408" s="13" t="s">
        <v>17</v>
      </c>
      <c r="X408" s="13">
        <v>2</v>
      </c>
      <c r="Y408" s="13" t="s">
        <v>17</v>
      </c>
      <c r="Z408" s="13">
        <v>2</v>
      </c>
      <c r="AA408" s="13" t="s">
        <v>17</v>
      </c>
      <c r="AB408" s="13">
        <v>2</v>
      </c>
      <c r="AC408" s="13" t="s">
        <v>17</v>
      </c>
      <c r="AD408" s="13">
        <v>2</v>
      </c>
      <c r="AE408" s="13" t="s">
        <v>17</v>
      </c>
      <c r="AF408" s="13">
        <v>2</v>
      </c>
      <c r="AG408" s="13"/>
      <c r="AH408" s="13"/>
      <c r="AI408" s="13" t="s">
        <v>14</v>
      </c>
      <c r="AJ408" s="13">
        <v>2</v>
      </c>
      <c r="AK408" s="13" t="s">
        <v>14</v>
      </c>
      <c r="AL408" s="13">
        <v>2</v>
      </c>
      <c r="AM408" s="13" t="s">
        <v>14</v>
      </c>
      <c r="AN408" s="13">
        <v>2</v>
      </c>
      <c r="AO408" s="13" t="s">
        <v>14</v>
      </c>
      <c r="AP408" s="13">
        <v>2</v>
      </c>
      <c r="AQ408" s="13" t="s">
        <v>14</v>
      </c>
      <c r="AR408" s="13">
        <v>2</v>
      </c>
      <c r="AS408" s="13" t="s">
        <v>14</v>
      </c>
      <c r="AT408" s="13">
        <v>2</v>
      </c>
      <c r="AU408" s="13" t="s">
        <v>16</v>
      </c>
      <c r="AV408" s="13">
        <v>2</v>
      </c>
      <c r="AW408" s="13" t="s">
        <v>14</v>
      </c>
      <c r="AX408" s="13">
        <v>2</v>
      </c>
      <c r="AY408" s="13" t="s">
        <v>14</v>
      </c>
      <c r="AZ408" s="13">
        <v>2</v>
      </c>
      <c r="BA408" s="13" t="s">
        <v>14</v>
      </c>
      <c r="BB408" s="13">
        <v>2</v>
      </c>
      <c r="BC408" s="13" t="s">
        <v>14</v>
      </c>
      <c r="BD408" s="13">
        <v>2</v>
      </c>
      <c r="BE408" s="13" t="s">
        <v>14</v>
      </c>
      <c r="BF408" s="13">
        <v>2</v>
      </c>
      <c r="BG408" s="13" t="s">
        <v>14</v>
      </c>
      <c r="BH408" s="13">
        <v>2</v>
      </c>
      <c r="BI408" s="13" t="s">
        <v>16</v>
      </c>
      <c r="BJ408" s="13">
        <v>2</v>
      </c>
      <c r="BK408" s="13" t="s">
        <v>14</v>
      </c>
      <c r="BL408" s="13">
        <v>2</v>
      </c>
      <c r="BM408" s="13" t="s">
        <v>14</v>
      </c>
      <c r="BN408" s="36">
        <v>2</v>
      </c>
    </row>
    <row r="409" spans="1:66" ht="17.25" customHeight="1" x14ac:dyDescent="0.15">
      <c r="A409" s="85"/>
      <c r="B409" s="76"/>
      <c r="C409" s="66"/>
      <c r="D409" s="56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17</v>
      </c>
      <c r="V409" s="12">
        <v>2</v>
      </c>
      <c r="W409" s="12" t="s">
        <v>17</v>
      </c>
      <c r="X409" s="12">
        <v>2</v>
      </c>
      <c r="Y409" s="12" t="s">
        <v>17</v>
      </c>
      <c r="Z409" s="12">
        <v>2</v>
      </c>
      <c r="AA409" s="12" t="s">
        <v>17</v>
      </c>
      <c r="AB409" s="12">
        <v>2</v>
      </c>
      <c r="AC409" s="12" t="s">
        <v>17</v>
      </c>
      <c r="AD409" s="12">
        <v>2</v>
      </c>
      <c r="AE409" s="12" t="s">
        <v>17</v>
      </c>
      <c r="AF409" s="12">
        <v>2</v>
      </c>
      <c r="AG409" s="12"/>
      <c r="AH409" s="12"/>
      <c r="AI409" s="12" t="s">
        <v>14</v>
      </c>
      <c r="AJ409" s="12">
        <v>2</v>
      </c>
      <c r="AK409" s="12" t="s">
        <v>14</v>
      </c>
      <c r="AL409" s="12">
        <v>2</v>
      </c>
      <c r="AM409" s="12" t="s">
        <v>14</v>
      </c>
      <c r="AN409" s="12">
        <v>2</v>
      </c>
      <c r="AO409" s="12" t="s">
        <v>14</v>
      </c>
      <c r="AP409" s="12">
        <v>2</v>
      </c>
      <c r="AQ409" s="12" t="s">
        <v>14</v>
      </c>
      <c r="AR409" s="12">
        <v>2</v>
      </c>
      <c r="AS409" s="12" t="s">
        <v>14</v>
      </c>
      <c r="AT409" s="12">
        <v>2</v>
      </c>
      <c r="AU409" s="12" t="s">
        <v>16</v>
      </c>
      <c r="AV409" s="12">
        <v>2</v>
      </c>
      <c r="AW409" s="12" t="s">
        <v>14</v>
      </c>
      <c r="AX409" s="12">
        <v>2</v>
      </c>
      <c r="AY409" s="12" t="s">
        <v>14</v>
      </c>
      <c r="AZ409" s="12">
        <v>2</v>
      </c>
      <c r="BA409" s="12" t="s">
        <v>14</v>
      </c>
      <c r="BB409" s="12">
        <v>2</v>
      </c>
      <c r="BC409" s="12" t="s">
        <v>14</v>
      </c>
      <c r="BD409" s="12">
        <v>2</v>
      </c>
      <c r="BE409" s="12" t="s">
        <v>14</v>
      </c>
      <c r="BF409" s="12">
        <v>2</v>
      </c>
      <c r="BG409" s="12" t="s">
        <v>14</v>
      </c>
      <c r="BH409" s="12">
        <v>2</v>
      </c>
      <c r="BI409" s="12" t="s">
        <v>16</v>
      </c>
      <c r="BJ409" s="12">
        <v>2</v>
      </c>
      <c r="BK409" s="12" t="s">
        <v>14</v>
      </c>
      <c r="BL409" s="12">
        <v>2</v>
      </c>
      <c r="BM409" s="12" t="s">
        <v>14</v>
      </c>
      <c r="BN409" s="35">
        <v>2</v>
      </c>
    </row>
    <row r="410" spans="1:66" ht="17.25" customHeight="1" x14ac:dyDescent="0.15">
      <c r="A410" s="85"/>
      <c r="B410" s="76"/>
      <c r="C410" s="66"/>
      <c r="D410" s="58" t="s">
        <v>49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 t="s">
        <v>15</v>
      </c>
      <c r="V410" s="14"/>
      <c r="W410" s="14" t="s">
        <v>15</v>
      </c>
      <c r="X410" s="14"/>
      <c r="Y410" s="14" t="s">
        <v>15</v>
      </c>
      <c r="Z410" s="14"/>
      <c r="AA410" s="14" t="s">
        <v>15</v>
      </c>
      <c r="AB410" s="14"/>
      <c r="AC410" s="14" t="s">
        <v>15</v>
      </c>
      <c r="AD410" s="14"/>
      <c r="AE410" s="14" t="s">
        <v>15</v>
      </c>
      <c r="AF410" s="14"/>
      <c r="AG410" s="14"/>
      <c r="AH410" s="14"/>
      <c r="AI410" s="14" t="s">
        <v>15</v>
      </c>
      <c r="AJ410" s="14"/>
      <c r="AK410" s="14" t="s">
        <v>15</v>
      </c>
      <c r="AL410" s="14"/>
      <c r="AM410" s="14" t="s">
        <v>15</v>
      </c>
      <c r="AN410" s="14">
        <v>3.5</v>
      </c>
      <c r="AO410" s="14" t="s">
        <v>15</v>
      </c>
      <c r="AP410" s="14">
        <v>2.5</v>
      </c>
      <c r="AQ410" s="14" t="s">
        <v>15</v>
      </c>
      <c r="AR410" s="14">
        <v>2.5</v>
      </c>
      <c r="AS410" s="14" t="s">
        <v>15</v>
      </c>
      <c r="AT410" s="14"/>
      <c r="AU410" s="14"/>
      <c r="AV410" s="14"/>
      <c r="AW410" s="14" t="s">
        <v>15</v>
      </c>
      <c r="AX410" s="14">
        <v>3.5</v>
      </c>
      <c r="AY410" s="14" t="s">
        <v>15</v>
      </c>
      <c r="AZ410" s="14">
        <v>3.5</v>
      </c>
      <c r="BA410" s="14" t="s">
        <v>15</v>
      </c>
      <c r="BB410" s="14">
        <v>4.5</v>
      </c>
      <c r="BC410" s="14" t="s">
        <v>15</v>
      </c>
      <c r="BD410" s="14">
        <v>3.5</v>
      </c>
      <c r="BE410" s="14" t="s">
        <v>15</v>
      </c>
      <c r="BF410" s="14">
        <v>4</v>
      </c>
      <c r="BG410" s="14" t="s">
        <v>15</v>
      </c>
      <c r="BH410" s="14">
        <v>4.5</v>
      </c>
      <c r="BI410" s="14"/>
      <c r="BJ410" s="14"/>
      <c r="BK410" s="14" t="s">
        <v>15</v>
      </c>
      <c r="BL410" s="14">
        <v>3.5</v>
      </c>
      <c r="BM410" s="14" t="s">
        <v>15</v>
      </c>
      <c r="BN410" s="37">
        <v>2.5</v>
      </c>
    </row>
    <row r="411" spans="1:66" ht="17.25" customHeight="1" thickBot="1" x14ac:dyDescent="0.2">
      <c r="A411" s="86"/>
      <c r="B411" s="77"/>
      <c r="C411" s="67"/>
      <c r="D411" s="59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38"/>
    </row>
    <row r="412" spans="1:66" ht="17.25" customHeight="1" x14ac:dyDescent="0.15">
      <c r="A412" s="84" t="s">
        <v>86</v>
      </c>
      <c r="B412" s="75" t="s">
        <v>82</v>
      </c>
      <c r="C412" s="65" t="s">
        <v>115</v>
      </c>
      <c r="D412" s="55" t="s">
        <v>45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17</v>
      </c>
      <c r="V412" s="11">
        <v>2</v>
      </c>
      <c r="W412" s="11" t="s">
        <v>17</v>
      </c>
      <c r="X412" s="11">
        <v>2</v>
      </c>
      <c r="Y412" s="11" t="s">
        <v>17</v>
      </c>
      <c r="Z412" s="11">
        <v>2</v>
      </c>
      <c r="AA412" s="11" t="s">
        <v>17</v>
      </c>
      <c r="AB412" s="11">
        <v>2</v>
      </c>
      <c r="AC412" s="11" t="s">
        <v>17</v>
      </c>
      <c r="AD412" s="11">
        <v>2</v>
      </c>
      <c r="AE412" s="11" t="s">
        <v>17</v>
      </c>
      <c r="AF412" s="11">
        <v>2</v>
      </c>
      <c r="AG412" s="11"/>
      <c r="AH412" s="11"/>
      <c r="AI412" s="11" t="s">
        <v>14</v>
      </c>
      <c r="AJ412" s="11">
        <v>2</v>
      </c>
      <c r="AK412" s="11" t="s">
        <v>14</v>
      </c>
      <c r="AL412" s="11">
        <v>2</v>
      </c>
      <c r="AM412" s="11" t="s">
        <v>14</v>
      </c>
      <c r="AN412" s="11">
        <v>2</v>
      </c>
      <c r="AO412" s="11" t="s">
        <v>14</v>
      </c>
      <c r="AP412" s="11">
        <v>2</v>
      </c>
      <c r="AQ412" s="11" t="s">
        <v>14</v>
      </c>
      <c r="AR412" s="11">
        <v>2</v>
      </c>
      <c r="AS412" s="11" t="s">
        <v>14</v>
      </c>
      <c r="AT412" s="11">
        <v>2</v>
      </c>
      <c r="AU412" s="11" t="s">
        <v>16</v>
      </c>
      <c r="AV412" s="11">
        <v>2</v>
      </c>
      <c r="AW412" s="11" t="s">
        <v>14</v>
      </c>
      <c r="AX412" s="11">
        <v>2</v>
      </c>
      <c r="AY412" s="11" t="s">
        <v>14</v>
      </c>
      <c r="AZ412" s="11">
        <v>2</v>
      </c>
      <c r="BA412" s="11" t="s">
        <v>14</v>
      </c>
      <c r="BB412" s="11">
        <v>2</v>
      </c>
      <c r="BC412" s="11" t="s">
        <v>14</v>
      </c>
      <c r="BD412" s="11">
        <v>2</v>
      </c>
      <c r="BE412" s="11" t="s">
        <v>14</v>
      </c>
      <c r="BF412" s="11">
        <v>2</v>
      </c>
      <c r="BG412" s="11" t="s">
        <v>14</v>
      </c>
      <c r="BH412" s="11">
        <v>2</v>
      </c>
      <c r="BI412" s="11" t="s">
        <v>16</v>
      </c>
      <c r="BJ412" s="11">
        <v>2</v>
      </c>
      <c r="BK412" s="11" t="s">
        <v>14</v>
      </c>
      <c r="BL412" s="11">
        <v>2</v>
      </c>
      <c r="BM412" s="11" t="s">
        <v>14</v>
      </c>
      <c r="BN412" s="34">
        <v>2</v>
      </c>
    </row>
    <row r="413" spans="1:66" ht="17.25" customHeight="1" x14ac:dyDescent="0.15">
      <c r="A413" s="85"/>
      <c r="B413" s="76"/>
      <c r="C413" s="66"/>
      <c r="D413" s="56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17</v>
      </c>
      <c r="V413" s="12">
        <v>2</v>
      </c>
      <c r="W413" s="12" t="s">
        <v>17</v>
      </c>
      <c r="X413" s="12">
        <v>2</v>
      </c>
      <c r="Y413" s="12" t="s">
        <v>17</v>
      </c>
      <c r="Z413" s="12">
        <v>2</v>
      </c>
      <c r="AA413" s="12" t="s">
        <v>17</v>
      </c>
      <c r="AB413" s="12">
        <v>2</v>
      </c>
      <c r="AC413" s="12" t="s">
        <v>17</v>
      </c>
      <c r="AD413" s="12">
        <v>2</v>
      </c>
      <c r="AE413" s="12" t="s">
        <v>17</v>
      </c>
      <c r="AF413" s="12">
        <v>2</v>
      </c>
      <c r="AG413" s="12"/>
      <c r="AH413" s="12"/>
      <c r="AI413" s="12" t="s">
        <v>14</v>
      </c>
      <c r="AJ413" s="12">
        <v>2</v>
      </c>
      <c r="AK413" s="12" t="s">
        <v>14</v>
      </c>
      <c r="AL413" s="12">
        <v>2</v>
      </c>
      <c r="AM413" s="12" t="s">
        <v>14</v>
      </c>
      <c r="AN413" s="12">
        <v>2</v>
      </c>
      <c r="AO413" s="12" t="s">
        <v>14</v>
      </c>
      <c r="AP413" s="12">
        <v>2</v>
      </c>
      <c r="AQ413" s="12" t="s">
        <v>14</v>
      </c>
      <c r="AR413" s="12">
        <v>2</v>
      </c>
      <c r="AS413" s="12" t="s">
        <v>14</v>
      </c>
      <c r="AT413" s="12">
        <v>2</v>
      </c>
      <c r="AU413" s="12" t="s">
        <v>16</v>
      </c>
      <c r="AV413" s="12">
        <v>2</v>
      </c>
      <c r="AW413" s="12" t="s">
        <v>14</v>
      </c>
      <c r="AX413" s="12">
        <v>2</v>
      </c>
      <c r="AY413" s="12" t="s">
        <v>14</v>
      </c>
      <c r="AZ413" s="12">
        <v>2</v>
      </c>
      <c r="BA413" s="12" t="s">
        <v>14</v>
      </c>
      <c r="BB413" s="12">
        <v>2</v>
      </c>
      <c r="BC413" s="12" t="s">
        <v>14</v>
      </c>
      <c r="BD413" s="12">
        <v>2</v>
      </c>
      <c r="BE413" s="12" t="s">
        <v>14</v>
      </c>
      <c r="BF413" s="12">
        <v>2</v>
      </c>
      <c r="BG413" s="12" t="s">
        <v>14</v>
      </c>
      <c r="BH413" s="12">
        <v>2</v>
      </c>
      <c r="BI413" s="12" t="s">
        <v>16</v>
      </c>
      <c r="BJ413" s="12">
        <v>2</v>
      </c>
      <c r="BK413" s="12" t="s">
        <v>14</v>
      </c>
      <c r="BL413" s="12">
        <v>2</v>
      </c>
      <c r="BM413" s="12" t="s">
        <v>14</v>
      </c>
      <c r="BN413" s="35">
        <v>2</v>
      </c>
    </row>
    <row r="414" spans="1:66" ht="17.25" customHeight="1" x14ac:dyDescent="0.15">
      <c r="A414" s="85"/>
      <c r="B414" s="76"/>
      <c r="C414" s="66"/>
      <c r="D414" s="57" t="s">
        <v>47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 t="s">
        <v>17</v>
      </c>
      <c r="V414" s="13">
        <v>2</v>
      </c>
      <c r="W414" s="13" t="s">
        <v>17</v>
      </c>
      <c r="X414" s="13">
        <v>2</v>
      </c>
      <c r="Y414" s="13" t="s">
        <v>17</v>
      </c>
      <c r="Z414" s="13">
        <v>2</v>
      </c>
      <c r="AA414" s="13" t="s">
        <v>17</v>
      </c>
      <c r="AB414" s="13">
        <v>2</v>
      </c>
      <c r="AC414" s="13" t="s">
        <v>17</v>
      </c>
      <c r="AD414" s="13">
        <v>2</v>
      </c>
      <c r="AE414" s="13" t="s">
        <v>17</v>
      </c>
      <c r="AF414" s="13">
        <v>2</v>
      </c>
      <c r="AG414" s="13"/>
      <c r="AH414" s="13"/>
      <c r="AI414" s="13" t="s">
        <v>14</v>
      </c>
      <c r="AJ414" s="13">
        <v>2</v>
      </c>
      <c r="AK414" s="13" t="s">
        <v>14</v>
      </c>
      <c r="AL414" s="13">
        <v>2</v>
      </c>
      <c r="AM414" s="13" t="s">
        <v>14</v>
      </c>
      <c r="AN414" s="13">
        <v>2</v>
      </c>
      <c r="AO414" s="13" t="s">
        <v>14</v>
      </c>
      <c r="AP414" s="13">
        <v>2</v>
      </c>
      <c r="AQ414" s="13" t="s">
        <v>14</v>
      </c>
      <c r="AR414" s="13">
        <v>2</v>
      </c>
      <c r="AS414" s="13" t="s">
        <v>14</v>
      </c>
      <c r="AT414" s="13">
        <v>2</v>
      </c>
      <c r="AU414" s="13" t="s">
        <v>16</v>
      </c>
      <c r="AV414" s="13">
        <v>2</v>
      </c>
      <c r="AW414" s="13" t="s">
        <v>14</v>
      </c>
      <c r="AX414" s="13">
        <v>2</v>
      </c>
      <c r="AY414" s="13" t="s">
        <v>14</v>
      </c>
      <c r="AZ414" s="13">
        <v>2</v>
      </c>
      <c r="BA414" s="13" t="s">
        <v>14</v>
      </c>
      <c r="BB414" s="13">
        <v>2</v>
      </c>
      <c r="BC414" s="13" t="s">
        <v>14</v>
      </c>
      <c r="BD414" s="13">
        <v>2</v>
      </c>
      <c r="BE414" s="13" t="s">
        <v>14</v>
      </c>
      <c r="BF414" s="13">
        <v>2</v>
      </c>
      <c r="BG414" s="13" t="s">
        <v>14</v>
      </c>
      <c r="BH414" s="13">
        <v>2</v>
      </c>
      <c r="BI414" s="13" t="s">
        <v>16</v>
      </c>
      <c r="BJ414" s="13">
        <v>2</v>
      </c>
      <c r="BK414" s="13" t="s">
        <v>14</v>
      </c>
      <c r="BL414" s="13">
        <v>2</v>
      </c>
      <c r="BM414" s="13" t="s">
        <v>14</v>
      </c>
      <c r="BN414" s="36">
        <v>2</v>
      </c>
    </row>
    <row r="415" spans="1:66" ht="17.25" customHeight="1" x14ac:dyDescent="0.15">
      <c r="A415" s="85"/>
      <c r="B415" s="76"/>
      <c r="C415" s="66"/>
      <c r="D415" s="56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17</v>
      </c>
      <c r="V415" s="12">
        <v>2</v>
      </c>
      <c r="W415" s="12" t="s">
        <v>17</v>
      </c>
      <c r="X415" s="12">
        <v>2</v>
      </c>
      <c r="Y415" s="12" t="s">
        <v>17</v>
      </c>
      <c r="Z415" s="12">
        <v>2</v>
      </c>
      <c r="AA415" s="12" t="s">
        <v>17</v>
      </c>
      <c r="AB415" s="12">
        <v>2</v>
      </c>
      <c r="AC415" s="12" t="s">
        <v>17</v>
      </c>
      <c r="AD415" s="12">
        <v>2</v>
      </c>
      <c r="AE415" s="12" t="s">
        <v>17</v>
      </c>
      <c r="AF415" s="12">
        <v>2</v>
      </c>
      <c r="AG415" s="12"/>
      <c r="AH415" s="12"/>
      <c r="AI415" s="12" t="s">
        <v>14</v>
      </c>
      <c r="AJ415" s="12">
        <v>2</v>
      </c>
      <c r="AK415" s="12" t="s">
        <v>14</v>
      </c>
      <c r="AL415" s="12">
        <v>2</v>
      </c>
      <c r="AM415" s="12" t="s">
        <v>14</v>
      </c>
      <c r="AN415" s="12">
        <v>2</v>
      </c>
      <c r="AO415" s="12" t="s">
        <v>14</v>
      </c>
      <c r="AP415" s="12">
        <v>2</v>
      </c>
      <c r="AQ415" s="12" t="s">
        <v>14</v>
      </c>
      <c r="AR415" s="12">
        <v>2</v>
      </c>
      <c r="AS415" s="12" t="s">
        <v>14</v>
      </c>
      <c r="AT415" s="12">
        <v>2</v>
      </c>
      <c r="AU415" s="12" t="s">
        <v>16</v>
      </c>
      <c r="AV415" s="12">
        <v>2</v>
      </c>
      <c r="AW415" s="12" t="s">
        <v>14</v>
      </c>
      <c r="AX415" s="12">
        <v>2</v>
      </c>
      <c r="AY415" s="12" t="s">
        <v>14</v>
      </c>
      <c r="AZ415" s="12">
        <v>2</v>
      </c>
      <c r="BA415" s="12" t="s">
        <v>14</v>
      </c>
      <c r="BB415" s="12">
        <v>2</v>
      </c>
      <c r="BC415" s="12" t="s">
        <v>14</v>
      </c>
      <c r="BD415" s="12">
        <v>2</v>
      </c>
      <c r="BE415" s="12" t="s">
        <v>14</v>
      </c>
      <c r="BF415" s="12">
        <v>2</v>
      </c>
      <c r="BG415" s="12" t="s">
        <v>14</v>
      </c>
      <c r="BH415" s="12">
        <v>2</v>
      </c>
      <c r="BI415" s="12" t="s">
        <v>16</v>
      </c>
      <c r="BJ415" s="12">
        <v>2</v>
      </c>
      <c r="BK415" s="12" t="s">
        <v>14</v>
      </c>
      <c r="BL415" s="12">
        <v>2</v>
      </c>
      <c r="BM415" s="12" t="s">
        <v>14</v>
      </c>
      <c r="BN415" s="35">
        <v>2</v>
      </c>
    </row>
    <row r="416" spans="1:66" ht="17.25" customHeight="1" x14ac:dyDescent="0.15">
      <c r="A416" s="85"/>
      <c r="B416" s="76"/>
      <c r="C416" s="66"/>
      <c r="D416" s="58" t="s">
        <v>49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 t="s">
        <v>15</v>
      </c>
      <c r="V416" s="14"/>
      <c r="W416" s="14" t="s">
        <v>15</v>
      </c>
      <c r="X416" s="14"/>
      <c r="Y416" s="14" t="s">
        <v>15</v>
      </c>
      <c r="Z416" s="14"/>
      <c r="AA416" s="14" t="s">
        <v>15</v>
      </c>
      <c r="AB416" s="14"/>
      <c r="AC416" s="14" t="s">
        <v>15</v>
      </c>
      <c r="AD416" s="14"/>
      <c r="AE416" s="14" t="s">
        <v>15</v>
      </c>
      <c r="AF416" s="14"/>
      <c r="AG416" s="14"/>
      <c r="AH416" s="14"/>
      <c r="AI416" s="14" t="s">
        <v>15</v>
      </c>
      <c r="AJ416" s="14"/>
      <c r="AK416" s="14" t="s">
        <v>15</v>
      </c>
      <c r="AL416" s="14"/>
      <c r="AM416" s="14" t="s">
        <v>15</v>
      </c>
      <c r="AN416" s="14">
        <v>3.5</v>
      </c>
      <c r="AO416" s="14" t="s">
        <v>15</v>
      </c>
      <c r="AP416" s="14">
        <v>2.5</v>
      </c>
      <c r="AQ416" s="14" t="s">
        <v>15</v>
      </c>
      <c r="AR416" s="14">
        <v>2.5</v>
      </c>
      <c r="AS416" s="14" t="s">
        <v>15</v>
      </c>
      <c r="AT416" s="14"/>
      <c r="AU416" s="14"/>
      <c r="AV416" s="14"/>
      <c r="AW416" s="14" t="s">
        <v>15</v>
      </c>
      <c r="AX416" s="14">
        <v>3.5</v>
      </c>
      <c r="AY416" s="14" t="s">
        <v>15</v>
      </c>
      <c r="AZ416" s="14">
        <v>3.5</v>
      </c>
      <c r="BA416" s="14" t="s">
        <v>15</v>
      </c>
      <c r="BB416" s="14">
        <v>4.5</v>
      </c>
      <c r="BC416" s="14" t="s">
        <v>15</v>
      </c>
      <c r="BD416" s="14">
        <v>3.5</v>
      </c>
      <c r="BE416" s="14" t="s">
        <v>15</v>
      </c>
      <c r="BF416" s="14">
        <v>4</v>
      </c>
      <c r="BG416" s="14" t="s">
        <v>15</v>
      </c>
      <c r="BH416" s="14">
        <v>4.5</v>
      </c>
      <c r="BI416" s="14"/>
      <c r="BJ416" s="14"/>
      <c r="BK416" s="14" t="s">
        <v>15</v>
      </c>
      <c r="BL416" s="14">
        <v>3.5</v>
      </c>
      <c r="BM416" s="14" t="s">
        <v>15</v>
      </c>
      <c r="BN416" s="37">
        <v>2.5</v>
      </c>
    </row>
    <row r="417" spans="1:66" ht="17.25" customHeight="1" thickBot="1" x14ac:dyDescent="0.2">
      <c r="A417" s="86"/>
      <c r="B417" s="77"/>
      <c r="C417" s="67"/>
      <c r="D417" s="59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38"/>
    </row>
    <row r="418" spans="1:66" ht="17.25" customHeight="1" x14ac:dyDescent="0.15">
      <c r="A418" s="84" t="s">
        <v>86</v>
      </c>
      <c r="B418" s="48" t="s">
        <v>43</v>
      </c>
      <c r="C418" s="68" t="s">
        <v>64</v>
      </c>
      <c r="D418" s="55" t="s">
        <v>45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34"/>
    </row>
    <row r="419" spans="1:66" ht="17.25" customHeight="1" x14ac:dyDescent="0.15">
      <c r="A419" s="85"/>
      <c r="B419" s="49"/>
      <c r="C419" s="69"/>
      <c r="D419" s="56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35"/>
    </row>
    <row r="420" spans="1:66" ht="17.25" customHeight="1" x14ac:dyDescent="0.15">
      <c r="A420" s="85"/>
      <c r="B420" s="49"/>
      <c r="C420" s="69"/>
      <c r="D420" s="57" t="s">
        <v>47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36"/>
    </row>
    <row r="421" spans="1:66" ht="17.25" customHeight="1" x14ac:dyDescent="0.15">
      <c r="A421" s="85"/>
      <c r="B421" s="49"/>
      <c r="C421" s="69"/>
      <c r="D421" s="56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35"/>
    </row>
    <row r="422" spans="1:66" ht="17.25" customHeight="1" x14ac:dyDescent="0.15">
      <c r="A422" s="85"/>
      <c r="B422" s="49"/>
      <c r="C422" s="69"/>
      <c r="D422" s="58" t="s">
        <v>49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37"/>
    </row>
    <row r="423" spans="1:66" ht="17.25" customHeight="1" thickBot="1" x14ac:dyDescent="0.2">
      <c r="A423" s="86"/>
      <c r="B423" s="50"/>
      <c r="C423" s="70"/>
      <c r="D423" s="59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38"/>
    </row>
    <row r="424" spans="1:66" ht="17.25" customHeight="1" x14ac:dyDescent="0.15">
      <c r="A424" s="84" t="s">
        <v>86</v>
      </c>
      <c r="B424" s="48" t="s">
        <v>43</v>
      </c>
      <c r="C424" s="68" t="s">
        <v>63</v>
      </c>
      <c r="D424" s="55" t="s">
        <v>45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34"/>
    </row>
    <row r="425" spans="1:66" ht="17.25" customHeight="1" x14ac:dyDescent="0.15">
      <c r="A425" s="85"/>
      <c r="B425" s="49"/>
      <c r="C425" s="69"/>
      <c r="D425" s="56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35"/>
    </row>
    <row r="426" spans="1:66" ht="17.25" customHeight="1" x14ac:dyDescent="0.15">
      <c r="A426" s="85"/>
      <c r="B426" s="49"/>
      <c r="C426" s="69"/>
      <c r="D426" s="57" t="s">
        <v>47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36"/>
    </row>
    <row r="427" spans="1:66" ht="17.25" customHeight="1" x14ac:dyDescent="0.15">
      <c r="A427" s="85"/>
      <c r="B427" s="49"/>
      <c r="C427" s="69"/>
      <c r="D427" s="56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35"/>
    </row>
    <row r="428" spans="1:66" ht="17.25" customHeight="1" x14ac:dyDescent="0.15">
      <c r="A428" s="85"/>
      <c r="B428" s="49"/>
      <c r="C428" s="69"/>
      <c r="D428" s="58" t="s">
        <v>49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37"/>
    </row>
    <row r="429" spans="1:66" ht="17.25" customHeight="1" thickBot="1" x14ac:dyDescent="0.2">
      <c r="A429" s="86"/>
      <c r="B429" s="50"/>
      <c r="C429" s="70"/>
      <c r="D429" s="59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38"/>
    </row>
    <row r="430" spans="1:66" ht="17.25" customHeight="1" x14ac:dyDescent="0.15">
      <c r="A430" s="84" t="s">
        <v>147</v>
      </c>
      <c r="B430" s="48" t="s">
        <v>43</v>
      </c>
      <c r="C430" s="48" t="s">
        <v>148</v>
      </c>
      <c r="D430" s="55" t="s">
        <v>45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14</v>
      </c>
      <c r="V430" s="11">
        <v>2</v>
      </c>
      <c r="W430" s="11" t="s">
        <v>14</v>
      </c>
      <c r="X430" s="11">
        <v>2</v>
      </c>
      <c r="Y430" s="11" t="s">
        <v>14</v>
      </c>
      <c r="Z430" s="11">
        <v>2</v>
      </c>
      <c r="AA430" s="11" t="s">
        <v>14</v>
      </c>
      <c r="AB430" s="11">
        <v>2</v>
      </c>
      <c r="AC430" s="11" t="s">
        <v>14</v>
      </c>
      <c r="AD430" s="11">
        <v>2</v>
      </c>
      <c r="AE430" s="11" t="s">
        <v>14</v>
      </c>
      <c r="AF430" s="11">
        <v>2</v>
      </c>
      <c r="AG430" s="11" t="s">
        <v>16</v>
      </c>
      <c r="AH430" s="11">
        <v>2</v>
      </c>
      <c r="AI430" s="11" t="s">
        <v>14</v>
      </c>
      <c r="AJ430" s="11">
        <v>2</v>
      </c>
      <c r="AK430" s="11" t="s">
        <v>14</v>
      </c>
      <c r="AL430" s="11">
        <v>2</v>
      </c>
      <c r="AM430" s="11" t="s">
        <v>14</v>
      </c>
      <c r="AN430" s="11">
        <v>2</v>
      </c>
      <c r="AO430" s="11" t="s">
        <v>14</v>
      </c>
      <c r="AP430" s="11">
        <v>2</v>
      </c>
      <c r="AQ430" s="11" t="s">
        <v>14</v>
      </c>
      <c r="AR430" s="11">
        <v>2</v>
      </c>
      <c r="AS430" s="11" t="s">
        <v>14</v>
      </c>
      <c r="AT430" s="11">
        <v>2</v>
      </c>
      <c r="AU430" s="11" t="s">
        <v>16</v>
      </c>
      <c r="AV430" s="11">
        <v>2</v>
      </c>
      <c r="AW430" s="11" t="s">
        <v>14</v>
      </c>
      <c r="AX430" s="11">
        <v>2</v>
      </c>
      <c r="AY430" s="11" t="s">
        <v>14</v>
      </c>
      <c r="AZ430" s="11">
        <v>2</v>
      </c>
      <c r="BA430" s="11" t="s">
        <v>14</v>
      </c>
      <c r="BB430" s="11">
        <v>2</v>
      </c>
      <c r="BC430" s="11" t="s">
        <v>14</v>
      </c>
      <c r="BD430" s="11">
        <v>2</v>
      </c>
      <c r="BE430" s="11" t="s">
        <v>14</v>
      </c>
      <c r="BF430" s="11">
        <v>2</v>
      </c>
      <c r="BG430" s="11" t="s">
        <v>14</v>
      </c>
      <c r="BH430" s="11">
        <v>2</v>
      </c>
      <c r="BI430" s="11"/>
      <c r="BJ430" s="11"/>
      <c r="BK430" s="11" t="s">
        <v>14</v>
      </c>
      <c r="BL430" s="11">
        <v>2</v>
      </c>
      <c r="BM430" s="11" t="s">
        <v>14</v>
      </c>
      <c r="BN430" s="34">
        <v>2</v>
      </c>
    </row>
    <row r="431" spans="1:66" ht="17.25" customHeight="1" x14ac:dyDescent="0.15">
      <c r="A431" s="85"/>
      <c r="B431" s="49"/>
      <c r="C431" s="49"/>
      <c r="D431" s="56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14</v>
      </c>
      <c r="V431" s="12">
        <v>2</v>
      </c>
      <c r="W431" s="12" t="s">
        <v>14</v>
      </c>
      <c r="X431" s="12">
        <v>2</v>
      </c>
      <c r="Y431" s="12" t="s">
        <v>14</v>
      </c>
      <c r="Z431" s="12">
        <v>2</v>
      </c>
      <c r="AA431" s="12" t="s">
        <v>14</v>
      </c>
      <c r="AB431" s="12">
        <v>2</v>
      </c>
      <c r="AC431" s="12" t="s">
        <v>14</v>
      </c>
      <c r="AD431" s="12">
        <v>2</v>
      </c>
      <c r="AE431" s="12" t="s">
        <v>14</v>
      </c>
      <c r="AF431" s="12">
        <v>2</v>
      </c>
      <c r="AG431" s="12" t="s">
        <v>16</v>
      </c>
      <c r="AH431" s="12">
        <v>2</v>
      </c>
      <c r="AI431" s="12" t="s">
        <v>14</v>
      </c>
      <c r="AJ431" s="12">
        <v>2</v>
      </c>
      <c r="AK431" s="12" t="s">
        <v>14</v>
      </c>
      <c r="AL431" s="12">
        <v>2</v>
      </c>
      <c r="AM431" s="12" t="s">
        <v>14</v>
      </c>
      <c r="AN431" s="12">
        <v>2</v>
      </c>
      <c r="AO431" s="12" t="s">
        <v>14</v>
      </c>
      <c r="AP431" s="12">
        <v>2</v>
      </c>
      <c r="AQ431" s="12" t="s">
        <v>14</v>
      </c>
      <c r="AR431" s="12">
        <v>2</v>
      </c>
      <c r="AS431" s="12" t="s">
        <v>14</v>
      </c>
      <c r="AT431" s="12">
        <v>2</v>
      </c>
      <c r="AU431" s="12" t="s">
        <v>16</v>
      </c>
      <c r="AV431" s="12">
        <v>2</v>
      </c>
      <c r="AW431" s="12" t="s">
        <v>14</v>
      </c>
      <c r="AX431" s="12">
        <v>2</v>
      </c>
      <c r="AY431" s="12" t="s">
        <v>14</v>
      </c>
      <c r="AZ431" s="12">
        <v>2</v>
      </c>
      <c r="BA431" s="12" t="s">
        <v>14</v>
      </c>
      <c r="BB431" s="12">
        <v>2</v>
      </c>
      <c r="BC431" s="12" t="s">
        <v>14</v>
      </c>
      <c r="BD431" s="12">
        <v>2</v>
      </c>
      <c r="BE431" s="12" t="s">
        <v>14</v>
      </c>
      <c r="BF431" s="12">
        <v>2</v>
      </c>
      <c r="BG431" s="12" t="s">
        <v>14</v>
      </c>
      <c r="BH431" s="12">
        <v>2</v>
      </c>
      <c r="BI431" s="12"/>
      <c r="BJ431" s="12"/>
      <c r="BK431" s="12" t="s">
        <v>14</v>
      </c>
      <c r="BL431" s="12">
        <v>2</v>
      </c>
      <c r="BM431" s="12" t="s">
        <v>14</v>
      </c>
      <c r="BN431" s="35">
        <v>2</v>
      </c>
    </row>
    <row r="432" spans="1:66" ht="17.25" customHeight="1" x14ac:dyDescent="0.15">
      <c r="A432" s="85"/>
      <c r="B432" s="49"/>
      <c r="C432" s="49"/>
      <c r="D432" s="57" t="s">
        <v>47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 t="s">
        <v>14</v>
      </c>
      <c r="V432" s="13">
        <v>2</v>
      </c>
      <c r="W432" s="13" t="s">
        <v>14</v>
      </c>
      <c r="X432" s="13">
        <v>2</v>
      </c>
      <c r="Y432" s="13" t="s">
        <v>14</v>
      </c>
      <c r="Z432" s="13">
        <v>2</v>
      </c>
      <c r="AA432" s="13" t="s">
        <v>14</v>
      </c>
      <c r="AB432" s="13">
        <v>2</v>
      </c>
      <c r="AC432" s="13" t="s">
        <v>14</v>
      </c>
      <c r="AD432" s="13">
        <v>2</v>
      </c>
      <c r="AE432" s="13" t="s">
        <v>14</v>
      </c>
      <c r="AF432" s="13">
        <v>2</v>
      </c>
      <c r="AG432" s="13" t="s">
        <v>16</v>
      </c>
      <c r="AH432" s="13">
        <v>2</v>
      </c>
      <c r="AI432" s="13" t="s">
        <v>14</v>
      </c>
      <c r="AJ432" s="13">
        <v>2</v>
      </c>
      <c r="AK432" s="13" t="s">
        <v>14</v>
      </c>
      <c r="AL432" s="13">
        <v>2</v>
      </c>
      <c r="AM432" s="13" t="s">
        <v>14</v>
      </c>
      <c r="AN432" s="13">
        <v>2</v>
      </c>
      <c r="AO432" s="13" t="s">
        <v>14</v>
      </c>
      <c r="AP432" s="13">
        <v>2</v>
      </c>
      <c r="AQ432" s="13" t="s">
        <v>14</v>
      </c>
      <c r="AR432" s="13">
        <v>2</v>
      </c>
      <c r="AS432" s="13" t="s">
        <v>14</v>
      </c>
      <c r="AT432" s="13">
        <v>2</v>
      </c>
      <c r="AU432" s="13" t="s">
        <v>16</v>
      </c>
      <c r="AV432" s="13">
        <v>2</v>
      </c>
      <c r="AW432" s="13" t="s">
        <v>14</v>
      </c>
      <c r="AX432" s="13">
        <v>2</v>
      </c>
      <c r="AY432" s="13" t="s">
        <v>14</v>
      </c>
      <c r="AZ432" s="13">
        <v>2</v>
      </c>
      <c r="BA432" s="13" t="s">
        <v>14</v>
      </c>
      <c r="BB432" s="13">
        <v>2</v>
      </c>
      <c r="BC432" s="13" t="s">
        <v>14</v>
      </c>
      <c r="BD432" s="13">
        <v>2</v>
      </c>
      <c r="BE432" s="13" t="s">
        <v>14</v>
      </c>
      <c r="BF432" s="13">
        <v>2</v>
      </c>
      <c r="BG432" s="13" t="s">
        <v>14</v>
      </c>
      <c r="BH432" s="13">
        <v>2</v>
      </c>
      <c r="BI432" s="13"/>
      <c r="BJ432" s="13"/>
      <c r="BK432" s="13" t="s">
        <v>14</v>
      </c>
      <c r="BL432" s="13">
        <v>2</v>
      </c>
      <c r="BM432" s="13" t="s">
        <v>14</v>
      </c>
      <c r="BN432" s="36">
        <v>2</v>
      </c>
    </row>
    <row r="433" spans="1:66" ht="17.25" customHeight="1" x14ac:dyDescent="0.15">
      <c r="A433" s="85"/>
      <c r="B433" s="49"/>
      <c r="C433" s="49"/>
      <c r="D433" s="56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14</v>
      </c>
      <c r="V433" s="12">
        <v>2</v>
      </c>
      <c r="W433" s="12" t="s">
        <v>14</v>
      </c>
      <c r="X433" s="12">
        <v>2</v>
      </c>
      <c r="Y433" s="12" t="s">
        <v>14</v>
      </c>
      <c r="Z433" s="12">
        <v>2</v>
      </c>
      <c r="AA433" s="12" t="s">
        <v>14</v>
      </c>
      <c r="AB433" s="12">
        <v>2</v>
      </c>
      <c r="AC433" s="12" t="s">
        <v>14</v>
      </c>
      <c r="AD433" s="12">
        <v>2</v>
      </c>
      <c r="AE433" s="12" t="s">
        <v>14</v>
      </c>
      <c r="AF433" s="12">
        <v>2</v>
      </c>
      <c r="AG433" s="12" t="s">
        <v>16</v>
      </c>
      <c r="AH433" s="12">
        <v>2</v>
      </c>
      <c r="AI433" s="12" t="s">
        <v>14</v>
      </c>
      <c r="AJ433" s="12">
        <v>2</v>
      </c>
      <c r="AK433" s="12" t="s">
        <v>14</v>
      </c>
      <c r="AL433" s="12">
        <v>2</v>
      </c>
      <c r="AM433" s="12" t="s">
        <v>14</v>
      </c>
      <c r="AN433" s="12">
        <v>2</v>
      </c>
      <c r="AO433" s="12" t="s">
        <v>14</v>
      </c>
      <c r="AP433" s="12">
        <v>2</v>
      </c>
      <c r="AQ433" s="12" t="s">
        <v>14</v>
      </c>
      <c r="AR433" s="12">
        <v>2</v>
      </c>
      <c r="AS433" s="12" t="s">
        <v>14</v>
      </c>
      <c r="AT433" s="12">
        <v>2</v>
      </c>
      <c r="AU433" s="12" t="s">
        <v>16</v>
      </c>
      <c r="AV433" s="12">
        <v>2</v>
      </c>
      <c r="AW433" s="12" t="s">
        <v>14</v>
      </c>
      <c r="AX433" s="12">
        <v>2</v>
      </c>
      <c r="AY433" s="12" t="s">
        <v>14</v>
      </c>
      <c r="AZ433" s="12">
        <v>2</v>
      </c>
      <c r="BA433" s="12" t="s">
        <v>14</v>
      </c>
      <c r="BB433" s="12">
        <v>2</v>
      </c>
      <c r="BC433" s="12" t="s">
        <v>14</v>
      </c>
      <c r="BD433" s="12">
        <v>2</v>
      </c>
      <c r="BE433" s="12" t="s">
        <v>14</v>
      </c>
      <c r="BF433" s="12">
        <v>2</v>
      </c>
      <c r="BG433" s="12" t="s">
        <v>14</v>
      </c>
      <c r="BH433" s="12">
        <v>2</v>
      </c>
      <c r="BI433" s="12"/>
      <c r="BJ433" s="12"/>
      <c r="BK433" s="12" t="s">
        <v>14</v>
      </c>
      <c r="BL433" s="12">
        <v>2</v>
      </c>
      <c r="BM433" s="12" t="s">
        <v>14</v>
      </c>
      <c r="BN433" s="35">
        <v>2</v>
      </c>
    </row>
    <row r="434" spans="1:66" ht="17.25" customHeight="1" x14ac:dyDescent="0.15">
      <c r="A434" s="85"/>
      <c r="B434" s="49"/>
      <c r="C434" s="49"/>
      <c r="D434" s="58" t="s">
        <v>49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 t="s">
        <v>15</v>
      </c>
      <c r="V434" s="14"/>
      <c r="W434" s="14" t="s">
        <v>15</v>
      </c>
      <c r="X434" s="14">
        <v>4</v>
      </c>
      <c r="Y434" s="14" t="s">
        <v>15</v>
      </c>
      <c r="Z434" s="14"/>
      <c r="AA434" s="14" t="s">
        <v>15</v>
      </c>
      <c r="AB434" s="14">
        <v>3</v>
      </c>
      <c r="AC434" s="14" t="s">
        <v>15</v>
      </c>
      <c r="AD434" s="14">
        <v>3</v>
      </c>
      <c r="AE434" s="14" t="s">
        <v>15</v>
      </c>
      <c r="AF434" s="14"/>
      <c r="AG434" s="14"/>
      <c r="AH434" s="14"/>
      <c r="AI434" s="14" t="s">
        <v>15</v>
      </c>
      <c r="AJ434" s="14">
        <v>3</v>
      </c>
      <c r="AK434" s="14" t="s">
        <v>15</v>
      </c>
      <c r="AL434" s="14">
        <v>4</v>
      </c>
      <c r="AM434" s="14" t="s">
        <v>15</v>
      </c>
      <c r="AN434" s="14">
        <v>4</v>
      </c>
      <c r="AO434" s="14" t="s">
        <v>15</v>
      </c>
      <c r="AP434" s="14">
        <v>3</v>
      </c>
      <c r="AQ434" s="14" t="s">
        <v>15</v>
      </c>
      <c r="AR434" s="14">
        <v>3</v>
      </c>
      <c r="AS434" s="14" t="s">
        <v>15</v>
      </c>
      <c r="AT434" s="14"/>
      <c r="AU434" s="14"/>
      <c r="AV434" s="14"/>
      <c r="AW434" s="14" t="s">
        <v>15</v>
      </c>
      <c r="AX434" s="14"/>
      <c r="AY434" s="14" t="s">
        <v>15</v>
      </c>
      <c r="AZ434" s="14">
        <v>3</v>
      </c>
      <c r="BA434" s="14" t="s">
        <v>15</v>
      </c>
      <c r="BB434" s="14"/>
      <c r="BC434" s="14" t="s">
        <v>15</v>
      </c>
      <c r="BD434" s="14">
        <v>3</v>
      </c>
      <c r="BE434" s="14" t="s">
        <v>15</v>
      </c>
      <c r="BF434" s="14">
        <v>3</v>
      </c>
      <c r="BG434" s="14" t="s">
        <v>15</v>
      </c>
      <c r="BH434" s="14"/>
      <c r="BI434" s="14"/>
      <c r="BJ434" s="14"/>
      <c r="BK434" s="14" t="s">
        <v>15</v>
      </c>
      <c r="BL434" s="14">
        <v>3</v>
      </c>
      <c r="BM434" s="14" t="s">
        <v>15</v>
      </c>
      <c r="BN434" s="37">
        <v>2</v>
      </c>
    </row>
    <row r="435" spans="1:66" ht="17.25" customHeight="1" thickBot="1" x14ac:dyDescent="0.2">
      <c r="A435" s="86"/>
      <c r="B435" s="50"/>
      <c r="C435" s="50"/>
      <c r="D435" s="59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38"/>
    </row>
    <row r="436" spans="1:66" ht="17.25" customHeight="1" x14ac:dyDescent="0.15">
      <c r="A436" s="84" t="s">
        <v>83</v>
      </c>
      <c r="B436" s="48" t="s">
        <v>43</v>
      </c>
      <c r="C436" s="48" t="s">
        <v>69</v>
      </c>
      <c r="D436" s="55" t="s">
        <v>45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14</v>
      </c>
      <c r="V436" s="11">
        <v>2</v>
      </c>
      <c r="W436" s="11" t="s">
        <v>14</v>
      </c>
      <c r="X436" s="11">
        <v>2</v>
      </c>
      <c r="Y436" s="11" t="s">
        <v>14</v>
      </c>
      <c r="Z436" s="11">
        <v>2</v>
      </c>
      <c r="AA436" s="11" t="s">
        <v>14</v>
      </c>
      <c r="AB436" s="11">
        <v>2</v>
      </c>
      <c r="AC436" s="11" t="s">
        <v>14</v>
      </c>
      <c r="AD436" s="11">
        <v>2</v>
      </c>
      <c r="AE436" s="11" t="s">
        <v>14</v>
      </c>
      <c r="AF436" s="11">
        <v>2</v>
      </c>
      <c r="AG436" s="11"/>
      <c r="AH436" s="11"/>
      <c r="AI436" s="11" t="s">
        <v>14</v>
      </c>
      <c r="AJ436" s="11">
        <v>2</v>
      </c>
      <c r="AK436" s="11" t="s">
        <v>14</v>
      </c>
      <c r="AL436" s="11">
        <v>2</v>
      </c>
      <c r="AM436" s="11" t="s">
        <v>14</v>
      </c>
      <c r="AN436" s="11">
        <v>2</v>
      </c>
      <c r="AO436" s="11" t="s">
        <v>14</v>
      </c>
      <c r="AP436" s="11">
        <v>2</v>
      </c>
      <c r="AQ436" s="11" t="s">
        <v>14</v>
      </c>
      <c r="AR436" s="11">
        <v>2</v>
      </c>
      <c r="AS436" s="11" t="s">
        <v>14</v>
      </c>
      <c r="AT436" s="11">
        <v>2</v>
      </c>
      <c r="AU436" s="11" t="s">
        <v>16</v>
      </c>
      <c r="AV436" s="11">
        <v>2</v>
      </c>
      <c r="AW436" s="11" t="s">
        <v>14</v>
      </c>
      <c r="AX436" s="11">
        <v>2</v>
      </c>
      <c r="AY436" s="11" t="s">
        <v>14</v>
      </c>
      <c r="AZ436" s="11">
        <v>2</v>
      </c>
      <c r="BA436" s="11" t="s">
        <v>14</v>
      </c>
      <c r="BB436" s="11">
        <v>2</v>
      </c>
      <c r="BC436" s="11" t="s">
        <v>14</v>
      </c>
      <c r="BD436" s="11">
        <v>2</v>
      </c>
      <c r="BE436" s="11" t="s">
        <v>14</v>
      </c>
      <c r="BF436" s="11">
        <v>2</v>
      </c>
      <c r="BG436" s="11" t="s">
        <v>14</v>
      </c>
      <c r="BH436" s="11">
        <v>2</v>
      </c>
      <c r="BI436" s="11" t="s">
        <v>16</v>
      </c>
      <c r="BJ436" s="11">
        <v>2</v>
      </c>
      <c r="BK436" s="11" t="s">
        <v>14</v>
      </c>
      <c r="BL436" s="11">
        <v>2</v>
      </c>
      <c r="BM436" s="11" t="s">
        <v>14</v>
      </c>
      <c r="BN436" s="34">
        <v>2</v>
      </c>
    </row>
    <row r="437" spans="1:66" ht="17.25" customHeight="1" x14ac:dyDescent="0.15">
      <c r="A437" s="85"/>
      <c r="B437" s="49"/>
      <c r="C437" s="49"/>
      <c r="D437" s="56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14</v>
      </c>
      <c r="V437" s="12">
        <v>2</v>
      </c>
      <c r="W437" s="12" t="s">
        <v>14</v>
      </c>
      <c r="X437" s="12">
        <v>2</v>
      </c>
      <c r="Y437" s="12" t="s">
        <v>14</v>
      </c>
      <c r="Z437" s="12">
        <v>2</v>
      </c>
      <c r="AA437" s="12" t="s">
        <v>14</v>
      </c>
      <c r="AB437" s="12">
        <v>2</v>
      </c>
      <c r="AC437" s="12" t="s">
        <v>14</v>
      </c>
      <c r="AD437" s="12">
        <v>2</v>
      </c>
      <c r="AE437" s="12" t="s">
        <v>14</v>
      </c>
      <c r="AF437" s="12">
        <v>2</v>
      </c>
      <c r="AG437" s="12"/>
      <c r="AH437" s="12"/>
      <c r="AI437" s="12" t="s">
        <v>14</v>
      </c>
      <c r="AJ437" s="12">
        <v>2</v>
      </c>
      <c r="AK437" s="12" t="s">
        <v>14</v>
      </c>
      <c r="AL437" s="12">
        <v>2</v>
      </c>
      <c r="AM437" s="12" t="s">
        <v>14</v>
      </c>
      <c r="AN437" s="12">
        <v>2</v>
      </c>
      <c r="AO437" s="12" t="s">
        <v>14</v>
      </c>
      <c r="AP437" s="12">
        <v>2</v>
      </c>
      <c r="AQ437" s="12" t="s">
        <v>14</v>
      </c>
      <c r="AR437" s="12">
        <v>2</v>
      </c>
      <c r="AS437" s="12" t="s">
        <v>14</v>
      </c>
      <c r="AT437" s="12">
        <v>2</v>
      </c>
      <c r="AU437" s="12" t="s">
        <v>16</v>
      </c>
      <c r="AV437" s="12">
        <v>2</v>
      </c>
      <c r="AW437" s="12" t="s">
        <v>14</v>
      </c>
      <c r="AX437" s="12">
        <v>2</v>
      </c>
      <c r="AY437" s="12" t="s">
        <v>14</v>
      </c>
      <c r="AZ437" s="12">
        <v>2</v>
      </c>
      <c r="BA437" s="12" t="s">
        <v>14</v>
      </c>
      <c r="BB437" s="12">
        <v>2</v>
      </c>
      <c r="BC437" s="12" t="s">
        <v>14</v>
      </c>
      <c r="BD437" s="12">
        <v>2</v>
      </c>
      <c r="BE437" s="12" t="s">
        <v>14</v>
      </c>
      <c r="BF437" s="12">
        <v>2</v>
      </c>
      <c r="BG437" s="12" t="s">
        <v>14</v>
      </c>
      <c r="BH437" s="12">
        <v>2</v>
      </c>
      <c r="BI437" s="12" t="s">
        <v>16</v>
      </c>
      <c r="BJ437" s="12">
        <v>2</v>
      </c>
      <c r="BK437" s="12" t="s">
        <v>14</v>
      </c>
      <c r="BL437" s="12">
        <v>2</v>
      </c>
      <c r="BM437" s="12" t="s">
        <v>14</v>
      </c>
      <c r="BN437" s="35">
        <v>2</v>
      </c>
    </row>
    <row r="438" spans="1:66" ht="17.25" customHeight="1" x14ac:dyDescent="0.15">
      <c r="A438" s="85"/>
      <c r="B438" s="49"/>
      <c r="C438" s="49"/>
      <c r="D438" s="57" t="s">
        <v>47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 t="s">
        <v>14</v>
      </c>
      <c r="V438" s="13">
        <v>2</v>
      </c>
      <c r="W438" s="13" t="s">
        <v>14</v>
      </c>
      <c r="X438" s="13">
        <v>2</v>
      </c>
      <c r="Y438" s="13" t="s">
        <v>14</v>
      </c>
      <c r="Z438" s="13">
        <v>2</v>
      </c>
      <c r="AA438" s="13" t="s">
        <v>14</v>
      </c>
      <c r="AB438" s="13">
        <v>2</v>
      </c>
      <c r="AC438" s="13" t="s">
        <v>14</v>
      </c>
      <c r="AD438" s="13">
        <v>2</v>
      </c>
      <c r="AE438" s="13" t="s">
        <v>14</v>
      </c>
      <c r="AF438" s="13">
        <v>2</v>
      </c>
      <c r="AG438" s="13"/>
      <c r="AH438" s="13"/>
      <c r="AI438" s="13" t="s">
        <v>14</v>
      </c>
      <c r="AJ438" s="13">
        <v>2</v>
      </c>
      <c r="AK438" s="13" t="s">
        <v>14</v>
      </c>
      <c r="AL438" s="13">
        <v>2</v>
      </c>
      <c r="AM438" s="13" t="s">
        <v>14</v>
      </c>
      <c r="AN438" s="13">
        <v>2</v>
      </c>
      <c r="AO438" s="13" t="s">
        <v>14</v>
      </c>
      <c r="AP438" s="13">
        <v>2</v>
      </c>
      <c r="AQ438" s="13" t="s">
        <v>14</v>
      </c>
      <c r="AR438" s="13">
        <v>2</v>
      </c>
      <c r="AS438" s="13" t="s">
        <v>14</v>
      </c>
      <c r="AT438" s="13">
        <v>2</v>
      </c>
      <c r="AU438" s="13" t="s">
        <v>16</v>
      </c>
      <c r="AV438" s="13">
        <v>2</v>
      </c>
      <c r="AW438" s="13" t="s">
        <v>14</v>
      </c>
      <c r="AX438" s="13">
        <v>2</v>
      </c>
      <c r="AY438" s="13" t="s">
        <v>14</v>
      </c>
      <c r="AZ438" s="13">
        <v>2</v>
      </c>
      <c r="BA438" s="13" t="s">
        <v>14</v>
      </c>
      <c r="BB438" s="13">
        <v>2</v>
      </c>
      <c r="BC438" s="13" t="s">
        <v>14</v>
      </c>
      <c r="BD438" s="13">
        <v>2</v>
      </c>
      <c r="BE438" s="13" t="s">
        <v>14</v>
      </c>
      <c r="BF438" s="13">
        <v>2</v>
      </c>
      <c r="BG438" s="13" t="s">
        <v>14</v>
      </c>
      <c r="BH438" s="13">
        <v>2</v>
      </c>
      <c r="BI438" s="13" t="s">
        <v>16</v>
      </c>
      <c r="BJ438" s="13">
        <v>2</v>
      </c>
      <c r="BK438" s="13" t="s">
        <v>14</v>
      </c>
      <c r="BL438" s="13">
        <v>2</v>
      </c>
      <c r="BM438" s="13" t="s">
        <v>14</v>
      </c>
      <c r="BN438" s="36">
        <v>2</v>
      </c>
    </row>
    <row r="439" spans="1:66" ht="17.25" customHeight="1" x14ac:dyDescent="0.15">
      <c r="A439" s="85"/>
      <c r="B439" s="49"/>
      <c r="C439" s="49"/>
      <c r="D439" s="56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14</v>
      </c>
      <c r="V439" s="12">
        <v>2</v>
      </c>
      <c r="W439" s="12" t="s">
        <v>14</v>
      </c>
      <c r="X439" s="12">
        <v>2</v>
      </c>
      <c r="Y439" s="12" t="s">
        <v>14</v>
      </c>
      <c r="Z439" s="12">
        <v>2</v>
      </c>
      <c r="AA439" s="12" t="s">
        <v>14</v>
      </c>
      <c r="AB439" s="12">
        <v>2</v>
      </c>
      <c r="AC439" s="12" t="s">
        <v>14</v>
      </c>
      <c r="AD439" s="12">
        <v>2</v>
      </c>
      <c r="AE439" s="12" t="s">
        <v>14</v>
      </c>
      <c r="AF439" s="12">
        <v>2</v>
      </c>
      <c r="AG439" s="12"/>
      <c r="AH439" s="12"/>
      <c r="AI439" s="12" t="s">
        <v>14</v>
      </c>
      <c r="AJ439" s="12">
        <v>2</v>
      </c>
      <c r="AK439" s="12" t="s">
        <v>14</v>
      </c>
      <c r="AL439" s="12">
        <v>2</v>
      </c>
      <c r="AM439" s="12" t="s">
        <v>14</v>
      </c>
      <c r="AN439" s="12">
        <v>2</v>
      </c>
      <c r="AO439" s="12" t="s">
        <v>14</v>
      </c>
      <c r="AP439" s="12">
        <v>2</v>
      </c>
      <c r="AQ439" s="12" t="s">
        <v>14</v>
      </c>
      <c r="AR439" s="12">
        <v>2</v>
      </c>
      <c r="AS439" s="12" t="s">
        <v>14</v>
      </c>
      <c r="AT439" s="12">
        <v>2</v>
      </c>
      <c r="AU439" s="12" t="s">
        <v>16</v>
      </c>
      <c r="AV439" s="12">
        <v>2</v>
      </c>
      <c r="AW439" s="12" t="s">
        <v>14</v>
      </c>
      <c r="AX439" s="12">
        <v>2</v>
      </c>
      <c r="AY439" s="12" t="s">
        <v>14</v>
      </c>
      <c r="AZ439" s="12">
        <v>2</v>
      </c>
      <c r="BA439" s="12" t="s">
        <v>14</v>
      </c>
      <c r="BB439" s="12">
        <v>2</v>
      </c>
      <c r="BC439" s="12" t="s">
        <v>14</v>
      </c>
      <c r="BD439" s="12">
        <v>2</v>
      </c>
      <c r="BE439" s="12" t="s">
        <v>14</v>
      </c>
      <c r="BF439" s="12">
        <v>2</v>
      </c>
      <c r="BG439" s="12" t="s">
        <v>14</v>
      </c>
      <c r="BH439" s="12">
        <v>2</v>
      </c>
      <c r="BI439" s="12" t="s">
        <v>16</v>
      </c>
      <c r="BJ439" s="12">
        <v>2</v>
      </c>
      <c r="BK439" s="12" t="s">
        <v>14</v>
      </c>
      <c r="BL439" s="12">
        <v>2</v>
      </c>
      <c r="BM439" s="12" t="s">
        <v>14</v>
      </c>
      <c r="BN439" s="35">
        <v>2</v>
      </c>
    </row>
    <row r="440" spans="1:66" ht="17.25" customHeight="1" x14ac:dyDescent="0.15">
      <c r="A440" s="85"/>
      <c r="B440" s="49"/>
      <c r="C440" s="49"/>
      <c r="D440" s="58" t="s">
        <v>49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 t="s">
        <v>15</v>
      </c>
      <c r="V440" s="14"/>
      <c r="W440" s="14" t="s">
        <v>15</v>
      </c>
      <c r="X440" s="14"/>
      <c r="Y440" s="14" t="s">
        <v>15</v>
      </c>
      <c r="Z440" s="14"/>
      <c r="AA440" s="14" t="s">
        <v>15</v>
      </c>
      <c r="AB440" s="14"/>
      <c r="AC440" s="14" t="s">
        <v>15</v>
      </c>
      <c r="AD440" s="14"/>
      <c r="AE440" s="14" t="s">
        <v>15</v>
      </c>
      <c r="AF440" s="14"/>
      <c r="AG440" s="14"/>
      <c r="AH440" s="14"/>
      <c r="AI440" s="14" t="s">
        <v>15</v>
      </c>
      <c r="AJ440" s="14">
        <v>3.5</v>
      </c>
      <c r="AK440" s="14" t="s">
        <v>15</v>
      </c>
      <c r="AL440" s="14"/>
      <c r="AM440" s="14" t="s">
        <v>15</v>
      </c>
      <c r="AN440" s="14">
        <v>1</v>
      </c>
      <c r="AO440" s="14" t="s">
        <v>15</v>
      </c>
      <c r="AP440" s="14">
        <v>3</v>
      </c>
      <c r="AQ440" s="14" t="s">
        <v>15</v>
      </c>
      <c r="AR440" s="14">
        <v>3</v>
      </c>
      <c r="AS440" s="14" t="s">
        <v>15</v>
      </c>
      <c r="AT440" s="14"/>
      <c r="AU440" s="14"/>
      <c r="AV440" s="14"/>
      <c r="AW440" s="14" t="s">
        <v>15</v>
      </c>
      <c r="AX440" s="14">
        <v>4</v>
      </c>
      <c r="AY440" s="14" t="s">
        <v>15</v>
      </c>
      <c r="AZ440" s="14">
        <v>4</v>
      </c>
      <c r="BA440" s="14" t="s">
        <v>15</v>
      </c>
      <c r="BB440" s="14">
        <v>4</v>
      </c>
      <c r="BC440" s="14" t="s">
        <v>15</v>
      </c>
      <c r="BD440" s="14">
        <v>4</v>
      </c>
      <c r="BE440" s="14" t="s">
        <v>15</v>
      </c>
      <c r="BF440" s="14">
        <v>4</v>
      </c>
      <c r="BG440" s="14" t="s">
        <v>15</v>
      </c>
      <c r="BH440" s="14">
        <v>5</v>
      </c>
      <c r="BI440" s="14"/>
      <c r="BJ440" s="14"/>
      <c r="BK440" s="14" t="s">
        <v>15</v>
      </c>
      <c r="BL440" s="14">
        <v>4</v>
      </c>
      <c r="BM440" s="14" t="s">
        <v>15</v>
      </c>
      <c r="BN440" s="37">
        <v>3</v>
      </c>
    </row>
    <row r="441" spans="1:66" ht="17.25" customHeight="1" thickBot="1" x14ac:dyDescent="0.2">
      <c r="A441" s="86"/>
      <c r="B441" s="50"/>
      <c r="C441" s="50"/>
      <c r="D441" s="59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38"/>
    </row>
    <row r="442" spans="1:66" ht="17.25" customHeight="1" x14ac:dyDescent="0.15">
      <c r="A442" s="84" t="s">
        <v>83</v>
      </c>
      <c r="B442" s="72" t="s">
        <v>134</v>
      </c>
      <c r="C442" s="48" t="s">
        <v>149</v>
      </c>
      <c r="D442" s="55" t="s">
        <v>45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14</v>
      </c>
      <c r="V442" s="11">
        <v>2</v>
      </c>
      <c r="W442" s="11" t="s">
        <v>14</v>
      </c>
      <c r="X442" s="11">
        <v>2</v>
      </c>
      <c r="Y442" s="11" t="s">
        <v>14</v>
      </c>
      <c r="Z442" s="11">
        <v>2</v>
      </c>
      <c r="AA442" s="11" t="s">
        <v>17</v>
      </c>
      <c r="AB442" s="11">
        <v>2</v>
      </c>
      <c r="AC442" s="11" t="s">
        <v>17</v>
      </c>
      <c r="AD442" s="11">
        <v>2</v>
      </c>
      <c r="AE442" s="11" t="s">
        <v>14</v>
      </c>
      <c r="AF442" s="11">
        <v>2</v>
      </c>
      <c r="AG442" s="11"/>
      <c r="AH442" s="11"/>
      <c r="AI442" s="11" t="s">
        <v>14</v>
      </c>
      <c r="AJ442" s="11">
        <v>2</v>
      </c>
      <c r="AK442" s="11" t="s">
        <v>14</v>
      </c>
      <c r="AL442" s="11">
        <v>2</v>
      </c>
      <c r="AM442" s="11" t="s">
        <v>14</v>
      </c>
      <c r="AN442" s="11">
        <v>2</v>
      </c>
      <c r="AO442" s="11" t="s">
        <v>14</v>
      </c>
      <c r="AP442" s="11">
        <v>2</v>
      </c>
      <c r="AQ442" s="11" t="s">
        <v>14</v>
      </c>
      <c r="AR442" s="11">
        <v>2</v>
      </c>
      <c r="AS442" s="11" t="s">
        <v>14</v>
      </c>
      <c r="AT442" s="11">
        <v>2</v>
      </c>
      <c r="AU442" s="11"/>
      <c r="AV442" s="11"/>
      <c r="AW442" s="11" t="s">
        <v>14</v>
      </c>
      <c r="AX442" s="11">
        <v>2</v>
      </c>
      <c r="AY442" s="11" t="s">
        <v>14</v>
      </c>
      <c r="AZ442" s="11">
        <v>2</v>
      </c>
      <c r="BA442" s="11" t="s">
        <v>14</v>
      </c>
      <c r="BB442" s="11">
        <v>2</v>
      </c>
      <c r="BC442" s="11" t="s">
        <v>14</v>
      </c>
      <c r="BD442" s="11">
        <v>2</v>
      </c>
      <c r="BE442" s="11" t="s">
        <v>14</v>
      </c>
      <c r="BF442" s="11">
        <v>2</v>
      </c>
      <c r="BG442" s="11" t="s">
        <v>14</v>
      </c>
      <c r="BH442" s="11">
        <v>2</v>
      </c>
      <c r="BI442" s="11"/>
      <c r="BJ442" s="11"/>
      <c r="BK442" s="11" t="s">
        <v>14</v>
      </c>
      <c r="BL442" s="11">
        <v>2</v>
      </c>
      <c r="BM442" s="11" t="s">
        <v>14</v>
      </c>
      <c r="BN442" s="34">
        <v>2</v>
      </c>
    </row>
    <row r="443" spans="1:66" ht="17.25" customHeight="1" x14ac:dyDescent="0.15">
      <c r="A443" s="85"/>
      <c r="B443" s="73"/>
      <c r="C443" s="49"/>
      <c r="D443" s="56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14</v>
      </c>
      <c r="V443" s="12">
        <v>2</v>
      </c>
      <c r="W443" s="12" t="s">
        <v>14</v>
      </c>
      <c r="X443" s="12">
        <v>2</v>
      </c>
      <c r="Y443" s="12" t="s">
        <v>14</v>
      </c>
      <c r="Z443" s="12">
        <v>2</v>
      </c>
      <c r="AA443" s="12" t="s">
        <v>17</v>
      </c>
      <c r="AB443" s="12">
        <v>2</v>
      </c>
      <c r="AC443" s="12" t="s">
        <v>17</v>
      </c>
      <c r="AD443" s="12">
        <v>2</v>
      </c>
      <c r="AE443" s="12" t="s">
        <v>14</v>
      </c>
      <c r="AF443" s="12">
        <v>2</v>
      </c>
      <c r="AG443" s="12"/>
      <c r="AH443" s="12"/>
      <c r="AI443" s="12" t="s">
        <v>14</v>
      </c>
      <c r="AJ443" s="12">
        <v>2</v>
      </c>
      <c r="AK443" s="12" t="s">
        <v>14</v>
      </c>
      <c r="AL443" s="12">
        <v>2</v>
      </c>
      <c r="AM443" s="12" t="s">
        <v>14</v>
      </c>
      <c r="AN443" s="12">
        <v>2</v>
      </c>
      <c r="AO443" s="12" t="s">
        <v>14</v>
      </c>
      <c r="AP443" s="12">
        <v>2</v>
      </c>
      <c r="AQ443" s="12" t="s">
        <v>14</v>
      </c>
      <c r="AR443" s="12">
        <v>2</v>
      </c>
      <c r="AS443" s="12" t="s">
        <v>14</v>
      </c>
      <c r="AT443" s="12">
        <v>2</v>
      </c>
      <c r="AU443" s="12"/>
      <c r="AV443" s="12"/>
      <c r="AW443" s="12" t="s">
        <v>14</v>
      </c>
      <c r="AX443" s="12">
        <v>2</v>
      </c>
      <c r="AY443" s="12" t="s">
        <v>14</v>
      </c>
      <c r="AZ443" s="12">
        <v>2</v>
      </c>
      <c r="BA443" s="12" t="s">
        <v>14</v>
      </c>
      <c r="BB443" s="12">
        <v>2</v>
      </c>
      <c r="BC443" s="12" t="s">
        <v>14</v>
      </c>
      <c r="BD443" s="12">
        <v>2</v>
      </c>
      <c r="BE443" s="12" t="s">
        <v>14</v>
      </c>
      <c r="BF443" s="12">
        <v>2</v>
      </c>
      <c r="BG443" s="12" t="s">
        <v>14</v>
      </c>
      <c r="BH443" s="12">
        <v>2</v>
      </c>
      <c r="BI443" s="12"/>
      <c r="BJ443" s="12"/>
      <c r="BK443" s="12" t="s">
        <v>14</v>
      </c>
      <c r="BL443" s="12">
        <v>2</v>
      </c>
      <c r="BM443" s="12" t="s">
        <v>14</v>
      </c>
      <c r="BN443" s="35">
        <v>2</v>
      </c>
    </row>
    <row r="444" spans="1:66" ht="17.25" customHeight="1" x14ac:dyDescent="0.15">
      <c r="A444" s="85"/>
      <c r="B444" s="73"/>
      <c r="C444" s="49"/>
      <c r="D444" s="57" t="s">
        <v>47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 t="s">
        <v>14</v>
      </c>
      <c r="V444" s="13">
        <v>2</v>
      </c>
      <c r="W444" s="13" t="s">
        <v>14</v>
      </c>
      <c r="X444" s="13">
        <v>2</v>
      </c>
      <c r="Y444" s="13" t="s">
        <v>14</v>
      </c>
      <c r="Z444" s="13">
        <v>2</v>
      </c>
      <c r="AA444" s="13" t="s">
        <v>14</v>
      </c>
      <c r="AB444" s="13">
        <v>2</v>
      </c>
      <c r="AC444" s="13" t="s">
        <v>14</v>
      </c>
      <c r="AD444" s="13">
        <v>2</v>
      </c>
      <c r="AE444" s="13" t="s">
        <v>14</v>
      </c>
      <c r="AF444" s="13">
        <v>2</v>
      </c>
      <c r="AG444" s="13"/>
      <c r="AH444" s="13"/>
      <c r="AI444" s="13" t="s">
        <v>14</v>
      </c>
      <c r="AJ444" s="13">
        <v>2</v>
      </c>
      <c r="AK444" s="13" t="s">
        <v>14</v>
      </c>
      <c r="AL444" s="13">
        <v>2</v>
      </c>
      <c r="AM444" s="13" t="s">
        <v>14</v>
      </c>
      <c r="AN444" s="13">
        <v>2</v>
      </c>
      <c r="AO444" s="13" t="s">
        <v>14</v>
      </c>
      <c r="AP444" s="13">
        <v>2</v>
      </c>
      <c r="AQ444" s="13" t="s">
        <v>14</v>
      </c>
      <c r="AR444" s="13">
        <v>2</v>
      </c>
      <c r="AS444" s="13" t="s">
        <v>14</v>
      </c>
      <c r="AT444" s="13">
        <v>2</v>
      </c>
      <c r="AU444" s="13"/>
      <c r="AV444" s="13"/>
      <c r="AW444" s="13" t="s">
        <v>14</v>
      </c>
      <c r="AX444" s="13">
        <v>2</v>
      </c>
      <c r="AY444" s="13" t="s">
        <v>14</v>
      </c>
      <c r="AZ444" s="13">
        <v>2</v>
      </c>
      <c r="BA444" s="13" t="s">
        <v>14</v>
      </c>
      <c r="BB444" s="13">
        <v>2</v>
      </c>
      <c r="BC444" s="13" t="s">
        <v>14</v>
      </c>
      <c r="BD444" s="13">
        <v>2</v>
      </c>
      <c r="BE444" s="13" t="s">
        <v>14</v>
      </c>
      <c r="BF444" s="13">
        <v>2</v>
      </c>
      <c r="BG444" s="13" t="s">
        <v>14</v>
      </c>
      <c r="BH444" s="13">
        <v>2</v>
      </c>
      <c r="BI444" s="13"/>
      <c r="BJ444" s="13"/>
      <c r="BK444" s="13" t="s">
        <v>14</v>
      </c>
      <c r="BL444" s="13">
        <v>2</v>
      </c>
      <c r="BM444" s="13" t="s">
        <v>14</v>
      </c>
      <c r="BN444" s="36">
        <v>2</v>
      </c>
    </row>
    <row r="445" spans="1:66" ht="17.25" customHeight="1" x14ac:dyDescent="0.15">
      <c r="A445" s="85"/>
      <c r="B445" s="73"/>
      <c r="C445" s="49"/>
      <c r="D445" s="56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14</v>
      </c>
      <c r="V445" s="12">
        <v>2</v>
      </c>
      <c r="W445" s="12" t="s">
        <v>14</v>
      </c>
      <c r="X445" s="12">
        <v>2</v>
      </c>
      <c r="Y445" s="12" t="s">
        <v>14</v>
      </c>
      <c r="Z445" s="12">
        <v>2</v>
      </c>
      <c r="AA445" s="12" t="s">
        <v>14</v>
      </c>
      <c r="AB445" s="12">
        <v>2</v>
      </c>
      <c r="AC445" s="12" t="s">
        <v>14</v>
      </c>
      <c r="AD445" s="12">
        <v>2</v>
      </c>
      <c r="AE445" s="12" t="s">
        <v>14</v>
      </c>
      <c r="AF445" s="12">
        <v>2</v>
      </c>
      <c r="AG445" s="12"/>
      <c r="AH445" s="12"/>
      <c r="AI445" s="12" t="s">
        <v>14</v>
      </c>
      <c r="AJ445" s="12">
        <v>2</v>
      </c>
      <c r="AK445" s="12" t="s">
        <v>14</v>
      </c>
      <c r="AL445" s="12">
        <v>2</v>
      </c>
      <c r="AM445" s="12" t="s">
        <v>14</v>
      </c>
      <c r="AN445" s="12">
        <v>2</v>
      </c>
      <c r="AO445" s="12" t="s">
        <v>14</v>
      </c>
      <c r="AP445" s="12">
        <v>2</v>
      </c>
      <c r="AQ445" s="12" t="s">
        <v>14</v>
      </c>
      <c r="AR445" s="12">
        <v>2</v>
      </c>
      <c r="AS445" s="12" t="s">
        <v>14</v>
      </c>
      <c r="AT445" s="12">
        <v>2</v>
      </c>
      <c r="AU445" s="12"/>
      <c r="AV445" s="12"/>
      <c r="AW445" s="12" t="s">
        <v>14</v>
      </c>
      <c r="AX445" s="12">
        <v>2</v>
      </c>
      <c r="AY445" s="12" t="s">
        <v>14</v>
      </c>
      <c r="AZ445" s="12">
        <v>2</v>
      </c>
      <c r="BA445" s="12" t="s">
        <v>14</v>
      </c>
      <c r="BB445" s="12">
        <v>2</v>
      </c>
      <c r="BC445" s="12" t="s">
        <v>14</v>
      </c>
      <c r="BD445" s="12">
        <v>2</v>
      </c>
      <c r="BE445" s="12" t="s">
        <v>14</v>
      </c>
      <c r="BF445" s="12">
        <v>2</v>
      </c>
      <c r="BG445" s="12" t="s">
        <v>14</v>
      </c>
      <c r="BH445" s="12">
        <v>2</v>
      </c>
      <c r="BI445" s="12"/>
      <c r="BJ445" s="12"/>
      <c r="BK445" s="12" t="s">
        <v>14</v>
      </c>
      <c r="BL445" s="12">
        <v>2</v>
      </c>
      <c r="BM445" s="12" t="s">
        <v>14</v>
      </c>
      <c r="BN445" s="35">
        <v>2</v>
      </c>
    </row>
    <row r="446" spans="1:66" ht="17.25" customHeight="1" x14ac:dyDescent="0.15">
      <c r="A446" s="85"/>
      <c r="B446" s="73"/>
      <c r="C446" s="49"/>
      <c r="D446" s="58" t="s">
        <v>49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 t="s">
        <v>15</v>
      </c>
      <c r="V446" s="14"/>
      <c r="W446" s="14" t="s">
        <v>15</v>
      </c>
      <c r="X446" s="14"/>
      <c r="Y446" s="14" t="s">
        <v>15</v>
      </c>
      <c r="Z446" s="14"/>
      <c r="AA446" s="14" t="s">
        <v>15</v>
      </c>
      <c r="AB446" s="14"/>
      <c r="AC446" s="14" t="s">
        <v>15</v>
      </c>
      <c r="AD446" s="14"/>
      <c r="AE446" s="14" t="s">
        <v>15</v>
      </c>
      <c r="AF446" s="14"/>
      <c r="AG446" s="14"/>
      <c r="AH446" s="14"/>
      <c r="AI446" s="14" t="s">
        <v>15</v>
      </c>
      <c r="AJ446" s="14">
        <v>3</v>
      </c>
      <c r="AK446" s="14" t="s">
        <v>15</v>
      </c>
      <c r="AL446" s="14"/>
      <c r="AM446" s="14" t="s">
        <v>15</v>
      </c>
      <c r="AN446" s="14"/>
      <c r="AO446" s="14" t="s">
        <v>15</v>
      </c>
      <c r="AP446" s="14">
        <v>2</v>
      </c>
      <c r="AQ446" s="14" t="s">
        <v>15</v>
      </c>
      <c r="AR446" s="14">
        <v>2</v>
      </c>
      <c r="AS446" s="14" t="s">
        <v>15</v>
      </c>
      <c r="AT446" s="14"/>
      <c r="AU446" s="14"/>
      <c r="AV446" s="14"/>
      <c r="AW446" s="14" t="s">
        <v>15</v>
      </c>
      <c r="AX446" s="14"/>
      <c r="AY446" s="14" t="s">
        <v>15</v>
      </c>
      <c r="AZ446" s="14">
        <v>4</v>
      </c>
      <c r="BA446" s="14" t="s">
        <v>15</v>
      </c>
      <c r="BB446" s="14">
        <v>4</v>
      </c>
      <c r="BC446" s="14" t="s">
        <v>15</v>
      </c>
      <c r="BD446" s="14">
        <v>4.5</v>
      </c>
      <c r="BE446" s="14" t="s">
        <v>15</v>
      </c>
      <c r="BF446" s="14">
        <v>4</v>
      </c>
      <c r="BG446" s="14" t="s">
        <v>15</v>
      </c>
      <c r="BH446" s="14">
        <v>4.5</v>
      </c>
      <c r="BI446" s="14"/>
      <c r="BJ446" s="14"/>
      <c r="BK446" s="14" t="s">
        <v>15</v>
      </c>
      <c r="BL446" s="14"/>
      <c r="BM446" s="14" t="s">
        <v>15</v>
      </c>
      <c r="BN446" s="37"/>
    </row>
    <row r="447" spans="1:66" ht="17.25" customHeight="1" thickBot="1" x14ac:dyDescent="0.2">
      <c r="A447" s="86"/>
      <c r="B447" s="74"/>
      <c r="C447" s="50"/>
      <c r="D447" s="59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38"/>
    </row>
    <row r="448" spans="1:66" ht="17.25" customHeight="1" x14ac:dyDescent="0.15">
      <c r="A448" s="84" t="s">
        <v>83</v>
      </c>
      <c r="B448" s="48" t="s">
        <v>43</v>
      </c>
      <c r="C448" s="48" t="s">
        <v>150</v>
      </c>
      <c r="D448" s="55" t="s">
        <v>45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14</v>
      </c>
      <c r="V448" s="11">
        <v>2</v>
      </c>
      <c r="W448" s="11" t="s">
        <v>14</v>
      </c>
      <c r="X448" s="11">
        <v>2</v>
      </c>
      <c r="Y448" s="11" t="s">
        <v>14</v>
      </c>
      <c r="Z448" s="11">
        <v>2</v>
      </c>
      <c r="AA448" s="11" t="s">
        <v>14</v>
      </c>
      <c r="AB448" s="11">
        <v>2</v>
      </c>
      <c r="AC448" s="11" t="s">
        <v>14</v>
      </c>
      <c r="AD448" s="11">
        <v>2</v>
      </c>
      <c r="AE448" s="11" t="s">
        <v>14</v>
      </c>
      <c r="AF448" s="11">
        <v>2</v>
      </c>
      <c r="AG448" s="11"/>
      <c r="AH448" s="11"/>
      <c r="AI448" s="11" t="s">
        <v>14</v>
      </c>
      <c r="AJ448" s="11">
        <v>2</v>
      </c>
      <c r="AK448" s="11" t="s">
        <v>14</v>
      </c>
      <c r="AL448" s="11">
        <v>2</v>
      </c>
      <c r="AM448" s="11" t="s">
        <v>14</v>
      </c>
      <c r="AN448" s="11">
        <v>2</v>
      </c>
      <c r="AO448" s="11" t="s">
        <v>14</v>
      </c>
      <c r="AP448" s="11">
        <v>2</v>
      </c>
      <c r="AQ448" s="11" t="s">
        <v>14</v>
      </c>
      <c r="AR448" s="11">
        <v>2</v>
      </c>
      <c r="AS448" s="11" t="s">
        <v>14</v>
      </c>
      <c r="AT448" s="11">
        <v>2</v>
      </c>
      <c r="AU448" s="11" t="s">
        <v>16</v>
      </c>
      <c r="AV448" s="11">
        <v>2</v>
      </c>
      <c r="AW448" s="11" t="s">
        <v>14</v>
      </c>
      <c r="AX448" s="11">
        <v>2</v>
      </c>
      <c r="AY448" s="11" t="s">
        <v>14</v>
      </c>
      <c r="AZ448" s="11">
        <v>2</v>
      </c>
      <c r="BA448" s="11" t="s">
        <v>14</v>
      </c>
      <c r="BB448" s="11">
        <v>2</v>
      </c>
      <c r="BC448" s="11" t="s">
        <v>14</v>
      </c>
      <c r="BD448" s="11">
        <v>2</v>
      </c>
      <c r="BE448" s="11" t="s">
        <v>14</v>
      </c>
      <c r="BF448" s="11">
        <v>2</v>
      </c>
      <c r="BG448" s="11" t="s">
        <v>14</v>
      </c>
      <c r="BH448" s="11">
        <v>2</v>
      </c>
      <c r="BI448" s="11" t="s">
        <v>16</v>
      </c>
      <c r="BJ448" s="11">
        <v>2</v>
      </c>
      <c r="BK448" s="11" t="s">
        <v>14</v>
      </c>
      <c r="BL448" s="11">
        <v>2</v>
      </c>
      <c r="BM448" s="11" t="s">
        <v>14</v>
      </c>
      <c r="BN448" s="34">
        <v>2</v>
      </c>
    </row>
    <row r="449" spans="1:66" ht="17.25" customHeight="1" x14ac:dyDescent="0.15">
      <c r="A449" s="85"/>
      <c r="B449" s="49"/>
      <c r="C449" s="49"/>
      <c r="D449" s="56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14</v>
      </c>
      <c r="V449" s="12">
        <v>2</v>
      </c>
      <c r="W449" s="12" t="s">
        <v>14</v>
      </c>
      <c r="X449" s="12">
        <v>2</v>
      </c>
      <c r="Y449" s="12" t="s">
        <v>14</v>
      </c>
      <c r="Z449" s="12">
        <v>2</v>
      </c>
      <c r="AA449" s="12" t="s">
        <v>14</v>
      </c>
      <c r="AB449" s="12">
        <v>2</v>
      </c>
      <c r="AC449" s="12" t="s">
        <v>14</v>
      </c>
      <c r="AD449" s="12">
        <v>2</v>
      </c>
      <c r="AE449" s="12" t="s">
        <v>14</v>
      </c>
      <c r="AF449" s="12">
        <v>2</v>
      </c>
      <c r="AG449" s="12"/>
      <c r="AH449" s="12"/>
      <c r="AI449" s="12" t="s">
        <v>14</v>
      </c>
      <c r="AJ449" s="12">
        <v>2</v>
      </c>
      <c r="AK449" s="12" t="s">
        <v>14</v>
      </c>
      <c r="AL449" s="12">
        <v>2</v>
      </c>
      <c r="AM449" s="12" t="s">
        <v>14</v>
      </c>
      <c r="AN449" s="12">
        <v>2</v>
      </c>
      <c r="AO449" s="12" t="s">
        <v>14</v>
      </c>
      <c r="AP449" s="12">
        <v>2</v>
      </c>
      <c r="AQ449" s="12" t="s">
        <v>14</v>
      </c>
      <c r="AR449" s="12">
        <v>2</v>
      </c>
      <c r="AS449" s="12" t="s">
        <v>14</v>
      </c>
      <c r="AT449" s="12">
        <v>2</v>
      </c>
      <c r="AU449" s="12" t="s">
        <v>16</v>
      </c>
      <c r="AV449" s="12">
        <v>2</v>
      </c>
      <c r="AW449" s="12" t="s">
        <v>14</v>
      </c>
      <c r="AX449" s="12">
        <v>2</v>
      </c>
      <c r="AY449" s="12" t="s">
        <v>14</v>
      </c>
      <c r="AZ449" s="12">
        <v>2</v>
      </c>
      <c r="BA449" s="12" t="s">
        <v>14</v>
      </c>
      <c r="BB449" s="12">
        <v>2</v>
      </c>
      <c r="BC449" s="12" t="s">
        <v>14</v>
      </c>
      <c r="BD449" s="12">
        <v>2</v>
      </c>
      <c r="BE449" s="12" t="s">
        <v>14</v>
      </c>
      <c r="BF449" s="12">
        <v>2</v>
      </c>
      <c r="BG449" s="12" t="s">
        <v>14</v>
      </c>
      <c r="BH449" s="12">
        <v>2</v>
      </c>
      <c r="BI449" s="12" t="s">
        <v>16</v>
      </c>
      <c r="BJ449" s="12">
        <v>2</v>
      </c>
      <c r="BK449" s="12" t="s">
        <v>14</v>
      </c>
      <c r="BL449" s="12">
        <v>2</v>
      </c>
      <c r="BM449" s="12" t="s">
        <v>14</v>
      </c>
      <c r="BN449" s="35">
        <v>2</v>
      </c>
    </row>
    <row r="450" spans="1:66" ht="17.25" customHeight="1" x14ac:dyDescent="0.15">
      <c r="A450" s="85"/>
      <c r="B450" s="49"/>
      <c r="C450" s="49"/>
      <c r="D450" s="57" t="s">
        <v>47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 t="s">
        <v>14</v>
      </c>
      <c r="V450" s="13">
        <v>2</v>
      </c>
      <c r="W450" s="13" t="s">
        <v>14</v>
      </c>
      <c r="X450" s="13">
        <v>2</v>
      </c>
      <c r="Y450" s="13" t="s">
        <v>14</v>
      </c>
      <c r="Z450" s="13">
        <v>2</v>
      </c>
      <c r="AA450" s="13" t="s">
        <v>14</v>
      </c>
      <c r="AB450" s="13">
        <v>2</v>
      </c>
      <c r="AC450" s="13" t="s">
        <v>14</v>
      </c>
      <c r="AD450" s="13">
        <v>2</v>
      </c>
      <c r="AE450" s="13" t="s">
        <v>14</v>
      </c>
      <c r="AF450" s="13">
        <v>2</v>
      </c>
      <c r="AG450" s="13"/>
      <c r="AH450" s="13"/>
      <c r="AI450" s="13" t="s">
        <v>14</v>
      </c>
      <c r="AJ450" s="13">
        <v>2</v>
      </c>
      <c r="AK450" s="13" t="s">
        <v>14</v>
      </c>
      <c r="AL450" s="13">
        <v>2</v>
      </c>
      <c r="AM450" s="13" t="s">
        <v>14</v>
      </c>
      <c r="AN450" s="13">
        <v>2</v>
      </c>
      <c r="AO450" s="13" t="s">
        <v>14</v>
      </c>
      <c r="AP450" s="13">
        <v>2</v>
      </c>
      <c r="AQ450" s="13" t="s">
        <v>14</v>
      </c>
      <c r="AR450" s="13">
        <v>2</v>
      </c>
      <c r="AS450" s="13" t="s">
        <v>14</v>
      </c>
      <c r="AT450" s="13">
        <v>2</v>
      </c>
      <c r="AU450" s="13" t="s">
        <v>16</v>
      </c>
      <c r="AV450" s="13">
        <v>2</v>
      </c>
      <c r="AW450" s="13" t="s">
        <v>14</v>
      </c>
      <c r="AX450" s="13">
        <v>2</v>
      </c>
      <c r="AY450" s="13" t="s">
        <v>14</v>
      </c>
      <c r="AZ450" s="13">
        <v>2</v>
      </c>
      <c r="BA450" s="13" t="s">
        <v>14</v>
      </c>
      <c r="BB450" s="13">
        <v>2</v>
      </c>
      <c r="BC450" s="13" t="s">
        <v>14</v>
      </c>
      <c r="BD450" s="13">
        <v>2</v>
      </c>
      <c r="BE450" s="13" t="s">
        <v>14</v>
      </c>
      <c r="BF450" s="13">
        <v>2</v>
      </c>
      <c r="BG450" s="13" t="s">
        <v>14</v>
      </c>
      <c r="BH450" s="13">
        <v>2</v>
      </c>
      <c r="BI450" s="13" t="s">
        <v>16</v>
      </c>
      <c r="BJ450" s="13">
        <v>2</v>
      </c>
      <c r="BK450" s="13" t="s">
        <v>14</v>
      </c>
      <c r="BL450" s="13">
        <v>2</v>
      </c>
      <c r="BM450" s="13" t="s">
        <v>14</v>
      </c>
      <c r="BN450" s="36">
        <v>2</v>
      </c>
    </row>
    <row r="451" spans="1:66" ht="17.25" customHeight="1" x14ac:dyDescent="0.15">
      <c r="A451" s="85"/>
      <c r="B451" s="49"/>
      <c r="C451" s="49"/>
      <c r="D451" s="56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 t="s">
        <v>15</v>
      </c>
      <c r="P451" s="12">
        <v>2</v>
      </c>
      <c r="Q451" s="12"/>
      <c r="R451" s="12"/>
      <c r="S451" s="12"/>
      <c r="T451" s="12"/>
      <c r="U451" s="12" t="s">
        <v>14</v>
      </c>
      <c r="V451" s="12">
        <v>2</v>
      </c>
      <c r="W451" s="12" t="s">
        <v>14</v>
      </c>
      <c r="X451" s="12">
        <v>2</v>
      </c>
      <c r="Y451" s="12" t="s">
        <v>14</v>
      </c>
      <c r="Z451" s="12">
        <v>2</v>
      </c>
      <c r="AA451" s="12" t="s">
        <v>14</v>
      </c>
      <c r="AB451" s="12">
        <v>2</v>
      </c>
      <c r="AC451" s="12" t="s">
        <v>14</v>
      </c>
      <c r="AD451" s="12">
        <v>2</v>
      </c>
      <c r="AE451" s="12" t="s">
        <v>14</v>
      </c>
      <c r="AF451" s="12">
        <v>2</v>
      </c>
      <c r="AG451" s="12"/>
      <c r="AH451" s="12"/>
      <c r="AI451" s="12" t="s">
        <v>14</v>
      </c>
      <c r="AJ451" s="12">
        <v>2</v>
      </c>
      <c r="AK451" s="12" t="s">
        <v>14</v>
      </c>
      <c r="AL451" s="12">
        <v>2</v>
      </c>
      <c r="AM451" s="12" t="s">
        <v>14</v>
      </c>
      <c r="AN451" s="12">
        <v>2</v>
      </c>
      <c r="AO451" s="12" t="s">
        <v>14</v>
      </c>
      <c r="AP451" s="12">
        <v>2</v>
      </c>
      <c r="AQ451" s="12" t="s">
        <v>14</v>
      </c>
      <c r="AR451" s="12">
        <v>2</v>
      </c>
      <c r="AS451" s="12" t="s">
        <v>14</v>
      </c>
      <c r="AT451" s="12">
        <v>2</v>
      </c>
      <c r="AU451" s="12" t="s">
        <v>16</v>
      </c>
      <c r="AV451" s="12">
        <v>2</v>
      </c>
      <c r="AW451" s="12" t="s">
        <v>14</v>
      </c>
      <c r="AX451" s="12">
        <v>2</v>
      </c>
      <c r="AY451" s="12" t="s">
        <v>14</v>
      </c>
      <c r="AZ451" s="12">
        <v>2</v>
      </c>
      <c r="BA451" s="12" t="s">
        <v>14</v>
      </c>
      <c r="BB451" s="12">
        <v>2</v>
      </c>
      <c r="BC451" s="12" t="s">
        <v>14</v>
      </c>
      <c r="BD451" s="12">
        <v>2</v>
      </c>
      <c r="BE451" s="12" t="s">
        <v>14</v>
      </c>
      <c r="BF451" s="12">
        <v>2</v>
      </c>
      <c r="BG451" s="12" t="s">
        <v>14</v>
      </c>
      <c r="BH451" s="12">
        <v>2</v>
      </c>
      <c r="BI451" s="12" t="s">
        <v>16</v>
      </c>
      <c r="BJ451" s="12">
        <v>2</v>
      </c>
      <c r="BK451" s="12" t="s">
        <v>14</v>
      </c>
      <c r="BL451" s="12">
        <v>2</v>
      </c>
      <c r="BM451" s="12" t="s">
        <v>14</v>
      </c>
      <c r="BN451" s="35">
        <v>2</v>
      </c>
    </row>
    <row r="452" spans="1:66" ht="17.25" customHeight="1" x14ac:dyDescent="0.15">
      <c r="A452" s="85"/>
      <c r="B452" s="49"/>
      <c r="C452" s="49"/>
      <c r="D452" s="58" t="s">
        <v>49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 t="s">
        <v>15</v>
      </c>
      <c r="P452" s="14">
        <v>2.5</v>
      </c>
      <c r="Q452" s="14"/>
      <c r="R452" s="14"/>
      <c r="S452" s="14"/>
      <c r="T452" s="14"/>
      <c r="U452" s="14" t="s">
        <v>15</v>
      </c>
      <c r="V452" s="14"/>
      <c r="W452" s="14" t="s">
        <v>15</v>
      </c>
      <c r="X452" s="14"/>
      <c r="Y452" s="14" t="s">
        <v>15</v>
      </c>
      <c r="Z452" s="14">
        <v>1.5</v>
      </c>
      <c r="AA452" s="14" t="s">
        <v>15</v>
      </c>
      <c r="AB452" s="14"/>
      <c r="AC452" s="14" t="s">
        <v>15</v>
      </c>
      <c r="AD452" s="14"/>
      <c r="AE452" s="14" t="s">
        <v>15</v>
      </c>
      <c r="AF452" s="14"/>
      <c r="AG452" s="14"/>
      <c r="AH452" s="14"/>
      <c r="AI452" s="14" t="s">
        <v>15</v>
      </c>
      <c r="AJ452" s="14">
        <v>3.5</v>
      </c>
      <c r="AK452" s="14" t="s">
        <v>15</v>
      </c>
      <c r="AL452" s="14">
        <v>4</v>
      </c>
      <c r="AM452" s="14" t="s">
        <v>15</v>
      </c>
      <c r="AN452" s="14">
        <v>4</v>
      </c>
      <c r="AO452" s="14" t="s">
        <v>15</v>
      </c>
      <c r="AP452" s="14">
        <v>3</v>
      </c>
      <c r="AQ452" s="14" t="s">
        <v>15</v>
      </c>
      <c r="AR452" s="14">
        <v>3</v>
      </c>
      <c r="AS452" s="14" t="s">
        <v>15</v>
      </c>
      <c r="AT452" s="14"/>
      <c r="AU452" s="14"/>
      <c r="AV452" s="14"/>
      <c r="AW452" s="14" t="s">
        <v>15</v>
      </c>
      <c r="AX452" s="14">
        <v>4</v>
      </c>
      <c r="AY452" s="14" t="s">
        <v>15</v>
      </c>
      <c r="AZ452" s="14">
        <v>4</v>
      </c>
      <c r="BA452" s="14" t="s">
        <v>15</v>
      </c>
      <c r="BB452" s="14">
        <v>4</v>
      </c>
      <c r="BC452" s="14" t="s">
        <v>15</v>
      </c>
      <c r="BD452" s="14">
        <v>4</v>
      </c>
      <c r="BE452" s="14" t="s">
        <v>15</v>
      </c>
      <c r="BF452" s="14">
        <v>4.5</v>
      </c>
      <c r="BG452" s="14" t="s">
        <v>15</v>
      </c>
      <c r="BH452" s="14">
        <v>5</v>
      </c>
      <c r="BI452" s="14"/>
      <c r="BJ452" s="14"/>
      <c r="BK452" s="14" t="s">
        <v>15</v>
      </c>
      <c r="BL452" s="14">
        <v>4</v>
      </c>
      <c r="BM452" s="14" t="s">
        <v>15</v>
      </c>
      <c r="BN452" s="37">
        <v>3</v>
      </c>
    </row>
    <row r="453" spans="1:66" ht="17.25" customHeight="1" thickBot="1" x14ac:dyDescent="0.2">
      <c r="A453" s="86"/>
      <c r="B453" s="50"/>
      <c r="C453" s="50"/>
      <c r="D453" s="59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38"/>
    </row>
    <row r="454" spans="1:66" ht="17.25" customHeight="1" x14ac:dyDescent="0.15">
      <c r="A454" s="84" t="s">
        <v>83</v>
      </c>
      <c r="B454" s="75" t="s">
        <v>82</v>
      </c>
      <c r="C454" s="65" t="s">
        <v>114</v>
      </c>
      <c r="D454" s="55" t="s">
        <v>45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17</v>
      </c>
      <c r="V454" s="11">
        <v>2</v>
      </c>
      <c r="W454" s="11" t="s">
        <v>17</v>
      </c>
      <c r="X454" s="11">
        <v>2</v>
      </c>
      <c r="Y454" s="11" t="s">
        <v>17</v>
      </c>
      <c r="Z454" s="11">
        <v>2</v>
      </c>
      <c r="AA454" s="11" t="s">
        <v>17</v>
      </c>
      <c r="AB454" s="11">
        <v>2</v>
      </c>
      <c r="AC454" s="11" t="s">
        <v>17</v>
      </c>
      <c r="AD454" s="11">
        <v>2</v>
      </c>
      <c r="AE454" s="11" t="s">
        <v>17</v>
      </c>
      <c r="AF454" s="11">
        <v>2</v>
      </c>
      <c r="AG454" s="11"/>
      <c r="AH454" s="11"/>
      <c r="AI454" s="11" t="s">
        <v>14</v>
      </c>
      <c r="AJ454" s="11">
        <v>2</v>
      </c>
      <c r="AK454" s="11" t="s">
        <v>14</v>
      </c>
      <c r="AL454" s="11">
        <v>2</v>
      </c>
      <c r="AM454" s="11" t="s">
        <v>14</v>
      </c>
      <c r="AN454" s="11">
        <v>2</v>
      </c>
      <c r="AO454" s="11" t="s">
        <v>14</v>
      </c>
      <c r="AP454" s="11">
        <v>2</v>
      </c>
      <c r="AQ454" s="11" t="s">
        <v>14</v>
      </c>
      <c r="AR454" s="11">
        <v>2</v>
      </c>
      <c r="AS454" s="11" t="s">
        <v>14</v>
      </c>
      <c r="AT454" s="11">
        <v>2</v>
      </c>
      <c r="AU454" s="11" t="s">
        <v>16</v>
      </c>
      <c r="AV454" s="11">
        <v>2</v>
      </c>
      <c r="AW454" s="11" t="s">
        <v>14</v>
      </c>
      <c r="AX454" s="11">
        <v>2</v>
      </c>
      <c r="AY454" s="11" t="s">
        <v>14</v>
      </c>
      <c r="AZ454" s="11">
        <v>2</v>
      </c>
      <c r="BA454" s="11" t="s">
        <v>14</v>
      </c>
      <c r="BB454" s="11">
        <v>2</v>
      </c>
      <c r="BC454" s="11" t="s">
        <v>14</v>
      </c>
      <c r="BD454" s="11">
        <v>2</v>
      </c>
      <c r="BE454" s="11" t="s">
        <v>14</v>
      </c>
      <c r="BF454" s="11">
        <v>2</v>
      </c>
      <c r="BG454" s="11" t="s">
        <v>14</v>
      </c>
      <c r="BH454" s="11">
        <v>2</v>
      </c>
      <c r="BI454" s="11" t="s">
        <v>16</v>
      </c>
      <c r="BJ454" s="11">
        <v>2</v>
      </c>
      <c r="BK454" s="11" t="s">
        <v>14</v>
      </c>
      <c r="BL454" s="11">
        <v>2</v>
      </c>
      <c r="BM454" s="11" t="s">
        <v>14</v>
      </c>
      <c r="BN454" s="34">
        <v>2</v>
      </c>
    </row>
    <row r="455" spans="1:66" ht="17.25" customHeight="1" x14ac:dyDescent="0.15">
      <c r="A455" s="85"/>
      <c r="B455" s="76"/>
      <c r="C455" s="66"/>
      <c r="D455" s="56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17</v>
      </c>
      <c r="V455" s="12">
        <v>2</v>
      </c>
      <c r="W455" s="12" t="s">
        <v>17</v>
      </c>
      <c r="X455" s="12">
        <v>2</v>
      </c>
      <c r="Y455" s="12" t="s">
        <v>17</v>
      </c>
      <c r="Z455" s="12">
        <v>2</v>
      </c>
      <c r="AA455" s="12" t="s">
        <v>17</v>
      </c>
      <c r="AB455" s="12">
        <v>2</v>
      </c>
      <c r="AC455" s="12" t="s">
        <v>17</v>
      </c>
      <c r="AD455" s="12">
        <v>2</v>
      </c>
      <c r="AE455" s="12" t="s">
        <v>17</v>
      </c>
      <c r="AF455" s="12">
        <v>2</v>
      </c>
      <c r="AG455" s="12"/>
      <c r="AH455" s="12"/>
      <c r="AI455" s="12" t="s">
        <v>14</v>
      </c>
      <c r="AJ455" s="12">
        <v>2</v>
      </c>
      <c r="AK455" s="12" t="s">
        <v>14</v>
      </c>
      <c r="AL455" s="12">
        <v>2</v>
      </c>
      <c r="AM455" s="12" t="s">
        <v>14</v>
      </c>
      <c r="AN455" s="12">
        <v>2</v>
      </c>
      <c r="AO455" s="12" t="s">
        <v>14</v>
      </c>
      <c r="AP455" s="12">
        <v>2</v>
      </c>
      <c r="AQ455" s="12" t="s">
        <v>14</v>
      </c>
      <c r="AR455" s="12">
        <v>2</v>
      </c>
      <c r="AS455" s="12" t="s">
        <v>14</v>
      </c>
      <c r="AT455" s="12">
        <v>2</v>
      </c>
      <c r="AU455" s="12" t="s">
        <v>16</v>
      </c>
      <c r="AV455" s="12">
        <v>2</v>
      </c>
      <c r="AW455" s="12" t="s">
        <v>14</v>
      </c>
      <c r="AX455" s="12">
        <v>2</v>
      </c>
      <c r="AY455" s="12" t="s">
        <v>14</v>
      </c>
      <c r="AZ455" s="12">
        <v>2</v>
      </c>
      <c r="BA455" s="12" t="s">
        <v>14</v>
      </c>
      <c r="BB455" s="12">
        <v>2</v>
      </c>
      <c r="BC455" s="12" t="s">
        <v>14</v>
      </c>
      <c r="BD455" s="12">
        <v>2</v>
      </c>
      <c r="BE455" s="12" t="s">
        <v>14</v>
      </c>
      <c r="BF455" s="12">
        <v>2</v>
      </c>
      <c r="BG455" s="12" t="s">
        <v>14</v>
      </c>
      <c r="BH455" s="12">
        <v>2</v>
      </c>
      <c r="BI455" s="12" t="s">
        <v>16</v>
      </c>
      <c r="BJ455" s="12">
        <v>2</v>
      </c>
      <c r="BK455" s="12" t="s">
        <v>14</v>
      </c>
      <c r="BL455" s="12">
        <v>2</v>
      </c>
      <c r="BM455" s="12" t="s">
        <v>14</v>
      </c>
      <c r="BN455" s="35">
        <v>2</v>
      </c>
    </row>
    <row r="456" spans="1:66" ht="17.25" customHeight="1" x14ac:dyDescent="0.15">
      <c r="A456" s="85"/>
      <c r="B456" s="76"/>
      <c r="C456" s="66"/>
      <c r="D456" s="57" t="s">
        <v>47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 t="s">
        <v>17</v>
      </c>
      <c r="V456" s="13">
        <v>2</v>
      </c>
      <c r="W456" s="13" t="s">
        <v>17</v>
      </c>
      <c r="X456" s="13">
        <v>2</v>
      </c>
      <c r="Y456" s="13" t="s">
        <v>17</v>
      </c>
      <c r="Z456" s="13">
        <v>2</v>
      </c>
      <c r="AA456" s="13" t="s">
        <v>17</v>
      </c>
      <c r="AB456" s="13">
        <v>2</v>
      </c>
      <c r="AC456" s="13" t="s">
        <v>17</v>
      </c>
      <c r="AD456" s="13">
        <v>2</v>
      </c>
      <c r="AE456" s="13" t="s">
        <v>17</v>
      </c>
      <c r="AF456" s="13">
        <v>2</v>
      </c>
      <c r="AG456" s="13"/>
      <c r="AH456" s="13"/>
      <c r="AI456" s="13" t="s">
        <v>14</v>
      </c>
      <c r="AJ456" s="13">
        <v>2</v>
      </c>
      <c r="AK456" s="13" t="s">
        <v>14</v>
      </c>
      <c r="AL456" s="13">
        <v>2</v>
      </c>
      <c r="AM456" s="13" t="s">
        <v>14</v>
      </c>
      <c r="AN456" s="13">
        <v>2</v>
      </c>
      <c r="AO456" s="13" t="s">
        <v>14</v>
      </c>
      <c r="AP456" s="13">
        <v>2</v>
      </c>
      <c r="AQ456" s="13" t="s">
        <v>14</v>
      </c>
      <c r="AR456" s="13">
        <v>2</v>
      </c>
      <c r="AS456" s="13" t="s">
        <v>14</v>
      </c>
      <c r="AT456" s="13">
        <v>2</v>
      </c>
      <c r="AU456" s="13" t="s">
        <v>16</v>
      </c>
      <c r="AV456" s="13">
        <v>2</v>
      </c>
      <c r="AW456" s="13" t="s">
        <v>14</v>
      </c>
      <c r="AX456" s="13">
        <v>2</v>
      </c>
      <c r="AY456" s="13" t="s">
        <v>14</v>
      </c>
      <c r="AZ456" s="13">
        <v>2</v>
      </c>
      <c r="BA456" s="13" t="s">
        <v>14</v>
      </c>
      <c r="BB456" s="13">
        <v>2</v>
      </c>
      <c r="BC456" s="13" t="s">
        <v>14</v>
      </c>
      <c r="BD456" s="13">
        <v>2</v>
      </c>
      <c r="BE456" s="13" t="s">
        <v>14</v>
      </c>
      <c r="BF456" s="13">
        <v>2</v>
      </c>
      <c r="BG456" s="13" t="s">
        <v>14</v>
      </c>
      <c r="BH456" s="13">
        <v>2</v>
      </c>
      <c r="BI456" s="13" t="s">
        <v>16</v>
      </c>
      <c r="BJ456" s="13">
        <v>2</v>
      </c>
      <c r="BK456" s="13" t="s">
        <v>14</v>
      </c>
      <c r="BL456" s="13">
        <v>2</v>
      </c>
      <c r="BM456" s="13" t="s">
        <v>14</v>
      </c>
      <c r="BN456" s="36">
        <v>2</v>
      </c>
    </row>
    <row r="457" spans="1:66" ht="17.25" customHeight="1" x14ac:dyDescent="0.15">
      <c r="A457" s="85"/>
      <c r="B457" s="76"/>
      <c r="C457" s="66"/>
      <c r="D457" s="56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17</v>
      </c>
      <c r="V457" s="12">
        <v>2</v>
      </c>
      <c r="W457" s="12" t="s">
        <v>17</v>
      </c>
      <c r="X457" s="12">
        <v>2</v>
      </c>
      <c r="Y457" s="12" t="s">
        <v>17</v>
      </c>
      <c r="Z457" s="12">
        <v>2</v>
      </c>
      <c r="AA457" s="12" t="s">
        <v>17</v>
      </c>
      <c r="AB457" s="12">
        <v>2</v>
      </c>
      <c r="AC457" s="12" t="s">
        <v>17</v>
      </c>
      <c r="AD457" s="12">
        <v>2</v>
      </c>
      <c r="AE457" s="12" t="s">
        <v>17</v>
      </c>
      <c r="AF457" s="12">
        <v>2</v>
      </c>
      <c r="AG457" s="12"/>
      <c r="AH457" s="12"/>
      <c r="AI457" s="12" t="s">
        <v>14</v>
      </c>
      <c r="AJ457" s="12">
        <v>2</v>
      </c>
      <c r="AK457" s="12" t="s">
        <v>14</v>
      </c>
      <c r="AL457" s="12">
        <v>2</v>
      </c>
      <c r="AM457" s="12" t="s">
        <v>14</v>
      </c>
      <c r="AN457" s="12">
        <v>2</v>
      </c>
      <c r="AO457" s="12" t="s">
        <v>14</v>
      </c>
      <c r="AP457" s="12">
        <v>2</v>
      </c>
      <c r="AQ457" s="12" t="s">
        <v>14</v>
      </c>
      <c r="AR457" s="12">
        <v>2</v>
      </c>
      <c r="AS457" s="12" t="s">
        <v>14</v>
      </c>
      <c r="AT457" s="12">
        <v>2</v>
      </c>
      <c r="AU457" s="12" t="s">
        <v>16</v>
      </c>
      <c r="AV457" s="12">
        <v>2</v>
      </c>
      <c r="AW457" s="12" t="s">
        <v>14</v>
      </c>
      <c r="AX457" s="12">
        <v>2</v>
      </c>
      <c r="AY457" s="12" t="s">
        <v>14</v>
      </c>
      <c r="AZ457" s="12">
        <v>2</v>
      </c>
      <c r="BA457" s="12" t="s">
        <v>14</v>
      </c>
      <c r="BB457" s="12">
        <v>2</v>
      </c>
      <c r="BC457" s="12" t="s">
        <v>14</v>
      </c>
      <c r="BD457" s="12">
        <v>2</v>
      </c>
      <c r="BE457" s="12" t="s">
        <v>14</v>
      </c>
      <c r="BF457" s="12">
        <v>2</v>
      </c>
      <c r="BG457" s="12" t="s">
        <v>14</v>
      </c>
      <c r="BH457" s="12">
        <v>2</v>
      </c>
      <c r="BI457" s="12" t="s">
        <v>16</v>
      </c>
      <c r="BJ457" s="12">
        <v>2</v>
      </c>
      <c r="BK457" s="12" t="s">
        <v>14</v>
      </c>
      <c r="BL457" s="12">
        <v>2</v>
      </c>
      <c r="BM457" s="12" t="s">
        <v>14</v>
      </c>
      <c r="BN457" s="35">
        <v>2</v>
      </c>
    </row>
    <row r="458" spans="1:66" ht="17.25" customHeight="1" x14ac:dyDescent="0.15">
      <c r="A458" s="85"/>
      <c r="B458" s="76"/>
      <c r="C458" s="66"/>
      <c r="D458" s="58" t="s">
        <v>49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 t="s">
        <v>15</v>
      </c>
      <c r="V458" s="14"/>
      <c r="W458" s="14" t="s">
        <v>15</v>
      </c>
      <c r="X458" s="14"/>
      <c r="Y458" s="14" t="s">
        <v>15</v>
      </c>
      <c r="Z458" s="14"/>
      <c r="AA458" s="14" t="s">
        <v>15</v>
      </c>
      <c r="AB458" s="14"/>
      <c r="AC458" s="14" t="s">
        <v>15</v>
      </c>
      <c r="AD458" s="14"/>
      <c r="AE458" s="14" t="s">
        <v>15</v>
      </c>
      <c r="AF458" s="14"/>
      <c r="AG458" s="14"/>
      <c r="AH458" s="14"/>
      <c r="AI458" s="14" t="s">
        <v>15</v>
      </c>
      <c r="AJ458" s="14">
        <v>3</v>
      </c>
      <c r="AK458" s="14" t="s">
        <v>15</v>
      </c>
      <c r="AL458" s="14"/>
      <c r="AM458" s="14" t="s">
        <v>15</v>
      </c>
      <c r="AN458" s="14">
        <v>3.5</v>
      </c>
      <c r="AO458" s="14" t="s">
        <v>15</v>
      </c>
      <c r="AP458" s="14">
        <v>2.5</v>
      </c>
      <c r="AQ458" s="14" t="s">
        <v>15</v>
      </c>
      <c r="AR458" s="14">
        <v>2.5</v>
      </c>
      <c r="AS458" s="14" t="s">
        <v>15</v>
      </c>
      <c r="AT458" s="14"/>
      <c r="AU458" s="14"/>
      <c r="AV458" s="14"/>
      <c r="AW458" s="14" t="s">
        <v>15</v>
      </c>
      <c r="AX458" s="14">
        <v>3.5</v>
      </c>
      <c r="AY458" s="14" t="s">
        <v>15</v>
      </c>
      <c r="AZ458" s="14">
        <v>3.5</v>
      </c>
      <c r="BA458" s="14" t="s">
        <v>15</v>
      </c>
      <c r="BB458" s="14">
        <v>2.5</v>
      </c>
      <c r="BC458" s="14" t="s">
        <v>15</v>
      </c>
      <c r="BD458" s="14">
        <v>3.5</v>
      </c>
      <c r="BE458" s="14" t="s">
        <v>15</v>
      </c>
      <c r="BF458" s="14">
        <v>4</v>
      </c>
      <c r="BG458" s="14" t="s">
        <v>15</v>
      </c>
      <c r="BH458" s="14">
        <v>4.5</v>
      </c>
      <c r="BI458" s="14"/>
      <c r="BJ458" s="14"/>
      <c r="BK458" s="14" t="s">
        <v>15</v>
      </c>
      <c r="BL458" s="14">
        <v>3.5</v>
      </c>
      <c r="BM458" s="14" t="s">
        <v>15</v>
      </c>
      <c r="BN458" s="37">
        <v>2.5</v>
      </c>
    </row>
    <row r="459" spans="1:66" ht="17.25" customHeight="1" thickBot="1" x14ac:dyDescent="0.2">
      <c r="A459" s="86"/>
      <c r="B459" s="77"/>
      <c r="C459" s="67"/>
      <c r="D459" s="59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38"/>
    </row>
    <row r="460" spans="1:66" ht="17.25" customHeight="1" x14ac:dyDescent="0.15">
      <c r="A460" s="84" t="s">
        <v>83</v>
      </c>
      <c r="B460" s="48" t="s">
        <v>43</v>
      </c>
      <c r="C460" s="48" t="s">
        <v>151</v>
      </c>
      <c r="D460" s="55" t="s">
        <v>45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14</v>
      </c>
      <c r="V460" s="11">
        <v>2</v>
      </c>
      <c r="W460" s="11" t="s">
        <v>14</v>
      </c>
      <c r="X460" s="11">
        <v>2</v>
      </c>
      <c r="Y460" s="11" t="s">
        <v>14</v>
      </c>
      <c r="Z460" s="11">
        <v>2</v>
      </c>
      <c r="AA460" s="11" t="s">
        <v>14</v>
      </c>
      <c r="AB460" s="11">
        <v>2</v>
      </c>
      <c r="AC460" s="11" t="s">
        <v>14</v>
      </c>
      <c r="AD460" s="11">
        <v>2</v>
      </c>
      <c r="AE460" s="11" t="s">
        <v>14</v>
      </c>
      <c r="AF460" s="11">
        <v>2</v>
      </c>
      <c r="AG460" s="11"/>
      <c r="AH460" s="11"/>
      <c r="AI460" s="11" t="s">
        <v>14</v>
      </c>
      <c r="AJ460" s="11">
        <v>2</v>
      </c>
      <c r="AK460" s="11" t="s">
        <v>14</v>
      </c>
      <c r="AL460" s="11">
        <v>2</v>
      </c>
      <c r="AM460" s="11" t="s">
        <v>14</v>
      </c>
      <c r="AN460" s="11">
        <v>2</v>
      </c>
      <c r="AO460" s="11" t="s">
        <v>14</v>
      </c>
      <c r="AP460" s="11">
        <v>2</v>
      </c>
      <c r="AQ460" s="11" t="s">
        <v>14</v>
      </c>
      <c r="AR460" s="11">
        <v>2</v>
      </c>
      <c r="AS460" s="11" t="s">
        <v>14</v>
      </c>
      <c r="AT460" s="11">
        <v>2</v>
      </c>
      <c r="AU460" s="11" t="s">
        <v>16</v>
      </c>
      <c r="AV460" s="11">
        <v>2</v>
      </c>
      <c r="AW460" s="11" t="s">
        <v>14</v>
      </c>
      <c r="AX460" s="11">
        <v>2</v>
      </c>
      <c r="AY460" s="11" t="s">
        <v>14</v>
      </c>
      <c r="AZ460" s="11">
        <v>2</v>
      </c>
      <c r="BA460" s="11" t="s">
        <v>14</v>
      </c>
      <c r="BB460" s="11">
        <v>2</v>
      </c>
      <c r="BC460" s="11" t="s">
        <v>14</v>
      </c>
      <c r="BD460" s="11">
        <v>2</v>
      </c>
      <c r="BE460" s="11" t="s">
        <v>14</v>
      </c>
      <c r="BF460" s="11">
        <v>2</v>
      </c>
      <c r="BG460" s="11" t="s">
        <v>14</v>
      </c>
      <c r="BH460" s="11">
        <v>2</v>
      </c>
      <c r="BI460" s="11" t="s">
        <v>16</v>
      </c>
      <c r="BJ460" s="11">
        <v>2</v>
      </c>
      <c r="BK460" s="11" t="s">
        <v>14</v>
      </c>
      <c r="BL460" s="11">
        <v>2</v>
      </c>
      <c r="BM460" s="11" t="s">
        <v>14</v>
      </c>
      <c r="BN460" s="34">
        <v>2</v>
      </c>
    </row>
    <row r="461" spans="1:66" ht="17.25" customHeight="1" x14ac:dyDescent="0.15">
      <c r="A461" s="85"/>
      <c r="B461" s="49"/>
      <c r="C461" s="49"/>
      <c r="D461" s="56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14</v>
      </c>
      <c r="V461" s="12">
        <v>2</v>
      </c>
      <c r="W461" s="12" t="s">
        <v>14</v>
      </c>
      <c r="X461" s="12">
        <v>2</v>
      </c>
      <c r="Y461" s="12" t="s">
        <v>14</v>
      </c>
      <c r="Z461" s="12">
        <v>2</v>
      </c>
      <c r="AA461" s="12" t="s">
        <v>14</v>
      </c>
      <c r="AB461" s="12">
        <v>2</v>
      </c>
      <c r="AC461" s="12" t="s">
        <v>14</v>
      </c>
      <c r="AD461" s="12">
        <v>2</v>
      </c>
      <c r="AE461" s="12" t="s">
        <v>14</v>
      </c>
      <c r="AF461" s="12">
        <v>2</v>
      </c>
      <c r="AG461" s="12"/>
      <c r="AH461" s="12"/>
      <c r="AI461" s="12" t="s">
        <v>14</v>
      </c>
      <c r="AJ461" s="12">
        <v>2</v>
      </c>
      <c r="AK461" s="12" t="s">
        <v>14</v>
      </c>
      <c r="AL461" s="12">
        <v>2</v>
      </c>
      <c r="AM461" s="12" t="s">
        <v>14</v>
      </c>
      <c r="AN461" s="12">
        <v>2</v>
      </c>
      <c r="AO461" s="12" t="s">
        <v>14</v>
      </c>
      <c r="AP461" s="12">
        <v>2</v>
      </c>
      <c r="AQ461" s="12" t="s">
        <v>14</v>
      </c>
      <c r="AR461" s="12">
        <v>2</v>
      </c>
      <c r="AS461" s="12" t="s">
        <v>14</v>
      </c>
      <c r="AT461" s="12">
        <v>2</v>
      </c>
      <c r="AU461" s="12" t="s">
        <v>16</v>
      </c>
      <c r="AV461" s="12">
        <v>2</v>
      </c>
      <c r="AW461" s="12" t="s">
        <v>14</v>
      </c>
      <c r="AX461" s="12">
        <v>2</v>
      </c>
      <c r="AY461" s="12" t="s">
        <v>14</v>
      </c>
      <c r="AZ461" s="12">
        <v>2</v>
      </c>
      <c r="BA461" s="12" t="s">
        <v>14</v>
      </c>
      <c r="BB461" s="12">
        <v>2</v>
      </c>
      <c r="BC461" s="12" t="s">
        <v>14</v>
      </c>
      <c r="BD461" s="12">
        <v>2</v>
      </c>
      <c r="BE461" s="12" t="s">
        <v>14</v>
      </c>
      <c r="BF461" s="12">
        <v>2</v>
      </c>
      <c r="BG461" s="12" t="s">
        <v>14</v>
      </c>
      <c r="BH461" s="12">
        <v>2</v>
      </c>
      <c r="BI461" s="12" t="s">
        <v>16</v>
      </c>
      <c r="BJ461" s="12">
        <v>2</v>
      </c>
      <c r="BK461" s="12" t="s">
        <v>14</v>
      </c>
      <c r="BL461" s="12">
        <v>2</v>
      </c>
      <c r="BM461" s="12" t="s">
        <v>14</v>
      </c>
      <c r="BN461" s="35">
        <v>2</v>
      </c>
    </row>
    <row r="462" spans="1:66" ht="17.25" customHeight="1" x14ac:dyDescent="0.15">
      <c r="A462" s="85"/>
      <c r="B462" s="49"/>
      <c r="C462" s="49"/>
      <c r="D462" s="57" t="s">
        <v>47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 t="s">
        <v>14</v>
      </c>
      <c r="V462" s="13">
        <v>2</v>
      </c>
      <c r="W462" s="13" t="s">
        <v>14</v>
      </c>
      <c r="X462" s="13">
        <v>2</v>
      </c>
      <c r="Y462" s="13" t="s">
        <v>14</v>
      </c>
      <c r="Z462" s="13">
        <v>2</v>
      </c>
      <c r="AA462" s="13" t="s">
        <v>14</v>
      </c>
      <c r="AB462" s="13">
        <v>2</v>
      </c>
      <c r="AC462" s="13" t="s">
        <v>14</v>
      </c>
      <c r="AD462" s="13">
        <v>2</v>
      </c>
      <c r="AE462" s="13" t="s">
        <v>14</v>
      </c>
      <c r="AF462" s="13">
        <v>2</v>
      </c>
      <c r="AG462" s="13"/>
      <c r="AH462" s="13"/>
      <c r="AI462" s="13" t="s">
        <v>14</v>
      </c>
      <c r="AJ462" s="13">
        <v>2</v>
      </c>
      <c r="AK462" s="13" t="s">
        <v>14</v>
      </c>
      <c r="AL462" s="13">
        <v>2</v>
      </c>
      <c r="AM462" s="13" t="s">
        <v>14</v>
      </c>
      <c r="AN462" s="13">
        <v>2</v>
      </c>
      <c r="AO462" s="13" t="s">
        <v>14</v>
      </c>
      <c r="AP462" s="13">
        <v>2</v>
      </c>
      <c r="AQ462" s="13" t="s">
        <v>14</v>
      </c>
      <c r="AR462" s="13">
        <v>2</v>
      </c>
      <c r="AS462" s="13" t="s">
        <v>14</v>
      </c>
      <c r="AT462" s="13">
        <v>2</v>
      </c>
      <c r="AU462" s="13" t="s">
        <v>16</v>
      </c>
      <c r="AV462" s="13">
        <v>2</v>
      </c>
      <c r="AW462" s="13" t="s">
        <v>14</v>
      </c>
      <c r="AX462" s="13">
        <v>2</v>
      </c>
      <c r="AY462" s="13" t="s">
        <v>14</v>
      </c>
      <c r="AZ462" s="13">
        <v>2</v>
      </c>
      <c r="BA462" s="13" t="s">
        <v>14</v>
      </c>
      <c r="BB462" s="13">
        <v>2</v>
      </c>
      <c r="BC462" s="13" t="s">
        <v>14</v>
      </c>
      <c r="BD462" s="13">
        <v>2</v>
      </c>
      <c r="BE462" s="13" t="s">
        <v>14</v>
      </c>
      <c r="BF462" s="13">
        <v>2</v>
      </c>
      <c r="BG462" s="13" t="s">
        <v>14</v>
      </c>
      <c r="BH462" s="13">
        <v>2</v>
      </c>
      <c r="BI462" s="13" t="s">
        <v>16</v>
      </c>
      <c r="BJ462" s="13">
        <v>2</v>
      </c>
      <c r="BK462" s="13" t="s">
        <v>14</v>
      </c>
      <c r="BL462" s="13">
        <v>2</v>
      </c>
      <c r="BM462" s="13" t="s">
        <v>14</v>
      </c>
      <c r="BN462" s="36">
        <v>2</v>
      </c>
    </row>
    <row r="463" spans="1:66" ht="17.25" customHeight="1" x14ac:dyDescent="0.15">
      <c r="A463" s="85"/>
      <c r="B463" s="49"/>
      <c r="C463" s="49"/>
      <c r="D463" s="56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14</v>
      </c>
      <c r="V463" s="12">
        <v>2</v>
      </c>
      <c r="W463" s="12" t="s">
        <v>14</v>
      </c>
      <c r="X463" s="12">
        <v>2</v>
      </c>
      <c r="Y463" s="12" t="s">
        <v>14</v>
      </c>
      <c r="Z463" s="12">
        <v>2</v>
      </c>
      <c r="AA463" s="12" t="s">
        <v>14</v>
      </c>
      <c r="AB463" s="12">
        <v>2</v>
      </c>
      <c r="AC463" s="12" t="s">
        <v>14</v>
      </c>
      <c r="AD463" s="12">
        <v>2</v>
      </c>
      <c r="AE463" s="12" t="s">
        <v>14</v>
      </c>
      <c r="AF463" s="12">
        <v>2</v>
      </c>
      <c r="AG463" s="12"/>
      <c r="AH463" s="12"/>
      <c r="AI463" s="12" t="s">
        <v>14</v>
      </c>
      <c r="AJ463" s="12">
        <v>2</v>
      </c>
      <c r="AK463" s="12" t="s">
        <v>14</v>
      </c>
      <c r="AL463" s="12">
        <v>2</v>
      </c>
      <c r="AM463" s="12" t="s">
        <v>14</v>
      </c>
      <c r="AN463" s="12">
        <v>2</v>
      </c>
      <c r="AO463" s="12" t="s">
        <v>14</v>
      </c>
      <c r="AP463" s="12">
        <v>2</v>
      </c>
      <c r="AQ463" s="12" t="s">
        <v>14</v>
      </c>
      <c r="AR463" s="12">
        <v>2</v>
      </c>
      <c r="AS463" s="12" t="s">
        <v>14</v>
      </c>
      <c r="AT463" s="12">
        <v>2</v>
      </c>
      <c r="AU463" s="12" t="s">
        <v>16</v>
      </c>
      <c r="AV463" s="12">
        <v>2</v>
      </c>
      <c r="AW463" s="12" t="s">
        <v>14</v>
      </c>
      <c r="AX463" s="12">
        <v>2</v>
      </c>
      <c r="AY463" s="12" t="s">
        <v>14</v>
      </c>
      <c r="AZ463" s="12">
        <v>2</v>
      </c>
      <c r="BA463" s="12" t="s">
        <v>14</v>
      </c>
      <c r="BB463" s="12">
        <v>2</v>
      </c>
      <c r="BC463" s="12" t="s">
        <v>14</v>
      </c>
      <c r="BD463" s="12">
        <v>2</v>
      </c>
      <c r="BE463" s="12" t="s">
        <v>14</v>
      </c>
      <c r="BF463" s="12">
        <v>2</v>
      </c>
      <c r="BG463" s="12" t="s">
        <v>14</v>
      </c>
      <c r="BH463" s="12">
        <v>2</v>
      </c>
      <c r="BI463" s="12" t="s">
        <v>16</v>
      </c>
      <c r="BJ463" s="12">
        <v>2</v>
      </c>
      <c r="BK463" s="12" t="s">
        <v>14</v>
      </c>
      <c r="BL463" s="12">
        <v>2</v>
      </c>
      <c r="BM463" s="12" t="s">
        <v>14</v>
      </c>
      <c r="BN463" s="35">
        <v>2</v>
      </c>
    </row>
    <row r="464" spans="1:66" ht="17.25" customHeight="1" x14ac:dyDescent="0.15">
      <c r="A464" s="85"/>
      <c r="B464" s="49"/>
      <c r="C464" s="49"/>
      <c r="D464" s="58" t="s">
        <v>49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 t="s">
        <v>15</v>
      </c>
      <c r="V464" s="14"/>
      <c r="W464" s="14" t="s">
        <v>15</v>
      </c>
      <c r="X464" s="14"/>
      <c r="Y464" s="14" t="s">
        <v>15</v>
      </c>
      <c r="Z464" s="14"/>
      <c r="AA464" s="14" t="s">
        <v>15</v>
      </c>
      <c r="AB464" s="14"/>
      <c r="AC464" s="14" t="s">
        <v>15</v>
      </c>
      <c r="AD464" s="14"/>
      <c r="AE464" s="14" t="s">
        <v>15</v>
      </c>
      <c r="AF464" s="14"/>
      <c r="AG464" s="14"/>
      <c r="AH464" s="14"/>
      <c r="AI464" s="14" t="s">
        <v>15</v>
      </c>
      <c r="AJ464" s="14">
        <v>3.5</v>
      </c>
      <c r="AK464" s="14" t="s">
        <v>15</v>
      </c>
      <c r="AL464" s="14"/>
      <c r="AM464" s="14" t="s">
        <v>15</v>
      </c>
      <c r="AN464" s="14">
        <v>4</v>
      </c>
      <c r="AO464" s="14" t="s">
        <v>15</v>
      </c>
      <c r="AP464" s="14">
        <v>3</v>
      </c>
      <c r="AQ464" s="14" t="s">
        <v>15</v>
      </c>
      <c r="AR464" s="14">
        <v>3</v>
      </c>
      <c r="AS464" s="14" t="s">
        <v>15</v>
      </c>
      <c r="AT464" s="14"/>
      <c r="AU464" s="14"/>
      <c r="AV464" s="14"/>
      <c r="AW464" s="14" t="s">
        <v>15</v>
      </c>
      <c r="AX464" s="14">
        <v>4</v>
      </c>
      <c r="AY464" s="14" t="s">
        <v>15</v>
      </c>
      <c r="AZ464" s="14">
        <v>4</v>
      </c>
      <c r="BA464" s="14" t="s">
        <v>15</v>
      </c>
      <c r="BB464" s="14">
        <v>3</v>
      </c>
      <c r="BC464" s="14" t="s">
        <v>15</v>
      </c>
      <c r="BD464" s="14">
        <v>4</v>
      </c>
      <c r="BE464" s="14" t="s">
        <v>15</v>
      </c>
      <c r="BF464" s="14">
        <v>4</v>
      </c>
      <c r="BG464" s="14" t="s">
        <v>15</v>
      </c>
      <c r="BH464" s="14">
        <v>5</v>
      </c>
      <c r="BI464" s="14"/>
      <c r="BJ464" s="14"/>
      <c r="BK464" s="14" t="s">
        <v>15</v>
      </c>
      <c r="BL464" s="14">
        <v>4</v>
      </c>
      <c r="BM464" s="14" t="s">
        <v>15</v>
      </c>
      <c r="BN464" s="37">
        <v>3</v>
      </c>
    </row>
    <row r="465" spans="1:66" ht="17.25" customHeight="1" thickBot="1" x14ac:dyDescent="0.2">
      <c r="A465" s="86"/>
      <c r="B465" s="50"/>
      <c r="C465" s="50"/>
      <c r="D465" s="59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38"/>
    </row>
    <row r="466" spans="1:66" ht="17.25" customHeight="1" x14ac:dyDescent="0.15">
      <c r="A466" s="84" t="s">
        <v>169</v>
      </c>
      <c r="B466" s="48" t="s">
        <v>43</v>
      </c>
      <c r="C466" s="48" t="s">
        <v>170</v>
      </c>
      <c r="D466" s="55" t="s">
        <v>45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 t="s">
        <v>15</v>
      </c>
      <c r="R466" s="11">
        <v>1</v>
      </c>
      <c r="S466" s="11"/>
      <c r="T466" s="11"/>
      <c r="U466" s="11" t="s">
        <v>14</v>
      </c>
      <c r="V466" s="11">
        <v>2</v>
      </c>
      <c r="W466" s="11" t="s">
        <v>14</v>
      </c>
      <c r="X466" s="11">
        <v>2</v>
      </c>
      <c r="Y466" s="11" t="s">
        <v>14</v>
      </c>
      <c r="Z466" s="11">
        <v>2</v>
      </c>
      <c r="AA466" s="11" t="s">
        <v>18</v>
      </c>
      <c r="AB466" s="11">
        <v>2</v>
      </c>
      <c r="AC466" s="11" t="s">
        <v>18</v>
      </c>
      <c r="AD466" s="11">
        <v>2</v>
      </c>
      <c r="AE466" s="11" t="s">
        <v>18</v>
      </c>
      <c r="AF466" s="11">
        <v>2</v>
      </c>
      <c r="AG466" s="11"/>
      <c r="AH466" s="11"/>
      <c r="AI466" s="11" t="s">
        <v>14</v>
      </c>
      <c r="AJ466" s="11">
        <v>2</v>
      </c>
      <c r="AK466" s="11" t="s">
        <v>14</v>
      </c>
      <c r="AL466" s="11">
        <v>2</v>
      </c>
      <c r="AM466" s="11" t="s">
        <v>14</v>
      </c>
      <c r="AN466" s="11">
        <v>2</v>
      </c>
      <c r="AO466" s="11" t="s">
        <v>14</v>
      </c>
      <c r="AP466" s="11">
        <v>2</v>
      </c>
      <c r="AQ466" s="11" t="s">
        <v>14</v>
      </c>
      <c r="AR466" s="11">
        <v>2</v>
      </c>
      <c r="AS466" s="11" t="s">
        <v>14</v>
      </c>
      <c r="AT466" s="11">
        <v>2</v>
      </c>
      <c r="AU466" s="11"/>
      <c r="AV466" s="11"/>
      <c r="AW466" s="11" t="s">
        <v>14</v>
      </c>
      <c r="AX466" s="11">
        <v>2</v>
      </c>
      <c r="AY466" s="11" t="s">
        <v>14</v>
      </c>
      <c r="AZ466" s="11">
        <v>2</v>
      </c>
      <c r="BA466" s="11" t="s">
        <v>14</v>
      </c>
      <c r="BB466" s="11">
        <v>2</v>
      </c>
      <c r="BC466" s="11" t="s">
        <v>14</v>
      </c>
      <c r="BD466" s="11">
        <v>2</v>
      </c>
      <c r="BE466" s="11" t="s">
        <v>14</v>
      </c>
      <c r="BF466" s="11">
        <v>2</v>
      </c>
      <c r="BG466" s="11" t="s">
        <v>14</v>
      </c>
      <c r="BH466" s="11">
        <v>2</v>
      </c>
      <c r="BI466" s="11"/>
      <c r="BJ466" s="11"/>
      <c r="BK466" s="11" t="s">
        <v>14</v>
      </c>
      <c r="BL466" s="11">
        <v>2</v>
      </c>
      <c r="BM466" s="11" t="s">
        <v>14</v>
      </c>
      <c r="BN466" s="34">
        <v>2</v>
      </c>
    </row>
    <row r="467" spans="1:66" ht="17.25" customHeight="1" x14ac:dyDescent="0.15">
      <c r="A467" s="85"/>
      <c r="B467" s="49"/>
      <c r="C467" s="49"/>
      <c r="D467" s="56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 t="s">
        <v>15</v>
      </c>
      <c r="R467" s="12">
        <v>2</v>
      </c>
      <c r="S467" s="12"/>
      <c r="T467" s="12"/>
      <c r="U467" s="12" t="s">
        <v>14</v>
      </c>
      <c r="V467" s="12">
        <v>2</v>
      </c>
      <c r="W467" s="12" t="s">
        <v>14</v>
      </c>
      <c r="X467" s="12">
        <v>2</v>
      </c>
      <c r="Y467" s="12" t="s">
        <v>14</v>
      </c>
      <c r="Z467" s="12">
        <v>2</v>
      </c>
      <c r="AA467" s="12" t="s">
        <v>18</v>
      </c>
      <c r="AB467" s="12">
        <v>2</v>
      </c>
      <c r="AC467" s="12" t="s">
        <v>18</v>
      </c>
      <c r="AD467" s="12">
        <v>2</v>
      </c>
      <c r="AE467" s="12" t="s">
        <v>18</v>
      </c>
      <c r="AF467" s="12">
        <v>2</v>
      </c>
      <c r="AG467" s="12"/>
      <c r="AH467" s="12"/>
      <c r="AI467" s="12" t="s">
        <v>14</v>
      </c>
      <c r="AJ467" s="12">
        <v>2</v>
      </c>
      <c r="AK467" s="12" t="s">
        <v>14</v>
      </c>
      <c r="AL467" s="12">
        <v>2</v>
      </c>
      <c r="AM467" s="12" t="s">
        <v>14</v>
      </c>
      <c r="AN467" s="12">
        <v>2</v>
      </c>
      <c r="AO467" s="12" t="s">
        <v>14</v>
      </c>
      <c r="AP467" s="12">
        <v>2</v>
      </c>
      <c r="AQ467" s="12" t="s">
        <v>14</v>
      </c>
      <c r="AR467" s="12">
        <v>2</v>
      </c>
      <c r="AS467" s="12" t="s">
        <v>14</v>
      </c>
      <c r="AT467" s="12">
        <v>2</v>
      </c>
      <c r="AU467" s="12"/>
      <c r="AV467" s="12"/>
      <c r="AW467" s="12" t="s">
        <v>14</v>
      </c>
      <c r="AX467" s="12">
        <v>2</v>
      </c>
      <c r="AY467" s="12" t="s">
        <v>14</v>
      </c>
      <c r="AZ467" s="12">
        <v>2</v>
      </c>
      <c r="BA467" s="12" t="s">
        <v>14</v>
      </c>
      <c r="BB467" s="12">
        <v>2</v>
      </c>
      <c r="BC467" s="12" t="s">
        <v>14</v>
      </c>
      <c r="BD467" s="12">
        <v>2</v>
      </c>
      <c r="BE467" s="12" t="s">
        <v>14</v>
      </c>
      <c r="BF467" s="12">
        <v>2</v>
      </c>
      <c r="BG467" s="12" t="s">
        <v>14</v>
      </c>
      <c r="BH467" s="12">
        <v>2</v>
      </c>
      <c r="BI467" s="12"/>
      <c r="BJ467" s="12"/>
      <c r="BK467" s="12" t="s">
        <v>14</v>
      </c>
      <c r="BL467" s="12">
        <v>2</v>
      </c>
      <c r="BM467" s="12" t="s">
        <v>14</v>
      </c>
      <c r="BN467" s="35">
        <v>2</v>
      </c>
    </row>
    <row r="468" spans="1:66" ht="17.25" customHeight="1" x14ac:dyDescent="0.15">
      <c r="A468" s="85"/>
      <c r="B468" s="49"/>
      <c r="C468" s="49"/>
      <c r="D468" s="57" t="s">
        <v>47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 t="s">
        <v>15</v>
      </c>
      <c r="R468" s="13">
        <v>2</v>
      </c>
      <c r="S468" s="13"/>
      <c r="T468" s="13"/>
      <c r="U468" s="13" t="s">
        <v>14</v>
      </c>
      <c r="V468" s="13">
        <v>2</v>
      </c>
      <c r="W468" s="13" t="s">
        <v>14</v>
      </c>
      <c r="X468" s="13">
        <v>2</v>
      </c>
      <c r="Y468" s="13" t="s">
        <v>14</v>
      </c>
      <c r="Z468" s="13">
        <v>2</v>
      </c>
      <c r="AA468" s="13" t="s">
        <v>18</v>
      </c>
      <c r="AB468" s="13">
        <v>2</v>
      </c>
      <c r="AC468" s="13" t="s">
        <v>18</v>
      </c>
      <c r="AD468" s="13">
        <v>2</v>
      </c>
      <c r="AE468" s="13" t="s">
        <v>18</v>
      </c>
      <c r="AF468" s="13">
        <v>2</v>
      </c>
      <c r="AG468" s="13"/>
      <c r="AH468" s="13"/>
      <c r="AI468" s="13" t="s">
        <v>14</v>
      </c>
      <c r="AJ468" s="13">
        <v>2</v>
      </c>
      <c r="AK468" s="13" t="s">
        <v>14</v>
      </c>
      <c r="AL468" s="13">
        <v>2</v>
      </c>
      <c r="AM468" s="13" t="s">
        <v>14</v>
      </c>
      <c r="AN468" s="13">
        <v>2</v>
      </c>
      <c r="AO468" s="13" t="s">
        <v>14</v>
      </c>
      <c r="AP468" s="13">
        <v>2</v>
      </c>
      <c r="AQ468" s="13" t="s">
        <v>14</v>
      </c>
      <c r="AR468" s="13">
        <v>2</v>
      </c>
      <c r="AS468" s="13" t="s">
        <v>14</v>
      </c>
      <c r="AT468" s="13">
        <v>2</v>
      </c>
      <c r="AU468" s="13"/>
      <c r="AV468" s="13"/>
      <c r="AW468" s="13" t="s">
        <v>14</v>
      </c>
      <c r="AX468" s="13">
        <v>2</v>
      </c>
      <c r="AY468" s="13" t="s">
        <v>14</v>
      </c>
      <c r="AZ468" s="13">
        <v>2</v>
      </c>
      <c r="BA468" s="13" t="s">
        <v>14</v>
      </c>
      <c r="BB468" s="13">
        <v>2</v>
      </c>
      <c r="BC468" s="13" t="s">
        <v>14</v>
      </c>
      <c r="BD468" s="13">
        <v>2</v>
      </c>
      <c r="BE468" s="13" t="s">
        <v>14</v>
      </c>
      <c r="BF468" s="13">
        <v>2</v>
      </c>
      <c r="BG468" s="13" t="s">
        <v>14</v>
      </c>
      <c r="BH468" s="13">
        <v>2</v>
      </c>
      <c r="BI468" s="13"/>
      <c r="BJ468" s="13"/>
      <c r="BK468" s="13" t="s">
        <v>14</v>
      </c>
      <c r="BL468" s="13">
        <v>2</v>
      </c>
      <c r="BM468" s="13" t="s">
        <v>14</v>
      </c>
      <c r="BN468" s="36">
        <v>2</v>
      </c>
    </row>
    <row r="469" spans="1:66" ht="17.25" customHeight="1" x14ac:dyDescent="0.15">
      <c r="A469" s="85"/>
      <c r="B469" s="49"/>
      <c r="C469" s="49"/>
      <c r="D469" s="56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 t="s">
        <v>15</v>
      </c>
      <c r="R469" s="12">
        <v>1</v>
      </c>
      <c r="S469" s="12"/>
      <c r="T469" s="12"/>
      <c r="U469" s="12" t="s">
        <v>14</v>
      </c>
      <c r="V469" s="12">
        <v>2</v>
      </c>
      <c r="W469" s="12" t="s">
        <v>14</v>
      </c>
      <c r="X469" s="12">
        <v>2</v>
      </c>
      <c r="Y469" s="12" t="s">
        <v>14</v>
      </c>
      <c r="Z469" s="12">
        <v>2</v>
      </c>
      <c r="AA469" s="12" t="s">
        <v>18</v>
      </c>
      <c r="AB469" s="12">
        <v>2</v>
      </c>
      <c r="AC469" s="12" t="s">
        <v>18</v>
      </c>
      <c r="AD469" s="12">
        <v>2</v>
      </c>
      <c r="AE469" s="12" t="s">
        <v>18</v>
      </c>
      <c r="AF469" s="12">
        <v>2</v>
      </c>
      <c r="AG469" s="12"/>
      <c r="AH469" s="12"/>
      <c r="AI469" s="12" t="s">
        <v>14</v>
      </c>
      <c r="AJ469" s="12">
        <v>2</v>
      </c>
      <c r="AK469" s="12" t="s">
        <v>14</v>
      </c>
      <c r="AL469" s="12">
        <v>2</v>
      </c>
      <c r="AM469" s="12" t="s">
        <v>14</v>
      </c>
      <c r="AN469" s="12">
        <v>2</v>
      </c>
      <c r="AO469" s="12" t="s">
        <v>14</v>
      </c>
      <c r="AP469" s="12">
        <v>2</v>
      </c>
      <c r="AQ469" s="12" t="s">
        <v>14</v>
      </c>
      <c r="AR469" s="12">
        <v>2</v>
      </c>
      <c r="AS469" s="12" t="s">
        <v>14</v>
      </c>
      <c r="AT469" s="12">
        <v>2</v>
      </c>
      <c r="AU469" s="12"/>
      <c r="AV469" s="12"/>
      <c r="AW469" s="12" t="s">
        <v>14</v>
      </c>
      <c r="AX469" s="12">
        <v>2</v>
      </c>
      <c r="AY469" s="12" t="s">
        <v>14</v>
      </c>
      <c r="AZ469" s="12">
        <v>2</v>
      </c>
      <c r="BA469" s="12" t="s">
        <v>14</v>
      </c>
      <c r="BB469" s="12">
        <v>2</v>
      </c>
      <c r="BC469" s="12" t="s">
        <v>14</v>
      </c>
      <c r="BD469" s="12">
        <v>2</v>
      </c>
      <c r="BE469" s="12" t="s">
        <v>14</v>
      </c>
      <c r="BF469" s="12">
        <v>2</v>
      </c>
      <c r="BG469" s="12" t="s">
        <v>14</v>
      </c>
      <c r="BH469" s="12">
        <v>2</v>
      </c>
      <c r="BI469" s="12"/>
      <c r="BJ469" s="12"/>
      <c r="BK469" s="12" t="s">
        <v>14</v>
      </c>
      <c r="BL469" s="12">
        <v>2</v>
      </c>
      <c r="BM469" s="12" t="s">
        <v>14</v>
      </c>
      <c r="BN469" s="35">
        <v>2</v>
      </c>
    </row>
    <row r="470" spans="1:66" ht="17.25" customHeight="1" x14ac:dyDescent="0.15">
      <c r="A470" s="85"/>
      <c r="B470" s="49"/>
      <c r="C470" s="49"/>
      <c r="D470" s="58" t="s">
        <v>49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 t="s">
        <v>15</v>
      </c>
      <c r="V470" s="14">
        <v>1</v>
      </c>
      <c r="W470" s="14" t="s">
        <v>15</v>
      </c>
      <c r="X470" s="14">
        <v>1</v>
      </c>
      <c r="Y470" s="14" t="s">
        <v>15</v>
      </c>
      <c r="Z470" s="14">
        <v>1</v>
      </c>
      <c r="AA470" s="14" t="s">
        <v>15</v>
      </c>
      <c r="AB470" s="14"/>
      <c r="AC470" s="14" t="s">
        <v>15</v>
      </c>
      <c r="AD470" s="14"/>
      <c r="AE470" s="14" t="s">
        <v>15</v>
      </c>
      <c r="AF470" s="14"/>
      <c r="AG470" s="14"/>
      <c r="AH470" s="14"/>
      <c r="AI470" s="14" t="s">
        <v>15</v>
      </c>
      <c r="AJ470" s="14">
        <v>1</v>
      </c>
      <c r="AK470" s="14" t="s">
        <v>15</v>
      </c>
      <c r="AL470" s="14">
        <v>1</v>
      </c>
      <c r="AM470" s="14" t="s">
        <v>15</v>
      </c>
      <c r="AN470" s="14">
        <v>1</v>
      </c>
      <c r="AO470" s="14" t="s">
        <v>15</v>
      </c>
      <c r="AP470" s="14">
        <v>1</v>
      </c>
      <c r="AQ470" s="14" t="s">
        <v>15</v>
      </c>
      <c r="AR470" s="14">
        <v>1</v>
      </c>
      <c r="AS470" s="14" t="s">
        <v>15</v>
      </c>
      <c r="AT470" s="14">
        <v>1</v>
      </c>
      <c r="AU470" s="14"/>
      <c r="AV470" s="14"/>
      <c r="AW470" s="14" t="s">
        <v>15</v>
      </c>
      <c r="AX470" s="14">
        <v>1</v>
      </c>
      <c r="AY470" s="14" t="s">
        <v>15</v>
      </c>
      <c r="AZ470" s="14">
        <v>1</v>
      </c>
      <c r="BA470" s="14" t="s">
        <v>15</v>
      </c>
      <c r="BB470" s="14">
        <v>1</v>
      </c>
      <c r="BC470" s="14" t="s">
        <v>15</v>
      </c>
      <c r="BD470" s="14">
        <v>1</v>
      </c>
      <c r="BE470" s="14" t="s">
        <v>15</v>
      </c>
      <c r="BF470" s="14">
        <v>1</v>
      </c>
      <c r="BG470" s="14" t="s">
        <v>15</v>
      </c>
      <c r="BH470" s="14">
        <v>1</v>
      </c>
      <c r="BI470" s="14"/>
      <c r="BJ470" s="14"/>
      <c r="BK470" s="14" t="s">
        <v>15</v>
      </c>
      <c r="BL470" s="14">
        <v>1</v>
      </c>
      <c r="BM470" s="14" t="s">
        <v>15</v>
      </c>
      <c r="BN470" s="37">
        <v>1</v>
      </c>
    </row>
    <row r="471" spans="1:66" ht="17.25" customHeight="1" thickBot="1" x14ac:dyDescent="0.2">
      <c r="A471" s="86"/>
      <c r="B471" s="50"/>
      <c r="C471" s="50"/>
      <c r="D471" s="59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38"/>
    </row>
    <row r="472" spans="1:66" ht="17.25" customHeight="1" x14ac:dyDescent="0.15">
      <c r="A472" s="84" t="s">
        <v>169</v>
      </c>
      <c r="B472" s="48" t="s">
        <v>107</v>
      </c>
      <c r="C472" s="48" t="s">
        <v>171</v>
      </c>
      <c r="D472" s="55" t="s">
        <v>45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 t="s">
        <v>15</v>
      </c>
      <c r="R472" s="11">
        <v>2</v>
      </c>
      <c r="S472" s="11"/>
      <c r="T472" s="11"/>
      <c r="U472" s="11" t="s">
        <v>14</v>
      </c>
      <c r="V472" s="11">
        <v>2</v>
      </c>
      <c r="W472" s="11" t="s">
        <v>14</v>
      </c>
      <c r="X472" s="11">
        <v>2</v>
      </c>
      <c r="Y472" s="11" t="s">
        <v>14</v>
      </c>
      <c r="Z472" s="11">
        <v>2</v>
      </c>
      <c r="AA472" s="11" t="s">
        <v>18</v>
      </c>
      <c r="AB472" s="11">
        <v>2</v>
      </c>
      <c r="AC472" s="11" t="s">
        <v>18</v>
      </c>
      <c r="AD472" s="11">
        <v>2</v>
      </c>
      <c r="AE472" s="11" t="s">
        <v>18</v>
      </c>
      <c r="AF472" s="11">
        <v>2</v>
      </c>
      <c r="AG472" s="11"/>
      <c r="AH472" s="11"/>
      <c r="AI472" s="11" t="s">
        <v>14</v>
      </c>
      <c r="AJ472" s="11">
        <v>2</v>
      </c>
      <c r="AK472" s="11" t="s">
        <v>14</v>
      </c>
      <c r="AL472" s="11">
        <v>2</v>
      </c>
      <c r="AM472" s="11" t="s">
        <v>14</v>
      </c>
      <c r="AN472" s="11">
        <v>2</v>
      </c>
      <c r="AO472" s="11" t="s">
        <v>14</v>
      </c>
      <c r="AP472" s="11">
        <v>2</v>
      </c>
      <c r="AQ472" s="11" t="s">
        <v>14</v>
      </c>
      <c r="AR472" s="11">
        <v>2</v>
      </c>
      <c r="AS472" s="11" t="s">
        <v>14</v>
      </c>
      <c r="AT472" s="11">
        <v>2</v>
      </c>
      <c r="AU472" s="11"/>
      <c r="AV472" s="11"/>
      <c r="AW472" s="11" t="s">
        <v>14</v>
      </c>
      <c r="AX472" s="11">
        <v>2</v>
      </c>
      <c r="AY472" s="11" t="s">
        <v>14</v>
      </c>
      <c r="AZ472" s="11">
        <v>2</v>
      </c>
      <c r="BA472" s="11" t="s">
        <v>14</v>
      </c>
      <c r="BB472" s="11">
        <v>2</v>
      </c>
      <c r="BC472" s="11" t="s">
        <v>14</v>
      </c>
      <c r="BD472" s="11">
        <v>2</v>
      </c>
      <c r="BE472" s="11" t="s">
        <v>14</v>
      </c>
      <c r="BF472" s="11">
        <v>2</v>
      </c>
      <c r="BG472" s="11" t="s">
        <v>14</v>
      </c>
      <c r="BH472" s="11">
        <v>2</v>
      </c>
      <c r="BI472" s="11"/>
      <c r="BJ472" s="11"/>
      <c r="BK472" s="11" t="s">
        <v>14</v>
      </c>
      <c r="BL472" s="11">
        <v>2</v>
      </c>
      <c r="BM472" s="11" t="s">
        <v>14</v>
      </c>
      <c r="BN472" s="34">
        <v>2</v>
      </c>
    </row>
    <row r="473" spans="1:66" ht="17.25" customHeight="1" x14ac:dyDescent="0.15">
      <c r="A473" s="85"/>
      <c r="B473" s="49"/>
      <c r="C473" s="49"/>
      <c r="D473" s="56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 t="s">
        <v>15</v>
      </c>
      <c r="R473" s="12">
        <v>2</v>
      </c>
      <c r="S473" s="12"/>
      <c r="T473" s="12"/>
      <c r="U473" s="12" t="s">
        <v>14</v>
      </c>
      <c r="V473" s="12">
        <v>2</v>
      </c>
      <c r="W473" s="12" t="s">
        <v>14</v>
      </c>
      <c r="X473" s="12">
        <v>2</v>
      </c>
      <c r="Y473" s="12" t="s">
        <v>14</v>
      </c>
      <c r="Z473" s="12">
        <v>2</v>
      </c>
      <c r="AA473" s="12" t="s">
        <v>18</v>
      </c>
      <c r="AB473" s="12">
        <v>2</v>
      </c>
      <c r="AC473" s="12" t="s">
        <v>18</v>
      </c>
      <c r="AD473" s="12">
        <v>2</v>
      </c>
      <c r="AE473" s="12" t="s">
        <v>18</v>
      </c>
      <c r="AF473" s="12">
        <v>2</v>
      </c>
      <c r="AG473" s="12"/>
      <c r="AH473" s="12"/>
      <c r="AI473" s="12" t="s">
        <v>14</v>
      </c>
      <c r="AJ473" s="12">
        <v>2</v>
      </c>
      <c r="AK473" s="12" t="s">
        <v>14</v>
      </c>
      <c r="AL473" s="12">
        <v>2</v>
      </c>
      <c r="AM473" s="12" t="s">
        <v>14</v>
      </c>
      <c r="AN473" s="12">
        <v>2</v>
      </c>
      <c r="AO473" s="12" t="s">
        <v>14</v>
      </c>
      <c r="AP473" s="12">
        <v>2</v>
      </c>
      <c r="AQ473" s="12" t="s">
        <v>14</v>
      </c>
      <c r="AR473" s="12">
        <v>2</v>
      </c>
      <c r="AS473" s="12" t="s">
        <v>14</v>
      </c>
      <c r="AT473" s="12">
        <v>2</v>
      </c>
      <c r="AU473" s="12"/>
      <c r="AV473" s="12"/>
      <c r="AW473" s="12" t="s">
        <v>14</v>
      </c>
      <c r="AX473" s="12">
        <v>2</v>
      </c>
      <c r="AY473" s="12" t="s">
        <v>14</v>
      </c>
      <c r="AZ473" s="12">
        <v>2</v>
      </c>
      <c r="BA473" s="12" t="s">
        <v>14</v>
      </c>
      <c r="BB473" s="12">
        <v>2</v>
      </c>
      <c r="BC473" s="12" t="s">
        <v>14</v>
      </c>
      <c r="BD473" s="12">
        <v>2</v>
      </c>
      <c r="BE473" s="12" t="s">
        <v>14</v>
      </c>
      <c r="BF473" s="12">
        <v>2</v>
      </c>
      <c r="BG473" s="12" t="s">
        <v>14</v>
      </c>
      <c r="BH473" s="12">
        <v>2</v>
      </c>
      <c r="BI473" s="12"/>
      <c r="BJ473" s="12"/>
      <c r="BK473" s="12" t="s">
        <v>14</v>
      </c>
      <c r="BL473" s="12">
        <v>2</v>
      </c>
      <c r="BM473" s="12" t="s">
        <v>14</v>
      </c>
      <c r="BN473" s="35">
        <v>2</v>
      </c>
    </row>
    <row r="474" spans="1:66" ht="17.25" customHeight="1" x14ac:dyDescent="0.15">
      <c r="A474" s="85"/>
      <c r="B474" s="49"/>
      <c r="C474" s="49"/>
      <c r="D474" s="57" t="s">
        <v>47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 t="s">
        <v>15</v>
      </c>
      <c r="R474" s="13">
        <v>2</v>
      </c>
      <c r="S474" s="13"/>
      <c r="T474" s="13"/>
      <c r="U474" s="13" t="s">
        <v>14</v>
      </c>
      <c r="V474" s="13">
        <v>2</v>
      </c>
      <c r="W474" s="13" t="s">
        <v>14</v>
      </c>
      <c r="X474" s="13">
        <v>2</v>
      </c>
      <c r="Y474" s="13" t="s">
        <v>14</v>
      </c>
      <c r="Z474" s="13">
        <v>2</v>
      </c>
      <c r="AA474" s="13" t="s">
        <v>18</v>
      </c>
      <c r="AB474" s="13">
        <v>2</v>
      </c>
      <c r="AC474" s="13" t="s">
        <v>18</v>
      </c>
      <c r="AD474" s="13">
        <v>2</v>
      </c>
      <c r="AE474" s="13" t="s">
        <v>18</v>
      </c>
      <c r="AF474" s="13">
        <v>2</v>
      </c>
      <c r="AG474" s="13"/>
      <c r="AH474" s="13"/>
      <c r="AI474" s="13" t="s">
        <v>14</v>
      </c>
      <c r="AJ474" s="13">
        <v>2</v>
      </c>
      <c r="AK474" s="13" t="s">
        <v>14</v>
      </c>
      <c r="AL474" s="13">
        <v>2</v>
      </c>
      <c r="AM474" s="13" t="s">
        <v>14</v>
      </c>
      <c r="AN474" s="13">
        <v>2</v>
      </c>
      <c r="AO474" s="13" t="s">
        <v>14</v>
      </c>
      <c r="AP474" s="13">
        <v>2</v>
      </c>
      <c r="AQ474" s="13" t="s">
        <v>14</v>
      </c>
      <c r="AR474" s="13">
        <v>2</v>
      </c>
      <c r="AS474" s="13" t="s">
        <v>14</v>
      </c>
      <c r="AT474" s="13">
        <v>2</v>
      </c>
      <c r="AU474" s="13"/>
      <c r="AV474" s="13"/>
      <c r="AW474" s="13" t="s">
        <v>14</v>
      </c>
      <c r="AX474" s="13">
        <v>2</v>
      </c>
      <c r="AY474" s="13" t="s">
        <v>14</v>
      </c>
      <c r="AZ474" s="13">
        <v>2</v>
      </c>
      <c r="BA474" s="13" t="s">
        <v>14</v>
      </c>
      <c r="BB474" s="13">
        <v>2</v>
      </c>
      <c r="BC474" s="13" t="s">
        <v>14</v>
      </c>
      <c r="BD474" s="13">
        <v>2</v>
      </c>
      <c r="BE474" s="13" t="s">
        <v>14</v>
      </c>
      <c r="BF474" s="13">
        <v>2</v>
      </c>
      <c r="BG474" s="13" t="s">
        <v>14</v>
      </c>
      <c r="BH474" s="13">
        <v>2</v>
      </c>
      <c r="BI474" s="13"/>
      <c r="BJ474" s="13"/>
      <c r="BK474" s="13" t="s">
        <v>14</v>
      </c>
      <c r="BL474" s="13">
        <v>2</v>
      </c>
      <c r="BM474" s="13" t="s">
        <v>14</v>
      </c>
      <c r="BN474" s="36">
        <v>2</v>
      </c>
    </row>
    <row r="475" spans="1:66" ht="17.25" customHeight="1" x14ac:dyDescent="0.15">
      <c r="A475" s="85"/>
      <c r="B475" s="49"/>
      <c r="C475" s="49"/>
      <c r="D475" s="56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 t="s">
        <v>15</v>
      </c>
      <c r="R475" s="12">
        <v>2</v>
      </c>
      <c r="S475" s="12"/>
      <c r="T475" s="12"/>
      <c r="U475" s="12" t="s">
        <v>14</v>
      </c>
      <c r="V475" s="12">
        <v>2</v>
      </c>
      <c r="W475" s="12" t="s">
        <v>14</v>
      </c>
      <c r="X475" s="12">
        <v>2</v>
      </c>
      <c r="Y475" s="12" t="s">
        <v>14</v>
      </c>
      <c r="Z475" s="12">
        <v>2</v>
      </c>
      <c r="AA475" s="12" t="s">
        <v>18</v>
      </c>
      <c r="AB475" s="12">
        <v>2</v>
      </c>
      <c r="AC475" s="12" t="s">
        <v>18</v>
      </c>
      <c r="AD475" s="12">
        <v>2</v>
      </c>
      <c r="AE475" s="12" t="s">
        <v>18</v>
      </c>
      <c r="AF475" s="12">
        <v>2</v>
      </c>
      <c r="AG475" s="12"/>
      <c r="AH475" s="12"/>
      <c r="AI475" s="12" t="s">
        <v>14</v>
      </c>
      <c r="AJ475" s="12">
        <v>2</v>
      </c>
      <c r="AK475" s="12" t="s">
        <v>14</v>
      </c>
      <c r="AL475" s="12">
        <v>2</v>
      </c>
      <c r="AM475" s="12" t="s">
        <v>14</v>
      </c>
      <c r="AN475" s="12">
        <v>2</v>
      </c>
      <c r="AO475" s="12" t="s">
        <v>14</v>
      </c>
      <c r="AP475" s="12">
        <v>2</v>
      </c>
      <c r="AQ475" s="12" t="s">
        <v>14</v>
      </c>
      <c r="AR475" s="12">
        <v>2</v>
      </c>
      <c r="AS475" s="12" t="s">
        <v>14</v>
      </c>
      <c r="AT475" s="12">
        <v>2</v>
      </c>
      <c r="AU475" s="12"/>
      <c r="AV475" s="12"/>
      <c r="AW475" s="12" t="s">
        <v>14</v>
      </c>
      <c r="AX475" s="12">
        <v>2</v>
      </c>
      <c r="AY475" s="12" t="s">
        <v>14</v>
      </c>
      <c r="AZ475" s="12">
        <v>2</v>
      </c>
      <c r="BA475" s="12" t="s">
        <v>14</v>
      </c>
      <c r="BB475" s="12">
        <v>2</v>
      </c>
      <c r="BC475" s="12" t="s">
        <v>14</v>
      </c>
      <c r="BD475" s="12">
        <v>2</v>
      </c>
      <c r="BE475" s="12" t="s">
        <v>14</v>
      </c>
      <c r="BF475" s="12">
        <v>2</v>
      </c>
      <c r="BG475" s="12" t="s">
        <v>14</v>
      </c>
      <c r="BH475" s="12">
        <v>2</v>
      </c>
      <c r="BI475" s="12"/>
      <c r="BJ475" s="12"/>
      <c r="BK475" s="12" t="s">
        <v>14</v>
      </c>
      <c r="BL475" s="12">
        <v>2</v>
      </c>
      <c r="BM475" s="12" t="s">
        <v>14</v>
      </c>
      <c r="BN475" s="35">
        <v>2</v>
      </c>
    </row>
    <row r="476" spans="1:66" ht="17.25" customHeight="1" x14ac:dyDescent="0.15">
      <c r="A476" s="85"/>
      <c r="B476" s="49"/>
      <c r="C476" s="49"/>
      <c r="D476" s="58" t="s">
        <v>49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 t="s">
        <v>15</v>
      </c>
      <c r="V476" s="14"/>
      <c r="W476" s="14" t="s">
        <v>15</v>
      </c>
      <c r="X476" s="14"/>
      <c r="Y476" s="14" t="s">
        <v>15</v>
      </c>
      <c r="Z476" s="14"/>
      <c r="AA476" s="14" t="s">
        <v>15</v>
      </c>
      <c r="AB476" s="14"/>
      <c r="AC476" s="14" t="s">
        <v>15</v>
      </c>
      <c r="AD476" s="14"/>
      <c r="AE476" s="14" t="s">
        <v>15</v>
      </c>
      <c r="AF476" s="14"/>
      <c r="AG476" s="14"/>
      <c r="AH476" s="14"/>
      <c r="AI476" s="14" t="s">
        <v>15</v>
      </c>
      <c r="AJ476" s="14"/>
      <c r="AK476" s="14" t="s">
        <v>15</v>
      </c>
      <c r="AL476" s="14"/>
      <c r="AM476" s="14" t="s">
        <v>15</v>
      </c>
      <c r="AN476" s="14"/>
      <c r="AO476" s="14" t="s">
        <v>15</v>
      </c>
      <c r="AP476" s="14"/>
      <c r="AQ476" s="14" t="s">
        <v>15</v>
      </c>
      <c r="AR476" s="14"/>
      <c r="AS476" s="14" t="s">
        <v>15</v>
      </c>
      <c r="AT476" s="14"/>
      <c r="AU476" s="14"/>
      <c r="AV476" s="14"/>
      <c r="AW476" s="14" t="s">
        <v>15</v>
      </c>
      <c r="AX476" s="14"/>
      <c r="AY476" s="14" t="s">
        <v>15</v>
      </c>
      <c r="AZ476" s="14"/>
      <c r="BA476" s="14" t="s">
        <v>15</v>
      </c>
      <c r="BB476" s="14"/>
      <c r="BC476" s="14" t="s">
        <v>15</v>
      </c>
      <c r="BD476" s="14"/>
      <c r="BE476" s="14" t="s">
        <v>15</v>
      </c>
      <c r="BF476" s="14"/>
      <c r="BG476" s="14" t="s">
        <v>15</v>
      </c>
      <c r="BH476" s="14"/>
      <c r="BI476" s="14"/>
      <c r="BJ476" s="14"/>
      <c r="BK476" s="14" t="s">
        <v>15</v>
      </c>
      <c r="BL476" s="14"/>
      <c r="BM476" s="14" t="s">
        <v>15</v>
      </c>
      <c r="BN476" s="37"/>
    </row>
    <row r="477" spans="1:66" ht="17.25" customHeight="1" thickBot="1" x14ac:dyDescent="0.2">
      <c r="A477" s="86"/>
      <c r="B477" s="50"/>
      <c r="C477" s="50"/>
      <c r="D477" s="59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38"/>
    </row>
    <row r="478" spans="1:66" ht="17.25" customHeight="1" x14ac:dyDescent="0.15">
      <c r="A478" s="84" t="s">
        <v>173</v>
      </c>
      <c r="B478" s="48" t="s">
        <v>107</v>
      </c>
      <c r="C478" s="48" t="s">
        <v>174</v>
      </c>
      <c r="D478" s="55" t="s">
        <v>45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14</v>
      </c>
      <c r="V478" s="11">
        <v>2</v>
      </c>
      <c r="W478" s="11" t="s">
        <v>14</v>
      </c>
      <c r="X478" s="11">
        <v>2</v>
      </c>
      <c r="Y478" s="11" t="s">
        <v>14</v>
      </c>
      <c r="Z478" s="11">
        <v>2</v>
      </c>
      <c r="AA478" s="11" t="s">
        <v>14</v>
      </c>
      <c r="AB478" s="11">
        <v>2</v>
      </c>
      <c r="AC478" s="11" t="s">
        <v>14</v>
      </c>
      <c r="AD478" s="11">
        <v>2</v>
      </c>
      <c r="AE478" s="11" t="s">
        <v>14</v>
      </c>
      <c r="AF478" s="11">
        <v>2</v>
      </c>
      <c r="AG478" s="11"/>
      <c r="AH478" s="11"/>
      <c r="AI478" s="11" t="s">
        <v>14</v>
      </c>
      <c r="AJ478" s="11">
        <v>2</v>
      </c>
      <c r="AK478" s="11" t="s">
        <v>14</v>
      </c>
      <c r="AL478" s="11">
        <v>2</v>
      </c>
      <c r="AM478" s="11" t="s">
        <v>14</v>
      </c>
      <c r="AN478" s="11">
        <v>2</v>
      </c>
      <c r="AO478" s="11" t="s">
        <v>14</v>
      </c>
      <c r="AP478" s="11">
        <v>2</v>
      </c>
      <c r="AQ478" s="11" t="s">
        <v>14</v>
      </c>
      <c r="AR478" s="11">
        <v>2</v>
      </c>
      <c r="AS478" s="11" t="s">
        <v>14</v>
      </c>
      <c r="AT478" s="11">
        <v>2</v>
      </c>
      <c r="AU478" s="11"/>
      <c r="AV478" s="11"/>
      <c r="AW478" s="11" t="s">
        <v>14</v>
      </c>
      <c r="AX478" s="11">
        <v>2</v>
      </c>
      <c r="AY478" s="11" t="s">
        <v>14</v>
      </c>
      <c r="AZ478" s="11">
        <v>2</v>
      </c>
      <c r="BA478" s="11" t="s">
        <v>14</v>
      </c>
      <c r="BB478" s="11">
        <v>2</v>
      </c>
      <c r="BC478" s="11" t="s">
        <v>14</v>
      </c>
      <c r="BD478" s="11">
        <v>2</v>
      </c>
      <c r="BE478" s="11" t="s">
        <v>14</v>
      </c>
      <c r="BF478" s="11">
        <v>2</v>
      </c>
      <c r="BG478" s="11" t="s">
        <v>14</v>
      </c>
      <c r="BH478" s="11">
        <v>2</v>
      </c>
      <c r="BI478" s="11"/>
      <c r="BJ478" s="11"/>
      <c r="BK478" s="11" t="s">
        <v>14</v>
      </c>
      <c r="BL478" s="11">
        <v>2</v>
      </c>
      <c r="BM478" s="11" t="s">
        <v>14</v>
      </c>
      <c r="BN478" s="34">
        <v>2</v>
      </c>
    </row>
    <row r="479" spans="1:66" ht="17.25" customHeight="1" x14ac:dyDescent="0.15">
      <c r="A479" s="85"/>
      <c r="B479" s="49"/>
      <c r="C479" s="49"/>
      <c r="D479" s="56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14</v>
      </c>
      <c r="V479" s="12">
        <v>2</v>
      </c>
      <c r="W479" s="12" t="s">
        <v>14</v>
      </c>
      <c r="X479" s="12">
        <v>2</v>
      </c>
      <c r="Y479" s="12" t="s">
        <v>14</v>
      </c>
      <c r="Z479" s="12">
        <v>2</v>
      </c>
      <c r="AA479" s="12" t="s">
        <v>14</v>
      </c>
      <c r="AB479" s="12">
        <v>2</v>
      </c>
      <c r="AC479" s="12" t="s">
        <v>14</v>
      </c>
      <c r="AD479" s="12">
        <v>2</v>
      </c>
      <c r="AE479" s="12" t="s">
        <v>14</v>
      </c>
      <c r="AF479" s="12">
        <v>2</v>
      </c>
      <c r="AG479" s="12"/>
      <c r="AH479" s="12"/>
      <c r="AI479" s="12" t="s">
        <v>14</v>
      </c>
      <c r="AJ479" s="12">
        <v>2</v>
      </c>
      <c r="AK479" s="12" t="s">
        <v>14</v>
      </c>
      <c r="AL479" s="12">
        <v>2</v>
      </c>
      <c r="AM479" s="12" t="s">
        <v>14</v>
      </c>
      <c r="AN479" s="12">
        <v>2</v>
      </c>
      <c r="AO479" s="12" t="s">
        <v>14</v>
      </c>
      <c r="AP479" s="12">
        <v>2</v>
      </c>
      <c r="AQ479" s="12" t="s">
        <v>14</v>
      </c>
      <c r="AR479" s="12">
        <v>2</v>
      </c>
      <c r="AS479" s="12" t="s">
        <v>14</v>
      </c>
      <c r="AT479" s="12">
        <v>2</v>
      </c>
      <c r="AU479" s="12"/>
      <c r="AV479" s="12"/>
      <c r="AW479" s="12" t="s">
        <v>14</v>
      </c>
      <c r="AX479" s="12">
        <v>2</v>
      </c>
      <c r="AY479" s="12" t="s">
        <v>14</v>
      </c>
      <c r="AZ479" s="12">
        <v>2</v>
      </c>
      <c r="BA479" s="12" t="s">
        <v>14</v>
      </c>
      <c r="BB479" s="12">
        <v>2</v>
      </c>
      <c r="BC479" s="12" t="s">
        <v>14</v>
      </c>
      <c r="BD479" s="12">
        <v>2</v>
      </c>
      <c r="BE479" s="12" t="s">
        <v>14</v>
      </c>
      <c r="BF479" s="12">
        <v>2</v>
      </c>
      <c r="BG479" s="12" t="s">
        <v>14</v>
      </c>
      <c r="BH479" s="12">
        <v>2</v>
      </c>
      <c r="BI479" s="12"/>
      <c r="BJ479" s="12"/>
      <c r="BK479" s="12" t="s">
        <v>14</v>
      </c>
      <c r="BL479" s="12">
        <v>2</v>
      </c>
      <c r="BM479" s="12" t="s">
        <v>14</v>
      </c>
      <c r="BN479" s="35">
        <v>2</v>
      </c>
    </row>
    <row r="480" spans="1:66" ht="17.25" customHeight="1" x14ac:dyDescent="0.15">
      <c r="A480" s="85"/>
      <c r="B480" s="49"/>
      <c r="C480" s="49"/>
      <c r="D480" s="57" t="s">
        <v>47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 t="s">
        <v>14</v>
      </c>
      <c r="V480" s="13">
        <v>2</v>
      </c>
      <c r="W480" s="13" t="s">
        <v>14</v>
      </c>
      <c r="X480" s="13">
        <v>2</v>
      </c>
      <c r="Y480" s="13" t="s">
        <v>14</v>
      </c>
      <c r="Z480" s="13">
        <v>2</v>
      </c>
      <c r="AA480" s="13" t="s">
        <v>14</v>
      </c>
      <c r="AB480" s="13">
        <v>2</v>
      </c>
      <c r="AC480" s="13" t="s">
        <v>14</v>
      </c>
      <c r="AD480" s="13">
        <v>2</v>
      </c>
      <c r="AE480" s="13" t="s">
        <v>14</v>
      </c>
      <c r="AF480" s="13">
        <v>2</v>
      </c>
      <c r="AG480" s="13"/>
      <c r="AH480" s="13"/>
      <c r="AI480" s="13" t="s">
        <v>14</v>
      </c>
      <c r="AJ480" s="13">
        <v>2</v>
      </c>
      <c r="AK480" s="13" t="s">
        <v>14</v>
      </c>
      <c r="AL480" s="13">
        <v>2</v>
      </c>
      <c r="AM480" s="13" t="s">
        <v>14</v>
      </c>
      <c r="AN480" s="13">
        <v>2</v>
      </c>
      <c r="AO480" s="13" t="s">
        <v>14</v>
      </c>
      <c r="AP480" s="13">
        <v>2</v>
      </c>
      <c r="AQ480" s="13" t="s">
        <v>14</v>
      </c>
      <c r="AR480" s="13">
        <v>2</v>
      </c>
      <c r="AS480" s="13" t="s">
        <v>14</v>
      </c>
      <c r="AT480" s="13">
        <v>2</v>
      </c>
      <c r="AU480" s="13"/>
      <c r="AV480" s="13"/>
      <c r="AW480" s="13" t="s">
        <v>14</v>
      </c>
      <c r="AX480" s="13">
        <v>2</v>
      </c>
      <c r="AY480" s="13" t="s">
        <v>14</v>
      </c>
      <c r="AZ480" s="13">
        <v>2</v>
      </c>
      <c r="BA480" s="13" t="s">
        <v>14</v>
      </c>
      <c r="BB480" s="13">
        <v>2</v>
      </c>
      <c r="BC480" s="13" t="s">
        <v>14</v>
      </c>
      <c r="BD480" s="13">
        <v>2</v>
      </c>
      <c r="BE480" s="13" t="s">
        <v>14</v>
      </c>
      <c r="BF480" s="13">
        <v>2</v>
      </c>
      <c r="BG480" s="13" t="s">
        <v>14</v>
      </c>
      <c r="BH480" s="13">
        <v>2</v>
      </c>
      <c r="BI480" s="13"/>
      <c r="BJ480" s="13"/>
      <c r="BK480" s="13" t="s">
        <v>14</v>
      </c>
      <c r="BL480" s="13">
        <v>2</v>
      </c>
      <c r="BM480" s="13" t="s">
        <v>14</v>
      </c>
      <c r="BN480" s="36">
        <v>2</v>
      </c>
    </row>
    <row r="481" spans="1:66" ht="17.25" customHeight="1" x14ac:dyDescent="0.15">
      <c r="A481" s="85"/>
      <c r="B481" s="49"/>
      <c r="C481" s="49"/>
      <c r="D481" s="56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14</v>
      </c>
      <c r="V481" s="12">
        <v>2</v>
      </c>
      <c r="W481" s="12" t="s">
        <v>14</v>
      </c>
      <c r="X481" s="12">
        <v>2</v>
      </c>
      <c r="Y481" s="12" t="s">
        <v>14</v>
      </c>
      <c r="Z481" s="12">
        <v>2</v>
      </c>
      <c r="AA481" s="12" t="s">
        <v>14</v>
      </c>
      <c r="AB481" s="12">
        <v>2</v>
      </c>
      <c r="AC481" s="12" t="s">
        <v>14</v>
      </c>
      <c r="AD481" s="12">
        <v>2</v>
      </c>
      <c r="AE481" s="12" t="s">
        <v>14</v>
      </c>
      <c r="AF481" s="12">
        <v>2</v>
      </c>
      <c r="AG481" s="12"/>
      <c r="AH481" s="12"/>
      <c r="AI481" s="12" t="s">
        <v>14</v>
      </c>
      <c r="AJ481" s="12">
        <v>2</v>
      </c>
      <c r="AK481" s="12" t="s">
        <v>14</v>
      </c>
      <c r="AL481" s="12">
        <v>2</v>
      </c>
      <c r="AM481" s="12" t="s">
        <v>14</v>
      </c>
      <c r="AN481" s="12">
        <v>2</v>
      </c>
      <c r="AO481" s="12" t="s">
        <v>14</v>
      </c>
      <c r="AP481" s="12">
        <v>2</v>
      </c>
      <c r="AQ481" s="12" t="s">
        <v>14</v>
      </c>
      <c r="AR481" s="12">
        <v>2</v>
      </c>
      <c r="AS481" s="12" t="s">
        <v>14</v>
      </c>
      <c r="AT481" s="12">
        <v>2</v>
      </c>
      <c r="AU481" s="12"/>
      <c r="AV481" s="12"/>
      <c r="AW481" s="12" t="s">
        <v>14</v>
      </c>
      <c r="AX481" s="12">
        <v>2</v>
      </c>
      <c r="AY481" s="12" t="s">
        <v>14</v>
      </c>
      <c r="AZ481" s="12">
        <v>2</v>
      </c>
      <c r="BA481" s="12" t="s">
        <v>14</v>
      </c>
      <c r="BB481" s="12">
        <v>2</v>
      </c>
      <c r="BC481" s="12" t="s">
        <v>14</v>
      </c>
      <c r="BD481" s="12">
        <v>2</v>
      </c>
      <c r="BE481" s="12" t="s">
        <v>14</v>
      </c>
      <c r="BF481" s="12">
        <v>2</v>
      </c>
      <c r="BG481" s="12" t="s">
        <v>14</v>
      </c>
      <c r="BH481" s="12">
        <v>2</v>
      </c>
      <c r="BI481" s="12"/>
      <c r="BJ481" s="12"/>
      <c r="BK481" s="12" t="s">
        <v>14</v>
      </c>
      <c r="BL481" s="12">
        <v>2</v>
      </c>
      <c r="BM481" s="12" t="s">
        <v>14</v>
      </c>
      <c r="BN481" s="35">
        <v>2</v>
      </c>
    </row>
    <row r="482" spans="1:66" ht="17.25" customHeight="1" x14ac:dyDescent="0.15">
      <c r="A482" s="85"/>
      <c r="B482" s="49"/>
      <c r="C482" s="49"/>
      <c r="D482" s="58" t="s">
        <v>49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 t="s">
        <v>15</v>
      </c>
      <c r="V482" s="14"/>
      <c r="W482" s="14" t="s">
        <v>15</v>
      </c>
      <c r="X482" s="14"/>
      <c r="Y482" s="14" t="s">
        <v>15</v>
      </c>
      <c r="Z482" s="14"/>
      <c r="AA482" s="14" t="s">
        <v>15</v>
      </c>
      <c r="AB482" s="14"/>
      <c r="AC482" s="14" t="s">
        <v>15</v>
      </c>
      <c r="AD482" s="14"/>
      <c r="AE482" s="14" t="s">
        <v>15</v>
      </c>
      <c r="AF482" s="14"/>
      <c r="AG482" s="14"/>
      <c r="AH482" s="14"/>
      <c r="AI482" s="14" t="s">
        <v>15</v>
      </c>
      <c r="AJ482" s="14"/>
      <c r="AK482" s="14" t="s">
        <v>15</v>
      </c>
      <c r="AL482" s="14"/>
      <c r="AM482" s="14" t="s">
        <v>15</v>
      </c>
      <c r="AN482" s="14"/>
      <c r="AO482" s="14" t="s">
        <v>15</v>
      </c>
      <c r="AP482" s="14"/>
      <c r="AQ482" s="14" t="s">
        <v>15</v>
      </c>
      <c r="AR482" s="14"/>
      <c r="AS482" s="14" t="s">
        <v>15</v>
      </c>
      <c r="AT482" s="14"/>
      <c r="AU482" s="14"/>
      <c r="AV482" s="14"/>
      <c r="AW482" s="14" t="s">
        <v>15</v>
      </c>
      <c r="AX482" s="14"/>
      <c r="AY482" s="14" t="s">
        <v>15</v>
      </c>
      <c r="AZ482" s="14"/>
      <c r="BA482" s="14" t="s">
        <v>15</v>
      </c>
      <c r="BB482" s="14"/>
      <c r="BC482" s="14" t="s">
        <v>15</v>
      </c>
      <c r="BD482" s="14"/>
      <c r="BE482" s="14" t="s">
        <v>15</v>
      </c>
      <c r="BF482" s="14"/>
      <c r="BG482" s="14" t="s">
        <v>15</v>
      </c>
      <c r="BH482" s="14"/>
      <c r="BI482" s="14"/>
      <c r="BJ482" s="14"/>
      <c r="BK482" s="14" t="s">
        <v>15</v>
      </c>
      <c r="BL482" s="14"/>
      <c r="BM482" s="14" t="s">
        <v>15</v>
      </c>
      <c r="BN482" s="37"/>
    </row>
    <row r="483" spans="1:66" ht="17.25" customHeight="1" thickBot="1" x14ac:dyDescent="0.2">
      <c r="A483" s="86"/>
      <c r="B483" s="50"/>
      <c r="C483" s="50"/>
      <c r="D483" s="59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38"/>
    </row>
    <row r="484" spans="1:66" ht="17.25" customHeight="1" x14ac:dyDescent="0.15">
      <c r="A484" s="84"/>
      <c r="B484" s="48"/>
      <c r="C484" s="48"/>
      <c r="D484" s="55" t="s">
        <v>45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34"/>
    </row>
    <row r="485" spans="1:66" ht="17.25" customHeight="1" x14ac:dyDescent="0.15">
      <c r="A485" s="85"/>
      <c r="B485" s="49"/>
      <c r="C485" s="49"/>
      <c r="D485" s="56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35"/>
    </row>
    <row r="486" spans="1:66" ht="17.25" customHeight="1" x14ac:dyDescent="0.15">
      <c r="A486" s="85"/>
      <c r="B486" s="49"/>
      <c r="C486" s="49"/>
      <c r="D486" s="57" t="s">
        <v>47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36"/>
    </row>
    <row r="487" spans="1:66" ht="17.25" customHeight="1" x14ac:dyDescent="0.15">
      <c r="A487" s="85"/>
      <c r="B487" s="49"/>
      <c r="C487" s="49"/>
      <c r="D487" s="56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35"/>
    </row>
    <row r="488" spans="1:66" ht="17.25" customHeight="1" x14ac:dyDescent="0.15">
      <c r="A488" s="85"/>
      <c r="B488" s="49"/>
      <c r="C488" s="49"/>
      <c r="D488" s="58" t="s">
        <v>49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37"/>
    </row>
    <row r="489" spans="1:66" ht="17.25" customHeight="1" thickBot="1" x14ac:dyDescent="0.2">
      <c r="A489" s="86"/>
      <c r="B489" s="50"/>
      <c r="C489" s="50"/>
      <c r="D489" s="59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38"/>
    </row>
    <row r="490" spans="1:66" ht="17.25" customHeight="1" x14ac:dyDescent="0.15">
      <c r="A490" s="84"/>
      <c r="B490" s="48"/>
      <c r="C490" s="48"/>
      <c r="D490" s="55" t="s">
        <v>45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34"/>
    </row>
    <row r="491" spans="1:66" ht="17.25" customHeight="1" x14ac:dyDescent="0.15">
      <c r="A491" s="85"/>
      <c r="B491" s="49"/>
      <c r="C491" s="49"/>
      <c r="D491" s="56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35"/>
    </row>
    <row r="492" spans="1:66" ht="17.25" customHeight="1" x14ac:dyDescent="0.15">
      <c r="A492" s="85"/>
      <c r="B492" s="49"/>
      <c r="C492" s="49"/>
      <c r="D492" s="57" t="s">
        <v>47</v>
      </c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36"/>
    </row>
    <row r="493" spans="1:66" ht="17.25" customHeight="1" x14ac:dyDescent="0.15">
      <c r="A493" s="85"/>
      <c r="B493" s="49"/>
      <c r="C493" s="49"/>
      <c r="D493" s="56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35"/>
    </row>
    <row r="494" spans="1:66" ht="17.25" customHeight="1" x14ac:dyDescent="0.15">
      <c r="A494" s="85"/>
      <c r="B494" s="49"/>
      <c r="C494" s="49"/>
      <c r="D494" s="58" t="s">
        <v>49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37"/>
    </row>
    <row r="495" spans="1:66" ht="17.25" customHeight="1" thickBot="1" x14ac:dyDescent="0.2">
      <c r="A495" s="86"/>
      <c r="B495" s="50"/>
      <c r="C495" s="50"/>
      <c r="D495" s="59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38"/>
    </row>
    <row r="496" spans="1:66" ht="17.25" customHeight="1" x14ac:dyDescent="0.15">
      <c r="A496" s="84"/>
      <c r="B496" s="48"/>
      <c r="C496" s="48"/>
      <c r="D496" s="55" t="s">
        <v>45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34"/>
    </row>
    <row r="497" spans="1:66" ht="17.25" customHeight="1" x14ac:dyDescent="0.15">
      <c r="A497" s="85"/>
      <c r="B497" s="49"/>
      <c r="C497" s="49"/>
      <c r="D497" s="56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35"/>
    </row>
    <row r="498" spans="1:66" ht="17.25" customHeight="1" x14ac:dyDescent="0.15">
      <c r="A498" s="85"/>
      <c r="B498" s="49"/>
      <c r="C498" s="49"/>
      <c r="D498" s="57" t="s">
        <v>47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36"/>
    </row>
    <row r="499" spans="1:66" ht="17.25" customHeight="1" x14ac:dyDescent="0.15">
      <c r="A499" s="85"/>
      <c r="B499" s="49"/>
      <c r="C499" s="49"/>
      <c r="D499" s="56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35"/>
    </row>
    <row r="500" spans="1:66" ht="17.25" customHeight="1" x14ac:dyDescent="0.15">
      <c r="A500" s="85"/>
      <c r="B500" s="49"/>
      <c r="C500" s="49"/>
      <c r="D500" s="58" t="s">
        <v>49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37"/>
    </row>
    <row r="501" spans="1:66" ht="17.25" customHeight="1" thickBot="1" x14ac:dyDescent="0.2">
      <c r="A501" s="86"/>
      <c r="B501" s="50"/>
      <c r="C501" s="50"/>
      <c r="D501" s="59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38"/>
    </row>
    <row r="502" spans="1:66" ht="17.25" customHeight="1" x14ac:dyDescent="0.15">
      <c r="A502" s="84"/>
      <c r="B502" s="72"/>
      <c r="C502" s="48"/>
      <c r="D502" s="55" t="s">
        <v>45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34"/>
    </row>
    <row r="503" spans="1:66" ht="17.25" customHeight="1" x14ac:dyDescent="0.15">
      <c r="A503" s="85"/>
      <c r="B503" s="73"/>
      <c r="C503" s="49"/>
      <c r="D503" s="56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35"/>
    </row>
    <row r="504" spans="1:66" ht="17.25" customHeight="1" x14ac:dyDescent="0.15">
      <c r="A504" s="85"/>
      <c r="B504" s="73"/>
      <c r="C504" s="49"/>
      <c r="D504" s="57" t="s">
        <v>47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36"/>
    </row>
    <row r="505" spans="1:66" ht="17.25" customHeight="1" x14ac:dyDescent="0.15">
      <c r="A505" s="85"/>
      <c r="B505" s="73"/>
      <c r="C505" s="49"/>
      <c r="D505" s="56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35"/>
    </row>
    <row r="506" spans="1:66" ht="17.25" customHeight="1" x14ac:dyDescent="0.15">
      <c r="A506" s="85"/>
      <c r="B506" s="73"/>
      <c r="C506" s="49"/>
      <c r="D506" s="58" t="s">
        <v>49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37"/>
    </row>
    <row r="507" spans="1:66" ht="17.25" customHeight="1" thickBot="1" x14ac:dyDescent="0.2">
      <c r="A507" s="86"/>
      <c r="B507" s="74"/>
      <c r="C507" s="50"/>
      <c r="D507" s="59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38"/>
    </row>
    <row r="508" spans="1:66" ht="17.25" customHeight="1" x14ac:dyDescent="0.15">
      <c r="A508" s="84"/>
      <c r="B508" s="48"/>
      <c r="C508" s="48"/>
      <c r="D508" s="55" t="s">
        <v>45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34"/>
    </row>
    <row r="509" spans="1:66" ht="17.25" customHeight="1" x14ac:dyDescent="0.15">
      <c r="A509" s="85"/>
      <c r="B509" s="49"/>
      <c r="C509" s="49"/>
      <c r="D509" s="56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35"/>
    </row>
    <row r="510" spans="1:66" ht="17.25" customHeight="1" x14ac:dyDescent="0.15">
      <c r="A510" s="85"/>
      <c r="B510" s="49"/>
      <c r="C510" s="49"/>
      <c r="D510" s="57" t="s">
        <v>47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36"/>
    </row>
    <row r="511" spans="1:66" ht="17.25" customHeight="1" x14ac:dyDescent="0.15">
      <c r="A511" s="85"/>
      <c r="B511" s="49"/>
      <c r="C511" s="49"/>
      <c r="D511" s="56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35"/>
    </row>
    <row r="512" spans="1:66" ht="17.25" customHeight="1" x14ac:dyDescent="0.15">
      <c r="A512" s="85"/>
      <c r="B512" s="49"/>
      <c r="C512" s="49"/>
      <c r="D512" s="58" t="s">
        <v>49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37"/>
    </row>
    <row r="513" spans="1:66" ht="17.25" customHeight="1" thickBot="1" x14ac:dyDescent="0.2">
      <c r="A513" s="86"/>
      <c r="B513" s="50"/>
      <c r="C513" s="50"/>
      <c r="D513" s="59"/>
      <c r="E513" s="15"/>
      <c r="F513" s="15"/>
      <c r="G513" s="15"/>
      <c r="H513" s="15"/>
      <c r="I513" s="15"/>
      <c r="J513" s="15"/>
      <c r="K513" s="15"/>
      <c r="L513" s="15"/>
      <c r="M513" s="15"/>
      <c r="N513" s="14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38"/>
    </row>
    <row r="514" spans="1:66" ht="17.25" customHeight="1" x14ac:dyDescent="0.15">
      <c r="A514" s="84"/>
      <c r="B514" s="48"/>
      <c r="C514" s="48"/>
      <c r="D514" s="51" t="s">
        <v>45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34"/>
    </row>
    <row r="515" spans="1:66" ht="17.25" customHeight="1" x14ac:dyDescent="0.15">
      <c r="A515" s="85"/>
      <c r="B515" s="49"/>
      <c r="C515" s="49"/>
      <c r="D515" s="5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35"/>
    </row>
    <row r="516" spans="1:66" ht="17.25" customHeight="1" x14ac:dyDescent="0.15">
      <c r="A516" s="85"/>
      <c r="B516" s="49"/>
      <c r="C516" s="49"/>
      <c r="D516" s="53" t="s">
        <v>47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36"/>
    </row>
    <row r="517" spans="1:66" ht="17.25" customHeight="1" x14ac:dyDescent="0.15">
      <c r="A517" s="85"/>
      <c r="B517" s="49"/>
      <c r="C517" s="49"/>
      <c r="D517" s="5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35"/>
    </row>
    <row r="518" spans="1:66" ht="17.25" customHeight="1" x14ac:dyDescent="0.15">
      <c r="A518" s="85"/>
      <c r="B518" s="49"/>
      <c r="C518" s="49"/>
      <c r="D518" s="53" t="s">
        <v>49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37"/>
    </row>
    <row r="519" spans="1:66" ht="17.25" customHeight="1" thickBot="1" x14ac:dyDescent="0.2">
      <c r="A519" s="86"/>
      <c r="B519" s="50"/>
      <c r="C519" s="50"/>
      <c r="D519" s="54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38"/>
    </row>
    <row r="520" spans="1:66" ht="17.25" customHeight="1" x14ac:dyDescent="0.15">
      <c r="A520" s="84"/>
      <c r="B520" s="48"/>
      <c r="C520" s="48"/>
      <c r="D520" s="55" t="s">
        <v>45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34"/>
    </row>
    <row r="521" spans="1:66" ht="17.25" customHeight="1" x14ac:dyDescent="0.15">
      <c r="A521" s="85"/>
      <c r="B521" s="49"/>
      <c r="C521" s="49"/>
      <c r="D521" s="56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35"/>
    </row>
    <row r="522" spans="1:66" ht="17.25" customHeight="1" x14ac:dyDescent="0.15">
      <c r="A522" s="85"/>
      <c r="B522" s="49"/>
      <c r="C522" s="49"/>
      <c r="D522" s="57" t="s">
        <v>47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36"/>
    </row>
    <row r="523" spans="1:66" ht="17.25" customHeight="1" x14ac:dyDescent="0.15">
      <c r="A523" s="85"/>
      <c r="B523" s="49"/>
      <c r="C523" s="49"/>
      <c r="D523" s="56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35"/>
    </row>
    <row r="524" spans="1:66" ht="17.25" customHeight="1" x14ac:dyDescent="0.15">
      <c r="A524" s="85"/>
      <c r="B524" s="49"/>
      <c r="C524" s="49"/>
      <c r="D524" s="58" t="s">
        <v>49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37"/>
    </row>
    <row r="525" spans="1:66" ht="17.25" customHeight="1" thickBot="1" x14ac:dyDescent="0.2">
      <c r="A525" s="86"/>
      <c r="B525" s="50"/>
      <c r="C525" s="50"/>
      <c r="D525" s="59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38"/>
    </row>
    <row r="526" spans="1:66" ht="17.25" customHeight="1" x14ac:dyDescent="0.15">
      <c r="A526" s="84"/>
      <c r="B526" s="48"/>
      <c r="C526" s="48"/>
      <c r="D526" s="55" t="s">
        <v>45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34"/>
    </row>
    <row r="527" spans="1:66" ht="17.25" customHeight="1" x14ac:dyDescent="0.15">
      <c r="A527" s="85"/>
      <c r="B527" s="49"/>
      <c r="C527" s="49"/>
      <c r="D527" s="56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35"/>
    </row>
    <row r="528" spans="1:66" ht="17.25" customHeight="1" x14ac:dyDescent="0.15">
      <c r="A528" s="85"/>
      <c r="B528" s="49"/>
      <c r="C528" s="49"/>
      <c r="D528" s="57" t="s">
        <v>47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36"/>
    </row>
    <row r="529" spans="1:66" ht="17.25" customHeight="1" x14ac:dyDescent="0.15">
      <c r="A529" s="85"/>
      <c r="B529" s="49"/>
      <c r="C529" s="49"/>
      <c r="D529" s="56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35"/>
    </row>
    <row r="530" spans="1:66" ht="17.25" customHeight="1" x14ac:dyDescent="0.15">
      <c r="A530" s="85"/>
      <c r="B530" s="49"/>
      <c r="C530" s="49"/>
      <c r="D530" s="58" t="s">
        <v>49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37"/>
    </row>
    <row r="531" spans="1:66" ht="17.25" customHeight="1" thickBot="1" x14ac:dyDescent="0.2">
      <c r="A531" s="86"/>
      <c r="B531" s="50"/>
      <c r="C531" s="50"/>
      <c r="D531" s="59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38"/>
    </row>
    <row r="532" spans="1:66" ht="17.25" customHeight="1" x14ac:dyDescent="0.15">
      <c r="A532" s="84"/>
      <c r="B532" s="48"/>
      <c r="C532" s="48"/>
      <c r="D532" s="55" t="s">
        <v>45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34"/>
    </row>
    <row r="533" spans="1:66" ht="17.25" customHeight="1" x14ac:dyDescent="0.15">
      <c r="A533" s="85"/>
      <c r="B533" s="49"/>
      <c r="C533" s="49"/>
      <c r="D533" s="56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35"/>
    </row>
    <row r="534" spans="1:66" ht="17.25" customHeight="1" x14ac:dyDescent="0.15">
      <c r="A534" s="85"/>
      <c r="B534" s="49"/>
      <c r="C534" s="49"/>
      <c r="D534" s="57" t="s">
        <v>47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36"/>
    </row>
    <row r="535" spans="1:66" ht="17.25" customHeight="1" x14ac:dyDescent="0.15">
      <c r="A535" s="85"/>
      <c r="B535" s="49"/>
      <c r="C535" s="49"/>
      <c r="D535" s="56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35"/>
    </row>
    <row r="536" spans="1:66" ht="17.25" customHeight="1" x14ac:dyDescent="0.15">
      <c r="A536" s="85"/>
      <c r="B536" s="49"/>
      <c r="C536" s="49"/>
      <c r="D536" s="58" t="s">
        <v>49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37"/>
    </row>
    <row r="537" spans="1:66" ht="17.25" customHeight="1" thickBot="1" x14ac:dyDescent="0.2">
      <c r="A537" s="86"/>
      <c r="B537" s="50"/>
      <c r="C537" s="50"/>
      <c r="D537" s="59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38"/>
    </row>
    <row r="538" spans="1:66" ht="17.25" customHeight="1" x14ac:dyDescent="0.15">
      <c r="A538" s="84"/>
      <c r="B538" s="48"/>
      <c r="C538" s="48"/>
      <c r="D538" s="55" t="s">
        <v>45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26"/>
    </row>
    <row r="539" spans="1:66" ht="17.25" customHeight="1" x14ac:dyDescent="0.15">
      <c r="A539" s="85"/>
      <c r="B539" s="49"/>
      <c r="C539" s="49"/>
      <c r="D539" s="5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30"/>
    </row>
    <row r="540" spans="1:66" ht="17.25" customHeight="1" x14ac:dyDescent="0.15">
      <c r="A540" s="85"/>
      <c r="B540" s="49"/>
      <c r="C540" s="49"/>
      <c r="D540" s="57" t="s">
        <v>47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31"/>
    </row>
    <row r="541" spans="1:66" ht="17.25" customHeight="1" x14ac:dyDescent="0.15">
      <c r="A541" s="85"/>
      <c r="B541" s="49"/>
      <c r="C541" s="49"/>
      <c r="D541" s="5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30"/>
    </row>
    <row r="542" spans="1:66" ht="17.25" customHeight="1" x14ac:dyDescent="0.15">
      <c r="A542" s="85"/>
      <c r="B542" s="49"/>
      <c r="C542" s="49"/>
      <c r="D542" s="58" t="s">
        <v>49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32"/>
    </row>
    <row r="543" spans="1:66" ht="17.25" customHeight="1" thickBot="1" x14ac:dyDescent="0.2">
      <c r="A543" s="86"/>
      <c r="B543" s="50"/>
      <c r="C543" s="50"/>
      <c r="D543" s="59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33"/>
    </row>
    <row r="544" spans="1:66" ht="17.25" customHeight="1" x14ac:dyDescent="0.15">
      <c r="A544" s="84"/>
      <c r="B544" s="48"/>
      <c r="C544" s="48"/>
      <c r="D544" s="55" t="s">
        <v>45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26"/>
    </row>
    <row r="545" spans="1:66" ht="17.25" customHeight="1" x14ac:dyDescent="0.15">
      <c r="A545" s="85"/>
      <c r="B545" s="49"/>
      <c r="C545" s="49"/>
      <c r="D545" s="5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30"/>
    </row>
    <row r="546" spans="1:66" ht="17.25" customHeight="1" x14ac:dyDescent="0.15">
      <c r="A546" s="85"/>
      <c r="B546" s="49"/>
      <c r="C546" s="49"/>
      <c r="D546" s="57" t="s">
        <v>47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31"/>
    </row>
    <row r="547" spans="1:66" ht="17.25" customHeight="1" x14ac:dyDescent="0.15">
      <c r="A547" s="85"/>
      <c r="B547" s="49"/>
      <c r="C547" s="49"/>
      <c r="D547" s="5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30"/>
    </row>
    <row r="548" spans="1:66" ht="17.25" customHeight="1" x14ac:dyDescent="0.15">
      <c r="A548" s="85"/>
      <c r="B548" s="49"/>
      <c r="C548" s="49"/>
      <c r="D548" s="58" t="s">
        <v>49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32"/>
    </row>
    <row r="549" spans="1:66" ht="17.25" customHeight="1" x14ac:dyDescent="0.15">
      <c r="A549" s="86"/>
      <c r="B549" s="50"/>
      <c r="C549" s="50"/>
      <c r="D549" s="59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33"/>
    </row>
    <row r="550" spans="1:66" ht="17.25" customHeight="1" x14ac:dyDescent="0.15">
      <c r="A550" s="84"/>
      <c r="B550" s="48"/>
      <c r="C550" s="48"/>
      <c r="D550" s="55" t="s">
        <v>45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26"/>
    </row>
    <row r="551" spans="1:66" ht="17.25" customHeight="1" x14ac:dyDescent="0.15">
      <c r="A551" s="85"/>
      <c r="B551" s="49"/>
      <c r="C551" s="49"/>
      <c r="D551" s="5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30"/>
    </row>
    <row r="552" spans="1:66" ht="17.25" customHeight="1" x14ac:dyDescent="0.15">
      <c r="A552" s="85"/>
      <c r="B552" s="49"/>
      <c r="C552" s="49"/>
      <c r="D552" s="57" t="s">
        <v>47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31"/>
    </row>
    <row r="553" spans="1:66" ht="17.25" customHeight="1" x14ac:dyDescent="0.15">
      <c r="A553" s="85"/>
      <c r="B553" s="49"/>
      <c r="C553" s="49"/>
      <c r="D553" s="5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30"/>
    </row>
    <row r="554" spans="1:66" ht="17.25" customHeight="1" x14ac:dyDescent="0.15">
      <c r="A554" s="85"/>
      <c r="B554" s="49"/>
      <c r="C554" s="49"/>
      <c r="D554" s="58" t="s">
        <v>49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32"/>
    </row>
    <row r="555" spans="1:66" ht="17.25" customHeight="1" x14ac:dyDescent="0.15">
      <c r="A555" s="86"/>
      <c r="B555" s="50"/>
      <c r="C555" s="50"/>
      <c r="D555" s="59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33"/>
    </row>
    <row r="556" spans="1:66" ht="17.25" customHeight="1" x14ac:dyDescent="0.15">
      <c r="A556" s="84"/>
      <c r="B556" s="48"/>
      <c r="C556" s="48"/>
      <c r="D556" s="55" t="s">
        <v>45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26"/>
    </row>
    <row r="557" spans="1:66" ht="17.25" customHeight="1" x14ac:dyDescent="0.15">
      <c r="A557" s="85"/>
      <c r="B557" s="49"/>
      <c r="C557" s="49"/>
      <c r="D557" s="5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30"/>
    </row>
    <row r="558" spans="1:66" ht="17.25" customHeight="1" x14ac:dyDescent="0.15">
      <c r="A558" s="85"/>
      <c r="B558" s="49"/>
      <c r="C558" s="49"/>
      <c r="D558" s="57" t="s">
        <v>47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31"/>
    </row>
    <row r="559" spans="1:66" ht="17.25" customHeight="1" x14ac:dyDescent="0.15">
      <c r="A559" s="85"/>
      <c r="B559" s="49"/>
      <c r="C559" s="49"/>
      <c r="D559" s="5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30"/>
    </row>
    <row r="560" spans="1:66" ht="17.25" customHeight="1" x14ac:dyDescent="0.15">
      <c r="A560" s="85"/>
      <c r="B560" s="49"/>
      <c r="C560" s="49"/>
      <c r="D560" s="58" t="s">
        <v>49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32"/>
    </row>
    <row r="561" spans="1:66" ht="17.25" customHeight="1" thickBot="1" x14ac:dyDescent="0.2">
      <c r="A561" s="86"/>
      <c r="B561" s="50"/>
      <c r="C561" s="50"/>
      <c r="D561" s="59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33"/>
    </row>
    <row r="562" spans="1:66" ht="17.25" customHeight="1" x14ac:dyDescent="0.15">
      <c r="A562" s="84"/>
      <c r="B562" s="48"/>
      <c r="C562" s="48"/>
      <c r="D562" s="55" t="s">
        <v>45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26"/>
    </row>
    <row r="563" spans="1:66" ht="17.25" customHeight="1" x14ac:dyDescent="0.15">
      <c r="A563" s="85"/>
      <c r="B563" s="49"/>
      <c r="C563" s="49"/>
      <c r="D563" s="5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30"/>
    </row>
    <row r="564" spans="1:66" ht="17.25" customHeight="1" x14ac:dyDescent="0.15">
      <c r="A564" s="85"/>
      <c r="B564" s="49"/>
      <c r="C564" s="49"/>
      <c r="D564" s="57" t="s">
        <v>47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31"/>
    </row>
    <row r="565" spans="1:66" ht="17.25" customHeight="1" x14ac:dyDescent="0.15">
      <c r="A565" s="85"/>
      <c r="B565" s="49"/>
      <c r="C565" s="49"/>
      <c r="D565" s="5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30"/>
    </row>
    <row r="566" spans="1:66" ht="17.25" customHeight="1" x14ac:dyDescent="0.15">
      <c r="A566" s="85"/>
      <c r="B566" s="49"/>
      <c r="C566" s="49"/>
      <c r="D566" s="58" t="s">
        <v>49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32"/>
    </row>
    <row r="567" spans="1:66" ht="17.25" customHeight="1" thickBot="1" x14ac:dyDescent="0.2">
      <c r="A567" s="86"/>
      <c r="B567" s="50"/>
      <c r="C567" s="50"/>
      <c r="D567" s="59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33"/>
    </row>
    <row r="568" spans="1:66" ht="17.25" customHeight="1" x14ac:dyDescent="0.15">
      <c r="A568" s="84"/>
      <c r="B568" s="48"/>
      <c r="C568" s="48"/>
      <c r="D568" s="55" t="s">
        <v>45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26"/>
    </row>
    <row r="569" spans="1:66" ht="17.25" customHeight="1" x14ac:dyDescent="0.15">
      <c r="A569" s="85"/>
      <c r="B569" s="49"/>
      <c r="C569" s="49"/>
      <c r="D569" s="5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30"/>
    </row>
    <row r="570" spans="1:66" ht="17.25" customHeight="1" x14ac:dyDescent="0.15">
      <c r="A570" s="85"/>
      <c r="B570" s="49"/>
      <c r="C570" s="49"/>
      <c r="D570" s="57" t="s">
        <v>47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31"/>
    </row>
    <row r="571" spans="1:66" ht="17.25" customHeight="1" x14ac:dyDescent="0.15">
      <c r="A571" s="85"/>
      <c r="B571" s="49"/>
      <c r="C571" s="49"/>
      <c r="D571" s="5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30"/>
    </row>
    <row r="572" spans="1:66" ht="17.25" customHeight="1" x14ac:dyDescent="0.15">
      <c r="A572" s="85"/>
      <c r="B572" s="49"/>
      <c r="C572" s="49"/>
      <c r="D572" s="58" t="s">
        <v>49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32"/>
    </row>
    <row r="573" spans="1:66" ht="17.25" customHeight="1" thickBot="1" x14ac:dyDescent="0.2">
      <c r="A573" s="86"/>
      <c r="B573" s="50"/>
      <c r="C573" s="50"/>
      <c r="D573" s="59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33"/>
    </row>
    <row r="574" spans="1:66" ht="17.25" customHeight="1" x14ac:dyDescent="0.15">
      <c r="A574" s="84"/>
      <c r="B574" s="48"/>
      <c r="C574" s="48"/>
      <c r="D574" s="55" t="s">
        <v>45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26"/>
    </row>
    <row r="575" spans="1:66" ht="17.25" customHeight="1" x14ac:dyDescent="0.15">
      <c r="A575" s="85"/>
      <c r="B575" s="49"/>
      <c r="C575" s="49"/>
      <c r="D575" s="5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30"/>
    </row>
    <row r="576" spans="1:66" ht="17.25" customHeight="1" x14ac:dyDescent="0.15">
      <c r="A576" s="85"/>
      <c r="B576" s="49"/>
      <c r="C576" s="49"/>
      <c r="D576" s="57" t="s">
        <v>47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31"/>
    </row>
    <row r="577" spans="1:66" ht="17.25" customHeight="1" x14ac:dyDescent="0.15">
      <c r="A577" s="85"/>
      <c r="B577" s="49"/>
      <c r="C577" s="49"/>
      <c r="D577" s="5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30"/>
    </row>
    <row r="578" spans="1:66" ht="17.25" customHeight="1" x14ac:dyDescent="0.15">
      <c r="A578" s="85"/>
      <c r="B578" s="49"/>
      <c r="C578" s="49"/>
      <c r="D578" s="58" t="s">
        <v>49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32"/>
    </row>
    <row r="579" spans="1:66" ht="17.25" customHeight="1" thickBot="1" x14ac:dyDescent="0.2">
      <c r="A579" s="86"/>
      <c r="B579" s="50"/>
      <c r="C579" s="50"/>
      <c r="D579" s="59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33"/>
    </row>
    <row r="580" spans="1:66" ht="17.25" customHeight="1" x14ac:dyDescent="0.15">
      <c r="A580" s="84"/>
      <c r="B580" s="48"/>
      <c r="C580" s="48"/>
      <c r="D580" s="55" t="s">
        <v>45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26"/>
    </row>
    <row r="581" spans="1:66" ht="17.25" customHeight="1" x14ac:dyDescent="0.15">
      <c r="A581" s="85"/>
      <c r="B581" s="49"/>
      <c r="C581" s="49"/>
      <c r="D581" s="5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30"/>
    </row>
    <row r="582" spans="1:66" ht="17.25" customHeight="1" x14ac:dyDescent="0.15">
      <c r="A582" s="85"/>
      <c r="B582" s="49"/>
      <c r="C582" s="49"/>
      <c r="D582" s="57" t="s">
        <v>47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31"/>
    </row>
    <row r="583" spans="1:66" ht="17.25" customHeight="1" x14ac:dyDescent="0.15">
      <c r="A583" s="85"/>
      <c r="B583" s="49"/>
      <c r="C583" s="49"/>
      <c r="D583" s="5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30"/>
    </row>
    <row r="584" spans="1:66" ht="17.25" customHeight="1" x14ac:dyDescent="0.15">
      <c r="A584" s="85"/>
      <c r="B584" s="49"/>
      <c r="C584" s="49"/>
      <c r="D584" s="58" t="s">
        <v>49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32"/>
    </row>
    <row r="585" spans="1:66" ht="17.25" customHeight="1" thickBot="1" x14ac:dyDescent="0.2">
      <c r="A585" s="86"/>
      <c r="B585" s="50"/>
      <c r="C585" s="50"/>
      <c r="D585" s="59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33"/>
    </row>
    <row r="586" spans="1:66" ht="17.25" customHeight="1" x14ac:dyDescent="0.15">
      <c r="A586" s="84"/>
      <c r="B586" s="48"/>
      <c r="C586" s="48"/>
      <c r="D586" s="55" t="s">
        <v>45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26"/>
    </row>
    <row r="587" spans="1:66" ht="17.25" customHeight="1" x14ac:dyDescent="0.15">
      <c r="A587" s="85"/>
      <c r="B587" s="49"/>
      <c r="C587" s="49"/>
      <c r="D587" s="5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30"/>
    </row>
    <row r="588" spans="1:66" ht="17.25" customHeight="1" x14ac:dyDescent="0.15">
      <c r="A588" s="85"/>
      <c r="B588" s="49"/>
      <c r="C588" s="49"/>
      <c r="D588" s="57" t="s">
        <v>47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31"/>
    </row>
    <row r="589" spans="1:66" ht="17.25" customHeight="1" x14ac:dyDescent="0.15">
      <c r="A589" s="85"/>
      <c r="B589" s="49"/>
      <c r="C589" s="49"/>
      <c r="D589" s="5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30"/>
    </row>
    <row r="590" spans="1:66" ht="17.25" customHeight="1" x14ac:dyDescent="0.15">
      <c r="A590" s="85"/>
      <c r="B590" s="49"/>
      <c r="C590" s="49"/>
      <c r="D590" s="58" t="s">
        <v>49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32"/>
    </row>
    <row r="591" spans="1:66" ht="17.25" customHeight="1" thickBot="1" x14ac:dyDescent="0.2">
      <c r="A591" s="86"/>
      <c r="B591" s="50"/>
      <c r="C591" s="50"/>
      <c r="D591" s="59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33"/>
    </row>
    <row r="592" spans="1:66" ht="17.25" customHeight="1" x14ac:dyDescent="0.15">
      <c r="A592" s="84"/>
      <c r="B592" s="48"/>
      <c r="C592" s="48"/>
      <c r="D592" s="55" t="s">
        <v>45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26"/>
    </row>
    <row r="593" spans="1:66" ht="17.25" customHeight="1" x14ac:dyDescent="0.15">
      <c r="A593" s="85"/>
      <c r="B593" s="49"/>
      <c r="C593" s="49"/>
      <c r="D593" s="5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30"/>
    </row>
    <row r="594" spans="1:66" ht="17.25" customHeight="1" x14ac:dyDescent="0.15">
      <c r="A594" s="85"/>
      <c r="B594" s="49"/>
      <c r="C594" s="49"/>
      <c r="D594" s="57" t="s">
        <v>47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31"/>
    </row>
    <row r="595" spans="1:66" ht="17.25" customHeight="1" x14ac:dyDescent="0.15">
      <c r="A595" s="85"/>
      <c r="B595" s="49"/>
      <c r="C595" s="49"/>
      <c r="D595" s="5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30"/>
    </row>
    <row r="596" spans="1:66" ht="17.25" customHeight="1" x14ac:dyDescent="0.15">
      <c r="A596" s="85"/>
      <c r="B596" s="49"/>
      <c r="C596" s="49"/>
      <c r="D596" s="58" t="s">
        <v>49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32"/>
    </row>
    <row r="597" spans="1:66" ht="17.25" customHeight="1" thickBot="1" x14ac:dyDescent="0.2">
      <c r="A597" s="86"/>
      <c r="B597" s="50"/>
      <c r="C597" s="50"/>
      <c r="D597" s="59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33"/>
    </row>
    <row r="598" spans="1:66" ht="17.25" customHeight="1" x14ac:dyDescent="0.15">
      <c r="A598" s="84"/>
      <c r="B598" s="48"/>
      <c r="C598" s="48"/>
      <c r="D598" s="55" t="s">
        <v>45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26"/>
    </row>
    <row r="599" spans="1:66" ht="17.25" customHeight="1" x14ac:dyDescent="0.15">
      <c r="A599" s="85"/>
      <c r="B599" s="49"/>
      <c r="C599" s="49"/>
      <c r="D599" s="5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30"/>
    </row>
    <row r="600" spans="1:66" ht="17.25" customHeight="1" x14ac:dyDescent="0.15">
      <c r="A600" s="85"/>
      <c r="B600" s="49"/>
      <c r="C600" s="49"/>
      <c r="D600" s="57" t="s">
        <v>47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31"/>
    </row>
    <row r="601" spans="1:66" ht="17.25" customHeight="1" x14ac:dyDescent="0.15">
      <c r="A601" s="85"/>
      <c r="B601" s="49"/>
      <c r="C601" s="49"/>
      <c r="D601" s="5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30"/>
    </row>
    <row r="602" spans="1:66" ht="17.25" customHeight="1" x14ac:dyDescent="0.15">
      <c r="A602" s="85"/>
      <c r="B602" s="49"/>
      <c r="C602" s="49"/>
      <c r="D602" s="58" t="s">
        <v>49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32"/>
    </row>
    <row r="603" spans="1:66" ht="17.25" customHeight="1" thickBot="1" x14ac:dyDescent="0.2">
      <c r="A603" s="86"/>
      <c r="B603" s="50"/>
      <c r="C603" s="50"/>
      <c r="D603" s="59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33"/>
    </row>
    <row r="604" spans="1:66" ht="17.25" customHeight="1" x14ac:dyDescent="0.15">
      <c r="A604" s="84"/>
      <c r="B604" s="48"/>
      <c r="C604" s="48"/>
      <c r="D604" s="55" t="s">
        <v>45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26"/>
    </row>
    <row r="605" spans="1:66" ht="17.25" customHeight="1" x14ac:dyDescent="0.15">
      <c r="A605" s="85"/>
      <c r="B605" s="49"/>
      <c r="C605" s="49"/>
      <c r="D605" s="5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30"/>
    </row>
    <row r="606" spans="1:66" ht="17.25" customHeight="1" x14ac:dyDescent="0.15">
      <c r="A606" s="85"/>
      <c r="B606" s="49"/>
      <c r="C606" s="49"/>
      <c r="D606" s="57" t="s">
        <v>47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31"/>
    </row>
    <row r="607" spans="1:66" ht="17.25" customHeight="1" x14ac:dyDescent="0.15">
      <c r="A607" s="85"/>
      <c r="B607" s="49"/>
      <c r="C607" s="49"/>
      <c r="D607" s="5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30"/>
    </row>
    <row r="608" spans="1:66" ht="17.25" customHeight="1" x14ac:dyDescent="0.15">
      <c r="A608" s="85"/>
      <c r="B608" s="49"/>
      <c r="C608" s="49"/>
      <c r="D608" s="58" t="s">
        <v>49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32"/>
    </row>
    <row r="609" spans="1:66" ht="17.25" customHeight="1" thickBot="1" x14ac:dyDescent="0.2">
      <c r="A609" s="86"/>
      <c r="B609" s="50"/>
      <c r="C609" s="50"/>
      <c r="D609" s="59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33"/>
    </row>
    <row r="610" spans="1:66" ht="17.25" customHeight="1" x14ac:dyDescent="0.15">
      <c r="A610" s="84"/>
      <c r="B610" s="48"/>
      <c r="C610" s="48"/>
      <c r="D610" s="55" t="s">
        <v>45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26"/>
    </row>
    <row r="611" spans="1:66" ht="17.25" customHeight="1" x14ac:dyDescent="0.15">
      <c r="A611" s="85"/>
      <c r="B611" s="49"/>
      <c r="C611" s="49"/>
      <c r="D611" s="5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30"/>
    </row>
    <row r="612" spans="1:66" ht="17.25" customHeight="1" x14ac:dyDescent="0.15">
      <c r="A612" s="85"/>
      <c r="B612" s="49"/>
      <c r="C612" s="49"/>
      <c r="D612" s="57" t="s">
        <v>47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31"/>
    </row>
    <row r="613" spans="1:66" ht="17.25" customHeight="1" x14ac:dyDescent="0.15">
      <c r="A613" s="85"/>
      <c r="B613" s="49"/>
      <c r="C613" s="49"/>
      <c r="D613" s="5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30"/>
    </row>
    <row r="614" spans="1:66" ht="17.25" customHeight="1" x14ac:dyDescent="0.15">
      <c r="A614" s="85"/>
      <c r="B614" s="49"/>
      <c r="C614" s="49"/>
      <c r="D614" s="58" t="s">
        <v>49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32"/>
    </row>
    <row r="615" spans="1:66" ht="17.25" customHeight="1" thickBot="1" x14ac:dyDescent="0.2">
      <c r="A615" s="86"/>
      <c r="B615" s="50"/>
      <c r="C615" s="50"/>
      <c r="D615" s="59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33"/>
    </row>
    <row r="616" spans="1:66" ht="17.25" customHeight="1" x14ac:dyDescent="0.15">
      <c r="A616" s="84"/>
      <c r="B616" s="48"/>
      <c r="C616" s="48"/>
      <c r="D616" s="55" t="s">
        <v>45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26"/>
    </row>
    <row r="617" spans="1:66" ht="17.25" customHeight="1" x14ac:dyDescent="0.15">
      <c r="A617" s="85"/>
      <c r="B617" s="49"/>
      <c r="C617" s="49"/>
      <c r="D617" s="5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30"/>
    </row>
    <row r="618" spans="1:66" ht="17.25" customHeight="1" x14ac:dyDescent="0.15">
      <c r="A618" s="85"/>
      <c r="B618" s="49"/>
      <c r="C618" s="49"/>
      <c r="D618" s="57" t="s">
        <v>47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31"/>
    </row>
    <row r="619" spans="1:66" ht="17.25" customHeight="1" x14ac:dyDescent="0.15">
      <c r="A619" s="85"/>
      <c r="B619" s="49"/>
      <c r="C619" s="49"/>
      <c r="D619" s="5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30"/>
    </row>
    <row r="620" spans="1:66" ht="17.25" customHeight="1" x14ac:dyDescent="0.15">
      <c r="A620" s="85"/>
      <c r="B620" s="49"/>
      <c r="C620" s="49"/>
      <c r="D620" s="58" t="s">
        <v>49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32"/>
    </row>
    <row r="621" spans="1:66" ht="17.25" customHeight="1" thickBot="1" x14ac:dyDescent="0.2">
      <c r="A621" s="86"/>
      <c r="B621" s="50"/>
      <c r="C621" s="50"/>
      <c r="D621" s="59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33"/>
    </row>
    <row r="622" spans="1:66" ht="17.25" customHeight="1" x14ac:dyDescent="0.15">
      <c r="A622" s="84"/>
      <c r="B622" s="48"/>
      <c r="C622" s="48"/>
      <c r="D622" s="55" t="s">
        <v>45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26"/>
    </row>
    <row r="623" spans="1:66" ht="17.25" customHeight="1" x14ac:dyDescent="0.15">
      <c r="A623" s="85"/>
      <c r="B623" s="49"/>
      <c r="C623" s="49"/>
      <c r="D623" s="5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30"/>
    </row>
    <row r="624" spans="1:66" ht="17.25" customHeight="1" x14ac:dyDescent="0.15">
      <c r="A624" s="85"/>
      <c r="B624" s="49"/>
      <c r="C624" s="49"/>
      <c r="D624" s="57" t="s">
        <v>47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31"/>
    </row>
    <row r="625" spans="1:66" ht="17.25" customHeight="1" x14ac:dyDescent="0.15">
      <c r="A625" s="85"/>
      <c r="B625" s="49"/>
      <c r="C625" s="49"/>
      <c r="D625" s="5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30"/>
    </row>
    <row r="626" spans="1:66" ht="17.25" customHeight="1" x14ac:dyDescent="0.15">
      <c r="A626" s="85"/>
      <c r="B626" s="49"/>
      <c r="C626" s="49"/>
      <c r="D626" s="58" t="s">
        <v>49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32"/>
    </row>
    <row r="627" spans="1:66" ht="17.25" customHeight="1" thickBot="1" x14ac:dyDescent="0.2">
      <c r="A627" s="86"/>
      <c r="B627" s="50"/>
      <c r="C627" s="50"/>
      <c r="D627" s="59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33"/>
    </row>
    <row r="628" spans="1:66" ht="17.25" customHeight="1" x14ac:dyDescent="0.15">
      <c r="A628" s="84"/>
      <c r="B628" s="48"/>
      <c r="C628" s="48"/>
      <c r="D628" s="55" t="s">
        <v>45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26"/>
    </row>
    <row r="629" spans="1:66" ht="17.25" customHeight="1" x14ac:dyDescent="0.15">
      <c r="A629" s="85"/>
      <c r="B629" s="49"/>
      <c r="C629" s="49"/>
      <c r="D629" s="5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30"/>
    </row>
    <row r="630" spans="1:66" ht="17.25" customHeight="1" x14ac:dyDescent="0.15">
      <c r="A630" s="85"/>
      <c r="B630" s="49"/>
      <c r="C630" s="49"/>
      <c r="D630" s="57" t="s">
        <v>47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31"/>
    </row>
    <row r="631" spans="1:66" ht="17.25" customHeight="1" x14ac:dyDescent="0.15">
      <c r="A631" s="85"/>
      <c r="B631" s="49"/>
      <c r="C631" s="49"/>
      <c r="D631" s="5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30"/>
    </row>
    <row r="632" spans="1:66" ht="17.25" customHeight="1" x14ac:dyDescent="0.15">
      <c r="A632" s="85"/>
      <c r="B632" s="49"/>
      <c r="C632" s="49"/>
      <c r="D632" s="58" t="s">
        <v>49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32"/>
    </row>
    <row r="633" spans="1:66" ht="17.25" customHeight="1" thickBot="1" x14ac:dyDescent="0.2">
      <c r="A633" s="86"/>
      <c r="B633" s="50"/>
      <c r="C633" s="50"/>
      <c r="D633" s="59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33"/>
    </row>
    <row r="634" spans="1:66" ht="17.25" customHeight="1" x14ac:dyDescent="0.15">
      <c r="A634" s="84"/>
      <c r="B634" s="48"/>
      <c r="C634" s="48"/>
      <c r="D634" s="55" t="s">
        <v>45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26"/>
    </row>
    <row r="635" spans="1:66" ht="17.25" customHeight="1" x14ac:dyDescent="0.15">
      <c r="A635" s="85"/>
      <c r="B635" s="49"/>
      <c r="C635" s="49"/>
      <c r="D635" s="5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30"/>
    </row>
    <row r="636" spans="1:66" ht="17.25" customHeight="1" x14ac:dyDescent="0.15">
      <c r="A636" s="85"/>
      <c r="B636" s="49"/>
      <c r="C636" s="49"/>
      <c r="D636" s="57" t="s">
        <v>47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31"/>
    </row>
    <row r="637" spans="1:66" ht="17.25" customHeight="1" x14ac:dyDescent="0.15">
      <c r="A637" s="85"/>
      <c r="B637" s="49"/>
      <c r="C637" s="49"/>
      <c r="D637" s="5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30"/>
    </row>
    <row r="638" spans="1:66" ht="17.25" customHeight="1" x14ac:dyDescent="0.15">
      <c r="A638" s="85"/>
      <c r="B638" s="49"/>
      <c r="C638" s="49"/>
      <c r="D638" s="58" t="s">
        <v>49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32"/>
    </row>
    <row r="639" spans="1:66" ht="17.25" customHeight="1" x14ac:dyDescent="0.15">
      <c r="A639" s="86"/>
      <c r="B639" s="50"/>
      <c r="C639" s="50"/>
      <c r="D639" s="59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33"/>
    </row>
    <row r="640" spans="1:66" ht="17.25" customHeight="1" x14ac:dyDescent="0.15">
      <c r="A640" s="84"/>
      <c r="B640" s="48"/>
      <c r="C640" s="48"/>
      <c r="D640" s="55" t="s">
        <v>45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26"/>
    </row>
    <row r="641" spans="1:66" ht="17.25" customHeight="1" x14ac:dyDescent="0.15">
      <c r="A641" s="85"/>
      <c r="B641" s="49"/>
      <c r="C641" s="49"/>
      <c r="D641" s="5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30"/>
    </row>
    <row r="642" spans="1:66" ht="17.25" customHeight="1" x14ac:dyDescent="0.15">
      <c r="A642" s="85"/>
      <c r="B642" s="49"/>
      <c r="C642" s="49"/>
      <c r="D642" s="57" t="s">
        <v>47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31"/>
    </row>
    <row r="643" spans="1:66" ht="17.25" customHeight="1" x14ac:dyDescent="0.15">
      <c r="A643" s="85"/>
      <c r="B643" s="49"/>
      <c r="C643" s="49"/>
      <c r="D643" s="5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30"/>
    </row>
    <row r="644" spans="1:66" ht="17.25" customHeight="1" x14ac:dyDescent="0.15">
      <c r="A644" s="85"/>
      <c r="B644" s="49"/>
      <c r="C644" s="49"/>
      <c r="D644" s="58" t="s">
        <v>49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32"/>
    </row>
    <row r="645" spans="1:66" ht="17.25" customHeight="1" x14ac:dyDescent="0.15">
      <c r="A645" s="86"/>
      <c r="B645" s="50"/>
      <c r="C645" s="50"/>
      <c r="D645" s="59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33"/>
    </row>
    <row r="646" spans="1:66" ht="17.25" customHeight="1" x14ac:dyDescent="0.15">
      <c r="A646" s="84"/>
      <c r="B646" s="48"/>
      <c r="C646" s="48"/>
      <c r="D646" s="55" t="s">
        <v>45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26"/>
    </row>
    <row r="647" spans="1:66" ht="17.25" customHeight="1" x14ac:dyDescent="0.15">
      <c r="A647" s="85"/>
      <c r="B647" s="49"/>
      <c r="C647" s="49"/>
      <c r="D647" s="5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30"/>
    </row>
    <row r="648" spans="1:66" ht="17.25" customHeight="1" x14ac:dyDescent="0.15">
      <c r="A648" s="85"/>
      <c r="B648" s="49"/>
      <c r="C648" s="49"/>
      <c r="D648" s="57" t="s">
        <v>47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31"/>
    </row>
    <row r="649" spans="1:66" ht="17.25" customHeight="1" x14ac:dyDescent="0.15">
      <c r="A649" s="85"/>
      <c r="B649" s="49"/>
      <c r="C649" s="49"/>
      <c r="D649" s="5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30"/>
    </row>
    <row r="650" spans="1:66" ht="17.25" customHeight="1" x14ac:dyDescent="0.15">
      <c r="A650" s="85"/>
      <c r="B650" s="49"/>
      <c r="C650" s="49"/>
      <c r="D650" s="58" t="s">
        <v>49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32"/>
    </row>
    <row r="651" spans="1:66" ht="17.25" customHeight="1" x14ac:dyDescent="0.15">
      <c r="A651" s="86"/>
      <c r="B651" s="50"/>
      <c r="C651" s="50"/>
      <c r="D651" s="59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33"/>
    </row>
    <row r="652" spans="1:66" ht="17.25" customHeight="1" x14ac:dyDescent="0.15">
      <c r="A652" s="84"/>
      <c r="B652" s="48"/>
      <c r="C652" s="48"/>
      <c r="D652" s="55" t="s">
        <v>45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26"/>
    </row>
    <row r="653" spans="1:66" ht="17.25" customHeight="1" x14ac:dyDescent="0.15">
      <c r="A653" s="85"/>
      <c r="B653" s="49"/>
      <c r="C653" s="49"/>
      <c r="D653" s="5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30"/>
    </row>
    <row r="654" spans="1:66" ht="17.25" customHeight="1" x14ac:dyDescent="0.15">
      <c r="A654" s="85"/>
      <c r="B654" s="49"/>
      <c r="C654" s="49"/>
      <c r="D654" s="57" t="s">
        <v>47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31"/>
    </row>
    <row r="655" spans="1:66" ht="17.25" customHeight="1" x14ac:dyDescent="0.15">
      <c r="A655" s="85"/>
      <c r="B655" s="49"/>
      <c r="C655" s="49"/>
      <c r="D655" s="5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30"/>
    </row>
    <row r="656" spans="1:66" ht="17.25" customHeight="1" x14ac:dyDescent="0.15">
      <c r="A656" s="85"/>
      <c r="B656" s="49"/>
      <c r="C656" s="49"/>
      <c r="D656" s="58" t="s">
        <v>49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32"/>
    </row>
    <row r="657" spans="1:66" ht="17.25" customHeight="1" x14ac:dyDescent="0.15">
      <c r="A657" s="86"/>
      <c r="B657" s="50"/>
      <c r="C657" s="50"/>
      <c r="D657" s="59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33"/>
    </row>
    <row r="658" spans="1:66" ht="17.25" customHeight="1" x14ac:dyDescent="0.15">
      <c r="A658" s="84"/>
      <c r="B658" s="48"/>
      <c r="C658" s="48"/>
      <c r="D658" s="55" t="s">
        <v>45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26"/>
    </row>
    <row r="659" spans="1:66" ht="17.25" customHeight="1" x14ac:dyDescent="0.15">
      <c r="A659" s="85"/>
      <c r="B659" s="49"/>
      <c r="C659" s="49"/>
      <c r="D659" s="5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30"/>
    </row>
    <row r="660" spans="1:66" ht="17.25" customHeight="1" x14ac:dyDescent="0.15">
      <c r="A660" s="85"/>
      <c r="B660" s="49"/>
      <c r="C660" s="49"/>
      <c r="D660" s="57" t="s">
        <v>47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31"/>
    </row>
    <row r="661" spans="1:66" ht="17.25" customHeight="1" x14ac:dyDescent="0.15">
      <c r="A661" s="85"/>
      <c r="B661" s="49"/>
      <c r="C661" s="49"/>
      <c r="D661" s="5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30"/>
    </row>
    <row r="662" spans="1:66" ht="17.25" customHeight="1" x14ac:dyDescent="0.15">
      <c r="A662" s="85"/>
      <c r="B662" s="49"/>
      <c r="C662" s="49"/>
      <c r="D662" s="58" t="s">
        <v>49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32"/>
    </row>
    <row r="663" spans="1:66" ht="17.25" customHeight="1" x14ac:dyDescent="0.15">
      <c r="A663" s="86"/>
      <c r="B663" s="50"/>
      <c r="C663" s="50"/>
      <c r="D663" s="59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33"/>
    </row>
    <row r="664" spans="1:66" ht="17.25" customHeight="1" x14ac:dyDescent="0.15">
      <c r="A664" s="84"/>
      <c r="B664" s="48"/>
      <c r="C664" s="48"/>
      <c r="D664" s="55" t="s">
        <v>45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26"/>
    </row>
    <row r="665" spans="1:66" ht="17.25" customHeight="1" x14ac:dyDescent="0.15">
      <c r="A665" s="85"/>
      <c r="B665" s="49"/>
      <c r="C665" s="49"/>
      <c r="D665" s="5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30"/>
    </row>
    <row r="666" spans="1:66" ht="17.25" customHeight="1" x14ac:dyDescent="0.15">
      <c r="A666" s="85"/>
      <c r="B666" s="49"/>
      <c r="C666" s="49"/>
      <c r="D666" s="57" t="s">
        <v>47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31"/>
    </row>
    <row r="667" spans="1:66" ht="17.25" customHeight="1" x14ac:dyDescent="0.15">
      <c r="A667" s="85"/>
      <c r="B667" s="49"/>
      <c r="C667" s="49"/>
      <c r="D667" s="5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30"/>
    </row>
    <row r="668" spans="1:66" ht="17.25" customHeight="1" x14ac:dyDescent="0.15">
      <c r="A668" s="85"/>
      <c r="B668" s="49"/>
      <c r="C668" s="49"/>
      <c r="D668" s="58" t="s">
        <v>49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32"/>
    </row>
    <row r="669" spans="1:66" ht="17.25" customHeight="1" x14ac:dyDescent="0.15">
      <c r="A669" s="86"/>
      <c r="B669" s="50"/>
      <c r="C669" s="50"/>
      <c r="D669" s="59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33"/>
    </row>
    <row r="670" spans="1:66" ht="17.25" customHeight="1" x14ac:dyDescent="0.15">
      <c r="A670" s="84"/>
      <c r="B670" s="48"/>
      <c r="C670" s="48"/>
      <c r="D670" s="55" t="s">
        <v>45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26"/>
    </row>
    <row r="671" spans="1:66" ht="17.25" customHeight="1" x14ac:dyDescent="0.15">
      <c r="A671" s="85"/>
      <c r="B671" s="49"/>
      <c r="C671" s="49"/>
      <c r="D671" s="5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30"/>
    </row>
    <row r="672" spans="1:66" ht="17.25" customHeight="1" x14ac:dyDescent="0.15">
      <c r="A672" s="85"/>
      <c r="B672" s="49"/>
      <c r="C672" s="49"/>
      <c r="D672" s="57" t="s">
        <v>47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31"/>
    </row>
    <row r="673" spans="1:66" ht="17.25" customHeight="1" x14ac:dyDescent="0.15">
      <c r="A673" s="85"/>
      <c r="B673" s="49"/>
      <c r="C673" s="49"/>
      <c r="D673" s="5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30"/>
    </row>
    <row r="674" spans="1:66" ht="17.25" customHeight="1" x14ac:dyDescent="0.15">
      <c r="A674" s="85"/>
      <c r="B674" s="49"/>
      <c r="C674" s="49"/>
      <c r="D674" s="58" t="s">
        <v>49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32"/>
    </row>
    <row r="675" spans="1:66" ht="17.25" customHeight="1" x14ac:dyDescent="0.15">
      <c r="A675" s="86"/>
      <c r="B675" s="50"/>
      <c r="C675" s="50"/>
      <c r="D675" s="59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33"/>
    </row>
    <row r="676" spans="1:66" ht="17.25" customHeight="1" x14ac:dyDescent="0.15">
      <c r="A676" s="84"/>
      <c r="B676" s="48"/>
      <c r="C676" s="48"/>
      <c r="D676" s="55" t="s">
        <v>45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26"/>
    </row>
    <row r="677" spans="1:66" ht="17.25" customHeight="1" x14ac:dyDescent="0.15">
      <c r="A677" s="85"/>
      <c r="B677" s="49"/>
      <c r="C677" s="49"/>
      <c r="D677" s="5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30"/>
    </row>
    <row r="678" spans="1:66" ht="17.25" customHeight="1" x14ac:dyDescent="0.15">
      <c r="A678" s="85"/>
      <c r="B678" s="49"/>
      <c r="C678" s="49"/>
      <c r="D678" s="57" t="s">
        <v>47</v>
      </c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31"/>
    </row>
    <row r="679" spans="1:66" ht="17.25" customHeight="1" x14ac:dyDescent="0.15">
      <c r="A679" s="85"/>
      <c r="B679" s="49"/>
      <c r="C679" s="49"/>
      <c r="D679" s="5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30"/>
    </row>
    <row r="680" spans="1:66" ht="17.25" customHeight="1" x14ac:dyDescent="0.15">
      <c r="A680" s="85"/>
      <c r="B680" s="49"/>
      <c r="C680" s="49"/>
      <c r="D680" s="58" t="s">
        <v>49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32"/>
    </row>
    <row r="681" spans="1:66" ht="17.25" customHeight="1" x14ac:dyDescent="0.15">
      <c r="A681" s="86"/>
      <c r="B681" s="50"/>
      <c r="C681" s="50"/>
      <c r="D681" s="59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33"/>
    </row>
    <row r="682" spans="1:66" ht="17.25" customHeight="1" x14ac:dyDescent="0.15">
      <c r="A682" s="84"/>
      <c r="B682" s="48"/>
      <c r="C682" s="48"/>
      <c r="D682" s="55" t="s">
        <v>45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26"/>
    </row>
    <row r="683" spans="1:66" ht="17.25" customHeight="1" x14ac:dyDescent="0.15">
      <c r="A683" s="85"/>
      <c r="B683" s="49"/>
      <c r="C683" s="49"/>
      <c r="D683" s="5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30"/>
    </row>
    <row r="684" spans="1:66" ht="17.25" customHeight="1" x14ac:dyDescent="0.15">
      <c r="A684" s="85"/>
      <c r="B684" s="49"/>
      <c r="C684" s="49"/>
      <c r="D684" s="57" t="s">
        <v>47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31"/>
    </row>
    <row r="685" spans="1:66" ht="17.25" customHeight="1" x14ac:dyDescent="0.15">
      <c r="A685" s="85"/>
      <c r="B685" s="49"/>
      <c r="C685" s="49"/>
      <c r="D685" s="5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30"/>
    </row>
    <row r="686" spans="1:66" ht="17.25" customHeight="1" x14ac:dyDescent="0.15">
      <c r="A686" s="85"/>
      <c r="B686" s="49"/>
      <c r="C686" s="49"/>
      <c r="D686" s="58" t="s">
        <v>49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32"/>
    </row>
    <row r="687" spans="1:66" ht="17.25" customHeight="1" x14ac:dyDescent="0.15">
      <c r="A687" s="86"/>
      <c r="B687" s="50"/>
      <c r="C687" s="50"/>
      <c r="D687" s="59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33"/>
    </row>
    <row r="688" spans="1:66" ht="17.25" customHeight="1" x14ac:dyDescent="0.15">
      <c r="A688" s="84"/>
      <c r="B688" s="48"/>
      <c r="C688" s="48"/>
      <c r="D688" s="55" t="s">
        <v>45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26"/>
    </row>
    <row r="689" spans="1:66" ht="17.25" customHeight="1" x14ac:dyDescent="0.15">
      <c r="A689" s="85"/>
      <c r="B689" s="49"/>
      <c r="C689" s="49"/>
      <c r="D689" s="5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30"/>
    </row>
    <row r="690" spans="1:66" ht="17.25" customHeight="1" x14ac:dyDescent="0.15">
      <c r="A690" s="85"/>
      <c r="B690" s="49"/>
      <c r="C690" s="49"/>
      <c r="D690" s="57" t="s">
        <v>47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31"/>
    </row>
    <row r="691" spans="1:66" ht="17.25" customHeight="1" x14ac:dyDescent="0.15">
      <c r="A691" s="85"/>
      <c r="B691" s="49"/>
      <c r="C691" s="49"/>
      <c r="D691" s="5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30"/>
    </row>
    <row r="692" spans="1:66" ht="17.25" customHeight="1" x14ac:dyDescent="0.15">
      <c r="A692" s="85"/>
      <c r="B692" s="49"/>
      <c r="C692" s="49"/>
      <c r="D692" s="58" t="s">
        <v>49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32"/>
    </row>
    <row r="693" spans="1:66" ht="17.25" customHeight="1" x14ac:dyDescent="0.15">
      <c r="A693" s="86"/>
      <c r="B693" s="50"/>
      <c r="C693" s="50"/>
      <c r="D693" s="59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33"/>
    </row>
    <row r="694" spans="1:66" ht="17.25" customHeight="1" x14ac:dyDescent="0.15">
      <c r="A694" s="84"/>
      <c r="B694" s="48"/>
      <c r="C694" s="48"/>
      <c r="D694" s="55" t="s">
        <v>45</v>
      </c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26"/>
    </row>
    <row r="695" spans="1:66" ht="17.25" customHeight="1" x14ac:dyDescent="0.15">
      <c r="A695" s="85"/>
      <c r="B695" s="49"/>
      <c r="C695" s="49"/>
      <c r="D695" s="5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30"/>
    </row>
    <row r="696" spans="1:66" ht="17.25" customHeight="1" x14ac:dyDescent="0.15">
      <c r="A696" s="85"/>
      <c r="B696" s="49"/>
      <c r="C696" s="49"/>
      <c r="D696" s="57" t="s">
        <v>47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31"/>
    </row>
    <row r="697" spans="1:66" ht="17.25" customHeight="1" x14ac:dyDescent="0.15">
      <c r="A697" s="85"/>
      <c r="B697" s="49"/>
      <c r="C697" s="49"/>
      <c r="D697" s="5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30"/>
    </row>
    <row r="698" spans="1:66" ht="17.25" customHeight="1" x14ac:dyDescent="0.15">
      <c r="A698" s="85"/>
      <c r="B698" s="49"/>
      <c r="C698" s="49"/>
      <c r="D698" s="58" t="s">
        <v>49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32"/>
    </row>
    <row r="699" spans="1:66" ht="17.25" customHeight="1" x14ac:dyDescent="0.15">
      <c r="A699" s="86"/>
      <c r="B699" s="50"/>
      <c r="C699" s="50"/>
      <c r="D699" s="59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33"/>
    </row>
    <row r="700" spans="1:66" ht="17.25" customHeight="1" x14ac:dyDescent="0.15">
      <c r="A700" s="84"/>
      <c r="B700" s="48"/>
      <c r="C700" s="48"/>
      <c r="D700" s="51" t="s">
        <v>45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26"/>
    </row>
    <row r="701" spans="1:66" ht="17.25" customHeight="1" x14ac:dyDescent="0.15">
      <c r="A701" s="85"/>
      <c r="B701" s="49"/>
      <c r="C701" s="49"/>
      <c r="D701" s="5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30"/>
    </row>
    <row r="702" spans="1:66" ht="17.25" customHeight="1" x14ac:dyDescent="0.15">
      <c r="A702" s="85"/>
      <c r="B702" s="49"/>
      <c r="C702" s="49"/>
      <c r="D702" s="53" t="s">
        <v>47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31"/>
    </row>
    <row r="703" spans="1:66" ht="17.25" customHeight="1" x14ac:dyDescent="0.15">
      <c r="A703" s="85"/>
      <c r="B703" s="49"/>
      <c r="C703" s="49"/>
      <c r="D703" s="5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30"/>
    </row>
    <row r="704" spans="1:66" ht="17.25" customHeight="1" x14ac:dyDescent="0.15">
      <c r="A704" s="85"/>
      <c r="B704" s="49"/>
      <c r="C704" s="49"/>
      <c r="D704" s="53" t="s">
        <v>49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32"/>
    </row>
    <row r="705" spans="1:66" ht="17.25" customHeight="1" x14ac:dyDescent="0.15">
      <c r="A705" s="86"/>
      <c r="B705" s="50"/>
      <c r="C705" s="50"/>
      <c r="D705" s="54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33"/>
    </row>
    <row r="706" spans="1:66" ht="17.25" customHeight="1" x14ac:dyDescent="0.15">
      <c r="A706" s="84"/>
      <c r="B706" s="48"/>
      <c r="C706" s="48"/>
      <c r="D706" s="55" t="s">
        <v>45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26"/>
    </row>
    <row r="707" spans="1:66" ht="17.25" customHeight="1" x14ac:dyDescent="0.15">
      <c r="A707" s="85"/>
      <c r="B707" s="49"/>
      <c r="C707" s="49"/>
      <c r="D707" s="5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30"/>
    </row>
    <row r="708" spans="1:66" ht="17.25" customHeight="1" x14ac:dyDescent="0.15">
      <c r="A708" s="85"/>
      <c r="B708" s="49"/>
      <c r="C708" s="49"/>
      <c r="D708" s="57" t="s">
        <v>47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31"/>
    </row>
    <row r="709" spans="1:66" ht="17.25" customHeight="1" x14ac:dyDescent="0.15">
      <c r="A709" s="85"/>
      <c r="B709" s="49"/>
      <c r="C709" s="49"/>
      <c r="D709" s="5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30"/>
    </row>
    <row r="710" spans="1:66" ht="17.25" customHeight="1" x14ac:dyDescent="0.15">
      <c r="A710" s="85"/>
      <c r="B710" s="49"/>
      <c r="C710" s="49"/>
      <c r="D710" s="58" t="s">
        <v>49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32"/>
    </row>
    <row r="711" spans="1:66" ht="17.25" customHeight="1" x14ac:dyDescent="0.15">
      <c r="A711" s="86"/>
      <c r="B711" s="50"/>
      <c r="C711" s="50"/>
      <c r="D711" s="59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33"/>
    </row>
    <row r="712" spans="1:66" ht="17.25" customHeight="1" x14ac:dyDescent="0.15">
      <c r="A712" s="78"/>
      <c r="B712" s="62"/>
      <c r="C712" s="62"/>
      <c r="D712" s="55" t="s">
        <v>45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26"/>
    </row>
    <row r="713" spans="1:66" ht="17.25" customHeight="1" x14ac:dyDescent="0.15">
      <c r="A713" s="79"/>
      <c r="B713" s="63"/>
      <c r="C713" s="63"/>
      <c r="D713" s="5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30"/>
    </row>
    <row r="714" spans="1:66" ht="17.25" customHeight="1" x14ac:dyDescent="0.15">
      <c r="A714" s="79"/>
      <c r="B714" s="63"/>
      <c r="C714" s="63"/>
      <c r="D714" s="57" t="s">
        <v>47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31"/>
    </row>
    <row r="715" spans="1:66" ht="17.25" customHeight="1" x14ac:dyDescent="0.15">
      <c r="A715" s="79"/>
      <c r="B715" s="63"/>
      <c r="C715" s="63"/>
      <c r="D715" s="5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30"/>
    </row>
    <row r="716" spans="1:66" ht="17.25" customHeight="1" x14ac:dyDescent="0.15">
      <c r="A716" s="79"/>
      <c r="B716" s="63"/>
      <c r="C716" s="63"/>
      <c r="D716" s="58" t="s">
        <v>49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32"/>
    </row>
    <row r="717" spans="1:66" ht="17.25" customHeight="1" x14ac:dyDescent="0.15">
      <c r="A717" s="80"/>
      <c r="B717" s="64"/>
      <c r="C717" s="64"/>
      <c r="D717" s="59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33"/>
    </row>
    <row r="718" spans="1:66" ht="17.25" customHeight="1" x14ac:dyDescent="0.15">
      <c r="A718" s="78"/>
      <c r="B718" s="62"/>
      <c r="C718" s="62"/>
      <c r="D718" s="55" t="s">
        <v>45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26"/>
    </row>
    <row r="719" spans="1:66" ht="17.25" customHeight="1" x14ac:dyDescent="0.15">
      <c r="A719" s="79"/>
      <c r="B719" s="63"/>
      <c r="C719" s="63"/>
      <c r="D719" s="5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30"/>
    </row>
    <row r="720" spans="1:66" ht="17.25" customHeight="1" x14ac:dyDescent="0.15">
      <c r="A720" s="79"/>
      <c r="B720" s="63"/>
      <c r="C720" s="63"/>
      <c r="D720" s="57" t="s">
        <v>47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31"/>
    </row>
    <row r="721" spans="1:66" ht="17.25" customHeight="1" x14ac:dyDescent="0.15">
      <c r="A721" s="79"/>
      <c r="B721" s="63"/>
      <c r="C721" s="63"/>
      <c r="D721" s="5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30"/>
    </row>
    <row r="722" spans="1:66" ht="17.25" customHeight="1" x14ac:dyDescent="0.15">
      <c r="A722" s="79"/>
      <c r="B722" s="63"/>
      <c r="C722" s="63"/>
      <c r="D722" s="58" t="s">
        <v>49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32"/>
    </row>
    <row r="723" spans="1:66" ht="17.25" customHeight="1" x14ac:dyDescent="0.15">
      <c r="A723" s="80"/>
      <c r="B723" s="64"/>
      <c r="C723" s="64"/>
      <c r="D723" s="59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33"/>
    </row>
    <row r="724" spans="1:66" ht="17.25" customHeight="1" x14ac:dyDescent="0.15">
      <c r="A724" s="78"/>
      <c r="B724" s="62"/>
      <c r="C724" s="62"/>
      <c r="D724" s="55" t="s">
        <v>45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26"/>
    </row>
    <row r="725" spans="1:66" ht="17.25" customHeight="1" x14ac:dyDescent="0.15">
      <c r="A725" s="79"/>
      <c r="B725" s="63"/>
      <c r="C725" s="63"/>
      <c r="D725" s="5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30"/>
    </row>
    <row r="726" spans="1:66" ht="17.25" customHeight="1" x14ac:dyDescent="0.15">
      <c r="A726" s="79"/>
      <c r="B726" s="63"/>
      <c r="C726" s="63"/>
      <c r="D726" s="53" t="s">
        <v>47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31"/>
    </row>
    <row r="727" spans="1:66" ht="17.25" customHeight="1" x14ac:dyDescent="0.15">
      <c r="A727" s="79"/>
      <c r="B727" s="63"/>
      <c r="C727" s="63"/>
      <c r="D727" s="5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30"/>
    </row>
    <row r="728" spans="1:66" ht="17.25" customHeight="1" x14ac:dyDescent="0.15">
      <c r="A728" s="79"/>
      <c r="B728" s="63"/>
      <c r="C728" s="63"/>
      <c r="D728" s="53" t="s">
        <v>49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32"/>
    </row>
    <row r="729" spans="1:66" ht="17.25" customHeight="1" x14ac:dyDescent="0.15">
      <c r="A729" s="80"/>
      <c r="B729" s="64"/>
      <c r="C729" s="64"/>
      <c r="D729" s="54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33"/>
    </row>
    <row r="730" spans="1:66" ht="17.25" customHeight="1" x14ac:dyDescent="0.15">
      <c r="A730" s="78"/>
      <c r="B730" s="62"/>
      <c r="C730" s="62"/>
      <c r="D730" s="51" t="s">
        <v>45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26"/>
    </row>
    <row r="731" spans="1:66" ht="17.25" customHeight="1" x14ac:dyDescent="0.15">
      <c r="A731" s="79"/>
      <c r="B731" s="63"/>
      <c r="C731" s="63"/>
      <c r="D731" s="5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30"/>
    </row>
    <row r="732" spans="1:66" ht="17.25" customHeight="1" x14ac:dyDescent="0.15">
      <c r="A732" s="79"/>
      <c r="B732" s="63"/>
      <c r="C732" s="63"/>
      <c r="D732" s="57" t="s">
        <v>47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31"/>
    </row>
    <row r="733" spans="1:66" ht="17.25" customHeight="1" x14ac:dyDescent="0.15">
      <c r="A733" s="79"/>
      <c r="B733" s="63"/>
      <c r="C733" s="63"/>
      <c r="D733" s="5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30"/>
    </row>
    <row r="734" spans="1:66" ht="17.25" customHeight="1" x14ac:dyDescent="0.15">
      <c r="A734" s="79"/>
      <c r="B734" s="63"/>
      <c r="C734" s="63"/>
      <c r="D734" s="58" t="s">
        <v>49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32"/>
    </row>
    <row r="735" spans="1:66" ht="17.25" customHeight="1" x14ac:dyDescent="0.15">
      <c r="A735" s="80"/>
      <c r="B735" s="64"/>
      <c r="C735" s="64"/>
      <c r="D735" s="59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33"/>
    </row>
    <row r="736" spans="1:66" ht="17.25" customHeight="1" x14ac:dyDescent="0.15">
      <c r="A736" s="78"/>
      <c r="B736" s="62"/>
      <c r="C736" s="62"/>
      <c r="D736" s="55" t="s">
        <v>45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26"/>
    </row>
    <row r="737" spans="1:66" ht="17.25" customHeight="1" x14ac:dyDescent="0.15">
      <c r="A737" s="79"/>
      <c r="B737" s="63"/>
      <c r="C737" s="63"/>
      <c r="D737" s="5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30"/>
    </row>
    <row r="738" spans="1:66" ht="17.25" customHeight="1" x14ac:dyDescent="0.15">
      <c r="A738" s="79"/>
      <c r="B738" s="63"/>
      <c r="C738" s="63"/>
      <c r="D738" s="57" t="s">
        <v>47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31"/>
    </row>
    <row r="739" spans="1:66" ht="17.25" customHeight="1" x14ac:dyDescent="0.15">
      <c r="A739" s="79"/>
      <c r="B739" s="63"/>
      <c r="C739" s="63"/>
      <c r="D739" s="5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30"/>
    </row>
    <row r="740" spans="1:66" ht="17.25" customHeight="1" x14ac:dyDescent="0.15">
      <c r="A740" s="79"/>
      <c r="B740" s="63"/>
      <c r="C740" s="63"/>
      <c r="D740" s="58" t="s">
        <v>49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32"/>
    </row>
    <row r="741" spans="1:66" ht="17.25" customHeight="1" x14ac:dyDescent="0.15">
      <c r="A741" s="80"/>
      <c r="B741" s="64"/>
      <c r="C741" s="64"/>
      <c r="D741" s="59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33"/>
    </row>
    <row r="742" spans="1:66" ht="17.25" customHeight="1" x14ac:dyDescent="0.15">
      <c r="A742" s="78"/>
      <c r="B742" s="62"/>
      <c r="C742" s="62"/>
      <c r="D742" s="55" t="s">
        <v>45</v>
      </c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26"/>
    </row>
    <row r="743" spans="1:66" ht="17.25" customHeight="1" x14ac:dyDescent="0.15">
      <c r="A743" s="79"/>
      <c r="B743" s="63"/>
      <c r="C743" s="63"/>
      <c r="D743" s="5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30"/>
    </row>
    <row r="744" spans="1:66" ht="17.25" customHeight="1" x14ac:dyDescent="0.15">
      <c r="A744" s="79"/>
      <c r="B744" s="63"/>
      <c r="C744" s="63"/>
      <c r="D744" s="57" t="s">
        <v>47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31"/>
    </row>
    <row r="745" spans="1:66" ht="17.25" customHeight="1" x14ac:dyDescent="0.15">
      <c r="A745" s="79"/>
      <c r="B745" s="63"/>
      <c r="C745" s="63"/>
      <c r="D745" s="5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30"/>
    </row>
    <row r="746" spans="1:66" ht="17.25" customHeight="1" x14ac:dyDescent="0.15">
      <c r="A746" s="79"/>
      <c r="B746" s="63"/>
      <c r="C746" s="63"/>
      <c r="D746" s="58" t="s">
        <v>49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32"/>
    </row>
    <row r="747" spans="1:66" ht="17.25" customHeight="1" x14ac:dyDescent="0.15">
      <c r="A747" s="80"/>
      <c r="B747" s="64"/>
      <c r="C747" s="64"/>
      <c r="D747" s="59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33"/>
    </row>
    <row r="748" spans="1:66" ht="17.25" customHeight="1" x14ac:dyDescent="0.15">
      <c r="A748" s="78"/>
      <c r="B748" s="62"/>
      <c r="C748" s="62"/>
      <c r="D748" s="55" t="s">
        <v>45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26"/>
    </row>
    <row r="749" spans="1:66" ht="17.25" customHeight="1" x14ac:dyDescent="0.15">
      <c r="A749" s="79"/>
      <c r="B749" s="63"/>
      <c r="C749" s="63"/>
      <c r="D749" s="5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30"/>
    </row>
    <row r="750" spans="1:66" ht="17.25" customHeight="1" x14ac:dyDescent="0.15">
      <c r="A750" s="79"/>
      <c r="B750" s="63"/>
      <c r="C750" s="63"/>
      <c r="D750" s="57" t="s">
        <v>47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31"/>
    </row>
    <row r="751" spans="1:66" ht="17.25" customHeight="1" x14ac:dyDescent="0.15">
      <c r="A751" s="79"/>
      <c r="B751" s="63"/>
      <c r="C751" s="63"/>
      <c r="D751" s="5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30"/>
    </row>
    <row r="752" spans="1:66" ht="17.25" customHeight="1" x14ac:dyDescent="0.15">
      <c r="A752" s="79"/>
      <c r="B752" s="63"/>
      <c r="C752" s="63"/>
      <c r="D752" s="58" t="s">
        <v>49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32"/>
    </row>
    <row r="753" spans="1:66" ht="17.25" customHeight="1" x14ac:dyDescent="0.15">
      <c r="A753" s="80"/>
      <c r="B753" s="64"/>
      <c r="C753" s="64"/>
      <c r="D753" s="59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33"/>
    </row>
    <row r="754" spans="1:66" ht="17.25" customHeight="1" x14ac:dyDescent="0.15">
      <c r="A754" s="78"/>
      <c r="B754" s="62"/>
      <c r="C754" s="62"/>
      <c r="D754" s="55" t="s">
        <v>45</v>
      </c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26"/>
    </row>
    <row r="755" spans="1:66" ht="17.25" customHeight="1" x14ac:dyDescent="0.15">
      <c r="A755" s="79"/>
      <c r="B755" s="63"/>
      <c r="C755" s="63"/>
      <c r="D755" s="5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30"/>
    </row>
    <row r="756" spans="1:66" ht="17.25" customHeight="1" x14ac:dyDescent="0.15">
      <c r="A756" s="79"/>
      <c r="B756" s="63"/>
      <c r="C756" s="63"/>
      <c r="D756" s="57" t="s">
        <v>47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31"/>
    </row>
    <row r="757" spans="1:66" ht="17.25" customHeight="1" x14ac:dyDescent="0.15">
      <c r="A757" s="79"/>
      <c r="B757" s="63"/>
      <c r="C757" s="63"/>
      <c r="D757" s="5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30"/>
    </row>
    <row r="758" spans="1:66" ht="17.25" customHeight="1" x14ac:dyDescent="0.15">
      <c r="A758" s="79"/>
      <c r="B758" s="63"/>
      <c r="C758" s="63"/>
      <c r="D758" s="58" t="s">
        <v>49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32"/>
    </row>
    <row r="759" spans="1:66" ht="17.25" customHeight="1" x14ac:dyDescent="0.15">
      <c r="A759" s="80"/>
      <c r="B759" s="64"/>
      <c r="C759" s="64"/>
      <c r="D759" s="5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33"/>
    </row>
    <row r="760" spans="1:66" ht="17.25" customHeight="1" x14ac:dyDescent="0.15">
      <c r="A760" s="78"/>
      <c r="B760" s="62"/>
      <c r="C760" s="62"/>
      <c r="D760" s="55" t="s">
        <v>45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26"/>
    </row>
    <row r="761" spans="1:66" ht="17.25" customHeight="1" x14ac:dyDescent="0.15">
      <c r="A761" s="79"/>
      <c r="B761" s="63"/>
      <c r="C761" s="63"/>
      <c r="D761" s="5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30"/>
    </row>
    <row r="762" spans="1:66" ht="17.25" customHeight="1" x14ac:dyDescent="0.15">
      <c r="A762" s="79"/>
      <c r="B762" s="63"/>
      <c r="C762" s="63"/>
      <c r="D762" s="57" t="s">
        <v>47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31"/>
    </row>
    <row r="763" spans="1:66" ht="17.25" customHeight="1" x14ac:dyDescent="0.15">
      <c r="A763" s="79"/>
      <c r="B763" s="63"/>
      <c r="C763" s="63"/>
      <c r="D763" s="5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30"/>
    </row>
    <row r="764" spans="1:66" ht="17.25" customHeight="1" x14ac:dyDescent="0.15">
      <c r="A764" s="79"/>
      <c r="B764" s="63"/>
      <c r="C764" s="63"/>
      <c r="D764" s="58" t="s">
        <v>49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32"/>
    </row>
    <row r="765" spans="1:66" ht="17.25" customHeight="1" x14ac:dyDescent="0.15">
      <c r="A765" s="80"/>
      <c r="B765" s="64"/>
      <c r="C765" s="64"/>
      <c r="D765" s="59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33"/>
    </row>
    <row r="766" spans="1:66" ht="17.25" customHeight="1" x14ac:dyDescent="0.15">
      <c r="A766" s="78"/>
      <c r="B766" s="62"/>
      <c r="C766" s="62"/>
      <c r="D766" s="55" t="s">
        <v>45</v>
      </c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26"/>
    </row>
    <row r="767" spans="1:66" ht="17.25" customHeight="1" x14ac:dyDescent="0.15">
      <c r="A767" s="79"/>
      <c r="B767" s="63"/>
      <c r="C767" s="63"/>
      <c r="D767" s="5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30"/>
    </row>
    <row r="768" spans="1:66" ht="17.25" customHeight="1" x14ac:dyDescent="0.15">
      <c r="A768" s="79"/>
      <c r="B768" s="63"/>
      <c r="C768" s="63"/>
      <c r="D768" s="57" t="s">
        <v>47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31"/>
    </row>
    <row r="769" spans="1:66" ht="17.25" customHeight="1" x14ac:dyDescent="0.15">
      <c r="A769" s="79"/>
      <c r="B769" s="63"/>
      <c r="C769" s="63"/>
      <c r="D769" s="5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30"/>
    </row>
    <row r="770" spans="1:66" ht="17.25" customHeight="1" x14ac:dyDescent="0.15">
      <c r="A770" s="79"/>
      <c r="B770" s="63"/>
      <c r="C770" s="63"/>
      <c r="D770" s="58" t="s">
        <v>49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32"/>
    </row>
    <row r="771" spans="1:66" ht="17.25" customHeight="1" x14ac:dyDescent="0.15">
      <c r="A771" s="80"/>
      <c r="B771" s="64"/>
      <c r="C771" s="64"/>
      <c r="D771" s="59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33"/>
    </row>
    <row r="772" spans="1:66" ht="17.25" customHeight="1" x14ac:dyDescent="0.15">
      <c r="A772" s="78"/>
      <c r="B772" s="62"/>
      <c r="C772" s="62"/>
      <c r="D772" s="55" t="s">
        <v>45</v>
      </c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26"/>
    </row>
    <row r="773" spans="1:66" ht="17.25" customHeight="1" x14ac:dyDescent="0.15">
      <c r="A773" s="79"/>
      <c r="B773" s="63"/>
      <c r="C773" s="63"/>
      <c r="D773" s="5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30"/>
    </row>
    <row r="774" spans="1:66" ht="17.25" customHeight="1" x14ac:dyDescent="0.15">
      <c r="A774" s="79"/>
      <c r="B774" s="63"/>
      <c r="C774" s="63"/>
      <c r="D774" s="57" t="s">
        <v>47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31"/>
    </row>
    <row r="775" spans="1:66" ht="17.25" customHeight="1" x14ac:dyDescent="0.15">
      <c r="A775" s="79"/>
      <c r="B775" s="63"/>
      <c r="C775" s="63"/>
      <c r="D775" s="5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30"/>
    </row>
    <row r="776" spans="1:66" ht="17.25" customHeight="1" x14ac:dyDescent="0.15">
      <c r="A776" s="79"/>
      <c r="B776" s="63"/>
      <c r="C776" s="63"/>
      <c r="D776" s="58" t="s">
        <v>49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32"/>
    </row>
    <row r="777" spans="1:66" ht="17.25" customHeight="1" x14ac:dyDescent="0.15">
      <c r="A777" s="80"/>
      <c r="B777" s="64"/>
      <c r="C777" s="64"/>
      <c r="D777" s="59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33"/>
    </row>
    <row r="778" spans="1:66" ht="17.25" customHeight="1" x14ac:dyDescent="0.15">
      <c r="A778" s="78"/>
      <c r="B778" s="62"/>
      <c r="C778" s="62"/>
      <c r="D778" s="55" t="s">
        <v>45</v>
      </c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26"/>
    </row>
    <row r="779" spans="1:66" ht="17.25" customHeight="1" x14ac:dyDescent="0.15">
      <c r="A779" s="79"/>
      <c r="B779" s="63"/>
      <c r="C779" s="63"/>
      <c r="D779" s="5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30"/>
    </row>
    <row r="780" spans="1:66" ht="17.25" customHeight="1" x14ac:dyDescent="0.15">
      <c r="A780" s="79"/>
      <c r="B780" s="63"/>
      <c r="C780" s="63"/>
      <c r="D780" s="57" t="s">
        <v>47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31"/>
    </row>
    <row r="781" spans="1:66" ht="17.25" customHeight="1" x14ac:dyDescent="0.15">
      <c r="A781" s="79"/>
      <c r="B781" s="63"/>
      <c r="C781" s="63"/>
      <c r="D781" s="5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30"/>
    </row>
    <row r="782" spans="1:66" ht="17.25" customHeight="1" x14ac:dyDescent="0.15">
      <c r="A782" s="79"/>
      <c r="B782" s="63"/>
      <c r="C782" s="63"/>
      <c r="D782" s="58" t="s">
        <v>49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32"/>
    </row>
    <row r="783" spans="1:66" ht="17.25" customHeight="1" x14ac:dyDescent="0.15">
      <c r="A783" s="80"/>
      <c r="B783" s="64"/>
      <c r="C783" s="64"/>
      <c r="D783" s="59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33"/>
    </row>
    <row r="784" spans="1:66" ht="17.25" customHeight="1" x14ac:dyDescent="0.15">
      <c r="A784" s="78"/>
      <c r="B784" s="62"/>
      <c r="C784" s="62"/>
      <c r="D784" s="55" t="s">
        <v>45</v>
      </c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26"/>
    </row>
    <row r="785" spans="1:66" ht="17.25" customHeight="1" x14ac:dyDescent="0.15">
      <c r="A785" s="79"/>
      <c r="B785" s="63"/>
      <c r="C785" s="63"/>
      <c r="D785" s="5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30"/>
    </row>
    <row r="786" spans="1:66" ht="17.25" customHeight="1" x14ac:dyDescent="0.15">
      <c r="A786" s="79"/>
      <c r="B786" s="63"/>
      <c r="C786" s="63"/>
      <c r="D786" s="57" t="s">
        <v>47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31"/>
    </row>
    <row r="787" spans="1:66" ht="17.25" customHeight="1" x14ac:dyDescent="0.15">
      <c r="A787" s="79"/>
      <c r="B787" s="63"/>
      <c r="C787" s="63"/>
      <c r="D787" s="5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30"/>
    </row>
    <row r="788" spans="1:66" ht="17.25" customHeight="1" x14ac:dyDescent="0.15">
      <c r="A788" s="79"/>
      <c r="B788" s="63"/>
      <c r="C788" s="63"/>
      <c r="D788" s="58" t="s">
        <v>49</v>
      </c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32"/>
    </row>
    <row r="789" spans="1:66" ht="17.25" customHeight="1" x14ac:dyDescent="0.15">
      <c r="A789" s="80"/>
      <c r="B789" s="64"/>
      <c r="C789" s="64"/>
      <c r="D789" s="5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33"/>
    </row>
    <row r="790" spans="1:66" ht="17.25" customHeight="1" x14ac:dyDescent="0.15">
      <c r="A790" s="78"/>
      <c r="B790" s="62"/>
      <c r="C790" s="62"/>
      <c r="D790" s="55" t="s">
        <v>45</v>
      </c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26"/>
    </row>
    <row r="791" spans="1:66" ht="17.25" customHeight="1" x14ac:dyDescent="0.15">
      <c r="A791" s="79"/>
      <c r="B791" s="63"/>
      <c r="C791" s="63"/>
      <c r="D791" s="5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30"/>
    </row>
    <row r="792" spans="1:66" ht="17.25" customHeight="1" x14ac:dyDescent="0.15">
      <c r="A792" s="79"/>
      <c r="B792" s="63"/>
      <c r="C792" s="63"/>
      <c r="D792" s="57" t="s">
        <v>47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31"/>
    </row>
    <row r="793" spans="1:66" ht="17.25" customHeight="1" x14ac:dyDescent="0.15">
      <c r="A793" s="79"/>
      <c r="B793" s="63"/>
      <c r="C793" s="63"/>
      <c r="D793" s="5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30"/>
    </row>
    <row r="794" spans="1:66" ht="17.25" customHeight="1" x14ac:dyDescent="0.15">
      <c r="A794" s="79"/>
      <c r="B794" s="63"/>
      <c r="C794" s="63"/>
      <c r="D794" s="58" t="s">
        <v>49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32"/>
    </row>
    <row r="795" spans="1:66" ht="17.25" customHeight="1" x14ac:dyDescent="0.15">
      <c r="A795" s="80"/>
      <c r="B795" s="64"/>
      <c r="C795" s="64"/>
      <c r="D795" s="59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33"/>
    </row>
    <row r="796" spans="1:66" ht="17.25" customHeight="1" x14ac:dyDescent="0.15">
      <c r="A796" s="78"/>
      <c r="B796" s="62"/>
      <c r="C796" s="62"/>
      <c r="D796" s="55" t="s">
        <v>45</v>
      </c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26"/>
    </row>
    <row r="797" spans="1:66" ht="17.25" customHeight="1" x14ac:dyDescent="0.15">
      <c r="A797" s="79"/>
      <c r="B797" s="63"/>
      <c r="C797" s="63"/>
      <c r="D797" s="5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30"/>
    </row>
    <row r="798" spans="1:66" ht="17.25" customHeight="1" x14ac:dyDescent="0.15">
      <c r="A798" s="79"/>
      <c r="B798" s="63"/>
      <c r="C798" s="63"/>
      <c r="D798" s="57" t="s">
        <v>47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31"/>
    </row>
    <row r="799" spans="1:66" ht="17.25" customHeight="1" x14ac:dyDescent="0.15">
      <c r="A799" s="79"/>
      <c r="B799" s="63"/>
      <c r="C799" s="63"/>
      <c r="D799" s="5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30"/>
    </row>
    <row r="800" spans="1:66" ht="17.25" customHeight="1" x14ac:dyDescent="0.15">
      <c r="A800" s="79"/>
      <c r="B800" s="63"/>
      <c r="C800" s="63"/>
      <c r="D800" s="58" t="s">
        <v>49</v>
      </c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32"/>
    </row>
    <row r="801" spans="1:66" ht="17.25" customHeight="1" x14ac:dyDescent="0.15">
      <c r="A801" s="80"/>
      <c r="B801" s="64"/>
      <c r="C801" s="64"/>
      <c r="D801" s="59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33"/>
    </row>
    <row r="802" spans="1:66" ht="17.25" customHeight="1" x14ac:dyDescent="0.15">
      <c r="A802" s="78"/>
      <c r="B802" s="62"/>
      <c r="C802" s="62"/>
      <c r="D802" s="55" t="s">
        <v>45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26"/>
    </row>
    <row r="803" spans="1:66" ht="17.25" customHeight="1" x14ac:dyDescent="0.15">
      <c r="A803" s="79"/>
      <c r="B803" s="63"/>
      <c r="C803" s="63"/>
      <c r="D803" s="5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30"/>
    </row>
    <row r="804" spans="1:66" ht="17.25" customHeight="1" x14ac:dyDescent="0.15">
      <c r="A804" s="79"/>
      <c r="B804" s="63"/>
      <c r="C804" s="63"/>
      <c r="D804" s="57" t="s">
        <v>47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31"/>
    </row>
    <row r="805" spans="1:66" ht="17.25" customHeight="1" x14ac:dyDescent="0.15">
      <c r="A805" s="79"/>
      <c r="B805" s="63"/>
      <c r="C805" s="63"/>
      <c r="D805" s="5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30"/>
    </row>
    <row r="806" spans="1:66" ht="17.25" customHeight="1" x14ac:dyDescent="0.15">
      <c r="A806" s="79"/>
      <c r="B806" s="63"/>
      <c r="C806" s="63"/>
      <c r="D806" s="58" t="s">
        <v>49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32"/>
    </row>
    <row r="807" spans="1:66" ht="17.25" customHeight="1" x14ac:dyDescent="0.15">
      <c r="A807" s="80"/>
      <c r="B807" s="64"/>
      <c r="C807" s="64"/>
      <c r="D807" s="59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33"/>
    </row>
    <row r="808" spans="1:66" ht="17.25" customHeight="1" x14ac:dyDescent="0.15">
      <c r="A808" s="78"/>
      <c r="B808" s="62"/>
      <c r="C808" s="62"/>
      <c r="D808" s="55" t="s">
        <v>45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26"/>
    </row>
    <row r="809" spans="1:66" ht="17.25" customHeight="1" x14ac:dyDescent="0.15">
      <c r="A809" s="79"/>
      <c r="B809" s="63"/>
      <c r="C809" s="63"/>
      <c r="D809" s="5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30"/>
    </row>
    <row r="810" spans="1:66" ht="17.25" customHeight="1" x14ac:dyDescent="0.15">
      <c r="A810" s="79"/>
      <c r="B810" s="63"/>
      <c r="C810" s="63"/>
      <c r="D810" s="57" t="s">
        <v>47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31"/>
    </row>
    <row r="811" spans="1:66" ht="17.25" customHeight="1" x14ac:dyDescent="0.15">
      <c r="A811" s="79"/>
      <c r="B811" s="63"/>
      <c r="C811" s="63"/>
      <c r="D811" s="5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30"/>
    </row>
    <row r="812" spans="1:66" ht="17.25" customHeight="1" x14ac:dyDescent="0.15">
      <c r="A812" s="79"/>
      <c r="B812" s="63"/>
      <c r="C812" s="63"/>
      <c r="D812" s="58" t="s">
        <v>49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32"/>
    </row>
    <row r="813" spans="1:66" ht="17.25" customHeight="1" x14ac:dyDescent="0.15">
      <c r="A813" s="80"/>
      <c r="B813" s="64"/>
      <c r="C813" s="64"/>
      <c r="D813" s="59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33"/>
    </row>
    <row r="814" spans="1:66" ht="17.25" customHeight="1" x14ac:dyDescent="0.15">
      <c r="A814" s="78"/>
      <c r="B814" s="62"/>
      <c r="C814" s="62"/>
      <c r="D814" s="55" t="s">
        <v>45</v>
      </c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26"/>
    </row>
    <row r="815" spans="1:66" ht="17.25" customHeight="1" x14ac:dyDescent="0.15">
      <c r="A815" s="79"/>
      <c r="B815" s="63"/>
      <c r="C815" s="63"/>
      <c r="D815" s="5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30"/>
    </row>
    <row r="816" spans="1:66" ht="17.25" customHeight="1" x14ac:dyDescent="0.15">
      <c r="A816" s="79"/>
      <c r="B816" s="63"/>
      <c r="C816" s="63"/>
      <c r="D816" s="57" t="s">
        <v>47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31"/>
    </row>
    <row r="817" spans="1:66" ht="17.25" customHeight="1" x14ac:dyDescent="0.15">
      <c r="A817" s="79"/>
      <c r="B817" s="63"/>
      <c r="C817" s="63"/>
      <c r="D817" s="5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30"/>
    </row>
    <row r="818" spans="1:66" ht="17.25" customHeight="1" x14ac:dyDescent="0.15">
      <c r="A818" s="79"/>
      <c r="B818" s="63"/>
      <c r="C818" s="63"/>
      <c r="D818" s="58" t="s">
        <v>49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32"/>
    </row>
    <row r="819" spans="1:66" ht="17.25" customHeight="1" x14ac:dyDescent="0.15">
      <c r="A819" s="80"/>
      <c r="B819" s="64"/>
      <c r="C819" s="64"/>
      <c r="D819" s="5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33"/>
    </row>
    <row r="820" spans="1:66" ht="17.25" customHeight="1" x14ac:dyDescent="0.15">
      <c r="A820" s="81"/>
      <c r="B820" s="62"/>
      <c r="C820" s="62"/>
      <c r="D820" s="55" t="s">
        <v>45</v>
      </c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26"/>
    </row>
    <row r="821" spans="1:66" ht="17.25" customHeight="1" x14ac:dyDescent="0.15">
      <c r="A821" s="82"/>
      <c r="B821" s="63"/>
      <c r="C821" s="63"/>
      <c r="D821" s="5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30"/>
    </row>
    <row r="822" spans="1:66" ht="17.25" customHeight="1" x14ac:dyDescent="0.15">
      <c r="A822" s="82"/>
      <c r="B822" s="63"/>
      <c r="C822" s="63"/>
      <c r="D822" s="57" t="s">
        <v>47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31"/>
    </row>
    <row r="823" spans="1:66" ht="17.25" customHeight="1" x14ac:dyDescent="0.15">
      <c r="A823" s="82"/>
      <c r="B823" s="63"/>
      <c r="C823" s="63"/>
      <c r="D823" s="5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30"/>
    </row>
    <row r="824" spans="1:66" ht="17.25" customHeight="1" x14ac:dyDescent="0.15">
      <c r="A824" s="82"/>
      <c r="B824" s="63"/>
      <c r="C824" s="63"/>
      <c r="D824" s="58" t="s">
        <v>49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32"/>
    </row>
    <row r="825" spans="1:66" ht="17.25" customHeight="1" x14ac:dyDescent="0.15">
      <c r="A825" s="83"/>
      <c r="B825" s="64"/>
      <c r="C825" s="64"/>
      <c r="D825" s="59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33"/>
    </row>
    <row r="826" spans="1:66" ht="17.25" customHeight="1" x14ac:dyDescent="0.15">
      <c r="A826" s="81"/>
      <c r="B826" s="62"/>
      <c r="C826" s="62"/>
      <c r="D826" s="55" t="s">
        <v>45</v>
      </c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26"/>
    </row>
    <row r="827" spans="1:66" ht="17.25" customHeight="1" x14ac:dyDescent="0.15">
      <c r="A827" s="82"/>
      <c r="B827" s="63"/>
      <c r="C827" s="63"/>
      <c r="D827" s="5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30"/>
    </row>
    <row r="828" spans="1:66" ht="17.25" customHeight="1" x14ac:dyDescent="0.15">
      <c r="A828" s="82"/>
      <c r="B828" s="63"/>
      <c r="C828" s="63"/>
      <c r="D828" s="57" t="s">
        <v>47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31"/>
    </row>
    <row r="829" spans="1:66" ht="17.25" customHeight="1" x14ac:dyDescent="0.15">
      <c r="A829" s="82"/>
      <c r="B829" s="63"/>
      <c r="C829" s="63"/>
      <c r="D829" s="5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30"/>
    </row>
    <row r="830" spans="1:66" ht="17.25" customHeight="1" x14ac:dyDescent="0.15">
      <c r="A830" s="82"/>
      <c r="B830" s="63"/>
      <c r="C830" s="63"/>
      <c r="D830" s="58" t="s">
        <v>49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32"/>
    </row>
    <row r="831" spans="1:66" ht="17.25" customHeight="1" x14ac:dyDescent="0.15">
      <c r="A831" s="83"/>
      <c r="B831" s="64"/>
      <c r="C831" s="64"/>
      <c r="D831" s="59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33"/>
    </row>
    <row r="832" spans="1:66" ht="17.25" customHeight="1" x14ac:dyDescent="0.15">
      <c r="A832" s="78"/>
      <c r="B832" s="62"/>
      <c r="C832" s="62"/>
      <c r="D832" s="55" t="s">
        <v>45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26"/>
    </row>
    <row r="833" spans="1:66" ht="17.25" customHeight="1" x14ac:dyDescent="0.15">
      <c r="A833" s="79"/>
      <c r="B833" s="63"/>
      <c r="C833" s="63"/>
      <c r="D833" s="5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30"/>
    </row>
    <row r="834" spans="1:66" ht="17.25" customHeight="1" x14ac:dyDescent="0.15">
      <c r="A834" s="79"/>
      <c r="B834" s="63"/>
      <c r="C834" s="63"/>
      <c r="D834" s="57" t="s">
        <v>47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31"/>
    </row>
    <row r="835" spans="1:66" ht="17.25" customHeight="1" x14ac:dyDescent="0.15">
      <c r="A835" s="79"/>
      <c r="B835" s="63"/>
      <c r="C835" s="63"/>
      <c r="D835" s="5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30"/>
    </row>
    <row r="836" spans="1:66" ht="17.25" customHeight="1" x14ac:dyDescent="0.15">
      <c r="A836" s="79"/>
      <c r="B836" s="63"/>
      <c r="C836" s="63"/>
      <c r="D836" s="58" t="s">
        <v>49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32"/>
    </row>
    <row r="837" spans="1:66" ht="17.25" customHeight="1" x14ac:dyDescent="0.15">
      <c r="A837" s="80"/>
      <c r="B837" s="64"/>
      <c r="C837" s="64"/>
      <c r="D837" s="59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33"/>
    </row>
    <row r="838" spans="1:66" ht="17.25" customHeight="1" x14ac:dyDescent="0.15">
      <c r="A838" s="78"/>
      <c r="B838" s="62"/>
      <c r="C838" s="62"/>
      <c r="D838" s="55" t="s">
        <v>45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26"/>
    </row>
    <row r="839" spans="1:66" ht="17.25" customHeight="1" x14ac:dyDescent="0.15">
      <c r="A839" s="79"/>
      <c r="B839" s="63"/>
      <c r="C839" s="63"/>
      <c r="D839" s="5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30"/>
    </row>
    <row r="840" spans="1:66" ht="17.25" customHeight="1" x14ac:dyDescent="0.15">
      <c r="A840" s="79"/>
      <c r="B840" s="63"/>
      <c r="C840" s="63"/>
      <c r="D840" s="57" t="s">
        <v>47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31"/>
    </row>
    <row r="841" spans="1:66" ht="17.25" customHeight="1" x14ac:dyDescent="0.15">
      <c r="A841" s="79"/>
      <c r="B841" s="63"/>
      <c r="C841" s="63"/>
      <c r="D841" s="5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30"/>
    </row>
    <row r="842" spans="1:66" ht="17.25" customHeight="1" x14ac:dyDescent="0.15">
      <c r="A842" s="79"/>
      <c r="B842" s="63"/>
      <c r="C842" s="63"/>
      <c r="D842" s="58" t="s">
        <v>49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32"/>
    </row>
    <row r="843" spans="1:66" ht="17.25" customHeight="1" x14ac:dyDescent="0.15">
      <c r="A843" s="80"/>
      <c r="B843" s="64"/>
      <c r="C843" s="64"/>
      <c r="D843" s="59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33"/>
    </row>
    <row r="844" spans="1:66" ht="17.25" customHeight="1" x14ac:dyDescent="0.15">
      <c r="A844" s="78"/>
      <c r="B844" s="62"/>
      <c r="C844" s="62"/>
      <c r="D844" s="55" t="s">
        <v>45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26"/>
    </row>
    <row r="845" spans="1:66" ht="17.25" customHeight="1" x14ac:dyDescent="0.15">
      <c r="A845" s="79"/>
      <c r="B845" s="63"/>
      <c r="C845" s="63"/>
      <c r="D845" s="5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30"/>
    </row>
    <row r="846" spans="1:66" ht="17.25" customHeight="1" x14ac:dyDescent="0.15">
      <c r="A846" s="79"/>
      <c r="B846" s="63"/>
      <c r="C846" s="63"/>
      <c r="D846" s="57" t="s">
        <v>47</v>
      </c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31"/>
    </row>
    <row r="847" spans="1:66" ht="17.25" customHeight="1" x14ac:dyDescent="0.15">
      <c r="A847" s="79"/>
      <c r="B847" s="63"/>
      <c r="C847" s="63"/>
      <c r="D847" s="5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30"/>
    </row>
    <row r="848" spans="1:66" ht="17.25" customHeight="1" x14ac:dyDescent="0.15">
      <c r="A848" s="79"/>
      <c r="B848" s="63"/>
      <c r="C848" s="63"/>
      <c r="D848" s="58" t="s">
        <v>49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32"/>
    </row>
    <row r="849" spans="1:66" ht="17.25" customHeight="1" x14ac:dyDescent="0.15">
      <c r="A849" s="80"/>
      <c r="B849" s="64"/>
      <c r="C849" s="64"/>
      <c r="D849" s="5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33"/>
    </row>
    <row r="850" spans="1:66" ht="17.25" customHeight="1" x14ac:dyDescent="0.15">
      <c r="A850" s="78"/>
      <c r="B850" s="62"/>
      <c r="C850" s="62"/>
      <c r="D850" s="51" t="s">
        <v>45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26"/>
    </row>
    <row r="851" spans="1:66" ht="17.25" customHeight="1" x14ac:dyDescent="0.15">
      <c r="A851" s="79"/>
      <c r="B851" s="63"/>
      <c r="C851" s="63"/>
      <c r="D851" s="5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30"/>
    </row>
    <row r="852" spans="1:66" ht="17.25" customHeight="1" x14ac:dyDescent="0.15">
      <c r="A852" s="79"/>
      <c r="B852" s="63"/>
      <c r="C852" s="63"/>
      <c r="D852" s="53" t="s">
        <v>47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31"/>
    </row>
    <row r="853" spans="1:66" ht="17.25" customHeight="1" x14ac:dyDescent="0.15">
      <c r="A853" s="79"/>
      <c r="B853" s="63"/>
      <c r="C853" s="63"/>
      <c r="D853" s="5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30"/>
    </row>
    <row r="854" spans="1:66" ht="17.25" customHeight="1" x14ac:dyDescent="0.15">
      <c r="A854" s="79"/>
      <c r="B854" s="63"/>
      <c r="C854" s="63"/>
      <c r="D854" s="58" t="s">
        <v>49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32"/>
    </row>
    <row r="855" spans="1:66" ht="17.25" customHeight="1" x14ac:dyDescent="0.15">
      <c r="A855" s="80"/>
      <c r="B855" s="64"/>
      <c r="C855" s="64"/>
      <c r="D855" s="59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33"/>
    </row>
    <row r="856" spans="1:66" ht="17.25" customHeight="1" x14ac:dyDescent="0.15">
      <c r="A856" s="78"/>
      <c r="B856" s="62"/>
      <c r="C856" s="62"/>
      <c r="D856" s="55" t="s">
        <v>45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26"/>
    </row>
    <row r="857" spans="1:66" ht="17.25" customHeight="1" x14ac:dyDescent="0.15">
      <c r="A857" s="79"/>
      <c r="B857" s="63"/>
      <c r="C857" s="63"/>
      <c r="D857" s="5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30"/>
    </row>
    <row r="858" spans="1:66" ht="17.25" customHeight="1" x14ac:dyDescent="0.15">
      <c r="A858" s="79"/>
      <c r="B858" s="63"/>
      <c r="C858" s="63"/>
      <c r="D858" s="57" t="s">
        <v>47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31"/>
    </row>
    <row r="859" spans="1:66" ht="17.25" customHeight="1" x14ac:dyDescent="0.15">
      <c r="A859" s="79"/>
      <c r="B859" s="63"/>
      <c r="C859" s="63"/>
      <c r="D859" s="5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30"/>
    </row>
    <row r="860" spans="1:66" ht="17.25" customHeight="1" x14ac:dyDescent="0.15">
      <c r="A860" s="79"/>
      <c r="B860" s="63"/>
      <c r="C860" s="63"/>
      <c r="D860" s="58" t="s">
        <v>49</v>
      </c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32"/>
    </row>
    <row r="861" spans="1:66" ht="17.25" customHeight="1" x14ac:dyDescent="0.15">
      <c r="A861" s="80"/>
      <c r="B861" s="64"/>
      <c r="C861" s="64"/>
      <c r="D861" s="59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33"/>
    </row>
    <row r="862" spans="1:66" ht="17.25" customHeight="1" x14ac:dyDescent="0.15">
      <c r="A862" s="78"/>
      <c r="B862" s="62"/>
      <c r="C862" s="62"/>
      <c r="D862" s="55" t="s">
        <v>45</v>
      </c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26"/>
    </row>
    <row r="863" spans="1:66" ht="17.25" customHeight="1" x14ac:dyDescent="0.15">
      <c r="A863" s="79"/>
      <c r="B863" s="63"/>
      <c r="C863" s="63"/>
      <c r="D863" s="5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30"/>
    </row>
    <row r="864" spans="1:66" ht="17.25" customHeight="1" x14ac:dyDescent="0.15">
      <c r="A864" s="79"/>
      <c r="B864" s="63"/>
      <c r="C864" s="63"/>
      <c r="D864" s="57" t="s">
        <v>47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31"/>
    </row>
    <row r="865" spans="1:66" ht="17.25" customHeight="1" x14ac:dyDescent="0.15">
      <c r="A865" s="79"/>
      <c r="B865" s="63"/>
      <c r="C865" s="63"/>
      <c r="D865" s="5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30"/>
    </row>
    <row r="866" spans="1:66" ht="17.25" customHeight="1" x14ac:dyDescent="0.15">
      <c r="A866" s="79"/>
      <c r="B866" s="63"/>
      <c r="C866" s="63"/>
      <c r="D866" s="58" t="s">
        <v>49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32"/>
    </row>
    <row r="867" spans="1:66" ht="17.25" customHeight="1" x14ac:dyDescent="0.15">
      <c r="A867" s="80"/>
      <c r="B867" s="64"/>
      <c r="C867" s="64"/>
      <c r="D867" s="59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33"/>
    </row>
    <row r="868" spans="1:66" ht="17.25" customHeight="1" x14ac:dyDescent="0.15">
      <c r="A868" s="78"/>
      <c r="B868" s="62"/>
      <c r="C868" s="62"/>
      <c r="D868" s="55" t="s">
        <v>45</v>
      </c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26"/>
    </row>
    <row r="869" spans="1:66" ht="17.25" customHeight="1" x14ac:dyDescent="0.15">
      <c r="A869" s="79"/>
      <c r="B869" s="63"/>
      <c r="C869" s="63"/>
      <c r="D869" s="5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30"/>
    </row>
    <row r="870" spans="1:66" ht="17.25" customHeight="1" x14ac:dyDescent="0.15">
      <c r="A870" s="79"/>
      <c r="B870" s="63"/>
      <c r="C870" s="63"/>
      <c r="D870" s="53" t="s">
        <v>47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31"/>
    </row>
    <row r="871" spans="1:66" ht="17.25" customHeight="1" x14ac:dyDescent="0.15">
      <c r="A871" s="79"/>
      <c r="B871" s="63"/>
      <c r="C871" s="63"/>
      <c r="D871" s="5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30"/>
    </row>
    <row r="872" spans="1:66" ht="17.25" customHeight="1" x14ac:dyDescent="0.15">
      <c r="A872" s="79"/>
      <c r="B872" s="63"/>
      <c r="C872" s="63"/>
      <c r="D872" s="53" t="s">
        <v>49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32"/>
    </row>
    <row r="873" spans="1:66" ht="17.25" customHeight="1" x14ac:dyDescent="0.15">
      <c r="A873" s="80"/>
      <c r="B873" s="64"/>
      <c r="C873" s="64"/>
      <c r="D873" s="54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33"/>
    </row>
    <row r="874" spans="1:66" ht="17.25" customHeight="1" x14ac:dyDescent="0.15">
      <c r="A874" s="78"/>
      <c r="B874" s="62"/>
      <c r="C874" s="62"/>
      <c r="D874" s="51" t="s">
        <v>45</v>
      </c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26"/>
    </row>
    <row r="875" spans="1:66" ht="17.25" customHeight="1" x14ac:dyDescent="0.15">
      <c r="A875" s="79"/>
      <c r="B875" s="63"/>
      <c r="C875" s="63"/>
      <c r="D875" s="5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30"/>
    </row>
    <row r="876" spans="1:66" ht="17.25" customHeight="1" x14ac:dyDescent="0.15">
      <c r="A876" s="79"/>
      <c r="B876" s="63"/>
      <c r="C876" s="63"/>
      <c r="D876" s="57" t="s">
        <v>47</v>
      </c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31"/>
    </row>
    <row r="877" spans="1:66" ht="17.25" customHeight="1" x14ac:dyDescent="0.15">
      <c r="A877" s="79"/>
      <c r="B877" s="63"/>
      <c r="C877" s="63"/>
      <c r="D877" s="5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30"/>
    </row>
    <row r="878" spans="1:66" ht="17.25" customHeight="1" x14ac:dyDescent="0.15">
      <c r="A878" s="79"/>
      <c r="B878" s="63"/>
      <c r="C878" s="63"/>
      <c r="D878" s="58" t="s">
        <v>49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32"/>
    </row>
    <row r="879" spans="1:66" ht="17.25" customHeight="1" x14ac:dyDescent="0.15">
      <c r="A879" s="80"/>
      <c r="B879" s="64"/>
      <c r="C879" s="64"/>
      <c r="D879" s="59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33"/>
    </row>
    <row r="880" spans="1:66" ht="17.25" customHeight="1" x14ac:dyDescent="0.15">
      <c r="A880" s="78"/>
      <c r="B880" s="62"/>
      <c r="C880" s="62"/>
      <c r="D880" s="55" t="s">
        <v>45</v>
      </c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26"/>
    </row>
    <row r="881" spans="1:66" ht="17.25" customHeight="1" x14ac:dyDescent="0.15">
      <c r="A881" s="79"/>
      <c r="B881" s="63"/>
      <c r="C881" s="63"/>
      <c r="D881" s="5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30"/>
    </row>
    <row r="882" spans="1:66" ht="17.25" customHeight="1" x14ac:dyDescent="0.15">
      <c r="A882" s="79"/>
      <c r="B882" s="63"/>
      <c r="C882" s="63"/>
      <c r="D882" s="57" t="s">
        <v>47</v>
      </c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31"/>
    </row>
    <row r="883" spans="1:66" ht="17.25" customHeight="1" x14ac:dyDescent="0.15">
      <c r="A883" s="79"/>
      <c r="B883" s="63"/>
      <c r="C883" s="63"/>
      <c r="D883" s="5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30"/>
    </row>
    <row r="884" spans="1:66" ht="17.25" customHeight="1" x14ac:dyDescent="0.15">
      <c r="A884" s="79"/>
      <c r="B884" s="63"/>
      <c r="C884" s="63"/>
      <c r="D884" s="58" t="s">
        <v>49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32"/>
    </row>
    <row r="885" spans="1:66" ht="17.25" customHeight="1" x14ac:dyDescent="0.15">
      <c r="A885" s="80"/>
      <c r="B885" s="64"/>
      <c r="C885" s="64"/>
      <c r="D885" s="59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33"/>
    </row>
    <row r="886" spans="1:66" ht="17.25" customHeight="1" x14ac:dyDescent="0.15">
      <c r="A886" s="78"/>
      <c r="B886" s="62"/>
      <c r="C886" s="62"/>
      <c r="D886" s="55" t="s">
        <v>45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26"/>
    </row>
    <row r="887" spans="1:66" ht="17.25" customHeight="1" x14ac:dyDescent="0.15">
      <c r="A887" s="79"/>
      <c r="B887" s="63"/>
      <c r="C887" s="63"/>
      <c r="D887" s="5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30"/>
    </row>
    <row r="888" spans="1:66" ht="17.25" customHeight="1" x14ac:dyDescent="0.15">
      <c r="A888" s="79"/>
      <c r="B888" s="63"/>
      <c r="C888" s="63"/>
      <c r="D888" s="57" t="s">
        <v>47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31"/>
    </row>
    <row r="889" spans="1:66" ht="17.25" customHeight="1" x14ac:dyDescent="0.15">
      <c r="A889" s="79"/>
      <c r="B889" s="63"/>
      <c r="C889" s="63"/>
      <c r="D889" s="5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30"/>
    </row>
    <row r="890" spans="1:66" ht="17.25" customHeight="1" x14ac:dyDescent="0.15">
      <c r="A890" s="79"/>
      <c r="B890" s="63"/>
      <c r="C890" s="63"/>
      <c r="D890" s="58" t="s">
        <v>49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32"/>
    </row>
    <row r="891" spans="1:66" ht="17.25" customHeight="1" x14ac:dyDescent="0.15">
      <c r="A891" s="80"/>
      <c r="B891" s="64"/>
      <c r="C891" s="64"/>
      <c r="D891" s="59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33"/>
    </row>
    <row r="892" spans="1:66" ht="17.25" customHeight="1" x14ac:dyDescent="0.15">
      <c r="A892" s="78"/>
      <c r="B892" s="62"/>
      <c r="C892" s="62"/>
      <c r="D892" s="55" t="s">
        <v>45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26"/>
    </row>
    <row r="893" spans="1:66" ht="17.25" customHeight="1" x14ac:dyDescent="0.15">
      <c r="A893" s="79"/>
      <c r="B893" s="63"/>
      <c r="C893" s="63"/>
      <c r="D893" s="5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30"/>
    </row>
    <row r="894" spans="1:66" ht="17.25" customHeight="1" x14ac:dyDescent="0.15">
      <c r="A894" s="79"/>
      <c r="B894" s="63"/>
      <c r="C894" s="63"/>
      <c r="D894" s="57" t="s">
        <v>47</v>
      </c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31"/>
    </row>
    <row r="895" spans="1:66" ht="17.25" customHeight="1" x14ac:dyDescent="0.15">
      <c r="A895" s="79"/>
      <c r="B895" s="63"/>
      <c r="C895" s="63"/>
      <c r="D895" s="5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30"/>
    </row>
    <row r="896" spans="1:66" ht="17.25" customHeight="1" x14ac:dyDescent="0.15">
      <c r="A896" s="79"/>
      <c r="B896" s="63"/>
      <c r="C896" s="63"/>
      <c r="D896" s="58" t="s">
        <v>49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32"/>
    </row>
    <row r="897" spans="1:66" ht="17.25" customHeight="1" x14ac:dyDescent="0.15">
      <c r="A897" s="80"/>
      <c r="B897" s="64"/>
      <c r="C897" s="64"/>
      <c r="D897" s="59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33"/>
    </row>
    <row r="898" spans="1:66" ht="17.25" customHeight="1" x14ac:dyDescent="0.15">
      <c r="A898" s="78"/>
      <c r="B898" s="62"/>
      <c r="C898" s="62"/>
      <c r="D898" s="55" t="s">
        <v>45</v>
      </c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26"/>
    </row>
    <row r="899" spans="1:66" ht="17.25" customHeight="1" x14ac:dyDescent="0.15">
      <c r="A899" s="79"/>
      <c r="B899" s="63"/>
      <c r="C899" s="63"/>
      <c r="D899" s="5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30"/>
    </row>
    <row r="900" spans="1:66" ht="17.25" customHeight="1" x14ac:dyDescent="0.15">
      <c r="A900" s="79"/>
      <c r="B900" s="63"/>
      <c r="C900" s="63"/>
      <c r="D900" s="57" t="s">
        <v>47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31"/>
    </row>
    <row r="901" spans="1:66" ht="17.25" customHeight="1" x14ac:dyDescent="0.15">
      <c r="A901" s="79"/>
      <c r="B901" s="63"/>
      <c r="C901" s="63"/>
      <c r="D901" s="5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30"/>
    </row>
    <row r="902" spans="1:66" ht="17.25" customHeight="1" x14ac:dyDescent="0.15">
      <c r="A902" s="79"/>
      <c r="B902" s="63"/>
      <c r="C902" s="63"/>
      <c r="D902" s="58" t="s">
        <v>49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32"/>
    </row>
    <row r="903" spans="1:66" ht="17.25" customHeight="1" x14ac:dyDescent="0.15">
      <c r="A903" s="80"/>
      <c r="B903" s="64"/>
      <c r="C903" s="64"/>
      <c r="D903" s="59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33"/>
    </row>
    <row r="904" spans="1:66" ht="17.25" customHeight="1" x14ac:dyDescent="0.15">
      <c r="A904" s="78"/>
      <c r="B904" s="62"/>
      <c r="C904" s="62"/>
      <c r="D904" s="55" t="s">
        <v>45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26"/>
    </row>
    <row r="905" spans="1:66" ht="17.25" customHeight="1" x14ac:dyDescent="0.15">
      <c r="A905" s="79"/>
      <c r="B905" s="63"/>
      <c r="C905" s="63"/>
      <c r="D905" s="5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30"/>
    </row>
    <row r="906" spans="1:66" ht="17.25" customHeight="1" x14ac:dyDescent="0.15">
      <c r="A906" s="79"/>
      <c r="B906" s="63"/>
      <c r="C906" s="63"/>
      <c r="D906" s="57" t="s">
        <v>47</v>
      </c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31"/>
    </row>
    <row r="907" spans="1:66" ht="17.25" customHeight="1" x14ac:dyDescent="0.15">
      <c r="A907" s="79"/>
      <c r="B907" s="63"/>
      <c r="C907" s="63"/>
      <c r="D907" s="5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30"/>
    </row>
    <row r="908" spans="1:66" ht="17.25" customHeight="1" x14ac:dyDescent="0.15">
      <c r="A908" s="79"/>
      <c r="B908" s="63"/>
      <c r="C908" s="63"/>
      <c r="D908" s="58" t="s">
        <v>49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32"/>
    </row>
    <row r="909" spans="1:66" ht="17.25" customHeight="1" x14ac:dyDescent="0.15">
      <c r="A909" s="80"/>
      <c r="B909" s="64"/>
      <c r="C909" s="64"/>
      <c r="D909" s="59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33"/>
    </row>
  </sheetData>
  <sheetProtection formatCells="0" autoFilter="0"/>
  <protectedRanges>
    <protectedRange password="CC0B" sqref="M1 S1 BQ4:BQ165 W296 AE20 W297:X909 AG4:BN45 AE4:AF19 AE21:AF45 E4:Q45 S4:AD45 R4:R10 R12:R45 W64:X295 Y64:BN909 E64:V909 E46:BN63 CD4:CD165" name="区域1"/>
  </protectedRanges>
  <autoFilter ref="A2:C909" xr:uid="{00000000-0009-0000-0000-000000000000}"/>
  <customSheetViews>
    <customSheetView guid="{AB643371-9CCD-4D93-ACD3-F9912CACCE19}" zeroValues="0" showAutoFilter="1">
      <pane xSplit="4" ySplit="3" topLeftCell="E502" state="frozen"/>
      <selection activeCell="X512" sqref="X512"/>
      <pageMargins left="0.7" right="0.7" top="0.75" bottom="0.75" header="0.3" footer="0.3"/>
      <pageSetup paperSize="9" orientation="portrait" horizontalDpi="180" verticalDpi="180"/>
      <autoFilter ref="A3:C891" xr:uid="{A25B3EE7-374A-4573-B687-B386C4242972}"/>
    </customSheetView>
    <customSheetView guid="{5BF6545E-05E5-47A3-ABA0-7F5982E520D8}" zeroValues="0" showAutoFilter="1">
      <pane xSplit="4" ySplit="3" topLeftCell="E85" state="frozen"/>
      <selection activeCell="Y202" sqref="Y202"/>
      <pageMargins left="0.7" right="0.7" top="0.75" bottom="0.75" header="0.3" footer="0.3"/>
      <pageSetup paperSize="9" orientation="portrait" horizontalDpi="180" verticalDpi="180"/>
      <autoFilter ref="A3:C891" xr:uid="{CB56B2FE-92EE-4259-872C-DB39AC93BAD9}"/>
    </customSheetView>
    <customSheetView guid="{468377A7-BCAB-45D8-980A-104309D7AD60}" zeroValues="0" filter="1" showAutoFilter="1">
      <pane xSplit="4" ySplit="3" topLeftCell="E4" state="frozen"/>
      <selection activeCell="Y202" sqref="Y202"/>
      <pageMargins left="0.7" right="0.7" top="0.75" bottom="0.75" header="0.3" footer="0.3"/>
      <pageSetup paperSize="9" orientation="portrait" horizontalDpi="180" verticalDpi="180"/>
      <autoFilter ref="A3:C891" xr:uid="{DA827173-F891-4FC9-8E25-D044EFE77B67}">
        <filterColumn colId="0">
          <filters>
            <filter val="展盘部"/>
          </filters>
        </filterColumn>
      </autoFilter>
    </customSheetView>
    <customSheetView guid="{761C9F42-19B6-4FCA-A109-4467FE1ABAD1}" zeroValues="0" filter="1" showAutoFilter="1">
      <pane xSplit="4" ySplit="3" topLeftCell="E154" state="frozen"/>
      <selection activeCell="T164" sqref="T164"/>
      <pageMargins left="0.7" right="0.7" top="0.75" bottom="0.75" header="0.3" footer="0.3"/>
      <pageSetup paperSize="9" orientation="portrait" horizontalDpi="180" verticalDpi="180"/>
      <autoFilter ref="A3:C891" xr:uid="{141D7E0C-C4BC-4DA4-9892-FAF44F4847EE}">
        <filterColumn colId="0">
          <filters>
            <filter val="油漆部"/>
          </filters>
        </filterColumn>
      </autoFilter>
    </customSheetView>
    <customSheetView guid="{CB76269E-01DA-4B1B-B2BA-B82680FBA424}" zeroValues="0" showAutoFilter="1">
      <pane xSplit="4" ySplit="3" topLeftCell="E29" state="frozen"/>
      <selection activeCell="BU106" sqref="BU106"/>
      <pageMargins left="0.7" right="0.7" top="0.75" bottom="0.75" header="0.3" footer="0.3"/>
      <pageSetup paperSize="9" orientation="portrait" horizontalDpi="180" verticalDpi="180"/>
      <autoFilter ref="A3:C891" xr:uid="{59D023F1-80D1-4A02-A512-8B020918F2E4}"/>
    </customSheetView>
    <customSheetView guid="{E63A2368-37E3-4CEF-88CB-E2011FCDA255}" zeroValues="0" showAutoFilter="1">
      <pane xSplit="4" ySplit="3" topLeftCell="E4" state="frozen"/>
      <selection activeCell="F4" sqref="F4"/>
      <pageMargins left="0.7" right="0.7" top="0.75" bottom="0.75" header="0.3" footer="0.3"/>
      <pageSetup paperSize="9" orientation="portrait" horizontalDpi="180" verticalDpi="180"/>
      <autoFilter ref="A3:C891" xr:uid="{99D6D301-D136-4157-9996-0512416E1537}"/>
    </customSheetView>
  </customSheetViews>
  <mergeCells count="979">
    <mergeCell ref="S1:U1"/>
    <mergeCell ref="V1:W1"/>
    <mergeCell ref="BP1:BQ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BA2:BB2"/>
    <mergeCell ref="BC2:BD2"/>
    <mergeCell ref="A1:K1"/>
    <mergeCell ref="M1:P1"/>
    <mergeCell ref="CD2:CG2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O2:AP2"/>
    <mergeCell ref="Q1:R1"/>
    <mergeCell ref="AQ2:AR2"/>
    <mergeCell ref="AS2:AT2"/>
    <mergeCell ref="AU2:AV2"/>
    <mergeCell ref="BI3:BJ3"/>
    <mergeCell ref="BK3:BL3"/>
    <mergeCell ref="BM3:BN3"/>
    <mergeCell ref="A2:A3"/>
    <mergeCell ref="A4:A9"/>
    <mergeCell ref="A10:A15"/>
    <mergeCell ref="BC3:BD3"/>
    <mergeCell ref="BE3:BF3"/>
    <mergeCell ref="BG3:BH3"/>
    <mergeCell ref="BG2:BH2"/>
    <mergeCell ref="BI2:BJ2"/>
    <mergeCell ref="BK2:BL2"/>
    <mergeCell ref="BM2:BN2"/>
    <mergeCell ref="AW2:AX2"/>
    <mergeCell ref="AY2:AZ2"/>
    <mergeCell ref="BE2:BF2"/>
    <mergeCell ref="A16:A21"/>
    <mergeCell ref="A22:A27"/>
    <mergeCell ref="A28:A33"/>
    <mergeCell ref="AQ3:AR3"/>
    <mergeCell ref="AS3:AT3"/>
    <mergeCell ref="AU3:AV3"/>
    <mergeCell ref="AW3:AX3"/>
    <mergeCell ref="AY3:AZ3"/>
    <mergeCell ref="BA3:BB3"/>
    <mergeCell ref="A34:A39"/>
    <mergeCell ref="A40:A45"/>
    <mergeCell ref="A64:A69"/>
    <mergeCell ref="A70:A75"/>
    <mergeCell ref="A76:A81"/>
    <mergeCell ref="A82:A87"/>
    <mergeCell ref="A88:A93"/>
    <mergeCell ref="A94:A99"/>
    <mergeCell ref="A100:A105"/>
    <mergeCell ref="A46:A51"/>
    <mergeCell ref="A58:A63"/>
    <mergeCell ref="A52:A57"/>
    <mergeCell ref="A106:A111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78:A183"/>
    <mergeCell ref="A184:A189"/>
    <mergeCell ref="A190:A195"/>
    <mergeCell ref="A196:A201"/>
    <mergeCell ref="A202:A207"/>
    <mergeCell ref="A208:A213"/>
    <mergeCell ref="A214:A219"/>
    <mergeCell ref="A220:A225"/>
    <mergeCell ref="A226:A231"/>
    <mergeCell ref="A232:A237"/>
    <mergeCell ref="A238:A243"/>
    <mergeCell ref="A244:A249"/>
    <mergeCell ref="A250:A255"/>
    <mergeCell ref="A256:A261"/>
    <mergeCell ref="A262:A267"/>
    <mergeCell ref="A268:A273"/>
    <mergeCell ref="A274:A279"/>
    <mergeCell ref="A280:A285"/>
    <mergeCell ref="A286:A291"/>
    <mergeCell ref="A292:A297"/>
    <mergeCell ref="A298:A303"/>
    <mergeCell ref="A304:A309"/>
    <mergeCell ref="A310:A315"/>
    <mergeCell ref="A316:A321"/>
    <mergeCell ref="A322:A327"/>
    <mergeCell ref="A328:A333"/>
    <mergeCell ref="A334:A339"/>
    <mergeCell ref="A340:A345"/>
    <mergeCell ref="A346:A351"/>
    <mergeCell ref="A352:A357"/>
    <mergeCell ref="A358:A363"/>
    <mergeCell ref="A364:A369"/>
    <mergeCell ref="A370:A375"/>
    <mergeCell ref="A376:A381"/>
    <mergeCell ref="A382:A387"/>
    <mergeCell ref="A388:A393"/>
    <mergeCell ref="A394:A399"/>
    <mergeCell ref="A400:A405"/>
    <mergeCell ref="A406:A411"/>
    <mergeCell ref="A412:A417"/>
    <mergeCell ref="A418:A423"/>
    <mergeCell ref="A424:A429"/>
    <mergeCell ref="A430:A435"/>
    <mergeCell ref="A436:A441"/>
    <mergeCell ref="A442:A447"/>
    <mergeCell ref="A448:A453"/>
    <mergeCell ref="A454:A459"/>
    <mergeCell ref="A460:A465"/>
    <mergeCell ref="A466:A471"/>
    <mergeCell ref="A472:A477"/>
    <mergeCell ref="A478:A483"/>
    <mergeCell ref="A484:A489"/>
    <mergeCell ref="A490:A495"/>
    <mergeCell ref="A496:A501"/>
    <mergeCell ref="A502:A507"/>
    <mergeCell ref="A508:A513"/>
    <mergeCell ref="A514:A519"/>
    <mergeCell ref="A520:A525"/>
    <mergeCell ref="A526:A531"/>
    <mergeCell ref="A532:A537"/>
    <mergeCell ref="A538:A543"/>
    <mergeCell ref="A544:A549"/>
    <mergeCell ref="A550:A555"/>
    <mergeCell ref="A556:A561"/>
    <mergeCell ref="A562:A567"/>
    <mergeCell ref="A568:A573"/>
    <mergeCell ref="A574:A579"/>
    <mergeCell ref="A580:A585"/>
    <mergeCell ref="A586:A591"/>
    <mergeCell ref="A592:A597"/>
    <mergeCell ref="A598:A603"/>
    <mergeCell ref="A604:A609"/>
    <mergeCell ref="A610:A615"/>
    <mergeCell ref="A616:A621"/>
    <mergeCell ref="A622:A627"/>
    <mergeCell ref="A628:A633"/>
    <mergeCell ref="A634:A639"/>
    <mergeCell ref="A640:A645"/>
    <mergeCell ref="A646:A651"/>
    <mergeCell ref="A652:A657"/>
    <mergeCell ref="A658:A663"/>
    <mergeCell ref="A664:A669"/>
    <mergeCell ref="A670:A675"/>
    <mergeCell ref="A676:A681"/>
    <mergeCell ref="A682:A687"/>
    <mergeCell ref="A688:A693"/>
    <mergeCell ref="A694:A699"/>
    <mergeCell ref="A700:A705"/>
    <mergeCell ref="A706:A711"/>
    <mergeCell ref="A712:A717"/>
    <mergeCell ref="A718:A723"/>
    <mergeCell ref="A724:A729"/>
    <mergeCell ref="A730:A735"/>
    <mergeCell ref="A736:A741"/>
    <mergeCell ref="A742:A747"/>
    <mergeCell ref="A748:A753"/>
    <mergeCell ref="A754:A759"/>
    <mergeCell ref="A760:A765"/>
    <mergeCell ref="A766:A771"/>
    <mergeCell ref="A772:A777"/>
    <mergeCell ref="A778:A783"/>
    <mergeCell ref="A784:A789"/>
    <mergeCell ref="A790:A795"/>
    <mergeCell ref="A796:A801"/>
    <mergeCell ref="A802:A807"/>
    <mergeCell ref="A808:A813"/>
    <mergeCell ref="A814:A819"/>
    <mergeCell ref="A820:A825"/>
    <mergeCell ref="A826:A831"/>
    <mergeCell ref="A832:A837"/>
    <mergeCell ref="A838:A843"/>
    <mergeCell ref="A844:A849"/>
    <mergeCell ref="A850:A855"/>
    <mergeCell ref="A856:A861"/>
    <mergeCell ref="A862:A867"/>
    <mergeCell ref="A868:A873"/>
    <mergeCell ref="A874:A879"/>
    <mergeCell ref="A880:A885"/>
    <mergeCell ref="A886:A891"/>
    <mergeCell ref="A892:A897"/>
    <mergeCell ref="A898:A903"/>
    <mergeCell ref="A904:A909"/>
    <mergeCell ref="B2:B3"/>
    <mergeCell ref="B4:B9"/>
    <mergeCell ref="B10:B15"/>
    <mergeCell ref="B16:B21"/>
    <mergeCell ref="B22:B27"/>
    <mergeCell ref="B28:B33"/>
    <mergeCell ref="B34:B39"/>
    <mergeCell ref="B40:B45"/>
    <mergeCell ref="B64:B69"/>
    <mergeCell ref="B70:B75"/>
    <mergeCell ref="B76:B81"/>
    <mergeCell ref="B82:B87"/>
    <mergeCell ref="B88:B93"/>
    <mergeCell ref="B94:B99"/>
    <mergeCell ref="B100:B105"/>
    <mergeCell ref="B106:B111"/>
    <mergeCell ref="B112:B117"/>
    <mergeCell ref="B118:B123"/>
    <mergeCell ref="B124:B129"/>
    <mergeCell ref="B130:B135"/>
    <mergeCell ref="B136:B141"/>
    <mergeCell ref="B142:B147"/>
    <mergeCell ref="B148:B153"/>
    <mergeCell ref="B154:B159"/>
    <mergeCell ref="B160:B165"/>
    <mergeCell ref="B166:B171"/>
    <mergeCell ref="B172:B177"/>
    <mergeCell ref="B178:B183"/>
    <mergeCell ref="B184:B189"/>
    <mergeCell ref="B190:B195"/>
    <mergeCell ref="B196:B201"/>
    <mergeCell ref="B202:B207"/>
    <mergeCell ref="B208:B213"/>
    <mergeCell ref="B214:B219"/>
    <mergeCell ref="B220:B225"/>
    <mergeCell ref="B226:B231"/>
    <mergeCell ref="B232:B237"/>
    <mergeCell ref="B238:B243"/>
    <mergeCell ref="B244:B249"/>
    <mergeCell ref="B250:B255"/>
    <mergeCell ref="B256:B261"/>
    <mergeCell ref="B262:B267"/>
    <mergeCell ref="B268:B273"/>
    <mergeCell ref="B274:B279"/>
    <mergeCell ref="B280:B285"/>
    <mergeCell ref="B286:B291"/>
    <mergeCell ref="B292:B297"/>
    <mergeCell ref="B298:B303"/>
    <mergeCell ref="B304:B309"/>
    <mergeCell ref="B310:B315"/>
    <mergeCell ref="B316:B321"/>
    <mergeCell ref="B322:B327"/>
    <mergeCell ref="B328:B333"/>
    <mergeCell ref="B334:B339"/>
    <mergeCell ref="B340:B345"/>
    <mergeCell ref="B346:B351"/>
    <mergeCell ref="B352:B357"/>
    <mergeCell ref="B358:B363"/>
    <mergeCell ref="B364:B369"/>
    <mergeCell ref="B370:B375"/>
    <mergeCell ref="B376:B381"/>
    <mergeCell ref="B382:B387"/>
    <mergeCell ref="B388:B393"/>
    <mergeCell ref="B394:B399"/>
    <mergeCell ref="B400:B405"/>
    <mergeCell ref="B406:B411"/>
    <mergeCell ref="B412:B417"/>
    <mergeCell ref="B418:B423"/>
    <mergeCell ref="B424:B429"/>
    <mergeCell ref="B430:B435"/>
    <mergeCell ref="B436:B441"/>
    <mergeCell ref="B442:B447"/>
    <mergeCell ref="B448:B453"/>
    <mergeCell ref="B454:B459"/>
    <mergeCell ref="B460:B465"/>
    <mergeCell ref="B466:B471"/>
    <mergeCell ref="B472:B477"/>
    <mergeCell ref="B478:B483"/>
    <mergeCell ref="B484:B489"/>
    <mergeCell ref="B490:B495"/>
    <mergeCell ref="B496:B501"/>
    <mergeCell ref="B502:B507"/>
    <mergeCell ref="B508:B513"/>
    <mergeCell ref="B514:B519"/>
    <mergeCell ref="B520:B525"/>
    <mergeCell ref="B526:B531"/>
    <mergeCell ref="B532:B537"/>
    <mergeCell ref="B538:B543"/>
    <mergeCell ref="B544:B549"/>
    <mergeCell ref="B550:B555"/>
    <mergeCell ref="B556:B561"/>
    <mergeCell ref="B562:B567"/>
    <mergeCell ref="B568:B573"/>
    <mergeCell ref="B574:B579"/>
    <mergeCell ref="B580:B585"/>
    <mergeCell ref="B586:B591"/>
    <mergeCell ref="B592:B597"/>
    <mergeCell ref="B598:B603"/>
    <mergeCell ref="B604:B609"/>
    <mergeCell ref="B610:B615"/>
    <mergeCell ref="B616:B621"/>
    <mergeCell ref="B622:B627"/>
    <mergeCell ref="B628:B633"/>
    <mergeCell ref="B634:B639"/>
    <mergeCell ref="B640:B645"/>
    <mergeCell ref="B646:B651"/>
    <mergeCell ref="B652:B657"/>
    <mergeCell ref="B658:B663"/>
    <mergeCell ref="B664:B669"/>
    <mergeCell ref="B670:B675"/>
    <mergeCell ref="B676:B681"/>
    <mergeCell ref="B682:B687"/>
    <mergeCell ref="B688:B693"/>
    <mergeCell ref="B694:B699"/>
    <mergeCell ref="B700:B705"/>
    <mergeCell ref="B706:B711"/>
    <mergeCell ref="B712:B717"/>
    <mergeCell ref="B718:B723"/>
    <mergeCell ref="B724:B729"/>
    <mergeCell ref="B730:B735"/>
    <mergeCell ref="B736:B741"/>
    <mergeCell ref="B742:B747"/>
    <mergeCell ref="B748:B753"/>
    <mergeCell ref="B754:B759"/>
    <mergeCell ref="B760:B765"/>
    <mergeCell ref="B766:B771"/>
    <mergeCell ref="B772:B777"/>
    <mergeCell ref="B778:B783"/>
    <mergeCell ref="B784:B789"/>
    <mergeCell ref="B790:B795"/>
    <mergeCell ref="B796:B801"/>
    <mergeCell ref="B802:B807"/>
    <mergeCell ref="B808:B813"/>
    <mergeCell ref="B814:B819"/>
    <mergeCell ref="B820:B825"/>
    <mergeCell ref="B826:B831"/>
    <mergeCell ref="B832:B837"/>
    <mergeCell ref="B838:B843"/>
    <mergeCell ref="B844:B849"/>
    <mergeCell ref="B850:B855"/>
    <mergeCell ref="B856:B861"/>
    <mergeCell ref="B862:B867"/>
    <mergeCell ref="B868:B873"/>
    <mergeCell ref="B874:B879"/>
    <mergeCell ref="B880:B885"/>
    <mergeCell ref="B886:B891"/>
    <mergeCell ref="B892:B897"/>
    <mergeCell ref="B898:B903"/>
    <mergeCell ref="B904:B909"/>
    <mergeCell ref="C2:C3"/>
    <mergeCell ref="C4:C9"/>
    <mergeCell ref="C10:C15"/>
    <mergeCell ref="C16:C21"/>
    <mergeCell ref="C22:C27"/>
    <mergeCell ref="C28:C33"/>
    <mergeCell ref="C34:C39"/>
    <mergeCell ref="C40:C45"/>
    <mergeCell ref="C64:C69"/>
    <mergeCell ref="C70:C75"/>
    <mergeCell ref="C76:C81"/>
    <mergeCell ref="C82:C87"/>
    <mergeCell ref="C88:C93"/>
    <mergeCell ref="C94:C99"/>
    <mergeCell ref="C100:C105"/>
    <mergeCell ref="C106:C111"/>
    <mergeCell ref="C112:C117"/>
    <mergeCell ref="C118:C123"/>
    <mergeCell ref="C124:C129"/>
    <mergeCell ref="C130:C135"/>
    <mergeCell ref="C136:C141"/>
    <mergeCell ref="C142:C147"/>
    <mergeCell ref="C148:C153"/>
    <mergeCell ref="C154:C159"/>
    <mergeCell ref="C160:C165"/>
    <mergeCell ref="C166:C171"/>
    <mergeCell ref="C172:C177"/>
    <mergeCell ref="C178:C183"/>
    <mergeCell ref="C184:C189"/>
    <mergeCell ref="C190:C195"/>
    <mergeCell ref="C196:C201"/>
    <mergeCell ref="C202:C207"/>
    <mergeCell ref="C208:C213"/>
    <mergeCell ref="C214:C219"/>
    <mergeCell ref="C220:C225"/>
    <mergeCell ref="C226:C231"/>
    <mergeCell ref="C232:C237"/>
    <mergeCell ref="C238:C243"/>
    <mergeCell ref="C244:C249"/>
    <mergeCell ref="C250:C255"/>
    <mergeCell ref="C256:C261"/>
    <mergeCell ref="C262:C267"/>
    <mergeCell ref="C268:C273"/>
    <mergeCell ref="C274:C279"/>
    <mergeCell ref="C280:C285"/>
    <mergeCell ref="C286:C291"/>
    <mergeCell ref="C292:C297"/>
    <mergeCell ref="C298:C303"/>
    <mergeCell ref="C304:C309"/>
    <mergeCell ref="C310:C315"/>
    <mergeCell ref="C316:C321"/>
    <mergeCell ref="C322:C327"/>
    <mergeCell ref="C328:C333"/>
    <mergeCell ref="C334:C339"/>
    <mergeCell ref="C340:C345"/>
    <mergeCell ref="C346:C351"/>
    <mergeCell ref="C352:C357"/>
    <mergeCell ref="C358:C363"/>
    <mergeCell ref="C364:C369"/>
    <mergeCell ref="C370:C375"/>
    <mergeCell ref="C376:C381"/>
    <mergeCell ref="C382:C387"/>
    <mergeCell ref="C388:C393"/>
    <mergeCell ref="C394:C399"/>
    <mergeCell ref="C400:C405"/>
    <mergeCell ref="C406:C411"/>
    <mergeCell ref="C412:C417"/>
    <mergeCell ref="C418:C423"/>
    <mergeCell ref="C424:C429"/>
    <mergeCell ref="C430:C435"/>
    <mergeCell ref="C436:C441"/>
    <mergeCell ref="C442:C447"/>
    <mergeCell ref="C448:C453"/>
    <mergeCell ref="C454:C459"/>
    <mergeCell ref="C460:C465"/>
    <mergeCell ref="C466:C471"/>
    <mergeCell ref="C472:C477"/>
    <mergeCell ref="C478:C483"/>
    <mergeCell ref="C484:C489"/>
    <mergeCell ref="C490:C495"/>
    <mergeCell ref="C496:C501"/>
    <mergeCell ref="C502:C507"/>
    <mergeCell ref="C508:C513"/>
    <mergeCell ref="C514:C519"/>
    <mergeCell ref="C520:C525"/>
    <mergeCell ref="C526:C531"/>
    <mergeCell ref="C532:C537"/>
    <mergeCell ref="C538:C543"/>
    <mergeCell ref="C544:C549"/>
    <mergeCell ref="C550:C555"/>
    <mergeCell ref="C556:C561"/>
    <mergeCell ref="C562:C567"/>
    <mergeCell ref="C568:C573"/>
    <mergeCell ref="C574:C579"/>
    <mergeCell ref="C580:C585"/>
    <mergeCell ref="C586:C591"/>
    <mergeCell ref="C592:C597"/>
    <mergeCell ref="C598:C603"/>
    <mergeCell ref="C604:C609"/>
    <mergeCell ref="C610:C615"/>
    <mergeCell ref="C616:C621"/>
    <mergeCell ref="C622:C627"/>
    <mergeCell ref="C628:C633"/>
    <mergeCell ref="C634:C639"/>
    <mergeCell ref="C640:C645"/>
    <mergeCell ref="C646:C651"/>
    <mergeCell ref="C652:C657"/>
    <mergeCell ref="C658:C663"/>
    <mergeCell ref="C664:C669"/>
    <mergeCell ref="C670:C675"/>
    <mergeCell ref="C676:C681"/>
    <mergeCell ref="C682:C687"/>
    <mergeCell ref="C688:C693"/>
    <mergeCell ref="C694:C699"/>
    <mergeCell ref="C700:C705"/>
    <mergeCell ref="C706:C711"/>
    <mergeCell ref="C712:C717"/>
    <mergeCell ref="C718:C723"/>
    <mergeCell ref="C724:C729"/>
    <mergeCell ref="C730:C735"/>
    <mergeCell ref="C736:C741"/>
    <mergeCell ref="C742:C747"/>
    <mergeCell ref="C748:C753"/>
    <mergeCell ref="C754:C759"/>
    <mergeCell ref="C760:C765"/>
    <mergeCell ref="C766:C771"/>
    <mergeCell ref="C772:C777"/>
    <mergeCell ref="C778:C783"/>
    <mergeCell ref="C784:C789"/>
    <mergeCell ref="C790:C795"/>
    <mergeCell ref="C796:C801"/>
    <mergeCell ref="C802:C807"/>
    <mergeCell ref="C808:C813"/>
    <mergeCell ref="C814:C819"/>
    <mergeCell ref="C820:C825"/>
    <mergeCell ref="C826:C831"/>
    <mergeCell ref="C832:C837"/>
    <mergeCell ref="C838:C843"/>
    <mergeCell ref="C844:C849"/>
    <mergeCell ref="C850:C855"/>
    <mergeCell ref="C856:C861"/>
    <mergeCell ref="C862:C867"/>
    <mergeCell ref="C868:C873"/>
    <mergeCell ref="C874:C879"/>
    <mergeCell ref="C880:C885"/>
    <mergeCell ref="C886:C891"/>
    <mergeCell ref="C892:C897"/>
    <mergeCell ref="C898:C903"/>
    <mergeCell ref="C904:C909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64:D65"/>
    <mergeCell ref="D66:D67"/>
    <mergeCell ref="D68:D69"/>
    <mergeCell ref="D70:D71"/>
    <mergeCell ref="D72:D73"/>
    <mergeCell ref="D74:D75"/>
    <mergeCell ref="D60:D61"/>
    <mergeCell ref="D62:D63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18:D519"/>
    <mergeCell ref="D520:D521"/>
    <mergeCell ref="D522:D523"/>
    <mergeCell ref="D524:D525"/>
    <mergeCell ref="D526:D527"/>
    <mergeCell ref="D528:D529"/>
    <mergeCell ref="D530:D531"/>
    <mergeCell ref="D532:D533"/>
    <mergeCell ref="D534:D535"/>
    <mergeCell ref="D536:D537"/>
    <mergeCell ref="D538:D539"/>
    <mergeCell ref="D540:D541"/>
    <mergeCell ref="D542:D543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D566:D567"/>
    <mergeCell ref="D568:D569"/>
    <mergeCell ref="D570:D571"/>
    <mergeCell ref="D572:D573"/>
    <mergeCell ref="D574:D575"/>
    <mergeCell ref="D576:D577"/>
    <mergeCell ref="D578:D579"/>
    <mergeCell ref="D580:D581"/>
    <mergeCell ref="D582:D583"/>
    <mergeCell ref="D584:D585"/>
    <mergeCell ref="D586:D587"/>
    <mergeCell ref="D588:D589"/>
    <mergeCell ref="D590:D591"/>
    <mergeCell ref="D592:D593"/>
    <mergeCell ref="D594:D595"/>
    <mergeCell ref="D596:D597"/>
    <mergeCell ref="D598:D599"/>
    <mergeCell ref="D600:D601"/>
    <mergeCell ref="D602:D603"/>
    <mergeCell ref="D604:D605"/>
    <mergeCell ref="D606:D607"/>
    <mergeCell ref="D608:D609"/>
    <mergeCell ref="D610:D611"/>
    <mergeCell ref="D612:D613"/>
    <mergeCell ref="D614:D615"/>
    <mergeCell ref="D616:D617"/>
    <mergeCell ref="D618:D619"/>
    <mergeCell ref="D620:D621"/>
    <mergeCell ref="D622:D623"/>
    <mergeCell ref="D624:D625"/>
    <mergeCell ref="D626:D627"/>
    <mergeCell ref="D628:D629"/>
    <mergeCell ref="D630:D631"/>
    <mergeCell ref="D632:D633"/>
    <mergeCell ref="D634:D635"/>
    <mergeCell ref="D636:D637"/>
    <mergeCell ref="D638:D639"/>
    <mergeCell ref="D640:D641"/>
    <mergeCell ref="D642:D643"/>
    <mergeCell ref="D644:D645"/>
    <mergeCell ref="D646:D647"/>
    <mergeCell ref="D648:D649"/>
    <mergeCell ref="D650:D651"/>
    <mergeCell ref="D652:D653"/>
    <mergeCell ref="D654:D655"/>
    <mergeCell ref="D656:D657"/>
    <mergeCell ref="D658:D659"/>
    <mergeCell ref="D660:D661"/>
    <mergeCell ref="D662:D663"/>
    <mergeCell ref="D664:D665"/>
    <mergeCell ref="D666:D667"/>
    <mergeCell ref="D668:D669"/>
    <mergeCell ref="D670:D671"/>
    <mergeCell ref="D672:D673"/>
    <mergeCell ref="D674:D675"/>
    <mergeCell ref="D676:D677"/>
    <mergeCell ref="D678:D679"/>
    <mergeCell ref="D680:D681"/>
    <mergeCell ref="D682:D683"/>
    <mergeCell ref="D684:D685"/>
    <mergeCell ref="D686:D687"/>
    <mergeCell ref="D688:D689"/>
    <mergeCell ref="D690:D691"/>
    <mergeCell ref="D692:D693"/>
    <mergeCell ref="D694:D695"/>
    <mergeCell ref="D696:D697"/>
    <mergeCell ref="D698:D699"/>
    <mergeCell ref="D700:D701"/>
    <mergeCell ref="D702:D703"/>
    <mergeCell ref="D704:D705"/>
    <mergeCell ref="D706:D707"/>
    <mergeCell ref="D708:D709"/>
    <mergeCell ref="D710:D711"/>
    <mergeCell ref="D712:D713"/>
    <mergeCell ref="D714:D715"/>
    <mergeCell ref="D716:D717"/>
    <mergeCell ref="D718:D719"/>
    <mergeCell ref="D720:D721"/>
    <mergeCell ref="D722:D723"/>
    <mergeCell ref="D724:D725"/>
    <mergeCell ref="D726:D727"/>
    <mergeCell ref="D728:D729"/>
    <mergeCell ref="D730:D731"/>
    <mergeCell ref="D732:D733"/>
    <mergeCell ref="D734:D735"/>
    <mergeCell ref="D736:D737"/>
    <mergeCell ref="D738:D739"/>
    <mergeCell ref="D740:D741"/>
    <mergeCell ref="D742:D743"/>
    <mergeCell ref="D744:D745"/>
    <mergeCell ref="D746:D747"/>
    <mergeCell ref="D748:D749"/>
    <mergeCell ref="D750:D751"/>
    <mergeCell ref="D752:D753"/>
    <mergeCell ref="D754:D755"/>
    <mergeCell ref="D756:D757"/>
    <mergeCell ref="D758:D759"/>
    <mergeCell ref="D760:D761"/>
    <mergeCell ref="D762:D763"/>
    <mergeCell ref="D764:D765"/>
    <mergeCell ref="D766:D767"/>
    <mergeCell ref="D768:D769"/>
    <mergeCell ref="D770:D771"/>
    <mergeCell ref="D772:D773"/>
    <mergeCell ref="D774:D775"/>
    <mergeCell ref="D776:D777"/>
    <mergeCell ref="D778:D779"/>
    <mergeCell ref="D780:D781"/>
    <mergeCell ref="D782:D783"/>
    <mergeCell ref="D784:D785"/>
    <mergeCell ref="D786:D787"/>
    <mergeCell ref="D788:D789"/>
    <mergeCell ref="D790:D791"/>
    <mergeCell ref="D792:D793"/>
    <mergeCell ref="D794:D795"/>
    <mergeCell ref="D818:D819"/>
    <mergeCell ref="D820:D821"/>
    <mergeCell ref="D822:D823"/>
    <mergeCell ref="D824:D825"/>
    <mergeCell ref="D826:D827"/>
    <mergeCell ref="D828:D829"/>
    <mergeCell ref="D830:D831"/>
    <mergeCell ref="D796:D797"/>
    <mergeCell ref="D798:D799"/>
    <mergeCell ref="D800:D801"/>
    <mergeCell ref="D802:D803"/>
    <mergeCell ref="D804:D805"/>
    <mergeCell ref="D806:D807"/>
    <mergeCell ref="D808:D809"/>
    <mergeCell ref="D810:D811"/>
    <mergeCell ref="D812:D813"/>
    <mergeCell ref="D814:D815"/>
    <mergeCell ref="D816:D817"/>
    <mergeCell ref="B58:B63"/>
    <mergeCell ref="BP2:BP3"/>
    <mergeCell ref="D886:D887"/>
    <mergeCell ref="D888:D889"/>
    <mergeCell ref="D890:D891"/>
    <mergeCell ref="D892:D893"/>
    <mergeCell ref="D894:D895"/>
    <mergeCell ref="D868:D869"/>
    <mergeCell ref="D870:D871"/>
    <mergeCell ref="D872:D873"/>
    <mergeCell ref="D874:D875"/>
    <mergeCell ref="D876:D877"/>
    <mergeCell ref="D878:D879"/>
    <mergeCell ref="D880:D881"/>
    <mergeCell ref="D882:D883"/>
    <mergeCell ref="D884:D885"/>
    <mergeCell ref="D850:D851"/>
    <mergeCell ref="D852:D853"/>
    <mergeCell ref="D854:D855"/>
    <mergeCell ref="D856:D857"/>
    <mergeCell ref="D858:D859"/>
    <mergeCell ref="D860:D861"/>
    <mergeCell ref="C58:C63"/>
    <mergeCell ref="D58:D59"/>
    <mergeCell ref="D904:D905"/>
    <mergeCell ref="D906:D907"/>
    <mergeCell ref="D908:D909"/>
    <mergeCell ref="D902:D903"/>
    <mergeCell ref="D862:D863"/>
    <mergeCell ref="D864:D865"/>
    <mergeCell ref="D866:D867"/>
    <mergeCell ref="D832:D833"/>
    <mergeCell ref="D834:D835"/>
    <mergeCell ref="D836:D837"/>
    <mergeCell ref="D838:D839"/>
    <mergeCell ref="D840:D841"/>
    <mergeCell ref="D842:D843"/>
    <mergeCell ref="D844:D845"/>
    <mergeCell ref="D846:D847"/>
    <mergeCell ref="D848:D849"/>
    <mergeCell ref="D896:D897"/>
    <mergeCell ref="D898:D899"/>
    <mergeCell ref="D900:D901"/>
    <mergeCell ref="B46:B51"/>
    <mergeCell ref="C46:C51"/>
    <mergeCell ref="D46:D47"/>
    <mergeCell ref="D48:D49"/>
    <mergeCell ref="D50:D51"/>
    <mergeCell ref="B52:B57"/>
    <mergeCell ref="C52:C57"/>
    <mergeCell ref="D52:D53"/>
    <mergeCell ref="D54:D55"/>
    <mergeCell ref="D56:D57"/>
  </mergeCells>
  <phoneticPr fontId="22" type="noConversion"/>
  <conditionalFormatting sqref="B4:B562 B568 B574 B580 B586 B592 B598 B604 B610 B616:B909">
    <cfRule type="cellIs" dxfId="4" priority="16" operator="equal">
      <formula>"计时"</formula>
    </cfRule>
    <cfRule type="cellIs" dxfId="3" priority="35" operator="equal">
      <formula>"计件"</formula>
    </cfRule>
  </conditionalFormatting>
  <conditionalFormatting sqref="C1:C1048576">
    <cfRule type="duplicateValues" dxfId="2" priority="1"/>
  </conditionalFormatting>
  <conditionalFormatting sqref="E2:BN2">
    <cfRule type="cellIs" dxfId="1" priority="86" operator="equal">
      <formula>"日"</formula>
    </cfRule>
  </conditionalFormatting>
  <conditionalFormatting sqref="BQ1:BQ1048576">
    <cfRule type="duplicateValues" dxfId="0" priority="39"/>
  </conditionalFormatting>
  <dataValidations count="1">
    <dataValidation type="list" allowBlank="1" showInputMessage="1" showErrorMessage="1" sqref="BM4:BM909 BK4:BK909 BI4:BI909 BG4:BG909 BE4:BE909 BC4:BC909 BA4:BA909 AY4:AY909 AW4:AW909 AU4:AU909 AS4:AS909 AQ4:AQ909 AO4:AO909 AM4:AM909 AK4:AK909 AI4:AI909 AG4:AG909 AE4:AE909 AC4:AC909 AA4:AA909 Y4:Y909 W4:W909 U4:U909 S4:S909 Q4:Q909 O4:O909 M4:M909 K4:K909 I4:I909 G4:G909 E4:E909" xr:uid="{00000000-0002-0000-0000-000000000000}">
      <formula1>$BR$2:$CC$2</formula1>
    </dataValidation>
  </dataValidations>
  <pageMargins left="0.7" right="0.7" top="0.75" bottom="0.75" header="0.3" footer="0.3"/>
  <pageSetup paperSize="9" orientation="portrait" horizontalDpi="180" verticalDpi="18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</vt:lpstr>
    </vt:vector>
  </TitlesOfParts>
  <Company>sunbird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Pumbaa</dc:creator>
  <cp:lastModifiedBy>Shaofeng Peng</cp:lastModifiedBy>
  <cp:lastPrinted>2019-12-05T03:36:00Z</cp:lastPrinted>
  <dcterms:created xsi:type="dcterms:W3CDTF">2018-12-04T07:13:00Z</dcterms:created>
  <dcterms:modified xsi:type="dcterms:W3CDTF">2026-04-15T10:10:25Z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AFBC7CA4401F4DD997485293EBE8F871_12</vt:lpwstr>
  </property>
  <property fmtid="{D5CDD505-2E9C-101B-9397-08002B2CF9AE}" pid="3" name="KSOProductBuildVer">
    <vt:lpwstr>2052-12.1.0.19770</vt:lpwstr>
  </property>
</Properties>
</file>